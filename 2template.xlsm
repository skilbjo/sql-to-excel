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0" yWindow="0" windowWidth="15140" windowHeight="8980"/>
  </bookViews>
  <sheets>
    <sheet name="Run Macro" sheetId="2" r:id="rId1"/>
    <sheet name="Query" sheetId="1" r:id="rId2"/>
    <sheet name="Helper" sheetId="4" r:id="rId3"/>
    <sheet name="Template" sheetId="3" r:id="rId4"/>
  </sheets>
  <definedNames>
    <definedName name="_xlnm._FilterDatabase" localSheetId="2" hidden="1">Helper!$L$3:$M$1950</definedName>
  </definedNames>
  <calcPr calcId="140001" concurrentCalc="0"/>
  <pivotCaches>
    <pivotCache cacheId="0" r:id="rId5"/>
  </pivotCaches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P356" i="1"/>
  <c r="O356" i="1"/>
  <c r="N356" i="1"/>
  <c r="M356" i="1"/>
  <c r="L356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L355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M354" i="1"/>
  <c r="L354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P353" i="1"/>
  <c r="O353" i="1"/>
  <c r="N353" i="1"/>
  <c r="M353" i="1"/>
  <c r="L353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P352" i="1"/>
  <c r="O352" i="1"/>
  <c r="N352" i="1"/>
  <c r="M352" i="1"/>
  <c r="L352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P350" i="1"/>
  <c r="O350" i="1"/>
  <c r="N350" i="1"/>
  <c r="M350" i="1"/>
  <c r="L350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P349" i="1"/>
  <c r="O349" i="1"/>
  <c r="N349" i="1"/>
  <c r="M349" i="1"/>
  <c r="L349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P347" i="1"/>
  <c r="O347" i="1"/>
  <c r="N347" i="1"/>
  <c r="M347" i="1"/>
  <c r="L347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P346" i="1"/>
  <c r="O346" i="1"/>
  <c r="N346" i="1"/>
  <c r="M346" i="1"/>
  <c r="L346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P344" i="1"/>
  <c r="O344" i="1"/>
  <c r="N344" i="1"/>
  <c r="M344" i="1"/>
  <c r="L344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P343" i="1"/>
  <c r="O343" i="1"/>
  <c r="N343" i="1"/>
  <c r="M343" i="1"/>
  <c r="L343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P341" i="1"/>
  <c r="O341" i="1"/>
  <c r="N341" i="1"/>
  <c r="M341" i="1"/>
  <c r="L341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P340" i="1"/>
  <c r="O340" i="1"/>
  <c r="N340" i="1"/>
  <c r="M340" i="1"/>
  <c r="L340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P337" i="1"/>
  <c r="O337" i="1"/>
  <c r="N337" i="1"/>
  <c r="M337" i="1"/>
  <c r="L337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P335" i="1"/>
  <c r="O335" i="1"/>
  <c r="N335" i="1"/>
  <c r="M335" i="1"/>
  <c r="L335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P331" i="1"/>
  <c r="O331" i="1"/>
  <c r="N331" i="1"/>
  <c r="M331" i="1"/>
  <c r="L331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P328" i="1"/>
  <c r="O328" i="1"/>
  <c r="N328" i="1"/>
  <c r="M328" i="1"/>
  <c r="L328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P326" i="1"/>
  <c r="O326" i="1"/>
  <c r="N326" i="1"/>
  <c r="M326" i="1"/>
  <c r="L326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P325" i="1"/>
  <c r="O325" i="1"/>
  <c r="N325" i="1"/>
  <c r="M325" i="1"/>
  <c r="L325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P323" i="1"/>
  <c r="O323" i="1"/>
  <c r="N323" i="1"/>
  <c r="M323" i="1"/>
  <c r="L323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P322" i="1"/>
  <c r="O322" i="1"/>
  <c r="N322" i="1"/>
  <c r="M322" i="1"/>
  <c r="L322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P320" i="1"/>
  <c r="O320" i="1"/>
  <c r="N320" i="1"/>
  <c r="M320" i="1"/>
  <c r="L320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P317" i="1"/>
  <c r="O317" i="1"/>
  <c r="N317" i="1"/>
  <c r="M317" i="1"/>
  <c r="L317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L316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P314" i="1"/>
  <c r="O314" i="1"/>
  <c r="N314" i="1"/>
  <c r="M314" i="1"/>
  <c r="L314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P313" i="1"/>
  <c r="O313" i="1"/>
  <c r="N313" i="1"/>
  <c r="M313" i="1"/>
  <c r="L313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P311" i="1"/>
  <c r="O311" i="1"/>
  <c r="N311" i="1"/>
  <c r="M311" i="1"/>
  <c r="L311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P310" i="1"/>
  <c r="O310" i="1"/>
  <c r="N310" i="1"/>
  <c r="M310" i="1"/>
  <c r="L310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P308" i="1"/>
  <c r="O308" i="1"/>
  <c r="N308" i="1"/>
  <c r="M308" i="1"/>
  <c r="L308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P307" i="1"/>
  <c r="O307" i="1"/>
  <c r="N307" i="1"/>
  <c r="M307" i="1"/>
  <c r="L307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P305" i="1"/>
  <c r="O305" i="1"/>
  <c r="N305" i="1"/>
  <c r="M305" i="1"/>
  <c r="L305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P304" i="1"/>
  <c r="O304" i="1"/>
  <c r="N304" i="1"/>
  <c r="M304" i="1"/>
  <c r="L304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P303" i="1"/>
  <c r="O303" i="1"/>
  <c r="N303" i="1"/>
  <c r="M303" i="1"/>
  <c r="L303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P302" i="1"/>
  <c r="O302" i="1"/>
  <c r="N302" i="1"/>
  <c r="M302" i="1"/>
  <c r="L302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P301" i="1"/>
  <c r="O301" i="1"/>
  <c r="N301" i="1"/>
  <c r="M301" i="1"/>
  <c r="L301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L300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P299" i="1"/>
  <c r="O299" i="1"/>
  <c r="N299" i="1"/>
  <c r="M299" i="1"/>
  <c r="L299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P298" i="1"/>
  <c r="O298" i="1"/>
  <c r="N298" i="1"/>
  <c r="M298" i="1"/>
  <c r="L298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P297" i="1"/>
  <c r="O297" i="1"/>
  <c r="N297" i="1"/>
  <c r="M297" i="1"/>
  <c r="L297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P296" i="1"/>
  <c r="O296" i="1"/>
  <c r="N296" i="1"/>
  <c r="M296" i="1"/>
  <c r="L296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P295" i="1"/>
  <c r="O295" i="1"/>
  <c r="N295" i="1"/>
  <c r="M295" i="1"/>
  <c r="L295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L294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P291" i="1"/>
  <c r="O291" i="1"/>
  <c r="N291" i="1"/>
  <c r="M291" i="1"/>
  <c r="L291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P290" i="1"/>
  <c r="O290" i="1"/>
  <c r="N290" i="1"/>
  <c r="M290" i="1"/>
  <c r="L290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P289" i="1"/>
  <c r="O289" i="1"/>
  <c r="N289" i="1"/>
  <c r="M289" i="1"/>
  <c r="L289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P288" i="1"/>
  <c r="O288" i="1"/>
  <c r="N288" i="1"/>
  <c r="M288" i="1"/>
  <c r="L288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L280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P277" i="1"/>
  <c r="O277" i="1"/>
  <c r="N277" i="1"/>
  <c r="M277" i="1"/>
  <c r="L277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O265" i="1"/>
  <c r="N265" i="1"/>
  <c r="M265" i="1"/>
  <c r="L265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M262" i="1"/>
  <c r="L262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P261" i="1"/>
  <c r="O261" i="1"/>
  <c r="N261" i="1"/>
  <c r="M261" i="1"/>
  <c r="L261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O259" i="1"/>
  <c r="N259" i="1"/>
  <c r="M259" i="1"/>
  <c r="L259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M257" i="1"/>
  <c r="L257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O255" i="1"/>
  <c r="N255" i="1"/>
  <c r="M255" i="1"/>
  <c r="L255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L253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P251" i="1"/>
  <c r="O251" i="1"/>
  <c r="N251" i="1"/>
  <c r="M251" i="1"/>
  <c r="L251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M249" i="1"/>
  <c r="L249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O239" i="1"/>
  <c r="N239" i="1"/>
  <c r="M239" i="1"/>
  <c r="L239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P233" i="1"/>
  <c r="O233" i="1"/>
  <c r="N233" i="1"/>
  <c r="M233" i="1"/>
  <c r="L233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P231" i="1"/>
  <c r="O231" i="1"/>
  <c r="N231" i="1"/>
  <c r="M231" i="1"/>
  <c r="L231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H11" i="1"/>
  <c r="H10" i="1"/>
  <c r="H9" i="1"/>
  <c r="H8" i="1"/>
  <c r="H7" i="1"/>
  <c r="H6" i="1"/>
  <c r="H5" i="1"/>
  <c r="H4" i="1"/>
  <c r="H3" i="1"/>
  <c r="H2" i="1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I1586" i="4"/>
  <c r="I1585" i="4"/>
  <c r="I1584" i="4"/>
  <c r="I1583" i="4"/>
  <c r="I1582" i="4"/>
  <c r="I1581" i="4"/>
  <c r="I1580" i="4"/>
  <c r="I1579" i="4"/>
  <c r="I1578" i="4"/>
  <c r="I1577" i="4"/>
  <c r="I1576" i="4"/>
  <c r="I1575" i="4"/>
  <c r="I1574" i="4"/>
  <c r="I1573" i="4"/>
  <c r="I1572" i="4"/>
  <c r="I1571" i="4"/>
  <c r="I1570" i="4"/>
  <c r="I1569" i="4"/>
  <c r="I1568" i="4"/>
  <c r="I1567" i="4"/>
  <c r="I1566" i="4"/>
  <c r="I1565" i="4"/>
  <c r="I1564" i="4"/>
  <c r="I1563" i="4"/>
  <c r="I1562" i="4"/>
  <c r="I1561" i="4"/>
  <c r="I1560" i="4"/>
  <c r="I1559" i="4"/>
  <c r="I1558" i="4"/>
  <c r="I1557" i="4"/>
  <c r="I1556" i="4"/>
  <c r="I1555" i="4"/>
  <c r="I1554" i="4"/>
  <c r="I1553" i="4"/>
  <c r="I1552" i="4"/>
  <c r="I1551" i="4"/>
  <c r="I1550" i="4"/>
  <c r="I1549" i="4"/>
  <c r="I1548" i="4"/>
  <c r="I1547" i="4"/>
  <c r="I1546" i="4"/>
  <c r="I1545" i="4"/>
  <c r="I1544" i="4"/>
  <c r="I1543" i="4"/>
  <c r="I1542" i="4"/>
  <c r="I1541" i="4"/>
  <c r="I1540" i="4"/>
  <c r="I1539" i="4"/>
  <c r="I1538" i="4"/>
  <c r="I1537" i="4"/>
  <c r="I1536" i="4"/>
  <c r="I1535" i="4"/>
  <c r="I1534" i="4"/>
  <c r="I1533" i="4"/>
  <c r="I1532" i="4"/>
  <c r="I1531" i="4"/>
  <c r="I1530" i="4"/>
  <c r="I1529" i="4"/>
  <c r="I1528" i="4"/>
  <c r="I1527" i="4"/>
  <c r="I1526" i="4"/>
  <c r="I1525" i="4"/>
  <c r="I1524" i="4"/>
  <c r="I1523" i="4"/>
  <c r="I1522" i="4"/>
  <c r="I1521" i="4"/>
  <c r="I1520" i="4"/>
  <c r="I1519" i="4"/>
  <c r="I1518" i="4"/>
  <c r="I1517" i="4"/>
  <c r="I1516" i="4"/>
  <c r="I1515" i="4"/>
  <c r="I1514" i="4"/>
  <c r="I1513" i="4"/>
  <c r="I1512" i="4"/>
  <c r="I1511" i="4"/>
  <c r="I1510" i="4"/>
  <c r="I1509" i="4"/>
  <c r="I1508" i="4"/>
  <c r="I1507" i="4"/>
  <c r="I1506" i="4"/>
  <c r="I1505" i="4"/>
  <c r="I1504" i="4"/>
  <c r="I1503" i="4"/>
  <c r="I1502" i="4"/>
  <c r="I1501" i="4"/>
  <c r="I1500" i="4"/>
  <c r="I1499" i="4"/>
  <c r="I1498" i="4"/>
  <c r="I1497" i="4"/>
  <c r="I1496" i="4"/>
  <c r="I1495" i="4"/>
  <c r="I1494" i="4"/>
  <c r="I1493" i="4"/>
  <c r="I1492" i="4"/>
  <c r="I1491" i="4"/>
  <c r="I1490" i="4"/>
  <c r="I1489" i="4"/>
  <c r="I1488" i="4"/>
  <c r="I1487" i="4"/>
  <c r="I1486" i="4"/>
  <c r="I1485" i="4"/>
  <c r="I1484" i="4"/>
  <c r="I1483" i="4"/>
  <c r="I1482" i="4"/>
  <c r="I1481" i="4"/>
  <c r="I1480" i="4"/>
  <c r="I1479" i="4"/>
  <c r="I1478" i="4"/>
  <c r="I1477" i="4"/>
  <c r="I1476" i="4"/>
  <c r="I1475" i="4"/>
  <c r="I1474" i="4"/>
  <c r="I1473" i="4"/>
  <c r="I1472" i="4"/>
  <c r="I1471" i="4"/>
  <c r="I1470" i="4"/>
  <c r="I1469" i="4"/>
  <c r="I1468" i="4"/>
  <c r="I1467" i="4"/>
  <c r="I1466" i="4"/>
  <c r="I1465" i="4"/>
  <c r="I1464" i="4"/>
  <c r="I1463" i="4"/>
  <c r="I1462" i="4"/>
  <c r="I1461" i="4"/>
  <c r="I1460" i="4"/>
  <c r="I1459" i="4"/>
  <c r="I1458" i="4"/>
  <c r="I1457" i="4"/>
  <c r="I1456" i="4"/>
  <c r="I1455" i="4"/>
  <c r="I1454" i="4"/>
  <c r="I1453" i="4"/>
  <c r="I1452" i="4"/>
  <c r="I1451" i="4"/>
  <c r="I1450" i="4"/>
  <c r="I1449" i="4"/>
  <c r="I1448" i="4"/>
  <c r="I1447" i="4"/>
  <c r="I1446" i="4"/>
  <c r="I1445" i="4"/>
  <c r="I1444" i="4"/>
  <c r="I1443" i="4"/>
  <c r="I1442" i="4"/>
  <c r="I1441" i="4"/>
  <c r="I1440" i="4"/>
  <c r="I1439" i="4"/>
  <c r="I1438" i="4"/>
  <c r="I1437" i="4"/>
  <c r="I1436" i="4"/>
  <c r="I1435" i="4"/>
  <c r="I1434" i="4"/>
  <c r="I1433" i="4"/>
  <c r="I1432" i="4"/>
  <c r="I1431" i="4"/>
  <c r="I1430" i="4"/>
  <c r="I1429" i="4"/>
  <c r="I1428" i="4"/>
  <c r="I1427" i="4"/>
  <c r="I1426" i="4"/>
  <c r="I1425" i="4"/>
  <c r="I1424" i="4"/>
  <c r="I1423" i="4"/>
  <c r="I1422" i="4"/>
  <c r="I1421" i="4"/>
  <c r="I1420" i="4"/>
  <c r="I1419" i="4"/>
  <c r="I1418" i="4"/>
  <c r="I1417" i="4"/>
  <c r="I1416" i="4"/>
  <c r="I1415" i="4"/>
  <c r="I1414" i="4"/>
  <c r="I1413" i="4"/>
  <c r="I1412" i="4"/>
  <c r="I1411" i="4"/>
  <c r="I1410" i="4"/>
  <c r="I1409" i="4"/>
  <c r="I1408" i="4"/>
  <c r="I1407" i="4"/>
  <c r="I1406" i="4"/>
  <c r="I1405" i="4"/>
  <c r="I1404" i="4"/>
  <c r="I1403" i="4"/>
  <c r="I1402" i="4"/>
  <c r="I1401" i="4"/>
  <c r="I1400" i="4"/>
  <c r="I1399" i="4"/>
  <c r="I1398" i="4"/>
  <c r="I1397" i="4"/>
  <c r="I1396" i="4"/>
  <c r="I1395" i="4"/>
  <c r="I1394" i="4"/>
  <c r="I1393" i="4"/>
  <c r="I1392" i="4"/>
  <c r="I1391" i="4"/>
  <c r="I1390" i="4"/>
  <c r="I1389" i="4"/>
  <c r="I1388" i="4"/>
  <c r="I1387" i="4"/>
  <c r="I1386" i="4"/>
  <c r="I1385" i="4"/>
  <c r="I1384" i="4"/>
  <c r="I1383" i="4"/>
  <c r="I1382" i="4"/>
  <c r="I1381" i="4"/>
  <c r="I1380" i="4"/>
  <c r="I1379" i="4"/>
  <c r="I1378" i="4"/>
  <c r="I1377" i="4"/>
  <c r="I1376" i="4"/>
  <c r="I1375" i="4"/>
  <c r="I1374" i="4"/>
  <c r="I1373" i="4"/>
  <c r="I1372" i="4"/>
  <c r="I1371" i="4"/>
  <c r="I1370" i="4"/>
  <c r="I1369" i="4"/>
  <c r="I1368" i="4"/>
  <c r="I1367" i="4"/>
  <c r="I1366" i="4"/>
  <c r="I1365" i="4"/>
  <c r="I1364" i="4"/>
  <c r="I1363" i="4"/>
  <c r="I1362" i="4"/>
  <c r="I1361" i="4"/>
  <c r="I1360" i="4"/>
  <c r="I1359" i="4"/>
  <c r="I1358" i="4"/>
  <c r="I1357" i="4"/>
  <c r="I1356" i="4"/>
  <c r="I1355" i="4"/>
  <c r="I1354" i="4"/>
  <c r="I1353" i="4"/>
  <c r="I1352" i="4"/>
  <c r="I1351" i="4"/>
  <c r="I1350" i="4"/>
  <c r="I1349" i="4"/>
  <c r="I1348" i="4"/>
  <c r="I1347" i="4"/>
  <c r="I1346" i="4"/>
  <c r="I1345" i="4"/>
  <c r="I1344" i="4"/>
  <c r="I1343" i="4"/>
  <c r="I1342" i="4"/>
  <c r="I1341" i="4"/>
  <c r="I1340" i="4"/>
  <c r="I1339" i="4"/>
  <c r="I1338" i="4"/>
  <c r="I1337" i="4"/>
  <c r="I1336" i="4"/>
  <c r="I1335" i="4"/>
  <c r="I1334" i="4"/>
  <c r="I1333" i="4"/>
  <c r="I1332" i="4"/>
  <c r="I1331" i="4"/>
  <c r="I1330" i="4"/>
  <c r="I1329" i="4"/>
  <c r="I1328" i="4"/>
  <c r="I1327" i="4"/>
  <c r="I1326" i="4"/>
  <c r="I1325" i="4"/>
  <c r="I1324" i="4"/>
  <c r="I1323" i="4"/>
  <c r="I1322" i="4"/>
  <c r="I1321" i="4"/>
  <c r="I1320" i="4"/>
  <c r="I1319" i="4"/>
  <c r="I1318" i="4"/>
  <c r="I1317" i="4"/>
  <c r="I1316" i="4"/>
  <c r="I1315" i="4"/>
  <c r="I1314" i="4"/>
  <c r="I1313" i="4"/>
  <c r="I1312" i="4"/>
  <c r="I1311" i="4"/>
  <c r="I1310" i="4"/>
  <c r="I1309" i="4"/>
  <c r="I1308" i="4"/>
  <c r="I1307" i="4"/>
  <c r="I1306" i="4"/>
  <c r="I1305" i="4"/>
  <c r="I1304" i="4"/>
  <c r="I1303" i="4"/>
  <c r="I1302" i="4"/>
  <c r="I1301" i="4"/>
  <c r="I1300" i="4"/>
  <c r="I1299" i="4"/>
  <c r="I1298" i="4"/>
  <c r="I1297" i="4"/>
  <c r="I1296" i="4"/>
  <c r="I1295" i="4"/>
  <c r="I1294" i="4"/>
  <c r="I1293" i="4"/>
  <c r="I1292" i="4"/>
  <c r="I1291" i="4"/>
  <c r="I1290" i="4"/>
  <c r="I1289" i="4"/>
  <c r="I1288" i="4"/>
  <c r="I1287" i="4"/>
  <c r="I1286" i="4"/>
  <c r="I1285" i="4"/>
  <c r="I1284" i="4"/>
  <c r="I1283" i="4"/>
  <c r="I1282" i="4"/>
  <c r="I1281" i="4"/>
  <c r="I1280" i="4"/>
  <c r="I1279" i="4"/>
  <c r="I1278" i="4"/>
  <c r="I1277" i="4"/>
  <c r="I1276" i="4"/>
  <c r="I1275" i="4"/>
  <c r="I1274" i="4"/>
  <c r="I1273" i="4"/>
  <c r="I1272" i="4"/>
  <c r="I1271" i="4"/>
  <c r="I1270" i="4"/>
  <c r="I1269" i="4"/>
  <c r="I1268" i="4"/>
  <c r="I1267" i="4"/>
  <c r="I1266" i="4"/>
  <c r="I1265" i="4"/>
  <c r="I1264" i="4"/>
  <c r="I1263" i="4"/>
  <c r="I1262" i="4"/>
  <c r="I1261" i="4"/>
  <c r="I1260" i="4"/>
  <c r="I1259" i="4"/>
  <c r="I1258" i="4"/>
  <c r="I1257" i="4"/>
  <c r="I1256" i="4"/>
  <c r="I1255" i="4"/>
  <c r="I1254" i="4"/>
  <c r="I1253" i="4"/>
  <c r="I1252" i="4"/>
  <c r="I1251" i="4"/>
  <c r="I1250" i="4"/>
  <c r="I1249" i="4"/>
  <c r="I1248" i="4"/>
  <c r="I1247" i="4"/>
  <c r="I1246" i="4"/>
  <c r="I1245" i="4"/>
  <c r="I1244" i="4"/>
  <c r="I1243" i="4"/>
  <c r="I1242" i="4"/>
  <c r="I1241" i="4"/>
  <c r="I1240" i="4"/>
  <c r="I1239" i="4"/>
  <c r="I1238" i="4"/>
  <c r="I1237" i="4"/>
  <c r="I1236" i="4"/>
  <c r="I1235" i="4"/>
  <c r="I1234" i="4"/>
  <c r="I1233" i="4"/>
  <c r="I1232" i="4"/>
  <c r="I1231" i="4"/>
  <c r="I1230" i="4"/>
  <c r="I1229" i="4"/>
  <c r="I1228" i="4"/>
  <c r="I1227" i="4"/>
  <c r="I1226" i="4"/>
  <c r="I1225" i="4"/>
  <c r="I1224" i="4"/>
  <c r="I1223" i="4"/>
  <c r="I1222" i="4"/>
  <c r="I1221" i="4"/>
  <c r="I1220" i="4"/>
  <c r="I1219" i="4"/>
  <c r="I1218" i="4"/>
  <c r="I1217" i="4"/>
  <c r="I1216" i="4"/>
  <c r="I1215" i="4"/>
  <c r="I1214" i="4"/>
  <c r="I1213" i="4"/>
  <c r="I1212" i="4"/>
  <c r="I1211" i="4"/>
  <c r="I1210" i="4"/>
  <c r="I1209" i="4"/>
  <c r="I1208" i="4"/>
  <c r="I1207" i="4"/>
  <c r="I1206" i="4"/>
  <c r="I1205" i="4"/>
  <c r="I1204" i="4"/>
  <c r="I1203" i="4"/>
  <c r="I1202" i="4"/>
  <c r="I1201" i="4"/>
  <c r="I1200" i="4"/>
  <c r="I1199" i="4"/>
  <c r="I1198" i="4"/>
  <c r="I1197" i="4"/>
  <c r="I1196" i="4"/>
  <c r="I1195" i="4"/>
  <c r="I1194" i="4"/>
  <c r="I1193" i="4"/>
  <c r="I1192" i="4"/>
  <c r="I1191" i="4"/>
  <c r="I1190" i="4"/>
  <c r="I1189" i="4"/>
  <c r="I1188" i="4"/>
  <c r="I1187" i="4"/>
  <c r="I1186" i="4"/>
  <c r="I1185" i="4"/>
  <c r="I1184" i="4"/>
  <c r="I1183" i="4"/>
  <c r="I1182" i="4"/>
  <c r="I1181" i="4"/>
  <c r="I1180" i="4"/>
  <c r="I1179" i="4"/>
  <c r="I1178" i="4"/>
  <c r="I1177" i="4"/>
  <c r="I1176" i="4"/>
  <c r="I1175" i="4"/>
  <c r="I1174" i="4"/>
  <c r="I1173" i="4"/>
  <c r="I1172" i="4"/>
  <c r="I1171" i="4"/>
  <c r="I1170" i="4"/>
  <c r="I1169" i="4"/>
  <c r="I1168" i="4"/>
  <c r="I1167" i="4"/>
  <c r="I1166" i="4"/>
  <c r="I1165" i="4"/>
  <c r="I1164" i="4"/>
  <c r="I1163" i="4"/>
  <c r="I1162" i="4"/>
  <c r="I1161" i="4"/>
  <c r="I1160" i="4"/>
  <c r="I1159" i="4"/>
  <c r="I1158" i="4"/>
  <c r="I1157" i="4"/>
  <c r="I1156" i="4"/>
  <c r="I1155" i="4"/>
  <c r="I1154" i="4"/>
  <c r="I1153" i="4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I1128" i="4"/>
  <c r="I1127" i="4"/>
  <c r="I1126" i="4"/>
  <c r="I1125" i="4"/>
  <c r="I1124" i="4"/>
  <c r="I1123" i="4"/>
  <c r="I1122" i="4"/>
  <c r="I1121" i="4"/>
  <c r="I1120" i="4"/>
  <c r="I1119" i="4"/>
  <c r="I1118" i="4"/>
  <c r="I1117" i="4"/>
  <c r="I1116" i="4"/>
  <c r="I1115" i="4"/>
  <c r="I1114" i="4"/>
  <c r="I1113" i="4"/>
  <c r="I1112" i="4"/>
  <c r="I1111" i="4"/>
  <c r="I1110" i="4"/>
  <c r="I1109" i="4"/>
  <c r="I1108" i="4"/>
  <c r="I1107" i="4"/>
  <c r="I1106" i="4"/>
  <c r="I1105" i="4"/>
  <c r="I1104" i="4"/>
  <c r="I1103" i="4"/>
  <c r="I1102" i="4"/>
  <c r="I1101" i="4"/>
  <c r="I1100" i="4"/>
  <c r="I1099" i="4"/>
  <c r="I1098" i="4"/>
  <c r="I1097" i="4"/>
  <c r="I1096" i="4"/>
  <c r="I1095" i="4"/>
  <c r="I1094" i="4"/>
  <c r="I1093" i="4"/>
  <c r="I1092" i="4"/>
  <c r="I1091" i="4"/>
  <c r="I1090" i="4"/>
  <c r="I1089" i="4"/>
  <c r="I1088" i="4"/>
  <c r="I1087" i="4"/>
  <c r="I1086" i="4"/>
  <c r="I1085" i="4"/>
  <c r="I1084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981" i="4"/>
  <c r="I980" i="4"/>
  <c r="I979" i="4"/>
  <c r="I978" i="4"/>
  <c r="I977" i="4"/>
  <c r="I976" i="4"/>
  <c r="I975" i="4"/>
  <c r="I974" i="4"/>
  <c r="I973" i="4"/>
  <c r="I972" i="4"/>
  <c r="I971" i="4"/>
  <c r="I970" i="4"/>
  <c r="I969" i="4"/>
  <c r="I968" i="4"/>
  <c r="I967" i="4"/>
  <c r="I966" i="4"/>
  <c r="I965" i="4"/>
  <c r="I964" i="4"/>
  <c r="I963" i="4"/>
  <c r="I962" i="4"/>
  <c r="I961" i="4"/>
  <c r="I960" i="4"/>
  <c r="I959" i="4"/>
  <c r="I958" i="4"/>
  <c r="I957" i="4"/>
  <c r="I956" i="4"/>
  <c r="I955" i="4"/>
  <c r="I954" i="4"/>
  <c r="I953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2" i="4"/>
  <c r="I911" i="4"/>
  <c r="I910" i="4"/>
  <c r="I909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8" i="4"/>
  <c r="I807" i="4"/>
  <c r="I806" i="4"/>
  <c r="I805" i="4"/>
  <c r="I804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J359" i="4"/>
  <c r="E65" i="4"/>
  <c r="J65" i="4"/>
  <c r="E334" i="4"/>
  <c r="J334" i="4"/>
  <c r="J438" i="4"/>
  <c r="J739" i="4"/>
  <c r="J730" i="4"/>
  <c r="J832" i="4"/>
  <c r="E147" i="4"/>
  <c r="J147" i="4"/>
  <c r="E163" i="4"/>
  <c r="J163" i="4"/>
  <c r="E211" i="4"/>
  <c r="J211" i="4"/>
  <c r="E227" i="4"/>
  <c r="J227" i="4"/>
  <c r="E275" i="4"/>
  <c r="J275" i="4"/>
  <c r="E291" i="4"/>
  <c r="J291" i="4"/>
  <c r="E327" i="4"/>
  <c r="J327" i="4"/>
  <c r="J762" i="4"/>
  <c r="J360" i="4"/>
  <c r="J416" i="4"/>
  <c r="J580" i="4"/>
  <c r="J592" i="4"/>
  <c r="J620" i="4"/>
  <c r="J685" i="4"/>
  <c r="J717" i="4"/>
  <c r="J1105" i="4"/>
  <c r="E48" i="4"/>
  <c r="J48" i="4"/>
  <c r="J405" i="4"/>
  <c r="J441" i="4"/>
  <c r="J593" i="4"/>
  <c r="J609" i="4"/>
  <c r="J793" i="4"/>
  <c r="J985" i="4"/>
  <c r="J1136" i="4"/>
  <c r="J731" i="4"/>
  <c r="E70" i="4"/>
  <c r="J70" i="4"/>
  <c r="E71" i="4"/>
  <c r="J71" i="4"/>
  <c r="E78" i="4"/>
  <c r="J78" i="4"/>
  <c r="E79" i="4"/>
  <c r="J79" i="4"/>
  <c r="E86" i="4"/>
  <c r="J86" i="4"/>
  <c r="E87" i="4"/>
  <c r="J87" i="4"/>
  <c r="E93" i="4"/>
  <c r="J93" i="4"/>
  <c r="E92" i="4"/>
  <c r="J92" i="4"/>
  <c r="E121" i="4"/>
  <c r="J121" i="4"/>
  <c r="E120" i="4"/>
  <c r="J120" i="4"/>
  <c r="E129" i="4"/>
  <c r="J129" i="4"/>
  <c r="E128" i="4"/>
  <c r="J128" i="4"/>
  <c r="E138" i="4"/>
  <c r="J138" i="4"/>
  <c r="E139" i="4"/>
  <c r="J139" i="4"/>
  <c r="E141" i="4"/>
  <c r="J141" i="4"/>
  <c r="E140" i="4"/>
  <c r="J140" i="4"/>
  <c r="E166" i="4"/>
  <c r="J166" i="4"/>
  <c r="E167" i="4"/>
  <c r="J167" i="4"/>
  <c r="E174" i="4"/>
  <c r="J174" i="4"/>
  <c r="E175" i="4"/>
  <c r="J175" i="4"/>
  <c r="E185" i="4"/>
  <c r="J185" i="4"/>
  <c r="E184" i="4"/>
  <c r="J184" i="4"/>
  <c r="E193" i="4"/>
  <c r="J193" i="4"/>
  <c r="E192" i="4"/>
  <c r="J192" i="4"/>
  <c r="E202" i="4"/>
  <c r="J202" i="4"/>
  <c r="E203" i="4"/>
  <c r="J203" i="4"/>
  <c r="E205" i="4"/>
  <c r="J205" i="4"/>
  <c r="E204" i="4"/>
  <c r="J204" i="4"/>
  <c r="E230" i="4"/>
  <c r="J230" i="4"/>
  <c r="E231" i="4"/>
  <c r="J231" i="4"/>
  <c r="E238" i="4"/>
  <c r="J238" i="4"/>
  <c r="E239" i="4"/>
  <c r="J239" i="4"/>
  <c r="E249" i="4"/>
  <c r="J249" i="4"/>
  <c r="E248" i="4"/>
  <c r="J248" i="4"/>
  <c r="E257" i="4"/>
  <c r="J257" i="4"/>
  <c r="E256" i="4"/>
  <c r="J256" i="4"/>
  <c r="E266" i="4"/>
  <c r="J266" i="4"/>
  <c r="E267" i="4"/>
  <c r="J267" i="4"/>
  <c r="E269" i="4"/>
  <c r="J269" i="4"/>
  <c r="E268" i="4"/>
  <c r="J268" i="4"/>
  <c r="E294" i="4"/>
  <c r="J294" i="4"/>
  <c r="E295" i="4"/>
  <c r="J295" i="4"/>
  <c r="E302" i="4"/>
  <c r="J302" i="4"/>
  <c r="E303" i="4"/>
  <c r="J303" i="4"/>
  <c r="E310" i="4"/>
  <c r="J310" i="4"/>
  <c r="E311" i="4"/>
  <c r="J311" i="4"/>
  <c r="E329" i="4"/>
  <c r="J329" i="4"/>
  <c r="E328" i="4"/>
  <c r="J328" i="4"/>
  <c r="E336" i="4"/>
  <c r="J336" i="4"/>
  <c r="E335" i="4"/>
  <c r="J335" i="4"/>
  <c r="E342" i="4"/>
  <c r="J342" i="4"/>
  <c r="E341" i="4"/>
  <c r="J341" i="4"/>
  <c r="J376" i="4"/>
  <c r="J387" i="4"/>
  <c r="J388" i="4"/>
  <c r="J398" i="4"/>
  <c r="J397" i="4"/>
  <c r="J403" i="4"/>
  <c r="J404" i="4"/>
  <c r="J413" i="4"/>
  <c r="J412" i="4"/>
  <c r="J419" i="4"/>
  <c r="J418" i="4"/>
  <c r="J429" i="4"/>
  <c r="J428" i="4"/>
  <c r="J433" i="4"/>
  <c r="J432" i="4"/>
  <c r="J455" i="4"/>
  <c r="J454" i="4"/>
  <c r="J459" i="4"/>
  <c r="J458" i="4"/>
  <c r="J483" i="4"/>
  <c r="J482" i="4"/>
  <c r="J602" i="4"/>
  <c r="J601" i="4"/>
  <c r="J606" i="4"/>
  <c r="J605" i="4"/>
  <c r="J637" i="4"/>
  <c r="J636" i="4"/>
  <c r="J641" i="4"/>
  <c r="J640" i="4"/>
  <c r="J645" i="4"/>
  <c r="J644" i="4"/>
  <c r="J649" i="4"/>
  <c r="J648" i="4"/>
  <c r="J653" i="4"/>
  <c r="J652" i="4"/>
  <c r="J657" i="4"/>
  <c r="J656" i="4"/>
  <c r="J661" i="4"/>
  <c r="J660" i="4"/>
  <c r="J665" i="4"/>
  <c r="J669" i="4"/>
  <c r="J668" i="4"/>
  <c r="J673" i="4"/>
  <c r="J672" i="4"/>
  <c r="J677" i="4"/>
  <c r="J681" i="4"/>
  <c r="J680" i="4"/>
  <c r="J687" i="4"/>
  <c r="J688" i="4"/>
  <c r="J691" i="4"/>
  <c r="J692" i="4"/>
  <c r="J695" i="4"/>
  <c r="J696" i="4"/>
  <c r="J699" i="4"/>
  <c r="J700" i="4"/>
  <c r="J703" i="4"/>
  <c r="J704" i="4"/>
  <c r="J707" i="4"/>
  <c r="J708" i="4"/>
  <c r="J723" i="4"/>
  <c r="J722" i="4"/>
  <c r="J727" i="4"/>
  <c r="J726" i="4"/>
  <c r="J743" i="4"/>
  <c r="J742" i="4"/>
  <c r="E6" i="4"/>
  <c r="J6" i="4"/>
  <c r="E7" i="4"/>
  <c r="J7" i="4"/>
  <c r="E14" i="4"/>
  <c r="J14" i="4"/>
  <c r="E15" i="4"/>
  <c r="J15" i="4"/>
  <c r="E30" i="4"/>
  <c r="J30" i="4"/>
  <c r="E31" i="4"/>
  <c r="J31" i="4"/>
  <c r="E46" i="4"/>
  <c r="J46" i="4"/>
  <c r="E47" i="4"/>
  <c r="J47" i="4"/>
  <c r="E13" i="4"/>
  <c r="J13" i="4"/>
  <c r="E12" i="4"/>
  <c r="J12" i="4"/>
  <c r="E246" i="4"/>
  <c r="J246" i="4"/>
  <c r="E247" i="4"/>
  <c r="J247" i="4"/>
  <c r="E254" i="4"/>
  <c r="J254" i="4"/>
  <c r="E255" i="4"/>
  <c r="J255" i="4"/>
  <c r="E265" i="4"/>
  <c r="J265" i="4"/>
  <c r="E264" i="4"/>
  <c r="J264" i="4"/>
  <c r="E273" i="4"/>
  <c r="J273" i="4"/>
  <c r="E272" i="4"/>
  <c r="J272" i="4"/>
  <c r="E282" i="4"/>
  <c r="J282" i="4"/>
  <c r="E283" i="4"/>
  <c r="J283" i="4"/>
  <c r="E285" i="4"/>
  <c r="J285" i="4"/>
  <c r="E284" i="4"/>
  <c r="J284" i="4"/>
  <c r="E333" i="4"/>
  <c r="J333" i="4"/>
  <c r="E332" i="4"/>
  <c r="J332" i="4"/>
  <c r="E348" i="4"/>
  <c r="J348" i="4"/>
  <c r="E347" i="4"/>
  <c r="J347" i="4"/>
  <c r="E354" i="4"/>
  <c r="J354" i="4"/>
  <c r="E353" i="4"/>
  <c r="J353" i="4"/>
  <c r="J358" i="4"/>
  <c r="E357" i="4"/>
  <c r="J357" i="4"/>
  <c r="J445" i="4"/>
  <c r="J444" i="4"/>
  <c r="J449" i="4"/>
  <c r="J448" i="4"/>
  <c r="J463" i="4"/>
  <c r="J462" i="4"/>
  <c r="J495" i="4"/>
  <c r="J499" i="4"/>
  <c r="J498" i="4"/>
  <c r="J503" i="4"/>
  <c r="J502" i="4"/>
  <c r="J507" i="4"/>
  <c r="J506" i="4"/>
  <c r="J511" i="4"/>
  <c r="J510" i="4"/>
  <c r="J515" i="4"/>
  <c r="J514" i="4"/>
  <c r="J519" i="4"/>
  <c r="J523" i="4"/>
  <c r="J527" i="4"/>
  <c r="J526" i="4"/>
  <c r="J531" i="4"/>
  <c r="J535" i="4"/>
  <c r="J534" i="4"/>
  <c r="J539" i="4"/>
  <c r="J543" i="4"/>
  <c r="J542" i="4"/>
  <c r="J547" i="4"/>
  <c r="J546" i="4"/>
  <c r="J551" i="4"/>
  <c r="J550" i="4"/>
  <c r="J555" i="4"/>
  <c r="J554" i="4"/>
  <c r="J559" i="4"/>
  <c r="J558" i="4"/>
  <c r="J563" i="4"/>
  <c r="J567" i="4"/>
  <c r="J566" i="4"/>
  <c r="J571" i="4"/>
  <c r="J575" i="4"/>
  <c r="J574" i="4"/>
  <c r="J579" i="4"/>
  <c r="J578" i="4"/>
  <c r="J591" i="4"/>
  <c r="J611" i="4"/>
  <c r="J615" i="4"/>
  <c r="J614" i="4"/>
  <c r="J619" i="4"/>
  <c r="J618" i="4"/>
  <c r="J623" i="4"/>
  <c r="J622" i="4"/>
  <c r="J627" i="4"/>
  <c r="J626" i="4"/>
  <c r="J631" i="4"/>
  <c r="J630" i="4"/>
  <c r="J748" i="4"/>
  <c r="E58" i="4"/>
  <c r="J58" i="4"/>
  <c r="E57" i="4"/>
  <c r="J57" i="4"/>
  <c r="E182" i="4"/>
  <c r="J182" i="4"/>
  <c r="E183" i="4"/>
  <c r="J183" i="4"/>
  <c r="E190" i="4"/>
  <c r="J190" i="4"/>
  <c r="E191" i="4"/>
  <c r="J191" i="4"/>
  <c r="E201" i="4"/>
  <c r="J201" i="4"/>
  <c r="E200" i="4"/>
  <c r="J200" i="4"/>
  <c r="E209" i="4"/>
  <c r="J209" i="4"/>
  <c r="E208" i="4"/>
  <c r="J208" i="4"/>
  <c r="E218" i="4"/>
  <c r="J218" i="4"/>
  <c r="E219" i="4"/>
  <c r="J219" i="4"/>
  <c r="E221" i="4"/>
  <c r="J221" i="4"/>
  <c r="E220" i="4"/>
  <c r="J220" i="4"/>
  <c r="E317" i="4"/>
  <c r="J317" i="4"/>
  <c r="E316" i="4"/>
  <c r="J316" i="4"/>
  <c r="E322" i="4"/>
  <c r="J322" i="4"/>
  <c r="E323" i="4"/>
  <c r="J323" i="4"/>
  <c r="J367" i="4"/>
  <c r="J368" i="4"/>
  <c r="J374" i="4"/>
  <c r="J373" i="4"/>
  <c r="J391" i="4"/>
  <c r="J392" i="4"/>
  <c r="J427" i="4"/>
  <c r="J426" i="4"/>
  <c r="E5" i="4"/>
  <c r="J5" i="4"/>
  <c r="E4" i="4"/>
  <c r="J4" i="4"/>
  <c r="E10" i="4"/>
  <c r="J10" i="4"/>
  <c r="E11" i="4"/>
  <c r="J11" i="4"/>
  <c r="E18" i="4"/>
  <c r="J18" i="4"/>
  <c r="E19" i="4"/>
  <c r="J19" i="4"/>
  <c r="E21" i="4"/>
  <c r="J21" i="4"/>
  <c r="E20" i="4"/>
  <c r="J20" i="4"/>
  <c r="E26" i="4"/>
  <c r="J26" i="4"/>
  <c r="E27" i="4"/>
  <c r="J27" i="4"/>
  <c r="E34" i="4"/>
  <c r="J34" i="4"/>
  <c r="E35" i="4"/>
  <c r="J35" i="4"/>
  <c r="E37" i="4"/>
  <c r="J37" i="4"/>
  <c r="E36" i="4"/>
  <c r="J36" i="4"/>
  <c r="E42" i="4"/>
  <c r="J42" i="4"/>
  <c r="E43" i="4"/>
  <c r="J43" i="4"/>
  <c r="E56" i="4"/>
  <c r="J56" i="4"/>
  <c r="E55" i="4"/>
  <c r="J55" i="4"/>
  <c r="E62" i="4"/>
  <c r="J62" i="4"/>
  <c r="E61" i="4"/>
  <c r="J61" i="4"/>
  <c r="E64" i="4"/>
  <c r="J64" i="4"/>
  <c r="E63" i="4"/>
  <c r="J63" i="4"/>
  <c r="E66" i="4"/>
  <c r="J66" i="4"/>
  <c r="E67" i="4"/>
  <c r="J67" i="4"/>
  <c r="E69" i="4"/>
  <c r="J69" i="4"/>
  <c r="E68" i="4"/>
  <c r="J68" i="4"/>
  <c r="E74" i="4"/>
  <c r="J74" i="4"/>
  <c r="E75" i="4"/>
  <c r="J75" i="4"/>
  <c r="E82" i="4"/>
  <c r="J82" i="4"/>
  <c r="E83" i="4"/>
  <c r="J83" i="4"/>
  <c r="E85" i="4"/>
  <c r="J85" i="4"/>
  <c r="E84" i="4"/>
  <c r="J84" i="4"/>
  <c r="E134" i="4"/>
  <c r="J134" i="4"/>
  <c r="E135" i="4"/>
  <c r="J135" i="4"/>
  <c r="E142" i="4"/>
  <c r="J142" i="4"/>
  <c r="E143" i="4"/>
  <c r="J143" i="4"/>
  <c r="E153" i="4"/>
  <c r="J153" i="4"/>
  <c r="E152" i="4"/>
  <c r="J152" i="4"/>
  <c r="E161" i="4"/>
  <c r="J161" i="4"/>
  <c r="E160" i="4"/>
  <c r="J160" i="4"/>
  <c r="E170" i="4"/>
  <c r="J170" i="4"/>
  <c r="E171" i="4"/>
  <c r="J171" i="4"/>
  <c r="E173" i="4"/>
  <c r="J173" i="4"/>
  <c r="E172" i="4"/>
  <c r="J172" i="4"/>
  <c r="E179" i="4"/>
  <c r="J179" i="4"/>
  <c r="E198" i="4"/>
  <c r="J198" i="4"/>
  <c r="E199" i="4"/>
  <c r="J199" i="4"/>
  <c r="E206" i="4"/>
  <c r="J206" i="4"/>
  <c r="E207" i="4"/>
  <c r="J207" i="4"/>
  <c r="E217" i="4"/>
  <c r="J217" i="4"/>
  <c r="E216" i="4"/>
  <c r="J216" i="4"/>
  <c r="E225" i="4"/>
  <c r="J225" i="4"/>
  <c r="E224" i="4"/>
  <c r="J224" i="4"/>
  <c r="E234" i="4"/>
  <c r="J234" i="4"/>
  <c r="E235" i="4"/>
  <c r="J235" i="4"/>
  <c r="E237" i="4"/>
  <c r="J237" i="4"/>
  <c r="E236" i="4"/>
  <c r="J236" i="4"/>
  <c r="E243" i="4"/>
  <c r="J243" i="4"/>
  <c r="E262" i="4"/>
  <c r="J262" i="4"/>
  <c r="E263" i="4"/>
  <c r="J263" i="4"/>
  <c r="E270" i="4"/>
  <c r="J270" i="4"/>
  <c r="E271" i="4"/>
  <c r="J271" i="4"/>
  <c r="E281" i="4"/>
  <c r="J281" i="4"/>
  <c r="E280" i="4"/>
  <c r="J280" i="4"/>
  <c r="E289" i="4"/>
  <c r="J289" i="4"/>
  <c r="E288" i="4"/>
  <c r="J288" i="4"/>
  <c r="E298" i="4"/>
  <c r="J298" i="4"/>
  <c r="E299" i="4"/>
  <c r="J299" i="4"/>
  <c r="E301" i="4"/>
  <c r="J301" i="4"/>
  <c r="E300" i="4"/>
  <c r="J300" i="4"/>
  <c r="E307" i="4"/>
  <c r="J307" i="4"/>
  <c r="E330" i="4"/>
  <c r="J330" i="4"/>
  <c r="E331" i="4"/>
  <c r="J331" i="4"/>
  <c r="E340" i="4"/>
  <c r="J340" i="4"/>
  <c r="E339" i="4"/>
  <c r="J339" i="4"/>
  <c r="E346" i="4"/>
  <c r="J346" i="4"/>
  <c r="E345" i="4"/>
  <c r="J345" i="4"/>
  <c r="E352" i="4"/>
  <c r="J352" i="4"/>
  <c r="E351" i="4"/>
  <c r="J351" i="4"/>
  <c r="J362" i="4"/>
  <c r="J361" i="4"/>
  <c r="J379" i="4"/>
  <c r="J380" i="4"/>
  <c r="J386" i="4"/>
  <c r="J385" i="4"/>
  <c r="J390" i="4"/>
  <c r="J389" i="4"/>
  <c r="J399" i="4"/>
  <c r="J400" i="4"/>
  <c r="J409" i="4"/>
  <c r="J408" i="4"/>
  <c r="J415" i="4"/>
  <c r="J414" i="4"/>
  <c r="J421" i="4"/>
  <c r="J420" i="4"/>
  <c r="J431" i="4"/>
  <c r="J430" i="4"/>
  <c r="J473" i="4"/>
  <c r="J475" i="4"/>
  <c r="J474" i="4"/>
  <c r="J481" i="4"/>
  <c r="J480" i="4"/>
  <c r="J485" i="4"/>
  <c r="J484" i="4"/>
  <c r="J489" i="4"/>
  <c r="J488" i="4"/>
  <c r="J583" i="4"/>
  <c r="J584" i="4"/>
  <c r="J587" i="4"/>
  <c r="J588" i="4"/>
  <c r="J595" i="4"/>
  <c r="J596" i="4"/>
  <c r="J599" i="4"/>
  <c r="J600" i="4"/>
  <c r="J746" i="4"/>
  <c r="J745" i="4"/>
  <c r="J744" i="4"/>
  <c r="J765" i="4"/>
  <c r="J764" i="4"/>
  <c r="J869" i="4"/>
  <c r="J873" i="4"/>
  <c r="J877" i="4"/>
  <c r="J876" i="4"/>
  <c r="J881" i="4"/>
  <c r="J880" i="4"/>
  <c r="J885" i="4"/>
  <c r="J888" i="4"/>
  <c r="J893" i="4"/>
  <c r="J892" i="4"/>
  <c r="J896" i="4"/>
  <c r="J901" i="4"/>
  <c r="J900" i="4"/>
  <c r="J904" i="4"/>
  <c r="J908" i="4"/>
  <c r="J912" i="4"/>
  <c r="J917" i="4"/>
  <c r="J916" i="4"/>
  <c r="J920" i="4"/>
  <c r="J924" i="4"/>
  <c r="J928" i="4"/>
  <c r="J932" i="4"/>
  <c r="J937" i="4"/>
  <c r="J936" i="4"/>
  <c r="J941" i="4"/>
  <c r="J949" i="4"/>
  <c r="J957" i="4"/>
  <c r="J956" i="4"/>
  <c r="J961" i="4"/>
  <c r="J965" i="4"/>
  <c r="J964" i="4"/>
  <c r="J969" i="4"/>
  <c r="J989" i="4"/>
  <c r="J988" i="4"/>
  <c r="J993" i="4"/>
  <c r="J997" i="4"/>
  <c r="J1001" i="4"/>
  <c r="J1005" i="4"/>
  <c r="J1004" i="4"/>
  <c r="J1008" i="4"/>
  <c r="J1012" i="4"/>
  <c r="J1017" i="4"/>
  <c r="J1016" i="4"/>
  <c r="J1021" i="4"/>
  <c r="J1025" i="4"/>
  <c r="J1024" i="4"/>
  <c r="J1029" i="4"/>
  <c r="J1041" i="4"/>
  <c r="J1045" i="4"/>
  <c r="J1044" i="4"/>
  <c r="J1053" i="4"/>
  <c r="J1057" i="4"/>
  <c r="J1061" i="4"/>
  <c r="J1060" i="4"/>
  <c r="J1065" i="4"/>
  <c r="J1068" i="4"/>
  <c r="E22" i="4"/>
  <c r="J22" i="4"/>
  <c r="E23" i="4"/>
  <c r="J23" i="4"/>
  <c r="E38" i="4"/>
  <c r="J38" i="4"/>
  <c r="E39" i="4"/>
  <c r="J39" i="4"/>
  <c r="E50" i="4"/>
  <c r="J50" i="4"/>
  <c r="E49" i="4"/>
  <c r="J49" i="4"/>
  <c r="E52" i="4"/>
  <c r="J52" i="4"/>
  <c r="E51" i="4"/>
  <c r="J51" i="4"/>
  <c r="E60" i="4"/>
  <c r="J60" i="4"/>
  <c r="E59" i="4"/>
  <c r="J59" i="4"/>
  <c r="E89" i="4"/>
  <c r="J89" i="4"/>
  <c r="E88" i="4"/>
  <c r="J88" i="4"/>
  <c r="E29" i="4"/>
  <c r="J29" i="4"/>
  <c r="E28" i="4"/>
  <c r="J28" i="4"/>
  <c r="E45" i="4"/>
  <c r="J45" i="4"/>
  <c r="E44" i="4"/>
  <c r="J44" i="4"/>
  <c r="E77" i="4"/>
  <c r="J77" i="4"/>
  <c r="E76" i="4"/>
  <c r="J76" i="4"/>
  <c r="E90" i="4"/>
  <c r="J90" i="4"/>
  <c r="E91" i="4"/>
  <c r="J91" i="4"/>
  <c r="E97" i="4"/>
  <c r="J97" i="4"/>
  <c r="E96" i="4"/>
  <c r="J96" i="4"/>
  <c r="E102" i="4"/>
  <c r="J102" i="4"/>
  <c r="E103" i="4"/>
  <c r="J103" i="4"/>
  <c r="E106" i="4"/>
  <c r="J106" i="4"/>
  <c r="E107" i="4"/>
  <c r="J107" i="4"/>
  <c r="E113" i="4"/>
  <c r="J113" i="4"/>
  <c r="E112" i="4"/>
  <c r="J112" i="4"/>
  <c r="E118" i="4"/>
  <c r="J118" i="4"/>
  <c r="E119" i="4"/>
  <c r="J119" i="4"/>
  <c r="E126" i="4"/>
  <c r="J126" i="4"/>
  <c r="E127" i="4"/>
  <c r="J127" i="4"/>
  <c r="E137" i="4"/>
  <c r="J137" i="4"/>
  <c r="E136" i="4"/>
  <c r="J136" i="4"/>
  <c r="E145" i="4"/>
  <c r="J145" i="4"/>
  <c r="E144" i="4"/>
  <c r="J144" i="4"/>
  <c r="E154" i="4"/>
  <c r="J154" i="4"/>
  <c r="E155" i="4"/>
  <c r="J155" i="4"/>
  <c r="E157" i="4"/>
  <c r="J157" i="4"/>
  <c r="E156" i="4"/>
  <c r="J156" i="4"/>
  <c r="E9" i="4"/>
  <c r="J9" i="4"/>
  <c r="E8" i="4"/>
  <c r="J8" i="4"/>
  <c r="E17" i="4"/>
  <c r="J17" i="4"/>
  <c r="E16" i="4"/>
  <c r="J16" i="4"/>
  <c r="E25" i="4"/>
  <c r="J25" i="4"/>
  <c r="E24" i="4"/>
  <c r="J24" i="4"/>
  <c r="E33" i="4"/>
  <c r="J33" i="4"/>
  <c r="E32" i="4"/>
  <c r="J32" i="4"/>
  <c r="E41" i="4"/>
  <c r="J41" i="4"/>
  <c r="E40" i="4"/>
  <c r="J40" i="4"/>
  <c r="E54" i="4"/>
  <c r="J54" i="4"/>
  <c r="E53" i="4"/>
  <c r="J53" i="4"/>
  <c r="E73" i="4"/>
  <c r="J73" i="4"/>
  <c r="E72" i="4"/>
  <c r="J72" i="4"/>
  <c r="E81" i="4"/>
  <c r="J81" i="4"/>
  <c r="E80" i="4"/>
  <c r="J80" i="4"/>
  <c r="E94" i="4"/>
  <c r="J94" i="4"/>
  <c r="E95" i="4"/>
  <c r="J95" i="4"/>
  <c r="E98" i="4"/>
  <c r="J98" i="4"/>
  <c r="E99" i="4"/>
  <c r="J99" i="4"/>
  <c r="E105" i="4"/>
  <c r="J105" i="4"/>
  <c r="E104" i="4"/>
  <c r="J104" i="4"/>
  <c r="E110" i="4"/>
  <c r="J110" i="4"/>
  <c r="E111" i="4"/>
  <c r="J111" i="4"/>
  <c r="E114" i="4"/>
  <c r="J114" i="4"/>
  <c r="E115" i="4"/>
  <c r="J115" i="4"/>
  <c r="E122" i="4"/>
  <c r="J122" i="4"/>
  <c r="E123" i="4"/>
  <c r="J123" i="4"/>
  <c r="E125" i="4"/>
  <c r="J125" i="4"/>
  <c r="E124" i="4"/>
  <c r="J124" i="4"/>
  <c r="E131" i="4"/>
  <c r="J131" i="4"/>
  <c r="E150" i="4"/>
  <c r="J150" i="4"/>
  <c r="E151" i="4"/>
  <c r="J151" i="4"/>
  <c r="E158" i="4"/>
  <c r="J158" i="4"/>
  <c r="E159" i="4"/>
  <c r="J159" i="4"/>
  <c r="E169" i="4"/>
  <c r="J169" i="4"/>
  <c r="E168" i="4"/>
  <c r="J168" i="4"/>
  <c r="E177" i="4"/>
  <c r="J177" i="4"/>
  <c r="E176" i="4"/>
  <c r="J176" i="4"/>
  <c r="E186" i="4"/>
  <c r="J186" i="4"/>
  <c r="E187" i="4"/>
  <c r="J187" i="4"/>
  <c r="E189" i="4"/>
  <c r="J189" i="4"/>
  <c r="E188" i="4"/>
  <c r="J188" i="4"/>
  <c r="E195" i="4"/>
  <c r="J195" i="4"/>
  <c r="E214" i="4"/>
  <c r="J214" i="4"/>
  <c r="E215" i="4"/>
  <c r="J215" i="4"/>
  <c r="E222" i="4"/>
  <c r="J222" i="4"/>
  <c r="E223" i="4"/>
  <c r="J223" i="4"/>
  <c r="E233" i="4"/>
  <c r="J233" i="4"/>
  <c r="E232" i="4"/>
  <c r="J232" i="4"/>
  <c r="E241" i="4"/>
  <c r="J241" i="4"/>
  <c r="E240" i="4"/>
  <c r="J240" i="4"/>
  <c r="E250" i="4"/>
  <c r="J250" i="4"/>
  <c r="E251" i="4"/>
  <c r="J251" i="4"/>
  <c r="E253" i="4"/>
  <c r="J253" i="4"/>
  <c r="E252" i="4"/>
  <c r="J252" i="4"/>
  <c r="E259" i="4"/>
  <c r="J259" i="4"/>
  <c r="E278" i="4"/>
  <c r="J278" i="4"/>
  <c r="E279" i="4"/>
  <c r="J279" i="4"/>
  <c r="E286" i="4"/>
  <c r="J286" i="4"/>
  <c r="E287" i="4"/>
  <c r="J287" i="4"/>
  <c r="E297" i="4"/>
  <c r="J297" i="4"/>
  <c r="E296" i="4"/>
  <c r="J296" i="4"/>
  <c r="E305" i="4"/>
  <c r="J305" i="4"/>
  <c r="E304" i="4"/>
  <c r="J304" i="4"/>
  <c r="E313" i="4"/>
  <c r="J313" i="4"/>
  <c r="E312" i="4"/>
  <c r="J312" i="4"/>
  <c r="E318" i="4"/>
  <c r="J318" i="4"/>
  <c r="E319" i="4"/>
  <c r="J319" i="4"/>
  <c r="E325" i="4"/>
  <c r="J325" i="4"/>
  <c r="E324" i="4"/>
  <c r="J324" i="4"/>
  <c r="E343" i="4"/>
  <c r="J343" i="4"/>
  <c r="E356" i="4"/>
  <c r="J356" i="4"/>
  <c r="E355" i="4"/>
  <c r="J355" i="4"/>
  <c r="J366" i="4"/>
  <c r="J365" i="4"/>
  <c r="J371" i="4"/>
  <c r="J372" i="4"/>
  <c r="J378" i="4"/>
  <c r="J377" i="4"/>
  <c r="J383" i="4"/>
  <c r="J384" i="4"/>
  <c r="J394" i="4"/>
  <c r="J393" i="4"/>
  <c r="J407" i="4"/>
  <c r="J406" i="4"/>
  <c r="J425" i="4"/>
  <c r="J424" i="4"/>
  <c r="J435" i="4"/>
  <c r="J434" i="4"/>
  <c r="J447" i="4"/>
  <c r="J446" i="4"/>
  <c r="J451" i="4"/>
  <c r="J450" i="4"/>
  <c r="J461" i="4"/>
  <c r="J460" i="4"/>
  <c r="J465" i="4"/>
  <c r="J464" i="4"/>
  <c r="J469" i="4"/>
  <c r="J468" i="4"/>
  <c r="J479" i="4"/>
  <c r="J478" i="4"/>
  <c r="J493" i="4"/>
  <c r="J492" i="4"/>
  <c r="J497" i="4"/>
  <c r="J496" i="4"/>
  <c r="J501" i="4"/>
  <c r="J500" i="4"/>
  <c r="J505" i="4"/>
  <c r="J504" i="4"/>
  <c r="J509" i="4"/>
  <c r="J508" i="4"/>
  <c r="J513" i="4"/>
  <c r="J512" i="4"/>
  <c r="J517" i="4"/>
  <c r="J516" i="4"/>
  <c r="J521" i="4"/>
  <c r="J520" i="4"/>
  <c r="J525" i="4"/>
  <c r="J524" i="4"/>
  <c r="J529" i="4"/>
  <c r="J528" i="4"/>
  <c r="J533" i="4"/>
  <c r="J532" i="4"/>
  <c r="J537" i="4"/>
  <c r="J536" i="4"/>
  <c r="J541" i="4"/>
  <c r="J540" i="4"/>
  <c r="J545" i="4"/>
  <c r="J544" i="4"/>
  <c r="J549" i="4"/>
  <c r="J548" i="4"/>
  <c r="J553" i="4"/>
  <c r="J552" i="4"/>
  <c r="J557" i="4"/>
  <c r="J556" i="4"/>
  <c r="J561" i="4"/>
  <c r="J560" i="4"/>
  <c r="J565" i="4"/>
  <c r="J564" i="4"/>
  <c r="J569" i="4"/>
  <c r="J568" i="4"/>
  <c r="J573" i="4"/>
  <c r="J572" i="4"/>
  <c r="J577" i="4"/>
  <c r="J576" i="4"/>
  <c r="J686" i="4"/>
  <c r="J715" i="4"/>
  <c r="J714" i="4"/>
  <c r="J719" i="4"/>
  <c r="J718" i="4"/>
  <c r="J734" i="4"/>
  <c r="J733" i="4"/>
  <c r="J738" i="4"/>
  <c r="J737" i="4"/>
  <c r="J750" i="4"/>
  <c r="J749" i="4"/>
  <c r="J754" i="4"/>
  <c r="J753" i="4"/>
  <c r="J758" i="4"/>
  <c r="J757" i="4"/>
  <c r="J786" i="4"/>
  <c r="J785" i="4"/>
  <c r="J790" i="4"/>
  <c r="J789" i="4"/>
  <c r="J835" i="4"/>
  <c r="J834" i="4"/>
  <c r="J833" i="4"/>
  <c r="J769" i="4"/>
  <c r="J768" i="4"/>
  <c r="J773" i="4"/>
  <c r="J772" i="4"/>
  <c r="J777" i="4"/>
  <c r="J776" i="4"/>
  <c r="J782" i="4"/>
  <c r="J781" i="4"/>
  <c r="J797" i="4"/>
  <c r="J801" i="4"/>
  <c r="J800" i="4"/>
  <c r="J805" i="4"/>
  <c r="J804" i="4"/>
  <c r="J809" i="4"/>
  <c r="J808" i="4"/>
  <c r="J813" i="4"/>
  <c r="J817" i="4"/>
  <c r="J816" i="4"/>
  <c r="J821" i="4"/>
  <c r="J820" i="4"/>
  <c r="J825" i="4"/>
  <c r="J824" i="4"/>
  <c r="J829" i="4"/>
  <c r="J837" i="4"/>
  <c r="J836" i="4"/>
  <c r="J840" i="4"/>
  <c r="J845" i="4"/>
  <c r="J849" i="4"/>
  <c r="J853" i="4"/>
  <c r="J857" i="4"/>
  <c r="J861" i="4"/>
  <c r="J864" i="4"/>
  <c r="J979" i="4"/>
  <c r="J980" i="4"/>
  <c r="J983" i="4"/>
  <c r="J1227" i="4"/>
  <c r="J1228" i="4"/>
  <c r="J1231" i="4"/>
  <c r="J1235" i="4"/>
  <c r="J1239" i="4"/>
  <c r="J1243" i="4"/>
  <c r="J1244" i="4"/>
  <c r="J1247" i="4"/>
  <c r="J1251" i="4"/>
  <c r="J1252" i="4"/>
  <c r="J1255" i="4"/>
  <c r="J1259" i="4"/>
  <c r="J1260" i="4"/>
  <c r="J1263" i="4"/>
  <c r="J1267" i="4"/>
  <c r="J1268" i="4"/>
  <c r="J1271" i="4"/>
  <c r="J1275" i="4"/>
  <c r="J1276" i="4"/>
  <c r="J1279" i="4"/>
  <c r="J1283" i="4"/>
  <c r="J1284" i="4"/>
  <c r="J1287" i="4"/>
  <c r="J1291" i="4"/>
  <c r="J1292" i="4"/>
  <c r="J1307" i="4"/>
  <c r="J1311" i="4"/>
  <c r="J1312" i="4"/>
  <c r="J1315" i="4"/>
  <c r="J1319" i="4"/>
  <c r="J1320" i="4"/>
  <c r="J1323" i="4"/>
  <c r="J1331" i="4"/>
  <c r="J1332" i="4"/>
  <c r="J1335" i="4"/>
  <c r="J1339" i="4"/>
  <c r="J1340" i="4"/>
  <c r="J1343" i="4"/>
  <c r="J1348" i="4"/>
  <c r="J1351" i="4"/>
  <c r="J1352" i="4"/>
  <c r="J1355" i="4"/>
  <c r="J1356" i="4"/>
  <c r="J1359" i="4"/>
  <c r="J1363" i="4"/>
  <c r="J1364" i="4"/>
  <c r="J1367" i="4"/>
  <c r="J1371" i="4"/>
  <c r="J1372" i="4"/>
  <c r="J1375" i="4"/>
  <c r="J1379" i="4"/>
  <c r="J1380" i="4"/>
  <c r="J1383" i="4"/>
  <c r="J1387" i="4"/>
  <c r="J1388" i="4"/>
  <c r="J1391" i="4"/>
  <c r="J1392" i="4"/>
  <c r="J1395" i="4"/>
  <c r="J1396" i="4"/>
  <c r="J1399" i="4"/>
  <c r="J1403" i="4"/>
  <c r="J1404" i="4"/>
  <c r="J1407" i="4"/>
  <c r="J1411" i="4"/>
  <c r="J1412" i="4"/>
  <c r="J1415" i="4"/>
  <c r="J1427" i="4"/>
  <c r="J1428" i="4"/>
  <c r="J1431" i="4"/>
  <c r="J1435" i="4"/>
  <c r="J1436" i="4"/>
  <c r="J1439" i="4"/>
  <c r="J1440" i="4"/>
  <c r="J1443" i="4"/>
  <c r="J1444" i="4"/>
  <c r="J1447" i="4"/>
  <c r="J1451" i="4"/>
  <c r="J1452" i="4"/>
  <c r="J1455" i="4"/>
  <c r="J1456" i="4"/>
  <c r="J1463" i="4"/>
  <c r="J1467" i="4"/>
  <c r="J1468" i="4"/>
  <c r="J1471" i="4"/>
  <c r="J1472" i="4"/>
  <c r="J1475" i="4"/>
  <c r="J1476" i="4"/>
  <c r="J1479" i="4"/>
  <c r="J1480" i="4"/>
  <c r="J1483" i="4"/>
  <c r="J1484" i="4"/>
  <c r="J1487" i="4"/>
  <c r="J1492" i="4"/>
  <c r="J1491" i="4"/>
  <c r="J1496" i="4"/>
  <c r="J684" i="4"/>
  <c r="J812" i="4"/>
  <c r="J976" i="4"/>
  <c r="J1104" i="4"/>
  <c r="J1077" i="4"/>
  <c r="J1076" i="4"/>
  <c r="J1081" i="4"/>
  <c r="J1080" i="4"/>
  <c r="J1085" i="4"/>
  <c r="J1084" i="4"/>
  <c r="J1089" i="4"/>
  <c r="J1088" i="4"/>
  <c r="J1093" i="4"/>
  <c r="J1092" i="4"/>
  <c r="J1097" i="4"/>
  <c r="J1101" i="4"/>
  <c r="J1100" i="4"/>
  <c r="J1109" i="4"/>
  <c r="J1113" i="4"/>
  <c r="J1112" i="4"/>
  <c r="J1117" i="4"/>
  <c r="J1116" i="4"/>
  <c r="J1120" i="4"/>
  <c r="J1125" i="4"/>
  <c r="J1129" i="4"/>
  <c r="J1128" i="4"/>
  <c r="J1133" i="4"/>
  <c r="J1141" i="4"/>
  <c r="J1140" i="4"/>
  <c r="J1145" i="4"/>
  <c r="J1144" i="4"/>
  <c r="J1149" i="4"/>
  <c r="J1148" i="4"/>
  <c r="J1153" i="4"/>
  <c r="J1157" i="4"/>
  <c r="J1156" i="4"/>
  <c r="J1161" i="4"/>
  <c r="J1160" i="4"/>
  <c r="J1165" i="4"/>
  <c r="J1164" i="4"/>
  <c r="J1169" i="4"/>
  <c r="J1168" i="4"/>
  <c r="J1173" i="4"/>
  <c r="J1172" i="4"/>
  <c r="J1177" i="4"/>
  <c r="J1176" i="4"/>
  <c r="J1181" i="4"/>
  <c r="J1180" i="4"/>
  <c r="J1185" i="4"/>
  <c r="J1184" i="4"/>
  <c r="J1189" i="4"/>
  <c r="J1188" i="4"/>
  <c r="J1193" i="4"/>
  <c r="J1192" i="4"/>
  <c r="J1197" i="4"/>
  <c r="J1196" i="4"/>
  <c r="J1201" i="4"/>
  <c r="J1200" i="4"/>
  <c r="J1205" i="4"/>
  <c r="J1204" i="4"/>
  <c r="J1209" i="4"/>
  <c r="J1208" i="4"/>
  <c r="J1213" i="4"/>
  <c r="J1212" i="4"/>
  <c r="J1217" i="4"/>
  <c r="J1216" i="4"/>
  <c r="J1221" i="4"/>
  <c r="J1220" i="4"/>
  <c r="J1297" i="4"/>
  <c r="J1296" i="4"/>
  <c r="J1300" i="4"/>
  <c r="J1301" i="4"/>
  <c r="J1421" i="4"/>
  <c r="J1420" i="4"/>
  <c r="J1500" i="4"/>
  <c r="J1501" i="4"/>
  <c r="J1504" i="4"/>
  <c r="J1508" i="4"/>
  <c r="J1509" i="4"/>
  <c r="J1512" i="4"/>
  <c r="J1513" i="4"/>
  <c r="J1516" i="4"/>
  <c r="J1517" i="4"/>
  <c r="J1520" i="4"/>
  <c r="J1524" i="4"/>
  <c r="J1525" i="4"/>
  <c r="J1528" i="4"/>
  <c r="J1529" i="4"/>
  <c r="J1532" i="4"/>
  <c r="J1533" i="4"/>
  <c r="J1536" i="4"/>
  <c r="J1537" i="4"/>
  <c r="J1540" i="4"/>
  <c r="J1541" i="4"/>
  <c r="J1544" i="4"/>
  <c r="J1545" i="4"/>
  <c r="J1548" i="4"/>
  <c r="J1549" i="4"/>
  <c r="J1552" i="4"/>
  <c r="J1553" i="4"/>
  <c r="J1556" i="4"/>
  <c r="J1557" i="4"/>
  <c r="J1572" i="4"/>
  <c r="J1573" i="4"/>
  <c r="J1576" i="4"/>
  <c r="J1577" i="4"/>
  <c r="J828" i="4"/>
  <c r="J1137" i="4"/>
  <c r="J607" i="4"/>
  <c r="J608" i="4"/>
  <c r="J635" i="4"/>
  <c r="J634" i="4"/>
  <c r="J639" i="4"/>
  <c r="J638" i="4"/>
  <c r="J643" i="4"/>
  <c r="J642" i="4"/>
  <c r="J647" i="4"/>
  <c r="J646" i="4"/>
  <c r="J651" i="4"/>
  <c r="J650" i="4"/>
  <c r="J655" i="4"/>
  <c r="J654" i="4"/>
  <c r="J659" i="4"/>
  <c r="J658" i="4"/>
  <c r="J713" i="4"/>
  <c r="J712" i="4"/>
  <c r="J735" i="4"/>
  <c r="J736" i="4"/>
  <c r="J767" i="4"/>
  <c r="J766" i="4"/>
  <c r="J771" i="4"/>
  <c r="J770" i="4"/>
  <c r="J775" i="4"/>
  <c r="J774" i="4"/>
  <c r="J779" i="4"/>
  <c r="J778" i="4"/>
  <c r="J795" i="4"/>
  <c r="J794" i="4"/>
  <c r="J716" i="4"/>
  <c r="J780" i="4"/>
  <c r="J844" i="4"/>
  <c r="J1328" i="4"/>
  <c r="E101" i="4"/>
  <c r="J101" i="4"/>
  <c r="E100" i="4"/>
  <c r="J100" i="4"/>
  <c r="E109" i="4"/>
  <c r="J109" i="4"/>
  <c r="E108" i="4"/>
  <c r="J108" i="4"/>
  <c r="E117" i="4"/>
  <c r="J117" i="4"/>
  <c r="E116" i="4"/>
  <c r="J116" i="4"/>
  <c r="E130" i="4"/>
  <c r="J130" i="4"/>
  <c r="E133" i="4"/>
  <c r="J133" i="4"/>
  <c r="E132" i="4"/>
  <c r="J132" i="4"/>
  <c r="E146" i="4"/>
  <c r="J146" i="4"/>
  <c r="E149" i="4"/>
  <c r="J149" i="4"/>
  <c r="E148" i="4"/>
  <c r="J148" i="4"/>
  <c r="E162" i="4"/>
  <c r="J162" i="4"/>
  <c r="E165" i="4"/>
  <c r="J165" i="4"/>
  <c r="E164" i="4"/>
  <c r="J164" i="4"/>
  <c r="E178" i="4"/>
  <c r="J178" i="4"/>
  <c r="E181" i="4"/>
  <c r="J181" i="4"/>
  <c r="E180" i="4"/>
  <c r="J180" i="4"/>
  <c r="E194" i="4"/>
  <c r="J194" i="4"/>
  <c r="E197" i="4"/>
  <c r="J197" i="4"/>
  <c r="E196" i="4"/>
  <c r="J196" i="4"/>
  <c r="E210" i="4"/>
  <c r="J210" i="4"/>
  <c r="E213" i="4"/>
  <c r="J213" i="4"/>
  <c r="E212" i="4"/>
  <c r="J212" i="4"/>
  <c r="E226" i="4"/>
  <c r="J226" i="4"/>
  <c r="E229" i="4"/>
  <c r="J229" i="4"/>
  <c r="E228" i="4"/>
  <c r="J228" i="4"/>
  <c r="E242" i="4"/>
  <c r="J242" i="4"/>
  <c r="E245" i="4"/>
  <c r="J245" i="4"/>
  <c r="E244" i="4"/>
  <c r="J244" i="4"/>
  <c r="E258" i="4"/>
  <c r="J258" i="4"/>
  <c r="E261" i="4"/>
  <c r="J261" i="4"/>
  <c r="E260" i="4"/>
  <c r="J260" i="4"/>
  <c r="E274" i="4"/>
  <c r="J274" i="4"/>
  <c r="E277" i="4"/>
  <c r="J277" i="4"/>
  <c r="E276" i="4"/>
  <c r="J276" i="4"/>
  <c r="E290" i="4"/>
  <c r="J290" i="4"/>
  <c r="E293" i="4"/>
  <c r="J293" i="4"/>
  <c r="E292" i="4"/>
  <c r="J292" i="4"/>
  <c r="E306" i="4"/>
  <c r="J306" i="4"/>
  <c r="E309" i="4"/>
  <c r="J309" i="4"/>
  <c r="E308" i="4"/>
  <c r="J308" i="4"/>
  <c r="E314" i="4"/>
  <c r="J314" i="4"/>
  <c r="E321" i="4"/>
  <c r="J321" i="4"/>
  <c r="E320" i="4"/>
  <c r="J320" i="4"/>
  <c r="E326" i="4"/>
  <c r="J326" i="4"/>
  <c r="E338" i="4"/>
  <c r="J338" i="4"/>
  <c r="E337" i="4"/>
  <c r="J337" i="4"/>
  <c r="E344" i="4"/>
  <c r="J344" i="4"/>
  <c r="E350" i="4"/>
  <c r="J350" i="4"/>
  <c r="E349" i="4"/>
  <c r="J349" i="4"/>
  <c r="J364" i="4"/>
  <c r="J370" i="4"/>
  <c r="J369" i="4"/>
  <c r="J375" i="4"/>
  <c r="J382" i="4"/>
  <c r="J381" i="4"/>
  <c r="J395" i="4"/>
  <c r="J396" i="4"/>
  <c r="J402" i="4"/>
  <c r="J401" i="4"/>
  <c r="J411" i="4"/>
  <c r="J410" i="4"/>
  <c r="J417" i="4"/>
  <c r="J423" i="4"/>
  <c r="J422" i="4"/>
  <c r="J437" i="4"/>
  <c r="J436" i="4"/>
  <c r="J439" i="4"/>
  <c r="J440" i="4"/>
  <c r="J443" i="4"/>
  <c r="J442" i="4"/>
  <c r="J453" i="4"/>
  <c r="J452" i="4"/>
  <c r="J457" i="4"/>
  <c r="J456" i="4"/>
  <c r="J467" i="4"/>
  <c r="J466" i="4"/>
  <c r="J471" i="4"/>
  <c r="J470" i="4"/>
  <c r="J477" i="4"/>
  <c r="J487" i="4"/>
  <c r="J486" i="4"/>
  <c r="J491" i="4"/>
  <c r="J490" i="4"/>
  <c r="J582" i="4"/>
  <c r="J581" i="4"/>
  <c r="J586" i="4"/>
  <c r="J585" i="4"/>
  <c r="J598" i="4"/>
  <c r="J597" i="4"/>
  <c r="J613" i="4"/>
  <c r="J612" i="4"/>
  <c r="J617" i="4"/>
  <c r="J616" i="4"/>
  <c r="J621" i="4"/>
  <c r="J625" i="4"/>
  <c r="J624" i="4"/>
  <c r="J629" i="4"/>
  <c r="J628" i="4"/>
  <c r="J633" i="4"/>
  <c r="J632" i="4"/>
  <c r="J663" i="4"/>
  <c r="J662" i="4"/>
  <c r="J667" i="4"/>
  <c r="J666" i="4"/>
  <c r="J671" i="4"/>
  <c r="J670" i="4"/>
  <c r="J675" i="4"/>
  <c r="J674" i="4"/>
  <c r="J679" i="4"/>
  <c r="J678" i="4"/>
  <c r="J683" i="4"/>
  <c r="J682" i="4"/>
  <c r="J690" i="4"/>
  <c r="J689" i="4"/>
  <c r="J694" i="4"/>
  <c r="J693" i="4"/>
  <c r="J698" i="4"/>
  <c r="J697" i="4"/>
  <c r="J702" i="4"/>
  <c r="J701" i="4"/>
  <c r="J706" i="4"/>
  <c r="J705" i="4"/>
  <c r="J710" i="4"/>
  <c r="J709" i="4"/>
  <c r="J721" i="4"/>
  <c r="J720" i="4"/>
  <c r="J725" i="4"/>
  <c r="J724" i="4"/>
  <c r="J729" i="4"/>
  <c r="J728" i="4"/>
  <c r="J741" i="4"/>
  <c r="J740" i="4"/>
  <c r="J751" i="4"/>
  <c r="J752" i="4"/>
  <c r="J755" i="4"/>
  <c r="J756" i="4"/>
  <c r="J759" i="4"/>
  <c r="J760" i="4"/>
  <c r="J763" i="4"/>
  <c r="J783" i="4"/>
  <c r="J784" i="4"/>
  <c r="J787" i="4"/>
  <c r="J788" i="4"/>
  <c r="J791" i="4"/>
  <c r="J792" i="4"/>
  <c r="J871" i="4"/>
  <c r="J870" i="4"/>
  <c r="J875" i="4"/>
  <c r="J874" i="4"/>
  <c r="J879" i="4"/>
  <c r="J878" i="4"/>
  <c r="J883" i="4"/>
  <c r="J887" i="4"/>
  <c r="J886" i="4"/>
  <c r="J891" i="4"/>
  <c r="J895" i="4"/>
  <c r="J899" i="4"/>
  <c r="J898" i="4"/>
  <c r="J903" i="4"/>
  <c r="J902" i="4"/>
  <c r="J907" i="4"/>
  <c r="J906" i="4"/>
  <c r="J910" i="4"/>
  <c r="J915" i="4"/>
  <c r="J914" i="4"/>
  <c r="J919" i="4"/>
  <c r="J918" i="4"/>
  <c r="J923" i="4"/>
  <c r="J922" i="4"/>
  <c r="J927" i="4"/>
  <c r="J926" i="4"/>
  <c r="J931" i="4"/>
  <c r="J930" i="4"/>
  <c r="J935" i="4"/>
  <c r="J939" i="4"/>
  <c r="J938" i="4"/>
  <c r="J943" i="4"/>
  <c r="J947" i="4"/>
  <c r="J946" i="4"/>
  <c r="J951" i="4"/>
  <c r="J955" i="4"/>
  <c r="J954" i="4"/>
  <c r="J959" i="4"/>
  <c r="J958" i="4"/>
  <c r="J963" i="4"/>
  <c r="J962" i="4"/>
  <c r="J967" i="4"/>
  <c r="J971" i="4"/>
  <c r="J970" i="4"/>
  <c r="J987" i="4"/>
  <c r="J991" i="4"/>
  <c r="J990" i="4"/>
  <c r="J995" i="4"/>
  <c r="J994" i="4"/>
  <c r="J999" i="4"/>
  <c r="J998" i="4"/>
  <c r="J1003" i="4"/>
  <c r="J1002" i="4"/>
  <c r="J1007" i="4"/>
  <c r="J1006" i="4"/>
  <c r="J1011" i="4"/>
  <c r="J1015" i="4"/>
  <c r="J1014" i="4"/>
  <c r="J1019" i="4"/>
  <c r="J1018" i="4"/>
  <c r="J1023" i="4"/>
  <c r="J1022" i="4"/>
  <c r="J1027" i="4"/>
  <c r="J1026" i="4"/>
  <c r="J1031" i="4"/>
  <c r="J1035" i="4"/>
  <c r="J1034" i="4"/>
  <c r="J1039" i="4"/>
  <c r="J1038" i="4"/>
  <c r="J1043" i="4"/>
  <c r="J1042" i="4"/>
  <c r="J1047" i="4"/>
  <c r="J1046" i="4"/>
  <c r="J1051" i="4"/>
  <c r="J1055" i="4"/>
  <c r="J1054" i="4"/>
  <c r="J1059" i="4"/>
  <c r="J1063" i="4"/>
  <c r="J1062" i="4"/>
  <c r="J1067" i="4"/>
  <c r="J1071" i="4"/>
  <c r="J1070" i="4"/>
  <c r="J1075" i="4"/>
  <c r="J1074" i="4"/>
  <c r="J1079" i="4"/>
  <c r="J1078" i="4"/>
  <c r="J1083" i="4"/>
  <c r="J1087" i="4"/>
  <c r="J1086" i="4"/>
  <c r="J1091" i="4"/>
  <c r="J1095" i="4"/>
  <c r="J1094" i="4"/>
  <c r="J1099" i="4"/>
  <c r="J1098" i="4"/>
  <c r="J1103" i="4"/>
  <c r="J1102" i="4"/>
  <c r="J1107" i="4"/>
  <c r="J1106" i="4"/>
  <c r="J1111" i="4"/>
  <c r="J1110" i="4"/>
  <c r="J1115" i="4"/>
  <c r="J1114" i="4"/>
  <c r="J1119" i="4"/>
  <c r="J1123" i="4"/>
  <c r="J1122" i="4"/>
  <c r="J1127" i="4"/>
  <c r="J1126" i="4"/>
  <c r="J1131" i="4"/>
  <c r="J1130" i="4"/>
  <c r="J1134" i="4"/>
  <c r="J1138" i="4"/>
  <c r="J1139" i="4"/>
  <c r="J1142" i="4"/>
  <c r="J1143" i="4"/>
  <c r="J1146" i="4"/>
  <c r="J1147" i="4"/>
  <c r="J1150" i="4"/>
  <c r="J1151" i="4"/>
  <c r="J1154" i="4"/>
  <c r="J1155" i="4"/>
  <c r="J1158" i="4"/>
  <c r="J1159" i="4"/>
  <c r="J1163" i="4"/>
  <c r="J1166" i="4"/>
  <c r="J1167" i="4"/>
  <c r="J1170" i="4"/>
  <c r="J1171" i="4"/>
  <c r="J1174" i="4"/>
  <c r="J1175" i="4"/>
  <c r="J1178" i="4"/>
  <c r="J1179" i="4"/>
  <c r="J1182" i="4"/>
  <c r="J1183" i="4"/>
  <c r="J1186" i="4"/>
  <c r="J1187" i="4"/>
  <c r="J1190" i="4"/>
  <c r="J1191" i="4"/>
  <c r="J1194" i="4"/>
  <c r="J1195" i="4"/>
  <c r="J1198" i="4"/>
  <c r="J1199" i="4"/>
  <c r="J1202" i="4"/>
  <c r="J1203" i="4"/>
  <c r="J1206" i="4"/>
  <c r="J1207" i="4"/>
  <c r="J1210" i="4"/>
  <c r="J1211" i="4"/>
  <c r="J1214" i="4"/>
  <c r="J1218" i="4"/>
  <c r="J1219" i="4"/>
  <c r="J1223" i="4"/>
  <c r="J1222" i="4"/>
  <c r="J1295" i="4"/>
  <c r="J1294" i="4"/>
  <c r="J1299" i="4"/>
  <c r="J1298" i="4"/>
  <c r="J1303" i="4"/>
  <c r="J1302" i="4"/>
  <c r="E315" i="4"/>
  <c r="J315" i="4"/>
  <c r="J363" i="4"/>
  <c r="J476" i="4"/>
  <c r="J604" i="4"/>
  <c r="J732" i="4"/>
  <c r="J796" i="4"/>
  <c r="J860" i="4"/>
  <c r="J1072" i="4"/>
  <c r="J799" i="4"/>
  <c r="J798" i="4"/>
  <c r="J803" i="4"/>
  <c r="J802" i="4"/>
  <c r="J807" i="4"/>
  <c r="J806" i="4"/>
  <c r="J811" i="4"/>
  <c r="J810" i="4"/>
  <c r="J815" i="4"/>
  <c r="J814" i="4"/>
  <c r="J819" i="4"/>
  <c r="J818" i="4"/>
  <c r="J823" i="4"/>
  <c r="J822" i="4"/>
  <c r="J827" i="4"/>
  <c r="J826" i="4"/>
  <c r="J831" i="4"/>
  <c r="J830" i="4"/>
  <c r="J839" i="4"/>
  <c r="J838" i="4"/>
  <c r="J843" i="4"/>
  <c r="J842" i="4"/>
  <c r="J847" i="4"/>
  <c r="J846" i="4"/>
  <c r="J851" i="4"/>
  <c r="J855" i="4"/>
  <c r="J854" i="4"/>
  <c r="J859" i="4"/>
  <c r="J863" i="4"/>
  <c r="J862" i="4"/>
  <c r="J867" i="4"/>
  <c r="J866" i="4"/>
  <c r="J974" i="4"/>
  <c r="J973" i="4"/>
  <c r="J978" i="4"/>
  <c r="J977" i="4"/>
  <c r="J982" i="4"/>
  <c r="J981" i="4"/>
  <c r="J1226" i="4"/>
  <c r="J1225" i="4"/>
  <c r="J1230" i="4"/>
  <c r="J1229" i="4"/>
  <c r="J1234" i="4"/>
  <c r="J1233" i="4"/>
  <c r="J1238" i="4"/>
  <c r="J1237" i="4"/>
  <c r="J1242" i="4"/>
  <c r="J1241" i="4"/>
  <c r="J1246" i="4"/>
  <c r="J1245" i="4"/>
  <c r="J1250" i="4"/>
  <c r="J1249" i="4"/>
  <c r="J1254" i="4"/>
  <c r="J1253" i="4"/>
  <c r="J1257" i="4"/>
  <c r="J1258" i="4"/>
  <c r="J1262" i="4"/>
  <c r="J1261" i="4"/>
  <c r="J1266" i="4"/>
  <c r="J1265" i="4"/>
  <c r="J1270" i="4"/>
  <c r="J1269" i="4"/>
  <c r="J1273" i="4"/>
  <c r="J1274" i="4"/>
  <c r="J1278" i="4"/>
  <c r="J1277" i="4"/>
  <c r="J1282" i="4"/>
  <c r="J1281" i="4"/>
  <c r="J1286" i="4"/>
  <c r="J1285" i="4"/>
  <c r="J1289" i="4"/>
  <c r="J1290" i="4"/>
  <c r="J1305" i="4"/>
  <c r="J1306" i="4"/>
  <c r="J1310" i="4"/>
  <c r="J1309" i="4"/>
  <c r="J1314" i="4"/>
  <c r="J1313" i="4"/>
  <c r="J1318" i="4"/>
  <c r="J1317" i="4"/>
  <c r="J1321" i="4"/>
  <c r="J1322" i="4"/>
  <c r="J1326" i="4"/>
  <c r="J1325" i="4"/>
  <c r="J1330" i="4"/>
  <c r="J1329" i="4"/>
  <c r="J1334" i="4"/>
  <c r="J1333" i="4"/>
  <c r="J1337" i="4"/>
  <c r="J1338" i="4"/>
  <c r="J1342" i="4"/>
  <c r="J1341" i="4"/>
  <c r="J1346" i="4"/>
  <c r="J1345" i="4"/>
  <c r="J1350" i="4"/>
  <c r="J1349" i="4"/>
  <c r="J1353" i="4"/>
  <c r="J1354" i="4"/>
  <c r="J1358" i="4"/>
  <c r="J1357" i="4"/>
  <c r="J1362" i="4"/>
  <c r="J1361" i="4"/>
  <c r="J1366" i="4"/>
  <c r="J1365" i="4"/>
  <c r="J1369" i="4"/>
  <c r="J1370" i="4"/>
  <c r="J1374" i="4"/>
  <c r="J1373" i="4"/>
  <c r="J1378" i="4"/>
  <c r="J1377" i="4"/>
  <c r="J1382" i="4"/>
  <c r="J1381" i="4"/>
  <c r="J1385" i="4"/>
  <c r="J1386" i="4"/>
  <c r="J1390" i="4"/>
  <c r="J1389" i="4"/>
  <c r="J1394" i="4"/>
  <c r="J1393" i="4"/>
  <c r="J1398" i="4"/>
  <c r="J1397" i="4"/>
  <c r="J1401" i="4"/>
  <c r="J1402" i="4"/>
  <c r="J1406" i="4"/>
  <c r="J1405" i="4"/>
  <c r="J1410" i="4"/>
  <c r="J1409" i="4"/>
  <c r="J1414" i="4"/>
  <c r="J1426" i="4"/>
  <c r="J1425" i="4"/>
  <c r="J1430" i="4"/>
  <c r="J1429" i="4"/>
  <c r="J1433" i="4"/>
  <c r="J1434" i="4"/>
  <c r="J1438" i="4"/>
  <c r="J1437" i="4"/>
  <c r="J1442" i="4"/>
  <c r="J1441" i="4"/>
  <c r="J1446" i="4"/>
  <c r="J1445" i="4"/>
  <c r="J1449" i="4"/>
  <c r="J1450" i="4"/>
  <c r="J1454" i="4"/>
  <c r="J1453" i="4"/>
  <c r="J1458" i="4"/>
  <c r="J1457" i="4"/>
  <c r="J1462" i="4"/>
  <c r="J1461" i="4"/>
  <c r="J1465" i="4"/>
  <c r="J1466" i="4"/>
  <c r="J1470" i="4"/>
  <c r="J1469" i="4"/>
  <c r="J1473" i="4"/>
  <c r="J1478" i="4"/>
  <c r="J1477" i="4"/>
  <c r="J1481" i="4"/>
  <c r="J1482" i="4"/>
  <c r="J1486" i="4"/>
  <c r="J1485" i="4"/>
  <c r="J1490" i="4"/>
  <c r="J1489" i="4"/>
  <c r="J1493" i="4"/>
  <c r="J1494" i="4"/>
  <c r="J1498" i="4"/>
  <c r="J1497" i="4"/>
  <c r="J1562" i="4"/>
  <c r="J1561" i="4"/>
  <c r="J1570" i="4"/>
  <c r="J1569" i="4"/>
  <c r="J1581" i="4"/>
  <c r="J1582" i="4"/>
  <c r="J1586" i="4"/>
  <c r="J1585" i="4"/>
  <c r="J1413" i="4"/>
  <c r="J1503" i="4"/>
  <c r="J1507" i="4"/>
  <c r="J1506" i="4"/>
  <c r="J1511" i="4"/>
  <c r="J1510" i="4"/>
  <c r="J1515" i="4"/>
  <c r="J1514" i="4"/>
  <c r="J1519" i="4"/>
  <c r="J1518" i="4"/>
  <c r="J1523" i="4"/>
  <c r="J1522" i="4"/>
  <c r="J1527" i="4"/>
  <c r="J1526" i="4"/>
  <c r="J1531" i="4"/>
  <c r="J1530" i="4"/>
  <c r="J1535" i="4"/>
  <c r="J1534" i="4"/>
  <c r="J1539" i="4"/>
  <c r="J1538" i="4"/>
  <c r="J1543" i="4"/>
  <c r="J1542" i="4"/>
  <c r="J1547" i="4"/>
  <c r="J1546" i="4"/>
  <c r="J1551" i="4"/>
  <c r="J1550" i="4"/>
  <c r="J1555" i="4"/>
  <c r="J1554" i="4"/>
  <c r="J1575" i="4"/>
  <c r="J1574" i="4"/>
  <c r="J1502" i="4"/>
  <c r="J1560" i="4"/>
  <c r="J1559" i="4"/>
  <c r="J1564" i="4"/>
  <c r="J1563" i="4"/>
  <c r="J1568" i="4"/>
  <c r="J1567" i="4"/>
  <c r="J1580" i="4"/>
  <c r="J1579" i="4"/>
  <c r="J1584" i="4"/>
  <c r="J1583" i="4"/>
  <c r="J603" i="4"/>
  <c r="J911" i="4"/>
  <c r="J664" i="4"/>
  <c r="J948" i="4"/>
  <c r="J944" i="4"/>
  <c r="J676" i="4"/>
  <c r="J934" i="4"/>
  <c r="J494" i="4"/>
  <c r="J518" i="4"/>
  <c r="J530" i="4"/>
  <c r="J538" i="4"/>
  <c r="J562" i="4"/>
  <c r="J570" i="4"/>
  <c r="J590" i="4"/>
  <c r="J1108" i="4"/>
  <c r="J472" i="4"/>
  <c r="J522" i="4"/>
  <c r="J589" i="4"/>
  <c r="J594" i="4"/>
  <c r="J610" i="4"/>
  <c r="J858" i="4"/>
  <c r="J889" i="4"/>
  <c r="J897" i="4"/>
  <c r="J905" i="4"/>
  <c r="J909" i="4"/>
  <c r="J913" i="4"/>
  <c r="J921" i="4"/>
  <c r="J925" i="4"/>
  <c r="J929" i="4"/>
  <c r="J865" i="4"/>
  <c r="J868" i="4"/>
  <c r="J882" i="4"/>
  <c r="J890" i="4"/>
  <c r="J894" i="4"/>
  <c r="J856" i="4"/>
  <c r="J872" i="4"/>
  <c r="J940" i="4"/>
  <c r="J950" i="4"/>
  <c r="J942" i="4"/>
  <c r="J747" i="4"/>
  <c r="J884" i="4"/>
  <c r="J711" i="4"/>
  <c r="J945" i="4"/>
  <c r="J972" i="4"/>
  <c r="J841" i="4"/>
  <c r="J850" i="4"/>
  <c r="J761" i="4"/>
  <c r="J996" i="4"/>
  <c r="J848" i="4"/>
  <c r="J852" i="4"/>
  <c r="J953" i="4"/>
  <c r="J952" i="4"/>
  <c r="J933" i="4"/>
  <c r="J992" i="4"/>
  <c r="J1073" i="4"/>
  <c r="J968" i="4"/>
  <c r="J1344" i="4"/>
  <c r="J1000" i="4"/>
  <c r="J1030" i="4"/>
  <c r="J984" i="4"/>
  <c r="J960" i="4"/>
  <c r="J966" i="4"/>
  <c r="J1048" i="4"/>
  <c r="J1009" i="4"/>
  <c r="J986" i="4"/>
  <c r="J1010" i="4"/>
  <c r="J1069" i="4"/>
  <c r="J1013" i="4"/>
  <c r="J1424" i="4"/>
  <c r="J1020" i="4"/>
  <c r="J1032" i="4"/>
  <c r="J1050" i="4"/>
  <c r="J1066" i="4"/>
  <c r="J1064" i="4"/>
  <c r="J1096" i="4"/>
  <c r="J1304" i="4"/>
  <c r="J1316" i="4"/>
  <c r="J1327" i="4"/>
  <c r="J1347" i="4"/>
  <c r="J1464" i="4"/>
  <c r="J1488" i="4"/>
  <c r="J1495" i="4"/>
  <c r="J1578" i="4"/>
  <c r="J975" i="4"/>
  <c r="J1033" i="4"/>
  <c r="J1040" i="4"/>
  <c r="J1049" i="4"/>
  <c r="J1056" i="4"/>
  <c r="J1082" i="4"/>
  <c r="J1118" i="4"/>
  <c r="J1121" i="4"/>
  <c r="J1162" i="4"/>
  <c r="J1215" i="4"/>
  <c r="J1232" i="4"/>
  <c r="J1240" i="4"/>
  <c r="J1248" i="4"/>
  <c r="J1264" i="4"/>
  <c r="J1272" i="4"/>
  <c r="J1288" i="4"/>
  <c r="J1417" i="4"/>
  <c r="J1052" i="4"/>
  <c r="J1293" i="4"/>
  <c r="J1308" i="4"/>
  <c r="J1324" i="4"/>
  <c r="J1028" i="4"/>
  <c r="J1036" i="4"/>
  <c r="J1037" i="4"/>
  <c r="J1058" i="4"/>
  <c r="J1090" i="4"/>
  <c r="J1124" i="4"/>
  <c r="J1132" i="4"/>
  <c r="J1135" i="4"/>
  <c r="J1152" i="4"/>
  <c r="J1224" i="4"/>
  <c r="J1236" i="4"/>
  <c r="J1256" i="4"/>
  <c r="J1280" i="4"/>
  <c r="J1336" i="4"/>
  <c r="J1384" i="4"/>
  <c r="J1416" i="4"/>
  <c r="J1432" i="4"/>
  <c r="J1474" i="4"/>
  <c r="J1571" i="4"/>
  <c r="J1422" i="4"/>
  <c r="J1423" i="4"/>
  <c r="J1448" i="4"/>
  <c r="J1459" i="4"/>
  <c r="J1460" i="4"/>
  <c r="J1505" i="4"/>
  <c r="J1521" i="4"/>
  <c r="J1565" i="4"/>
  <c r="J1360" i="4"/>
  <c r="J1368" i="4"/>
  <c r="J1376" i="4"/>
  <c r="J1400" i="4"/>
  <c r="J1408" i="4"/>
  <c r="J1418" i="4"/>
  <c r="J1419" i="4"/>
  <c r="J1499" i="4"/>
  <c r="J1558" i="4"/>
  <c r="J1566" i="4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F2" i="4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L5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S5" i="1"/>
  <c r="R5" i="1"/>
  <c r="Q5" i="1"/>
  <c r="P5" i="1"/>
  <c r="O5" i="1"/>
  <c r="N5" i="1"/>
  <c r="M5" i="1"/>
  <c r="T4" i="1"/>
  <c r="S4" i="1"/>
  <c r="R4" i="1"/>
  <c r="Q4" i="1"/>
  <c r="P4" i="1"/>
  <c r="O4" i="1"/>
  <c r="N4" i="1"/>
  <c r="M4" i="1"/>
  <c r="L4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G30" i="3"/>
  <c r="M52" i="3"/>
  <c r="L52" i="3"/>
  <c r="M53" i="3"/>
  <c r="L53" i="3"/>
  <c r="M54" i="3"/>
  <c r="L54" i="3"/>
  <c r="M55" i="3"/>
  <c r="L55" i="3"/>
  <c r="M56" i="3"/>
  <c r="L56" i="3"/>
  <c r="M57" i="3"/>
  <c r="L57" i="3"/>
  <c r="M58" i="3"/>
  <c r="L58" i="3"/>
  <c r="M59" i="3"/>
  <c r="N59" i="3"/>
  <c r="M60" i="3"/>
  <c r="L60" i="3"/>
  <c r="E61" i="3"/>
  <c r="F61" i="3"/>
  <c r="B61" i="3"/>
  <c r="C61" i="3"/>
  <c r="D61" i="3"/>
  <c r="G60" i="3"/>
  <c r="D60" i="3"/>
  <c r="G59" i="3"/>
  <c r="D59" i="3"/>
  <c r="G58" i="3"/>
  <c r="D58" i="3"/>
  <c r="G57" i="3"/>
  <c r="D57" i="3"/>
  <c r="G56" i="3"/>
  <c r="D56" i="3"/>
  <c r="G55" i="3"/>
  <c r="D55" i="3"/>
  <c r="G54" i="3"/>
  <c r="D54" i="3"/>
  <c r="G53" i="3"/>
  <c r="D53" i="3"/>
  <c r="G52" i="3"/>
  <c r="D52" i="3"/>
  <c r="M38" i="3"/>
  <c r="L38" i="3"/>
  <c r="M39" i="3"/>
  <c r="L39" i="3"/>
  <c r="M40" i="3"/>
  <c r="L40" i="3"/>
  <c r="M41" i="3"/>
  <c r="L41" i="3"/>
  <c r="M42" i="3"/>
  <c r="L42" i="3"/>
  <c r="M43" i="3"/>
  <c r="L43" i="3"/>
  <c r="M44" i="3"/>
  <c r="L44" i="3"/>
  <c r="M45" i="3"/>
  <c r="N45" i="3"/>
  <c r="M46" i="3"/>
  <c r="L46" i="3"/>
  <c r="E47" i="3"/>
  <c r="F47" i="3"/>
  <c r="B47" i="3"/>
  <c r="C47" i="3"/>
  <c r="G46" i="3"/>
  <c r="D46" i="3"/>
  <c r="G45" i="3"/>
  <c r="D45" i="3"/>
  <c r="G44" i="3"/>
  <c r="D44" i="3"/>
  <c r="G43" i="3"/>
  <c r="D43" i="3"/>
  <c r="G42" i="3"/>
  <c r="D42" i="3"/>
  <c r="G41" i="3"/>
  <c r="D41" i="3"/>
  <c r="G40" i="3"/>
  <c r="D40" i="3"/>
  <c r="G39" i="3"/>
  <c r="D39" i="3"/>
  <c r="G38" i="3"/>
  <c r="D38" i="3"/>
  <c r="M24" i="3"/>
  <c r="L24" i="3"/>
  <c r="M25" i="3"/>
  <c r="L25" i="3"/>
  <c r="M26" i="3"/>
  <c r="L26" i="3"/>
  <c r="M27" i="3"/>
  <c r="L27" i="3"/>
  <c r="M28" i="3"/>
  <c r="L28" i="3"/>
  <c r="M29" i="3"/>
  <c r="L29" i="3"/>
  <c r="M30" i="3"/>
  <c r="L30" i="3"/>
  <c r="N31" i="3"/>
  <c r="M32" i="3"/>
  <c r="L32" i="3"/>
  <c r="E33" i="3"/>
  <c r="F33" i="3"/>
  <c r="G33" i="3"/>
  <c r="B33" i="3"/>
  <c r="C33" i="3"/>
  <c r="D33" i="3"/>
  <c r="G32" i="3"/>
  <c r="D32" i="3"/>
  <c r="G31" i="3"/>
  <c r="D31" i="3"/>
  <c r="D30" i="3"/>
  <c r="G29" i="3"/>
  <c r="D29" i="3"/>
  <c r="G28" i="3"/>
  <c r="D28" i="3"/>
  <c r="G27" i="3"/>
  <c r="D27" i="3"/>
  <c r="G26" i="3"/>
  <c r="D26" i="3"/>
  <c r="G25" i="3"/>
  <c r="D25" i="3"/>
  <c r="G24" i="3"/>
  <c r="C9" i="3"/>
  <c r="O75" i="2"/>
  <c r="N75" i="2"/>
  <c r="P75" i="2"/>
  <c r="O76" i="2"/>
  <c r="N76" i="2"/>
  <c r="P76" i="2"/>
  <c r="O77" i="2"/>
  <c r="N77" i="2"/>
  <c r="P77" i="2"/>
  <c r="O78" i="2"/>
  <c r="N78" i="2"/>
  <c r="P78" i="2"/>
  <c r="O79" i="2"/>
  <c r="N79" i="2"/>
  <c r="P79" i="2"/>
  <c r="O80" i="2"/>
  <c r="N80" i="2"/>
  <c r="P80" i="2"/>
  <c r="O81" i="2"/>
  <c r="N81" i="2"/>
  <c r="P81" i="2"/>
  <c r="F82" i="2"/>
  <c r="N82" i="2"/>
  <c r="O82" i="2"/>
  <c r="P82" i="2"/>
  <c r="P84" i="2"/>
  <c r="P85" i="2"/>
  <c r="O83" i="2"/>
  <c r="O84" i="2"/>
  <c r="N83" i="2"/>
  <c r="N84" i="2"/>
  <c r="G84" i="2"/>
  <c r="H84" i="2"/>
  <c r="I84" i="2"/>
  <c r="D84" i="2"/>
  <c r="E84" i="2"/>
  <c r="F84" i="2"/>
  <c r="P83" i="2"/>
  <c r="I83" i="2"/>
  <c r="F83" i="2"/>
  <c r="I82" i="2"/>
  <c r="I81" i="2"/>
  <c r="F81" i="2"/>
  <c r="I80" i="2"/>
  <c r="F80" i="2"/>
  <c r="I79" i="2"/>
  <c r="F79" i="2"/>
  <c r="I78" i="2"/>
  <c r="F78" i="2"/>
  <c r="I77" i="2"/>
  <c r="F77" i="2"/>
  <c r="I76" i="2"/>
  <c r="F76" i="2"/>
  <c r="I75" i="2"/>
  <c r="F75" i="2"/>
  <c r="O61" i="2"/>
  <c r="N61" i="2"/>
  <c r="P61" i="2"/>
  <c r="O62" i="2"/>
  <c r="N62" i="2"/>
  <c r="P62" i="2"/>
  <c r="O63" i="2"/>
  <c r="N63" i="2"/>
  <c r="P63" i="2"/>
  <c r="O64" i="2"/>
  <c r="N64" i="2"/>
  <c r="P64" i="2"/>
  <c r="O65" i="2"/>
  <c r="N65" i="2"/>
  <c r="P65" i="2"/>
  <c r="O66" i="2"/>
  <c r="N66" i="2"/>
  <c r="P66" i="2"/>
  <c r="O67" i="2"/>
  <c r="N67" i="2"/>
  <c r="P67" i="2"/>
  <c r="N68" i="2"/>
  <c r="O68" i="2"/>
  <c r="P68" i="2"/>
  <c r="P70" i="2"/>
  <c r="P71" i="2"/>
  <c r="O69" i="2"/>
  <c r="O70" i="2"/>
  <c r="N69" i="2"/>
  <c r="N70" i="2"/>
  <c r="G70" i="2"/>
  <c r="H70" i="2"/>
  <c r="I70" i="2"/>
  <c r="D70" i="2"/>
  <c r="E70" i="2"/>
  <c r="F70" i="2"/>
  <c r="P69" i="2"/>
  <c r="I69" i="2"/>
  <c r="F69" i="2"/>
  <c r="I68" i="2"/>
  <c r="F68" i="2"/>
  <c r="I67" i="2"/>
  <c r="F67" i="2"/>
  <c r="I66" i="2"/>
  <c r="F66" i="2"/>
  <c r="I65" i="2"/>
  <c r="F65" i="2"/>
  <c r="I64" i="2"/>
  <c r="F64" i="2"/>
  <c r="I63" i="2"/>
  <c r="F63" i="2"/>
  <c r="I62" i="2"/>
  <c r="F62" i="2"/>
  <c r="I61" i="2"/>
  <c r="F61" i="2"/>
  <c r="O47" i="2"/>
  <c r="N47" i="2"/>
  <c r="P47" i="2"/>
  <c r="O48" i="2"/>
  <c r="N48" i="2"/>
  <c r="P48" i="2"/>
  <c r="O49" i="2"/>
  <c r="N49" i="2"/>
  <c r="P49" i="2"/>
  <c r="O50" i="2"/>
  <c r="N50" i="2"/>
  <c r="P50" i="2"/>
  <c r="O51" i="2"/>
  <c r="N51" i="2"/>
  <c r="P51" i="2"/>
  <c r="O52" i="2"/>
  <c r="N52" i="2"/>
  <c r="P52" i="2"/>
  <c r="O53" i="2"/>
  <c r="N53" i="2"/>
  <c r="P53" i="2"/>
  <c r="O54" i="2"/>
  <c r="P54" i="2"/>
  <c r="P56" i="2"/>
  <c r="P57" i="2"/>
  <c r="O55" i="2"/>
  <c r="O56" i="2"/>
  <c r="N55" i="2"/>
  <c r="N56" i="2"/>
  <c r="G56" i="2"/>
  <c r="H56" i="2"/>
  <c r="I56" i="2"/>
  <c r="D56" i="2"/>
  <c r="E56" i="2"/>
  <c r="F56" i="2"/>
  <c r="P55" i="2"/>
  <c r="I55" i="2"/>
  <c r="F55" i="2"/>
  <c r="I54" i="2"/>
  <c r="F54" i="2"/>
  <c r="I53" i="2"/>
  <c r="F53" i="2"/>
  <c r="I52" i="2"/>
  <c r="F52" i="2"/>
  <c r="I51" i="2"/>
  <c r="F51" i="2"/>
  <c r="I50" i="2"/>
  <c r="F50" i="2"/>
  <c r="I49" i="2"/>
  <c r="F49" i="2"/>
  <c r="I48" i="2"/>
  <c r="F48" i="2"/>
  <c r="I47" i="2"/>
  <c r="F47" i="2"/>
  <c r="D29" i="2"/>
  <c r="D30" i="2"/>
  <c r="D31" i="2"/>
  <c r="D32" i="2"/>
  <c r="D34" i="2"/>
  <c r="A7" i="1"/>
  <c r="A6" i="1"/>
  <c r="A5" i="1"/>
  <c r="A4" i="1"/>
  <c r="A3" i="1"/>
  <c r="A2" i="1"/>
  <c r="G61" i="3"/>
  <c r="N29" i="3"/>
  <c r="N27" i="3"/>
  <c r="N55" i="3"/>
  <c r="G47" i="3"/>
  <c r="N52" i="3"/>
  <c r="N43" i="3"/>
  <c r="M47" i="3"/>
  <c r="M61" i="3"/>
  <c r="L33" i="3"/>
  <c r="D47" i="3"/>
  <c r="L47" i="3"/>
  <c r="N44" i="3"/>
  <c r="N40" i="3"/>
  <c r="N53" i="3"/>
  <c r="N30" i="3"/>
  <c r="N26" i="3"/>
  <c r="N56" i="3"/>
  <c r="N41" i="3"/>
  <c r="N39" i="3"/>
  <c r="M33" i="3"/>
  <c r="N60" i="3"/>
  <c r="N25" i="3"/>
  <c r="N54" i="3"/>
  <c r="N32" i="3"/>
  <c r="N28" i="3"/>
  <c r="N46" i="3"/>
  <c r="N42" i="3"/>
  <c r="N24" i="3"/>
  <c r="N38" i="3"/>
  <c r="N57" i="3"/>
  <c r="L61" i="3"/>
  <c r="N58" i="3"/>
  <c r="N33" i="3"/>
  <c r="N34" i="3"/>
  <c r="B6" i="3"/>
  <c r="N47" i="3"/>
  <c r="N48" i="3"/>
  <c r="B7" i="3"/>
  <c r="N61" i="3"/>
  <c r="N62" i="3"/>
  <c r="B8" i="3"/>
  <c r="B9" i="3"/>
  <c r="B11" i="3"/>
</calcChain>
</file>

<file path=xl/sharedStrings.xml><?xml version="1.0" encoding="utf-8"?>
<sst xmlns="http://schemas.openxmlformats.org/spreadsheetml/2006/main" count="12235" uniqueCount="1145">
  <si>
    <t>Helper method --&gt;</t>
  </si>
  <si>
    <t>I will turn the Summary Sheet workbooks into tabular data that can then be analyzed via a database.</t>
  </si>
  <si>
    <t>The Summary Sheet is in the below format. Please keep the summary sheets in this format.</t>
  </si>
  <si>
    <t>Enter the file path of the Summary Sheet files you'd like to tabularize, and I will tabularize that data for you.</t>
  </si>
  <si>
    <t>Example file path --&gt;                                             //share2006/Finance/Reports/2013</t>
  </si>
  <si>
    <t>Enter file path:</t>
  </si>
  <si>
    <t xml:space="preserve">Click me to run: </t>
  </si>
  <si>
    <t>Summary Audit Sheet</t>
  </si>
  <si>
    <t>Company Name</t>
  </si>
  <si>
    <t>Jamaica Royale Management Inc</t>
  </si>
  <si>
    <t>Prepared By:</t>
  </si>
  <si>
    <t>Contractor</t>
  </si>
  <si>
    <t>Account ID</t>
  </si>
  <si>
    <t>05-80165891</t>
  </si>
  <si>
    <t>Reviewed By:</t>
  </si>
  <si>
    <t>AB</t>
  </si>
  <si>
    <t>Date:</t>
  </si>
  <si>
    <t>Internal</t>
  </si>
  <si>
    <t>2011 (Refund)</t>
  </si>
  <si>
    <t>NOTES:</t>
  </si>
  <si>
    <t>2012 (Refund)</t>
  </si>
  <si>
    <t>2013 (Refund)</t>
  </si>
  <si>
    <t>Total Refund</t>
  </si>
  <si>
    <t>Variance</t>
  </si>
  <si>
    <t>Error Type</t>
  </si>
  <si>
    <t>8. Debit Rate Error Letter</t>
  </si>
  <si>
    <t>Action Item</t>
  </si>
  <si>
    <t>1.  No Action Needed</t>
  </si>
  <si>
    <t>Payment Type Rates</t>
  </si>
  <si>
    <t>Date</t>
  </si>
  <si>
    <t>Visa Rate</t>
  </si>
  <si>
    <t>Visa Count Rate</t>
  </si>
  <si>
    <t>MC Rate</t>
  </si>
  <si>
    <t>MC Rate Count</t>
  </si>
  <si>
    <t>Debit Rate</t>
  </si>
  <si>
    <t>Debit Count Rate</t>
  </si>
  <si>
    <t>Disc Rate</t>
  </si>
  <si>
    <t>Disc Count Rate</t>
  </si>
  <si>
    <t>Echeck Count Rate</t>
  </si>
  <si>
    <t>Amex Rate</t>
  </si>
  <si>
    <t>Scan Rate</t>
  </si>
  <si>
    <t>MMF Rate</t>
  </si>
  <si>
    <t>Pay by Cash Rate</t>
  </si>
  <si>
    <t>Contract</t>
  </si>
  <si>
    <t>Addendum</t>
  </si>
  <si>
    <t>Debit Letter</t>
  </si>
  <si>
    <t>Install Date</t>
  </si>
  <si>
    <t>Date Inactivated</t>
  </si>
  <si>
    <t>2011 Audit Results</t>
  </si>
  <si>
    <t>Payment Type</t>
  </si>
  <si>
    <t>Clean Volume</t>
  </si>
  <si>
    <t>Impacted Volume</t>
  </si>
  <si>
    <t>Total Volume</t>
  </si>
  <si>
    <t>Clean Count</t>
  </si>
  <si>
    <t>Impacted Count</t>
  </si>
  <si>
    <t>Total Count</t>
  </si>
  <si>
    <t>Invoice Rate</t>
  </si>
  <si>
    <t>Invoice Fee</t>
  </si>
  <si>
    <t>Correct Rate</t>
  </si>
  <si>
    <t>Correct Fee</t>
  </si>
  <si>
    <t>Total Invoiced</t>
  </si>
  <si>
    <t>Total with Correct Rates</t>
  </si>
  <si>
    <t>2011 Variance</t>
  </si>
  <si>
    <t>Visa</t>
  </si>
  <si>
    <t>MC</t>
  </si>
  <si>
    <t>Disc</t>
  </si>
  <si>
    <t>Echeck</t>
  </si>
  <si>
    <t>Amex</t>
  </si>
  <si>
    <t>Scan</t>
  </si>
  <si>
    <t>Debit</t>
  </si>
  <si>
    <t>MMF</t>
  </si>
  <si>
    <t>Pay by Cash</t>
  </si>
  <si>
    <t>Total</t>
  </si>
  <si>
    <t>Total (Refund) Due</t>
  </si>
  <si>
    <t>2012 Audit Results</t>
  </si>
  <si>
    <t>2012 Variance</t>
  </si>
  <si>
    <t>2013 Audit Results</t>
  </si>
  <si>
    <t>2013 Variance</t>
  </si>
  <si>
    <t>4. Contract=V2≠Bill</t>
  </si>
  <si>
    <t>2.  Ops - Set Up Pricing in V2</t>
  </si>
  <si>
    <t xml:space="preserve">Total   </t>
  </si>
  <si>
    <t>1. Clean</t>
  </si>
  <si>
    <t>AccountId</t>
  </si>
  <si>
    <t>Type</t>
  </si>
  <si>
    <t>Name</t>
  </si>
  <si>
    <t>PaymentMethod</t>
  </si>
  <si>
    <t>-</t>
  </si>
  <si>
    <t>2. No Contract, V2=Bill</t>
  </si>
  <si>
    <t>3. No Contract, V2≠Bill</t>
  </si>
  <si>
    <t>3.  Ops - Add Documentation to Profile in v2</t>
  </si>
  <si>
    <t>4.  Legal - Drafts Contract = Bill</t>
  </si>
  <si>
    <t>5. Contract≠V2=Bill</t>
  </si>
  <si>
    <t>5.  Acct'g - Update Debit Panel</t>
  </si>
  <si>
    <t>6. Contract≠V2≠Bill</t>
  </si>
  <si>
    <t>6.  Legal to Paper contract; Ops to Update V2</t>
  </si>
  <si>
    <t>7. Debit Rate Error Contract</t>
  </si>
  <si>
    <t>7. Acct'g Update Debit Panel; Ops to Update V2</t>
  </si>
  <si>
    <t>8.  Legal to Repaper Contract; Ops to Update V2; Acct'g to Add to Panel</t>
  </si>
  <si>
    <t>EndNodeAccount</t>
  </si>
  <si>
    <t>EndNodeName</t>
  </si>
  <si>
    <t>year</t>
  </si>
  <si>
    <t>txn_amount</t>
  </si>
  <si>
    <t>txn_count</t>
  </si>
  <si>
    <t>04-95162663</t>
  </si>
  <si>
    <t>Master Card</t>
  </si>
  <si>
    <t>Discover</t>
  </si>
  <si>
    <t>eCheck</t>
  </si>
  <si>
    <t>05-11714318</t>
  </si>
  <si>
    <t>05-11822642</t>
  </si>
  <si>
    <t>05-12687529</t>
  </si>
  <si>
    <t>05-15238265</t>
  </si>
  <si>
    <t>05-15280439</t>
  </si>
  <si>
    <t>05-15873181</t>
  </si>
  <si>
    <t>Crosland</t>
  </si>
  <si>
    <t>05-16284252</t>
  </si>
  <si>
    <t>05-17002381</t>
  </si>
  <si>
    <t>05-17854681</t>
  </si>
  <si>
    <t>05-18354555</t>
  </si>
  <si>
    <t>05-18534018</t>
  </si>
  <si>
    <t>05-18967607</t>
  </si>
  <si>
    <t>05-20983903</t>
  </si>
  <si>
    <t>05-21007316</t>
  </si>
  <si>
    <t>05-22732099</t>
  </si>
  <si>
    <t>05-22819031</t>
  </si>
  <si>
    <t>05-22878566</t>
  </si>
  <si>
    <t>05-25831481</t>
  </si>
  <si>
    <t>05-25833177</t>
  </si>
  <si>
    <t>05-27007655</t>
  </si>
  <si>
    <t>Grand Peaks Property Management</t>
  </si>
  <si>
    <t>05-27054114</t>
  </si>
  <si>
    <t>05-28022424</t>
  </si>
  <si>
    <t>05-28520454</t>
  </si>
  <si>
    <t>05-29115158</t>
  </si>
  <si>
    <t>American Express</t>
  </si>
  <si>
    <t>05-29324604</t>
  </si>
  <si>
    <t>05-29543098</t>
  </si>
  <si>
    <t>05-29659175</t>
  </si>
  <si>
    <t>05-30244858</t>
  </si>
  <si>
    <t>Vacation Station  Inc</t>
  </si>
  <si>
    <t>05-30248928</t>
  </si>
  <si>
    <t>Holiday Surf   Racquet Club</t>
  </si>
  <si>
    <t>05-30287365</t>
  </si>
  <si>
    <t>Property Management Hawaii</t>
  </si>
  <si>
    <t>C:\Users\jskilbeck\Desktop\Projects\Rev Audit 2\Templates\12-3</t>
  </si>
  <si>
    <t>Grand Total</t>
  </si>
  <si>
    <t>count</t>
  </si>
  <si>
    <t>volume</t>
  </si>
  <si>
    <t>Helper</t>
  </si>
  <si>
    <t>(blank)</t>
  </si>
  <si>
    <t>Unfilter blanks</t>
  </si>
  <si>
    <t>&lt;-- check below for errors!</t>
  </si>
  <si>
    <t>05-30289750</t>
  </si>
  <si>
    <t>05-30319330</t>
  </si>
  <si>
    <t>Oceanfront Realty  Inc</t>
  </si>
  <si>
    <t>05-30322941</t>
  </si>
  <si>
    <t>Oceano Rentals</t>
  </si>
  <si>
    <t>05-30366985</t>
  </si>
  <si>
    <t>05-30388930</t>
  </si>
  <si>
    <t>Beachside Colony</t>
  </si>
  <si>
    <t>05-30455056</t>
  </si>
  <si>
    <t>05-30456594</t>
  </si>
  <si>
    <t>05-30521076</t>
  </si>
  <si>
    <t>05-30547975</t>
  </si>
  <si>
    <t>Lifts West Condominium Hotel</t>
  </si>
  <si>
    <t>Debit Card</t>
  </si>
  <si>
    <t>05-30553129</t>
  </si>
  <si>
    <t>Sunset Realty Services</t>
  </si>
  <si>
    <t>05-30576087</t>
  </si>
  <si>
    <t>05-30636842</t>
  </si>
  <si>
    <t>05-30699425</t>
  </si>
  <si>
    <t>05-30726569</t>
  </si>
  <si>
    <t>05-30735453</t>
  </si>
  <si>
    <t>05-30780237</t>
  </si>
  <si>
    <t>05-30781612</t>
  </si>
  <si>
    <t>05-30794030</t>
  </si>
  <si>
    <t>05-30831636</t>
  </si>
  <si>
    <t>05-30880052</t>
  </si>
  <si>
    <t>05-30896369</t>
  </si>
  <si>
    <t>Prudential Kapp Lyons Realty</t>
  </si>
  <si>
    <t>05-30897799</t>
  </si>
  <si>
    <t>05-30901179</t>
  </si>
  <si>
    <t>05-30943610</t>
  </si>
  <si>
    <t>05-30949067</t>
  </si>
  <si>
    <t>05-30958036</t>
  </si>
  <si>
    <t>05-30982842</t>
  </si>
  <si>
    <t>05-30998386</t>
  </si>
  <si>
    <t>05-31006750</t>
  </si>
  <si>
    <t>Yellow Rose Realty  Inc</t>
  </si>
  <si>
    <t>05-31025690</t>
  </si>
  <si>
    <t>05-31039460</t>
  </si>
  <si>
    <t>05-31045960</t>
  </si>
  <si>
    <t>05-31092366</t>
  </si>
  <si>
    <t>05-31096470</t>
  </si>
  <si>
    <t>05-31124557</t>
  </si>
  <si>
    <t>05-31130693</t>
  </si>
  <si>
    <t>05-31732648</t>
  </si>
  <si>
    <t>05-35867025</t>
  </si>
  <si>
    <t>05-38207336</t>
  </si>
  <si>
    <t>05-39831541</t>
  </si>
  <si>
    <t>05-42143260</t>
  </si>
  <si>
    <t>Coastline Luxury Rentals</t>
  </si>
  <si>
    <t>05-42145848</t>
  </si>
  <si>
    <t>05-42147965</t>
  </si>
  <si>
    <t>Durkin Cottage Realty</t>
  </si>
  <si>
    <t>05-42154992</t>
  </si>
  <si>
    <t>Harbor Point Realty</t>
  </si>
  <si>
    <t>05-42170846</t>
  </si>
  <si>
    <t>05-42173070</t>
  </si>
  <si>
    <t>05-42200653</t>
  </si>
  <si>
    <t>Tahoe Keys Resort</t>
  </si>
  <si>
    <t>05-42303798</t>
  </si>
  <si>
    <t>05-42450771</t>
  </si>
  <si>
    <t>05-42933759</t>
  </si>
  <si>
    <t>05-43036558</t>
  </si>
  <si>
    <t>Bighorn Rentals of Summit County</t>
  </si>
  <si>
    <t>05-43636516</t>
  </si>
  <si>
    <t>05-43672785</t>
  </si>
  <si>
    <t>05-44019756</t>
  </si>
  <si>
    <t>05-44038027</t>
  </si>
  <si>
    <t>05-44442914</t>
  </si>
  <si>
    <t>05-44797573</t>
  </si>
  <si>
    <t>Chestnut Hill Realty Corp</t>
  </si>
  <si>
    <t>05-45245013</t>
  </si>
  <si>
    <t>05-45284052</t>
  </si>
  <si>
    <t>OSU Properties LLC</t>
  </si>
  <si>
    <t>05-45553084</t>
  </si>
  <si>
    <t>05-46608819</t>
  </si>
  <si>
    <t>05-48601546</t>
  </si>
  <si>
    <t>Resort Vacation Properties of St  George Island</t>
  </si>
  <si>
    <t>05-48607670</t>
  </si>
  <si>
    <t>Allstate Management Corporation</t>
  </si>
  <si>
    <t>05-48612461</t>
  </si>
  <si>
    <t>05-49527500</t>
  </si>
  <si>
    <t>05-49582200</t>
  </si>
  <si>
    <t>05-50534816</t>
  </si>
  <si>
    <t>05-51113719</t>
  </si>
  <si>
    <t>05-52252505</t>
  </si>
  <si>
    <t>05-52745153</t>
  </si>
  <si>
    <t>05-53173906</t>
  </si>
  <si>
    <t>05-53720962</t>
  </si>
  <si>
    <t>05-53734248</t>
  </si>
  <si>
    <t>05-53751834</t>
  </si>
  <si>
    <t>05-53752673</t>
  </si>
  <si>
    <t>05-53758730</t>
  </si>
  <si>
    <t>05-53768076</t>
  </si>
  <si>
    <t>05-54849187</t>
  </si>
  <si>
    <t>05-54851733</t>
  </si>
  <si>
    <t>05-54854398</t>
  </si>
  <si>
    <t>05-58786503</t>
  </si>
  <si>
    <t>05-60584618</t>
  </si>
  <si>
    <t>05-60992073</t>
  </si>
  <si>
    <t>05-61031007</t>
  </si>
  <si>
    <t>05-61039139</t>
  </si>
  <si>
    <t>05-61374805</t>
  </si>
  <si>
    <t>05-61375440</t>
  </si>
  <si>
    <t>Keystone Vacation Rentals Inc</t>
  </si>
  <si>
    <t>05-61389243</t>
  </si>
  <si>
    <t>05-61416213</t>
  </si>
  <si>
    <t>05-63165476</t>
  </si>
  <si>
    <t>05-63880892</t>
  </si>
  <si>
    <t>05-65759051</t>
  </si>
  <si>
    <t>05-65854462</t>
  </si>
  <si>
    <t>05-66245036</t>
  </si>
  <si>
    <t>05-66602743</t>
  </si>
  <si>
    <t>05-66608219</t>
  </si>
  <si>
    <t>05-66609326</t>
  </si>
  <si>
    <t>05-66951858</t>
  </si>
  <si>
    <t>05-67582356</t>
  </si>
  <si>
    <t>05-67618714</t>
  </si>
  <si>
    <t>710 Beach Rentals</t>
  </si>
  <si>
    <t>05-69139343</t>
  </si>
  <si>
    <t>05-69191057</t>
  </si>
  <si>
    <t>05-71172923</t>
  </si>
  <si>
    <t>05-71513883</t>
  </si>
  <si>
    <t>05-71589602</t>
  </si>
  <si>
    <t>05-71701747</t>
  </si>
  <si>
    <t>05-71839846</t>
  </si>
  <si>
    <t>Casas de Santa Fe Inc</t>
  </si>
  <si>
    <t>05-72275755</t>
  </si>
  <si>
    <t>05-72560909</t>
  </si>
  <si>
    <t>05-72564842</t>
  </si>
  <si>
    <t>05-72568150</t>
  </si>
  <si>
    <t>05-72653872</t>
  </si>
  <si>
    <t>05-72709522</t>
  </si>
  <si>
    <t>05-72989557</t>
  </si>
  <si>
    <t>05-73002994</t>
  </si>
  <si>
    <t>05-73034821</t>
  </si>
  <si>
    <t>05-73173447</t>
  </si>
  <si>
    <t>Northern Rental Management Inc</t>
  </si>
  <si>
    <t>05-73419662</t>
  </si>
  <si>
    <t>05-73782883</t>
  </si>
  <si>
    <t>05-73861522</t>
  </si>
  <si>
    <t>05-73863520</t>
  </si>
  <si>
    <t>05-73865261</t>
  </si>
  <si>
    <t>05-74103386</t>
  </si>
  <si>
    <t>Jenner Vacation Rentals</t>
  </si>
  <si>
    <t>05-75008479</t>
  </si>
  <si>
    <t>Daudelin Vacation Rentals</t>
  </si>
  <si>
    <t>05-75515177</t>
  </si>
  <si>
    <t>Latitude 26 Property Management</t>
  </si>
  <si>
    <t>05-75655167</t>
  </si>
  <si>
    <t>Florida Dream Homes</t>
  </si>
  <si>
    <t>05-77449177</t>
  </si>
  <si>
    <t>05-77616933</t>
  </si>
  <si>
    <t>Island Vacations of Sanibel and Captiva Inc</t>
  </si>
  <si>
    <t>05-77634830</t>
  </si>
  <si>
    <t>05-77704629</t>
  </si>
  <si>
    <t>The Safe Place Mini Storage</t>
  </si>
  <si>
    <t>05-78085949</t>
  </si>
  <si>
    <t>05-78419571</t>
  </si>
  <si>
    <t>05-78540194</t>
  </si>
  <si>
    <t>05-78604386</t>
  </si>
  <si>
    <t>05-78886999</t>
  </si>
  <si>
    <t>05-79099644</t>
  </si>
  <si>
    <t>05-79424372</t>
  </si>
  <si>
    <t>Black Hills Executive Lodging</t>
  </si>
  <si>
    <t>05-79532963</t>
  </si>
  <si>
    <t>Village Realty and Management Services Inc</t>
  </si>
  <si>
    <t>05-79909745</t>
  </si>
  <si>
    <t>05-79912680</t>
  </si>
  <si>
    <t>Sunset Rentals Inc</t>
  </si>
  <si>
    <t>05-79990925</t>
  </si>
  <si>
    <t>05-80044495</t>
  </si>
  <si>
    <t>05-80052982</t>
  </si>
  <si>
    <t>Casa Playa Resort</t>
  </si>
  <si>
    <t>05-80061898</t>
  </si>
  <si>
    <t>Coastal Cottages AMI LLC</t>
  </si>
  <si>
    <t>05-80537333</t>
  </si>
  <si>
    <t>Long and Foster Real Estate Delaware</t>
  </si>
  <si>
    <t>05-80607100</t>
  </si>
  <si>
    <t>05-80823467</t>
  </si>
  <si>
    <t>05-80824660</t>
  </si>
  <si>
    <t>05-80837732</t>
  </si>
  <si>
    <t>05-81070446</t>
  </si>
  <si>
    <t>Island Breeze Rentals</t>
  </si>
  <si>
    <t>05-81270365</t>
  </si>
  <si>
    <t>Goodwin Management Inc  HOA</t>
  </si>
  <si>
    <t>05-81949124</t>
  </si>
  <si>
    <t>05-82357696</t>
  </si>
  <si>
    <t>05-82504074</t>
  </si>
  <si>
    <t>05-82515911</t>
  </si>
  <si>
    <t>05-82516749</t>
  </si>
  <si>
    <t>05-82595050</t>
  </si>
  <si>
    <t>Reed Real Estate and Construction</t>
  </si>
  <si>
    <t>05-82644064</t>
  </si>
  <si>
    <t>Cuddle Up Cabin Rentals Inc</t>
  </si>
  <si>
    <t>05-82663863</t>
  </si>
  <si>
    <t>05-83146839</t>
  </si>
  <si>
    <t>05-84056348</t>
  </si>
  <si>
    <t>05-84538457</t>
  </si>
  <si>
    <t>05-84832227</t>
  </si>
  <si>
    <t>05-84991920</t>
  </si>
  <si>
    <t>05-85004849</t>
  </si>
  <si>
    <t>05-85128093</t>
  </si>
  <si>
    <t>Tamarron Association of Condominium Owners Inc</t>
  </si>
  <si>
    <t>05-85297612</t>
  </si>
  <si>
    <t>Noric Miramar Beach</t>
  </si>
  <si>
    <t>05-85439801</t>
  </si>
  <si>
    <t>Sliding Rock Cabins</t>
  </si>
  <si>
    <t>05-85555730</t>
  </si>
  <si>
    <t>05-85986633</t>
  </si>
  <si>
    <t>AGPM LLC</t>
  </si>
  <si>
    <t>05-86215864</t>
  </si>
  <si>
    <t>05-86497615</t>
  </si>
  <si>
    <t>05-86498636</t>
  </si>
  <si>
    <t>05-86733896</t>
  </si>
  <si>
    <t>05-86900265</t>
  </si>
  <si>
    <t>05-87055409</t>
  </si>
  <si>
    <t>05-87127144</t>
  </si>
  <si>
    <t>05-87132894</t>
  </si>
  <si>
    <t>Eos Real Estate Management Group LLC</t>
  </si>
  <si>
    <t>05-87365490</t>
  </si>
  <si>
    <t>05-87399637</t>
  </si>
  <si>
    <t>05-87416510</t>
  </si>
  <si>
    <t>Charter at Beaver Creek</t>
  </si>
  <si>
    <t>05-87466980</t>
  </si>
  <si>
    <t>05-87523232</t>
  </si>
  <si>
    <t>Sierra Realty and Management</t>
  </si>
  <si>
    <t>05-87535918</t>
  </si>
  <si>
    <t>05-87718003</t>
  </si>
  <si>
    <t>Florida Lifestyle Vacation Rentals</t>
  </si>
  <si>
    <t>05-87876934</t>
  </si>
  <si>
    <t>05-88068688</t>
  </si>
  <si>
    <t>05-88090225</t>
  </si>
  <si>
    <t>05-88114219</t>
  </si>
  <si>
    <t>05-88179243</t>
  </si>
  <si>
    <t>05-88234832</t>
  </si>
  <si>
    <t>05-88294225</t>
  </si>
  <si>
    <t>05-88341156</t>
  </si>
  <si>
    <t>05-88347536</t>
  </si>
  <si>
    <t>05-88499978</t>
  </si>
  <si>
    <t>05-88501695</t>
  </si>
  <si>
    <t>Keith Brant</t>
  </si>
  <si>
    <t>05-88766195</t>
  </si>
  <si>
    <t>Busy Bee Vacations</t>
  </si>
  <si>
    <t>05-89114995</t>
  </si>
  <si>
    <t>05-89311215</t>
  </si>
  <si>
    <t>05-89345708</t>
  </si>
  <si>
    <t>05-89400171</t>
  </si>
  <si>
    <t>05-89592142</t>
  </si>
  <si>
    <t>05-89608229</t>
  </si>
  <si>
    <t>05-89740325</t>
  </si>
  <si>
    <t>05-89831955</t>
  </si>
  <si>
    <t>Beach Time Rentals</t>
  </si>
  <si>
    <t>05-90001451</t>
  </si>
  <si>
    <t>05-90089837</t>
  </si>
  <si>
    <t>05-90169575</t>
  </si>
  <si>
    <t>Crystal Coast Escapes</t>
  </si>
  <si>
    <t>05-90667776</t>
  </si>
  <si>
    <t>05-90702727</t>
  </si>
  <si>
    <t>05-90908866</t>
  </si>
  <si>
    <t>E and S Ring Management Corp</t>
  </si>
  <si>
    <t>Cash</t>
  </si>
  <si>
    <t>05-90913646</t>
  </si>
  <si>
    <t>Carmel River Inn</t>
  </si>
  <si>
    <t>05-90920394</t>
  </si>
  <si>
    <t>05-90924185</t>
  </si>
  <si>
    <t>05-91620466</t>
  </si>
  <si>
    <t>05-92071519</t>
  </si>
  <si>
    <t>05-92109997</t>
  </si>
  <si>
    <t>05-92114506</t>
  </si>
  <si>
    <t>05-92509241</t>
  </si>
  <si>
    <t>05-92571644</t>
  </si>
  <si>
    <t>Gulf Blue Vacations</t>
  </si>
  <si>
    <t>05-92584385</t>
  </si>
  <si>
    <t>05-92739969</t>
  </si>
  <si>
    <t>Kitty Hawk Rentals</t>
  </si>
  <si>
    <t>05-92742064</t>
  </si>
  <si>
    <t>OMG TRAVEL TAX</t>
  </si>
  <si>
    <t>05-93965969</t>
  </si>
  <si>
    <t>Coastal Joe Vacation Rentals</t>
  </si>
  <si>
    <t>05-94124839</t>
  </si>
  <si>
    <t>Ohiopyle Vacation Rentals</t>
  </si>
  <si>
    <t>05-94151813</t>
  </si>
  <si>
    <t>Kitty Hawk Rentals 2</t>
  </si>
  <si>
    <t>05-94209237</t>
  </si>
  <si>
    <t>05-94258095</t>
  </si>
  <si>
    <t>05-94658598</t>
  </si>
  <si>
    <t>05-94839759</t>
  </si>
  <si>
    <t>05-94902998</t>
  </si>
  <si>
    <t>05-95005162</t>
  </si>
  <si>
    <t>05-95939227</t>
  </si>
  <si>
    <t>05-96324392</t>
  </si>
  <si>
    <t>05-96360840</t>
  </si>
  <si>
    <t>05-96362729</t>
  </si>
  <si>
    <t>05-96389995</t>
  </si>
  <si>
    <t>05-96442133</t>
  </si>
  <si>
    <t>05-96449385</t>
  </si>
  <si>
    <t>05-96462328</t>
  </si>
  <si>
    <t>Baker Acres RV Resort</t>
  </si>
  <si>
    <t>05-96469796</t>
  </si>
  <si>
    <t>05-96476228</t>
  </si>
  <si>
    <t>05-96487176</t>
  </si>
  <si>
    <t>05-96491474</t>
  </si>
  <si>
    <t>Three Worlds RV   MHP</t>
  </si>
  <si>
    <t>05-96493290</t>
  </si>
  <si>
    <t>05-96638583</t>
  </si>
  <si>
    <t>05-96641611</t>
  </si>
  <si>
    <t>1st Class Bed and Breakfast Reservation Service</t>
  </si>
  <si>
    <t>05-96650475</t>
  </si>
  <si>
    <t>05-96799165</t>
  </si>
  <si>
    <t>05-96814987</t>
  </si>
  <si>
    <t>05-96830585</t>
  </si>
  <si>
    <t>05-96851917</t>
  </si>
  <si>
    <t>05-96975161</t>
  </si>
  <si>
    <t>05-97204983</t>
  </si>
  <si>
    <t>05-97206914</t>
  </si>
  <si>
    <t>05-97343372</t>
  </si>
  <si>
    <t>05-97540818</t>
  </si>
  <si>
    <t>05-97937205</t>
  </si>
  <si>
    <t>Range Property Management</t>
  </si>
  <si>
    <t>05-98393484</t>
  </si>
  <si>
    <t>05-98522998</t>
  </si>
  <si>
    <t>05-98561573</t>
  </si>
  <si>
    <t>05-99010034</t>
  </si>
  <si>
    <t>05-99486549</t>
  </si>
  <si>
    <t>05-99915690</t>
  </si>
  <si>
    <t>05-99917803</t>
  </si>
  <si>
    <t>06-10016965</t>
  </si>
  <si>
    <t>06-10036161</t>
  </si>
  <si>
    <t>06-10044799</t>
  </si>
  <si>
    <t>06-10048568</t>
  </si>
  <si>
    <t>06-10061932</t>
  </si>
  <si>
    <t>06-10075898</t>
  </si>
  <si>
    <t>R C Evans Management Group</t>
  </si>
  <si>
    <t>06-10078691</t>
  </si>
  <si>
    <t>06-10082728</t>
  </si>
  <si>
    <t>06-10106347</t>
  </si>
  <si>
    <t>06-10110065</t>
  </si>
  <si>
    <t>06-10165128</t>
  </si>
  <si>
    <t>06-10170317</t>
  </si>
  <si>
    <t>06-10184563</t>
  </si>
  <si>
    <t>06-10200005</t>
  </si>
  <si>
    <t>06-10216806</t>
  </si>
  <si>
    <t>DeNova Homes</t>
  </si>
  <si>
    <t>06-10218525</t>
  </si>
  <si>
    <t>06-10220115</t>
  </si>
  <si>
    <t>06-10222953</t>
  </si>
  <si>
    <t>06-10223189</t>
  </si>
  <si>
    <t>06-10267004</t>
  </si>
  <si>
    <t>06-10297933</t>
  </si>
  <si>
    <t>06-10306998</t>
  </si>
  <si>
    <t>06-10312722</t>
  </si>
  <si>
    <t>06-10313077</t>
  </si>
  <si>
    <t>06-10314087</t>
  </si>
  <si>
    <t>06-10325128</t>
  </si>
  <si>
    <t>06-10325979</t>
  </si>
  <si>
    <t>06-10333518</t>
  </si>
  <si>
    <t>06-10334197</t>
  </si>
  <si>
    <t>06-10369786</t>
  </si>
  <si>
    <t>06-10375145</t>
  </si>
  <si>
    <t>06-10378517</t>
  </si>
  <si>
    <t>06-10379022</t>
  </si>
  <si>
    <t>06-10439780</t>
  </si>
  <si>
    <t>06-10490633</t>
  </si>
  <si>
    <t>Beach Condos in Destin Inc</t>
  </si>
  <si>
    <t>06-10497926</t>
  </si>
  <si>
    <t>06-10501209</t>
  </si>
  <si>
    <t>06-10517215</t>
  </si>
  <si>
    <t>06-10520484</t>
  </si>
  <si>
    <t>06-10544459</t>
  </si>
  <si>
    <t>06-10548819</t>
  </si>
  <si>
    <t>06-10593187</t>
  </si>
  <si>
    <t>06-10594357</t>
  </si>
  <si>
    <t>06-10616644</t>
  </si>
  <si>
    <t>06-10626184</t>
  </si>
  <si>
    <t>06-10638343</t>
  </si>
  <si>
    <t>06-10638699</t>
  </si>
  <si>
    <t>06-10639988</t>
  </si>
  <si>
    <t>06-10673171</t>
  </si>
  <si>
    <t>06-10702075</t>
  </si>
  <si>
    <t>06-10706888</t>
  </si>
  <si>
    <t>06-10735655</t>
  </si>
  <si>
    <t>06-10735989</t>
  </si>
  <si>
    <t>06-10761889</t>
  </si>
  <si>
    <t>06-10778430</t>
  </si>
  <si>
    <t>06-10793255</t>
  </si>
  <si>
    <t>06-10794072</t>
  </si>
  <si>
    <t>06-10805176</t>
  </si>
  <si>
    <t>06-10816615</t>
  </si>
  <si>
    <t>06-10819292</t>
  </si>
  <si>
    <t>06-10833676</t>
  </si>
  <si>
    <t>06-10846351</t>
  </si>
  <si>
    <t>06-10846470</t>
  </si>
  <si>
    <t>06-10871597</t>
  </si>
  <si>
    <t>06-10897065</t>
  </si>
  <si>
    <t>06-10947766</t>
  </si>
  <si>
    <t>06-10970971</t>
  </si>
  <si>
    <t>06-10976061</t>
  </si>
  <si>
    <t>06-10978456</t>
  </si>
  <si>
    <t>06-10980831</t>
  </si>
  <si>
    <t>06-10985461</t>
  </si>
  <si>
    <t>06-11009012</t>
  </si>
  <si>
    <t>06-11011613</t>
  </si>
  <si>
    <t>06-11012377</t>
  </si>
  <si>
    <t>06-11042745</t>
  </si>
  <si>
    <t>06-11068019</t>
  </si>
  <si>
    <t>06-11115252</t>
  </si>
  <si>
    <t>06-11120894</t>
  </si>
  <si>
    <t>06-11139863</t>
  </si>
  <si>
    <t>06-11143826</t>
  </si>
  <si>
    <t>06-11172972</t>
  </si>
  <si>
    <t>06-11176161</t>
  </si>
  <si>
    <t>06-11186731</t>
  </si>
  <si>
    <t>06-11199803</t>
  </si>
  <si>
    <t>06-11200350</t>
  </si>
  <si>
    <t>06-11216214</t>
  </si>
  <si>
    <t>06-11231750</t>
  </si>
  <si>
    <t>06-11234542</t>
  </si>
  <si>
    <t>06-11251581</t>
  </si>
  <si>
    <t>06-11251600</t>
  </si>
  <si>
    <t>06-11252751</t>
  </si>
  <si>
    <t>06-11297813</t>
  </si>
  <si>
    <t>06-11512004</t>
  </si>
  <si>
    <t>06-11516839</t>
  </si>
  <si>
    <t>06-11531676</t>
  </si>
  <si>
    <t>06-11536228</t>
  </si>
  <si>
    <t>06-11541161</t>
  </si>
  <si>
    <t>06-11543910</t>
  </si>
  <si>
    <t>06-11544685</t>
  </si>
  <si>
    <t>06-11545929</t>
  </si>
  <si>
    <t>06-11549981</t>
  </si>
  <si>
    <t>06-11553030</t>
  </si>
  <si>
    <t>06-11554095</t>
  </si>
  <si>
    <t>06-11557519</t>
  </si>
  <si>
    <t>06-11577522</t>
  </si>
  <si>
    <t>06-11586159</t>
  </si>
  <si>
    <t>06-11593313</t>
  </si>
  <si>
    <t>06-11594088</t>
  </si>
  <si>
    <t>06-11596558</t>
  </si>
  <si>
    <t>06-11599801</t>
  </si>
  <si>
    <t>06-11606095</t>
  </si>
  <si>
    <t>06-11607436</t>
  </si>
  <si>
    <t>06-11615752</t>
  </si>
  <si>
    <t>06-11619684</t>
  </si>
  <si>
    <t>06-11646000</t>
  </si>
  <si>
    <t>06-11647010</t>
  </si>
  <si>
    <t>06-11660570</t>
  </si>
  <si>
    <t>06-11666961</t>
  </si>
  <si>
    <t>06-11673006</t>
  </si>
  <si>
    <t>06-11679293</t>
  </si>
  <si>
    <t>06-11695697</t>
  </si>
  <si>
    <t>06-11696414</t>
  </si>
  <si>
    <t>06-11798419</t>
  </si>
  <si>
    <t>06-11818151</t>
  </si>
  <si>
    <t>06-11826507</t>
  </si>
  <si>
    <t>06-11836348</t>
  </si>
  <si>
    <t>06-11838937</t>
  </si>
  <si>
    <t>06-11840550</t>
  </si>
  <si>
    <t>06-11848251</t>
  </si>
  <si>
    <t>14-25000242</t>
  </si>
  <si>
    <t>15-12303286</t>
  </si>
  <si>
    <t>15-13798823</t>
  </si>
  <si>
    <t>America First Properties Management Companies</t>
  </si>
  <si>
    <t>15-14702379</t>
  </si>
  <si>
    <t>15-18933315</t>
  </si>
  <si>
    <t>15-19414446</t>
  </si>
  <si>
    <t>Kisco</t>
  </si>
  <si>
    <t>15-20982451</t>
  </si>
  <si>
    <t>15-20995675</t>
  </si>
  <si>
    <t>15-21649083</t>
  </si>
  <si>
    <t>15-22889615</t>
  </si>
  <si>
    <t>15-22917446</t>
  </si>
  <si>
    <t>RW SELBY   CO  INC</t>
  </si>
  <si>
    <t>15-23783572</t>
  </si>
  <si>
    <t>15-24146947</t>
  </si>
  <si>
    <t>15-25813967</t>
  </si>
  <si>
    <t>15-25838726</t>
  </si>
  <si>
    <t>Tower Home Rentals LLC</t>
  </si>
  <si>
    <t>15-25840402</t>
  </si>
  <si>
    <t>15-29297040</t>
  </si>
  <si>
    <t>15-29827573</t>
  </si>
  <si>
    <t>15-30194240</t>
  </si>
  <si>
    <t>Mountain Resorts LLC</t>
  </si>
  <si>
    <t>15-30200383</t>
  </si>
  <si>
    <t>Biloxi Beach Resort Rentals</t>
  </si>
  <si>
    <t>15-30215431</t>
  </si>
  <si>
    <t>Summit Resort Group</t>
  </si>
  <si>
    <t>15-30216418</t>
  </si>
  <si>
    <t xml:space="preserve">Condominium Management Co </t>
  </si>
  <si>
    <t>15-30227515</t>
  </si>
  <si>
    <t>Lake Tahoe Deluxe Vacation Rentals</t>
  </si>
  <si>
    <t>15-30238418</t>
  </si>
  <si>
    <t>15-30242459</t>
  </si>
  <si>
    <t>Sunset Properties</t>
  </si>
  <si>
    <t>15-30246529</t>
  </si>
  <si>
    <t>The Dieter Company</t>
  </si>
  <si>
    <t>15-30257819</t>
  </si>
  <si>
    <t>Ski Country Resorts Mgmt</t>
  </si>
  <si>
    <t>15-30265414</t>
  </si>
  <si>
    <t>Newman Dailey Resort Prop  Mgmt</t>
  </si>
  <si>
    <t>15-30308962</t>
  </si>
  <si>
    <t>15-30323903</t>
  </si>
  <si>
    <t>15-30356914</t>
  </si>
  <si>
    <t>15-30358053</t>
  </si>
  <si>
    <t>15-30382988</t>
  </si>
  <si>
    <t>15-30506140</t>
  </si>
  <si>
    <t>Shaver Lake Real Estate Inc</t>
  </si>
  <si>
    <t>15-30527408</t>
  </si>
  <si>
    <t>Sandalfoot Condominiums</t>
  </si>
  <si>
    <t>15-30594668</t>
  </si>
  <si>
    <t>Palmetto Vacations</t>
  </si>
  <si>
    <t>15-30603429</t>
  </si>
  <si>
    <t>Destin Resorts Inc</t>
  </si>
  <si>
    <t>15-30680851</t>
  </si>
  <si>
    <t>Contempo Florida Holidays</t>
  </si>
  <si>
    <t>15-30687166</t>
  </si>
  <si>
    <t>15-30700504</t>
  </si>
  <si>
    <t>15-30742012</t>
  </si>
  <si>
    <t>15-30744838</t>
  </si>
  <si>
    <t>Greenbrier Valley Resorts</t>
  </si>
  <si>
    <t>15-30751627</t>
  </si>
  <si>
    <t>15-30762627</t>
  </si>
  <si>
    <t>Coldwell Banker Deep Creek Realty</t>
  </si>
  <si>
    <t>15-30775142</t>
  </si>
  <si>
    <t>15-30790194</t>
  </si>
  <si>
    <t>15-30844017</t>
  </si>
  <si>
    <t>Maui Condos By Owner</t>
  </si>
  <si>
    <t>15-30847951</t>
  </si>
  <si>
    <t>15-30851334</t>
  </si>
  <si>
    <t>15-30858490</t>
  </si>
  <si>
    <t>15-30875581</t>
  </si>
  <si>
    <t>15-30885560</t>
  </si>
  <si>
    <t>15-30888998</t>
  </si>
  <si>
    <t>15-30890618</t>
  </si>
  <si>
    <t>15-30893068</t>
  </si>
  <si>
    <t>15-30922360</t>
  </si>
  <si>
    <t>Key Colony Beach Realty Inc</t>
  </si>
  <si>
    <t>15-30952147</t>
  </si>
  <si>
    <t>15-30964641</t>
  </si>
  <si>
    <t>15-30978369</t>
  </si>
  <si>
    <t>15-30980788</t>
  </si>
  <si>
    <t>Four Seasons Resort Management</t>
  </si>
  <si>
    <t>15-30986588</t>
  </si>
  <si>
    <t>Liberty Vacation Homes</t>
  </si>
  <si>
    <t>15-30997481</t>
  </si>
  <si>
    <t>15-30999304</t>
  </si>
  <si>
    <t>15-31032754</t>
  </si>
  <si>
    <t>15-31049015</t>
  </si>
  <si>
    <t>15-31059209</t>
  </si>
  <si>
    <t>15-31073207</t>
  </si>
  <si>
    <t>15-31102866</t>
  </si>
  <si>
    <t>15-31123157</t>
  </si>
  <si>
    <t>15-31127078</t>
  </si>
  <si>
    <t>15-31129173</t>
  </si>
  <si>
    <t>15-32440099</t>
  </si>
  <si>
    <t>15-33317392</t>
  </si>
  <si>
    <t>15-34344405</t>
  </si>
  <si>
    <t>15-34740485</t>
  </si>
  <si>
    <t>15-35050356</t>
  </si>
  <si>
    <t>15-35083947</t>
  </si>
  <si>
    <t>15-35148086</t>
  </si>
  <si>
    <t>15-35997970</t>
  </si>
  <si>
    <t>15-36107509</t>
  </si>
  <si>
    <t>15-39792580</t>
  </si>
  <si>
    <t>15-42122006</t>
  </si>
  <si>
    <t>15-42158627</t>
  </si>
  <si>
    <t>15-42180907</t>
  </si>
  <si>
    <t>Sandys By The Shore</t>
  </si>
  <si>
    <t>15-42203453</t>
  </si>
  <si>
    <t>Tybee Vacation Rentals</t>
  </si>
  <si>
    <t>15-42210219</t>
  </si>
  <si>
    <t>Leslies Vacation Rentals LLC</t>
  </si>
  <si>
    <t>15-42302752</t>
  </si>
  <si>
    <t>Seaside Getaways</t>
  </si>
  <si>
    <t>15-42526947</t>
  </si>
  <si>
    <t>15-42993484</t>
  </si>
  <si>
    <t>15-43201379</t>
  </si>
  <si>
    <t>15-44066397</t>
  </si>
  <si>
    <t>15-44818608</t>
  </si>
  <si>
    <t>15-46710469</t>
  </si>
  <si>
    <t>15-48604249</t>
  </si>
  <si>
    <t>15-49833149</t>
  </si>
  <si>
    <t>15-50423850</t>
  </si>
  <si>
    <t>15-50514156</t>
  </si>
  <si>
    <t>15-50554893</t>
  </si>
  <si>
    <t>15-51118700</t>
  </si>
  <si>
    <t>15-52001162</t>
  </si>
  <si>
    <t>South Padre Island Realty LLC</t>
  </si>
  <si>
    <t>15-53715963</t>
  </si>
  <si>
    <t>15-53723234</t>
  </si>
  <si>
    <t>15-53728369</t>
  </si>
  <si>
    <t>15-53749252</t>
  </si>
  <si>
    <t>15-53761876</t>
  </si>
  <si>
    <t>15-53773671</t>
  </si>
  <si>
    <t>15-53775066</t>
  </si>
  <si>
    <t>15-53780170</t>
  </si>
  <si>
    <t>15-53786345</t>
  </si>
  <si>
    <t>15-53791642</t>
  </si>
  <si>
    <t>15-53795585</t>
  </si>
  <si>
    <t>15-54846994</t>
  </si>
  <si>
    <t>15-57100400</t>
  </si>
  <si>
    <t>15-57236329</t>
  </si>
  <si>
    <t>15-57237373</t>
  </si>
  <si>
    <t>15-59033081</t>
  </si>
  <si>
    <t>15-66335288</t>
  </si>
  <si>
    <t>Whaler Vacation Rental Program</t>
  </si>
  <si>
    <t>15-66686669</t>
  </si>
  <si>
    <t>Easy Street Vacation Rentals LLC</t>
  </si>
  <si>
    <t>15-66819481</t>
  </si>
  <si>
    <t>15-67581064</t>
  </si>
  <si>
    <t>Southern California Vacation Rentals</t>
  </si>
  <si>
    <t>15-67583794</t>
  </si>
  <si>
    <t>15-67607915</t>
  </si>
  <si>
    <t>15-67716033</t>
  </si>
  <si>
    <t>15-67734112</t>
  </si>
  <si>
    <t>15-69144904</t>
  </si>
  <si>
    <t>15-69177733</t>
  </si>
  <si>
    <t>15-71534193</t>
  </si>
  <si>
    <t>15-71966835</t>
  </si>
  <si>
    <t>15-72019286</t>
  </si>
  <si>
    <t>15-72434430</t>
  </si>
  <si>
    <t>15-72479138</t>
  </si>
  <si>
    <t>15-72563538</t>
  </si>
  <si>
    <t>15-72566290</t>
  </si>
  <si>
    <t>15-72571597</t>
  </si>
  <si>
    <t>15-73139024</t>
  </si>
  <si>
    <t>The Hayman Company</t>
  </si>
  <si>
    <t>15-73415522</t>
  </si>
  <si>
    <t>15-73866513</t>
  </si>
  <si>
    <t>15-74104315</t>
  </si>
  <si>
    <t>15-74566458</t>
  </si>
  <si>
    <t>15-74914248</t>
  </si>
  <si>
    <t>15-75004652</t>
  </si>
  <si>
    <t>15-75361696</t>
  </si>
  <si>
    <t>15-75381568</t>
  </si>
  <si>
    <t>15-75427198</t>
  </si>
  <si>
    <t>Loyalty Vacation Rental Homes</t>
  </si>
  <si>
    <t>15-75522510</t>
  </si>
  <si>
    <t>15-75542749</t>
  </si>
  <si>
    <t>15-75556014</t>
  </si>
  <si>
    <t>15-76728948</t>
  </si>
  <si>
    <t>15-76730118</t>
  </si>
  <si>
    <t>15-77460692</t>
  </si>
  <si>
    <t>15-77719150</t>
  </si>
  <si>
    <t>15-77752225</t>
  </si>
  <si>
    <t>15-77818868</t>
  </si>
  <si>
    <t>Miss Kittys Fishing Getaways</t>
  </si>
  <si>
    <t>15-77945980</t>
  </si>
  <si>
    <t>15-78539469</t>
  </si>
  <si>
    <t>15-78883621</t>
  </si>
  <si>
    <t>15-79169430</t>
  </si>
  <si>
    <t>15-79196588</t>
  </si>
  <si>
    <t>Rocky Mountain Resort Management</t>
  </si>
  <si>
    <t>15-79868913</t>
  </si>
  <si>
    <t>15-79905951</t>
  </si>
  <si>
    <t>Peak Property Management</t>
  </si>
  <si>
    <t>15-79915178</t>
  </si>
  <si>
    <t>Chelan Vacation Properties LLC</t>
  </si>
  <si>
    <t>15-79937457</t>
  </si>
  <si>
    <t>The Owner Rental Group</t>
  </si>
  <si>
    <t>15-79939712</t>
  </si>
  <si>
    <t>The Diplomat Resort</t>
  </si>
  <si>
    <t>15-79982286</t>
  </si>
  <si>
    <t>SNOHOMISH STORAGE ON BICKFORD</t>
  </si>
  <si>
    <t>15-80018194</t>
  </si>
  <si>
    <t>Mammoth Front Desk</t>
  </si>
  <si>
    <t>15-80056156</t>
  </si>
  <si>
    <t>15-80058734</t>
  </si>
  <si>
    <t>Seahorse Beach Resort</t>
  </si>
  <si>
    <t>15-80064911</t>
  </si>
  <si>
    <t>Pelican Beach Management Inc</t>
  </si>
  <si>
    <t>15-80144875</t>
  </si>
  <si>
    <t>JME Management Inc</t>
  </si>
  <si>
    <t>15-80256019</t>
  </si>
  <si>
    <t>Crescent Royale Condominium Association Inc</t>
  </si>
  <si>
    <t>15-80410941</t>
  </si>
  <si>
    <t>15-80834323</t>
  </si>
  <si>
    <t>15-81115643</t>
  </si>
  <si>
    <t>15-81805061</t>
  </si>
  <si>
    <t>15-81926746</t>
  </si>
  <si>
    <t>15-82011702</t>
  </si>
  <si>
    <t>15-82509247</t>
  </si>
  <si>
    <t>Picard Realty Rentals</t>
  </si>
  <si>
    <t>15-82514533</t>
  </si>
  <si>
    <t>15-82552874</t>
  </si>
  <si>
    <t>Oasis Property Management LLC</t>
  </si>
  <si>
    <t>15-82667952</t>
  </si>
  <si>
    <t>15-83082161</t>
  </si>
  <si>
    <t>15-83177032</t>
  </si>
  <si>
    <t>15-83892599</t>
  </si>
  <si>
    <t>15-83904421</t>
  </si>
  <si>
    <t>Kettler Management</t>
  </si>
  <si>
    <t>15-84097821</t>
  </si>
  <si>
    <t>15-84416833</t>
  </si>
  <si>
    <t>Pinnacle Cabin Rentals Inc</t>
  </si>
  <si>
    <t>15-84517862</t>
  </si>
  <si>
    <t>15-84749663</t>
  </si>
  <si>
    <t>15-84836394</t>
  </si>
  <si>
    <t>15-84921652</t>
  </si>
  <si>
    <t>15-85292670</t>
  </si>
  <si>
    <t>Harmony Shores MHP</t>
  </si>
  <si>
    <t>15-85411547</t>
  </si>
  <si>
    <t>15-86128828</t>
  </si>
  <si>
    <t>15-86253049</t>
  </si>
  <si>
    <t>Cleveland Housing Parent</t>
  </si>
  <si>
    <t>15-86441602</t>
  </si>
  <si>
    <t>15-86492112</t>
  </si>
  <si>
    <t>15-86493155</t>
  </si>
  <si>
    <t>15-86587812</t>
  </si>
  <si>
    <t>15-86607145</t>
  </si>
  <si>
    <t>AFFINITY PROPERTY MANAGEMENT</t>
  </si>
  <si>
    <t>15-86611216</t>
  </si>
  <si>
    <t>15-86899812</t>
  </si>
  <si>
    <t>15-87012869</t>
  </si>
  <si>
    <t>Southern Shores Realty Outer Banks</t>
  </si>
  <si>
    <t>15-87031356</t>
  </si>
  <si>
    <t>15-87153836</t>
  </si>
  <si>
    <t>Aspen Square Condominium Association</t>
  </si>
  <si>
    <t>15-87501262</t>
  </si>
  <si>
    <t>15-87533326</t>
  </si>
  <si>
    <t>15-87537065</t>
  </si>
  <si>
    <t>15-87662134</t>
  </si>
  <si>
    <t>15-87871237</t>
  </si>
  <si>
    <t>15-87872140</t>
  </si>
  <si>
    <t>15-87933261</t>
  </si>
  <si>
    <t>15-88085550</t>
  </si>
  <si>
    <t>15-88171680</t>
  </si>
  <si>
    <t>15-88233818</t>
  </si>
  <si>
    <t>15-88260331</t>
  </si>
  <si>
    <t>15-88314384</t>
  </si>
  <si>
    <t>15-88342969</t>
  </si>
  <si>
    <t>15-88344774</t>
  </si>
  <si>
    <t>15-88415261</t>
  </si>
  <si>
    <t>15-88434350</t>
  </si>
  <si>
    <t>15-88664700</t>
  </si>
  <si>
    <t>15-88688991</t>
  </si>
  <si>
    <t>15-89108588</t>
  </si>
  <si>
    <t>15-89110510</t>
  </si>
  <si>
    <t>15-89116376</t>
  </si>
  <si>
    <t>15-89228123</t>
  </si>
  <si>
    <t>A1 U Stor It</t>
  </si>
  <si>
    <t>15-89231325</t>
  </si>
  <si>
    <t>15-89316303</t>
  </si>
  <si>
    <t>15-89638779</t>
  </si>
  <si>
    <t>15-89727237</t>
  </si>
  <si>
    <t>15-89929552</t>
  </si>
  <si>
    <t>Stan White Realty Property Paid</t>
  </si>
  <si>
    <t>15-89940003</t>
  </si>
  <si>
    <t>15-90082563</t>
  </si>
  <si>
    <t>15-90245593</t>
  </si>
  <si>
    <t>15-90363464</t>
  </si>
  <si>
    <t>15-90921710</t>
  </si>
  <si>
    <t>15-90962542</t>
  </si>
  <si>
    <t>15-91198928</t>
  </si>
  <si>
    <t>15-91220551</t>
  </si>
  <si>
    <t>15-91222935</t>
  </si>
  <si>
    <t>15-91224922</t>
  </si>
  <si>
    <t>McLean Company Rentals</t>
  </si>
  <si>
    <t>15-91651197</t>
  </si>
  <si>
    <t>Old Baldy Club</t>
  </si>
  <si>
    <t>15-91886337</t>
  </si>
  <si>
    <t>15-91887574</t>
  </si>
  <si>
    <t>15-92115212</t>
  </si>
  <si>
    <t>15-92311533</t>
  </si>
  <si>
    <t>Anchorage Rentals</t>
  </si>
  <si>
    <t>15-92386104</t>
  </si>
  <si>
    <t>15-92414559</t>
  </si>
  <si>
    <t>John Jeffries House</t>
  </si>
  <si>
    <t>15-92508926</t>
  </si>
  <si>
    <t>San Juan Property Management</t>
  </si>
  <si>
    <t>15-92583479</t>
  </si>
  <si>
    <t>15-92662271</t>
  </si>
  <si>
    <t>Marmot Vacation Rentals</t>
  </si>
  <si>
    <t>15-92666578</t>
  </si>
  <si>
    <t>Antlers at Vail</t>
  </si>
  <si>
    <t>15-92872210</t>
  </si>
  <si>
    <t>15-92873037</t>
  </si>
  <si>
    <t>15-92928807</t>
  </si>
  <si>
    <t>15-92932246</t>
  </si>
  <si>
    <t>15-92934954</t>
  </si>
  <si>
    <t>15-94256094</t>
  </si>
  <si>
    <t>15-95219740</t>
  </si>
  <si>
    <t>Lumacorp</t>
  </si>
  <si>
    <t>15-95227787</t>
  </si>
  <si>
    <t>Bluefin Bay   Surfside   Temperance Landing</t>
  </si>
  <si>
    <t>15-95235746</t>
  </si>
  <si>
    <t>15-95879362</t>
  </si>
  <si>
    <t>15-95883284</t>
  </si>
  <si>
    <t>15-95887893</t>
  </si>
  <si>
    <t>15-95937710</t>
  </si>
  <si>
    <t>15-96059891</t>
  </si>
  <si>
    <t>King Management Solutions</t>
  </si>
  <si>
    <t>15-96311777</t>
  </si>
  <si>
    <t>15-96356130</t>
  </si>
  <si>
    <t>15-96366733</t>
  </si>
  <si>
    <t>15-96468095</t>
  </si>
  <si>
    <t>15-96472832</t>
  </si>
  <si>
    <t>15-96474830</t>
  </si>
  <si>
    <t>15-96490193</t>
  </si>
  <si>
    <t>15-96495693</t>
  </si>
  <si>
    <t>15-96556929</t>
  </si>
  <si>
    <t>15-96636269</t>
  </si>
  <si>
    <t>FRBO Bookings vt</t>
  </si>
  <si>
    <t>15-96676393</t>
  </si>
  <si>
    <t>15-96847326</t>
  </si>
  <si>
    <t>15-96978176</t>
  </si>
  <si>
    <t>15-96981947</t>
  </si>
  <si>
    <t>15-97278949</t>
  </si>
  <si>
    <t>15-97310636</t>
  </si>
  <si>
    <t>15-97461789</t>
  </si>
  <si>
    <t>15-97710645</t>
  </si>
  <si>
    <t>15-98122005</t>
  </si>
  <si>
    <t>15-98158239</t>
  </si>
  <si>
    <t>15-98177436</t>
  </si>
  <si>
    <t>15-98376798</t>
  </si>
  <si>
    <t>15-98579777</t>
  </si>
  <si>
    <t>SkyRun Summit</t>
  </si>
  <si>
    <t>15-99262889</t>
  </si>
  <si>
    <t>15-99284328</t>
  </si>
  <si>
    <t>15-99868777</t>
  </si>
  <si>
    <t>15-99870367</t>
  </si>
  <si>
    <t>15-99903869</t>
  </si>
  <si>
    <t>15-99958472</t>
  </si>
  <si>
    <t>16-10012007</t>
  </si>
  <si>
    <t>16-10023438</t>
  </si>
  <si>
    <t>16-10028488</t>
  </si>
  <si>
    <t>16-10048703</t>
  </si>
  <si>
    <t>16-10062819</t>
  </si>
  <si>
    <t>16-10097301</t>
  </si>
  <si>
    <t>The Lodge at Stillwater</t>
  </si>
  <si>
    <t>16-10101383</t>
  </si>
  <si>
    <t>16-10134747</t>
  </si>
  <si>
    <t>16-10139333</t>
  </si>
  <si>
    <t>16-10149947</t>
  </si>
  <si>
    <t>16-10158303</t>
  </si>
  <si>
    <t>16-10168166</t>
  </si>
  <si>
    <t>16-10193744</t>
  </si>
  <si>
    <t>16-10211563</t>
  </si>
  <si>
    <t>16-10228460</t>
  </si>
  <si>
    <t>16-10231930</t>
  </si>
  <si>
    <t>16-10245108</t>
  </si>
  <si>
    <t>16-10263362</t>
  </si>
  <si>
    <t>16-10276832</t>
  </si>
  <si>
    <t>16-10279925</t>
  </si>
  <si>
    <t>16-10280895</t>
  </si>
  <si>
    <t>16-10315986</t>
  </si>
  <si>
    <t>16-10316156</t>
  </si>
  <si>
    <t>16-10325705</t>
  </si>
  <si>
    <t>16-10327866</t>
  </si>
  <si>
    <t>16-10346159</t>
  </si>
  <si>
    <t>16-10347437</t>
  </si>
  <si>
    <t>16-10378699</t>
  </si>
  <si>
    <t>16-10389451</t>
  </si>
  <si>
    <t>16-10391193</t>
  </si>
  <si>
    <t>16-10408257</t>
  </si>
  <si>
    <t>16-10410870</t>
  </si>
  <si>
    <t>16-10422556</t>
  </si>
  <si>
    <t>Beach Properties of Hilton Head Inc</t>
  </si>
  <si>
    <t>16-10426433</t>
  </si>
  <si>
    <t>16-10426518</t>
  </si>
  <si>
    <t>16-10474634</t>
  </si>
  <si>
    <t>16-10475484</t>
  </si>
  <si>
    <t>16-10478544</t>
  </si>
  <si>
    <t>16-10497398</t>
  </si>
  <si>
    <t>16-10497439</t>
  </si>
  <si>
    <t>Lutsen Resort Company</t>
  </si>
  <si>
    <t>16-10506609</t>
  </si>
  <si>
    <t>16-10512381</t>
  </si>
  <si>
    <t>16-10514248</t>
  </si>
  <si>
    <t>16-10516020</t>
  </si>
  <si>
    <t>16-10518363</t>
  </si>
  <si>
    <t>16-10521996</t>
  </si>
  <si>
    <t>16-10522092</t>
  </si>
  <si>
    <t>16-10524766</t>
  </si>
  <si>
    <t>16-10561871</t>
  </si>
  <si>
    <t>16-10621711</t>
  </si>
  <si>
    <t>16-10621830</t>
  </si>
  <si>
    <t>16-10626501</t>
  </si>
  <si>
    <t>Turnkey</t>
  </si>
  <si>
    <t>16-10654012</t>
  </si>
  <si>
    <t>16-10673877</t>
  </si>
  <si>
    <t>16-10705262</t>
  </si>
  <si>
    <t>16-10711364</t>
  </si>
  <si>
    <t>16-10732990</t>
  </si>
  <si>
    <t>16-10784238</t>
  </si>
  <si>
    <t>16-10793605</t>
  </si>
  <si>
    <t>16-10813121</t>
  </si>
  <si>
    <t>16-10856478</t>
  </si>
  <si>
    <t>16-10867434</t>
  </si>
  <si>
    <t>16-10878304</t>
  </si>
  <si>
    <t>16-10881904</t>
  </si>
  <si>
    <t>16-10883366</t>
  </si>
  <si>
    <t>16-10901505</t>
  </si>
  <si>
    <t>16-10906908</t>
  </si>
  <si>
    <t>16-10912538</t>
  </si>
  <si>
    <t>16-10918297</t>
  </si>
  <si>
    <t>16-10947064</t>
  </si>
  <si>
    <t>16-10949385</t>
  </si>
  <si>
    <t>16-10955852</t>
  </si>
  <si>
    <t>16-10964810</t>
  </si>
  <si>
    <t>16-10967516</t>
  </si>
  <si>
    <t>16-11012006</t>
  </si>
  <si>
    <t>16-11066427</t>
  </si>
  <si>
    <t>16-11070446</t>
  </si>
  <si>
    <t>16-11141621</t>
  </si>
  <si>
    <t>16-11143458</t>
  </si>
  <si>
    <t>16-11175608</t>
  </si>
  <si>
    <t>16-11184495</t>
  </si>
  <si>
    <t>16-11199402</t>
  </si>
  <si>
    <t>16-11202407</t>
  </si>
  <si>
    <t>16-11229510</t>
  </si>
  <si>
    <t>16-11230617</t>
  </si>
  <si>
    <t>16-11232701</t>
  </si>
  <si>
    <t>16-11242122</t>
  </si>
  <si>
    <t>16-11249567</t>
  </si>
  <si>
    <t/>
  </si>
  <si>
    <t>ERROR</t>
  </si>
  <si>
    <t>Account</t>
  </si>
  <si>
    <t>Error</t>
  </si>
  <si>
    <t>Helper --&gt;</t>
  </si>
  <si>
    <t>Paste into Query --&gt;</t>
  </si>
  <si>
    <t>Label</t>
  </si>
  <si>
    <t>Helper1</t>
  </si>
  <si>
    <t>Star</t>
  </si>
  <si>
    <t>Pulse</t>
  </si>
  <si>
    <t>NYCE</t>
  </si>
  <si>
    <t>25-27060436</t>
  </si>
  <si>
    <t>Bozzuto Management</t>
  </si>
  <si>
    <t>25-28188890</t>
  </si>
  <si>
    <t>East Islands Rentals</t>
  </si>
  <si>
    <t>25-30253650</t>
  </si>
  <si>
    <t>Collins Vacation Rentals</t>
  </si>
  <si>
    <t>25-30255335</t>
  </si>
  <si>
    <t>Edgewater Beach Condominium</t>
  </si>
  <si>
    <t>25-30259610</t>
  </si>
  <si>
    <t>Pioneer Ridge Management</t>
  </si>
  <si>
    <t>25-30272299</t>
  </si>
  <si>
    <t>Sunray Vacation Rentals</t>
  </si>
  <si>
    <t>25-30276596</t>
  </si>
  <si>
    <t>Commodore Sales   Rental Corp</t>
  </si>
  <si>
    <t>25-30297188</t>
  </si>
  <si>
    <t>Seascape Resort</t>
  </si>
  <si>
    <t>25-30385487</t>
  </si>
  <si>
    <t>Wilgus Associates</t>
  </si>
  <si>
    <t>25-30562493</t>
  </si>
  <si>
    <t>A1 Vacation Rentals   CO</t>
  </si>
  <si>
    <t>25-30606337</t>
  </si>
  <si>
    <t>IPG Professional Management Inc</t>
  </si>
  <si>
    <t>25-30657353</t>
  </si>
  <si>
    <t>Millenium  Management   MSI</t>
  </si>
  <si>
    <t>25-30795895</t>
  </si>
  <si>
    <t>Destin Memories LLC</t>
  </si>
  <si>
    <t>25-30826731</t>
  </si>
  <si>
    <t>El Presidente Condominium</t>
  </si>
  <si>
    <t>25-30836077</t>
  </si>
  <si>
    <t>Seaside Vacations</t>
  </si>
  <si>
    <t>25-30908068</t>
  </si>
  <si>
    <t>Gibson Beach Rentals Inc</t>
  </si>
  <si>
    <t>25-41648931</t>
  </si>
  <si>
    <t>Rich Properties</t>
  </si>
  <si>
    <t>25-42188917</t>
  </si>
  <si>
    <t>Seaside Vacation Condos TNL Properties</t>
  </si>
  <si>
    <t>25-42191249</t>
  </si>
  <si>
    <t>Sisters Vacation Rentals</t>
  </si>
  <si>
    <t>25-44221106</t>
  </si>
  <si>
    <t>GLD Management</t>
  </si>
  <si>
    <t>25-45260575</t>
  </si>
  <si>
    <t>First Accommodations Inc</t>
  </si>
  <si>
    <t>25-45283972</t>
  </si>
  <si>
    <t>ReMax Kauai Com</t>
  </si>
  <si>
    <t>25-66628293</t>
  </si>
  <si>
    <t>Villa4Less LLC</t>
  </si>
  <si>
    <t>25-66933353</t>
  </si>
  <si>
    <t>Acton Indoor RV and Boat Storage</t>
  </si>
  <si>
    <t>25-72507405</t>
  </si>
  <si>
    <t>Stonehenge Management LLC</t>
  </si>
  <si>
    <t>25-73620648</t>
  </si>
  <si>
    <t>VRClubOnline LLC</t>
  </si>
  <si>
    <t>25-75007281</t>
  </si>
  <si>
    <t>The Best Spots</t>
  </si>
  <si>
    <t>25-75658328</t>
  </si>
  <si>
    <t>LM Mini Storage 1</t>
  </si>
  <si>
    <t>25-77459677</t>
  </si>
  <si>
    <t>Vintage Escapes LLC</t>
  </si>
  <si>
    <t>25-79426727</t>
  </si>
  <si>
    <t>Leighton Realty LLC</t>
  </si>
  <si>
    <t>25-79501954</t>
  </si>
  <si>
    <t>At Home Abroad LLC</t>
  </si>
  <si>
    <t>25-79547792</t>
  </si>
  <si>
    <t>VIP Realty Group Inc</t>
  </si>
  <si>
    <t>25-79830573</t>
  </si>
  <si>
    <t>Dolberry Realty  LLC</t>
  </si>
  <si>
    <t>25-79907428</t>
  </si>
  <si>
    <t>Joni s Beach Rentals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</si>
</sst>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\$* #,##0.00_);_(\$* \(#,##0.00\);_(\$* \-??_);_(@_)"/>
    <numFmt numFmtId="167" formatCode="_(* #,##0.00_);_(* \(#,##0.00\);_(* \-??_);_(@_)"/>
    <numFmt numFmtId="168" formatCode="_(\$* #,##0_);_(\$* \(#,##0\);_(\$* \-??_);_(@_)"/>
    <numFmt numFmtId="169" formatCode="_(* #,##0_);_(* \(#,##0\);_(* \-??_);_(@_)"/>
    <numFmt numFmtId="170" formatCode="_(&quot;$&quot;* #,##0_);_(&quot;$&quot;* \(#,##0\);_(&quot;$&quot;* &quot;-&quot;??_);_(@_)"/>
    <numFmt numFmtId="171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FBFBF"/>
        <bgColor rgb="FFE6B9B8"/>
      </patternFill>
    </fill>
    <fill>
      <patternFill patternType="solid">
        <fgColor rgb="FFD99694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6A6A6"/>
      </patternFill>
    </fill>
    <fill>
      <patternFill patternType="solid">
        <fgColor rgb="FFA6A6A6"/>
        <bgColor rgb="FFBFBFBF"/>
      </patternFill>
    </fill>
    <fill>
      <patternFill patternType="solid">
        <fgColor rgb="FFE6B9B8"/>
        <bgColor rgb="FFBFBFBF"/>
      </patternFill>
    </fill>
    <fill>
      <patternFill patternType="solid">
        <fgColor rgb="FFD9D9D9"/>
        <bgColor rgb="FFBFBFB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</borders>
  <cellStyleXfs count="5">
    <xf numFmtId="0" fontId="0" fillId="0" borderId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</cellStyleXfs>
  <cellXfs count="246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0" xfId="0" applyFill="1"/>
    <xf numFmtId="0" fontId="1" fillId="0" borderId="12" xfId="0" applyFont="1" applyBorder="1"/>
    <xf numFmtId="0" fontId="0" fillId="0" borderId="4" xfId="0" applyBorder="1" applyAlignment="1"/>
    <xf numFmtId="0" fontId="7" fillId="6" borderId="14" xfId="4" applyFont="1" applyFill="1" applyBorder="1" applyAlignment="1" applyProtection="1">
      <protection locked="0"/>
    </xf>
    <xf numFmtId="0" fontId="8" fillId="0" borderId="0" xfId="4" applyFont="1" applyBorder="1" applyAlignment="1" applyProtection="1">
      <protection locked="0"/>
    </xf>
    <xf numFmtId="0" fontId="9" fillId="0" borderId="13" xfId="4" applyFont="1" applyBorder="1" applyAlignment="1" applyProtection="1">
      <alignment horizontal="center" vertical="top"/>
      <protection locked="0"/>
    </xf>
    <xf numFmtId="0" fontId="8" fillId="0" borderId="15" xfId="4" applyFont="1" applyBorder="1" applyAlignment="1" applyProtection="1">
      <protection locked="0"/>
    </xf>
    <xf numFmtId="0" fontId="7" fillId="0" borderId="0" xfId="4" applyFont="1" applyBorder="1" applyAlignment="1" applyProtection="1">
      <protection locked="0"/>
    </xf>
    <xf numFmtId="0" fontId="7" fillId="0" borderId="13" xfId="4" applyFont="1" applyBorder="1" applyAlignment="1" applyProtection="1">
      <alignment horizontal="center"/>
      <protection locked="0"/>
    </xf>
    <xf numFmtId="0" fontId="8" fillId="0" borderId="0" xfId="4" applyFont="1" applyBorder="1" applyAlignment="1"/>
    <xf numFmtId="0" fontId="8" fillId="0" borderId="0" xfId="4" applyFont="1" applyBorder="1" applyAlignment="1" applyProtection="1">
      <alignment horizontal="left" vertical="top"/>
      <protection locked="0"/>
    </xf>
    <xf numFmtId="0" fontId="9" fillId="0" borderId="13" xfId="4" applyFont="1" applyBorder="1" applyAlignment="1" applyProtection="1">
      <protection locked="0"/>
    </xf>
    <xf numFmtId="166" fontId="8" fillId="0" borderId="13" xfId="4" applyNumberFormat="1" applyFont="1" applyBorder="1" applyAlignment="1" applyProtection="1">
      <protection locked="0"/>
    </xf>
    <xf numFmtId="0" fontId="9" fillId="0" borderId="15" xfId="4" applyFont="1" applyBorder="1" applyAlignment="1" applyProtection="1">
      <protection locked="0"/>
    </xf>
    <xf numFmtId="0" fontId="9" fillId="7" borderId="16" xfId="4" applyFont="1" applyFill="1" applyBorder="1" applyAlignment="1" applyProtection="1">
      <protection locked="0"/>
    </xf>
    <xf numFmtId="166" fontId="8" fillId="7" borderId="16" xfId="4" applyNumberFormat="1" applyFont="1" applyFill="1" applyBorder="1" applyAlignment="1" applyProtection="1">
      <protection locked="0"/>
    </xf>
    <xf numFmtId="166" fontId="8" fillId="7" borderId="13" xfId="4" applyNumberFormat="1" applyFont="1" applyFill="1" applyBorder="1" applyAlignment="1" applyProtection="1">
      <protection locked="0"/>
    </xf>
    <xf numFmtId="10" fontId="8" fillId="0" borderId="17" xfId="4" applyNumberFormat="1" applyFont="1" applyBorder="1" applyAlignment="1" applyProtection="1">
      <protection locked="0"/>
    </xf>
    <xf numFmtId="166" fontId="8" fillId="0" borderId="17" xfId="4" applyNumberFormat="1" applyFont="1" applyBorder="1" applyAlignment="1" applyProtection="1">
      <protection locked="0"/>
    </xf>
    <xf numFmtId="10" fontId="8" fillId="6" borderId="16" xfId="4" applyNumberFormat="1" applyFont="1" applyFill="1" applyBorder="1" applyAlignment="1" applyProtection="1">
      <protection locked="0"/>
    </xf>
    <xf numFmtId="166" fontId="8" fillId="6" borderId="18" xfId="4" applyNumberFormat="1" applyFont="1" applyFill="1" applyBorder="1" applyAlignment="1" applyProtection="1">
      <protection locked="0"/>
    </xf>
    <xf numFmtId="0" fontId="8" fillId="9" borderId="13" xfId="4" applyFont="1" applyFill="1" applyBorder="1" applyAlignment="1" applyProtection="1">
      <protection locked="0"/>
    </xf>
    <xf numFmtId="0" fontId="8" fillId="10" borderId="19" xfId="4" applyFont="1" applyFill="1" applyBorder="1" applyAlignment="1" applyProtection="1">
      <protection locked="0"/>
    </xf>
    <xf numFmtId="0" fontId="8" fillId="0" borderId="13" xfId="4" applyFont="1" applyBorder="1" applyAlignment="1" applyProtection="1">
      <protection locked="0"/>
    </xf>
    <xf numFmtId="10" fontId="7" fillId="0" borderId="13" xfId="4" applyNumberFormat="1" applyFont="1" applyBorder="1" applyAlignment="1" applyProtection="1">
      <alignment horizontal="center"/>
      <protection locked="0"/>
    </xf>
    <xf numFmtId="0" fontId="7" fillId="0" borderId="13" xfId="4" applyFont="1" applyBorder="1" applyAlignment="1" applyProtection="1">
      <protection locked="0"/>
    </xf>
    <xf numFmtId="14" fontId="8" fillId="0" borderId="13" xfId="4" applyNumberFormat="1" applyFont="1" applyBorder="1" applyAlignment="1" applyProtection="1">
      <protection locked="0"/>
    </xf>
    <xf numFmtId="10" fontId="8" fillId="0" borderId="13" xfId="4" applyNumberFormat="1" applyFont="1" applyBorder="1" applyAlignment="1" applyProtection="1">
      <protection locked="0"/>
    </xf>
    <xf numFmtId="167" fontId="8" fillId="0" borderId="13" xfId="4" applyNumberFormat="1" applyFont="1" applyBorder="1" applyAlignment="1" applyProtection="1">
      <protection locked="0"/>
    </xf>
    <xf numFmtId="167" fontId="9" fillId="0" borderId="13" xfId="2" applyNumberFormat="1" applyFont="1" applyBorder="1" applyAlignment="1" applyProtection="1">
      <protection locked="0"/>
    </xf>
    <xf numFmtId="10" fontId="8" fillId="7" borderId="20" xfId="4" applyNumberFormat="1" applyFont="1" applyFill="1" applyBorder="1" applyAlignment="1" applyProtection="1">
      <protection locked="0"/>
    </xf>
    <xf numFmtId="166" fontId="8" fillId="7" borderId="21" xfId="4" applyNumberFormat="1" applyFont="1" applyFill="1" applyBorder="1" applyAlignment="1" applyProtection="1">
      <protection locked="0"/>
    </xf>
    <xf numFmtId="10" fontId="8" fillId="7" borderId="21" xfId="4" applyNumberFormat="1" applyFont="1" applyFill="1" applyBorder="1" applyAlignment="1" applyProtection="1">
      <protection locked="0"/>
    </xf>
    <xf numFmtId="10" fontId="8" fillId="7" borderId="22" xfId="4" applyNumberFormat="1" applyFont="1" applyFill="1" applyBorder="1" applyAlignment="1" applyProtection="1">
      <protection locked="0"/>
    </xf>
    <xf numFmtId="0" fontId="8" fillId="7" borderId="23" xfId="4" applyFont="1" applyFill="1" applyBorder="1" applyAlignment="1" applyProtection="1">
      <protection locked="0"/>
    </xf>
    <xf numFmtId="0" fontId="8" fillId="7" borderId="0" xfId="4" applyFont="1" applyFill="1" applyBorder="1" applyAlignment="1" applyProtection="1">
      <protection locked="0"/>
    </xf>
    <xf numFmtId="0" fontId="8" fillId="7" borderId="24" xfId="4" applyFont="1" applyFill="1" applyBorder="1" applyAlignment="1" applyProtection="1">
      <protection locked="0"/>
    </xf>
    <xf numFmtId="0" fontId="8" fillId="7" borderId="14" xfId="4" applyFont="1" applyFill="1" applyBorder="1" applyAlignment="1" applyProtection="1">
      <protection locked="0"/>
    </xf>
    <xf numFmtId="0" fontId="8" fillId="7" borderId="25" xfId="4" applyFont="1" applyFill="1" applyBorder="1" applyAlignment="1" applyProtection="1">
      <protection locked="0"/>
    </xf>
    <xf numFmtId="0" fontId="8" fillId="7" borderId="26" xfId="4" applyFont="1" applyFill="1" applyBorder="1" applyAlignment="1" applyProtection="1">
      <protection locked="0"/>
    </xf>
    <xf numFmtId="0" fontId="7" fillId="0" borderId="14" xfId="4" applyFont="1" applyBorder="1" applyAlignment="1" applyProtection="1">
      <protection locked="0"/>
    </xf>
    <xf numFmtId="0" fontId="7" fillId="0" borderId="15" xfId="4" applyFont="1" applyBorder="1" applyAlignment="1" applyProtection="1">
      <alignment horizontal="center"/>
      <protection locked="0"/>
    </xf>
    <xf numFmtId="0" fontId="7" fillId="0" borderId="16" xfId="4" applyFont="1" applyBorder="1" applyAlignment="1" applyProtection="1">
      <alignment horizontal="center"/>
      <protection locked="0"/>
    </xf>
    <xf numFmtId="0" fontId="7" fillId="0" borderId="26" xfId="4" applyFont="1" applyBorder="1" applyAlignment="1" applyProtection="1">
      <alignment horizontal="center"/>
      <protection locked="0"/>
    </xf>
    <xf numFmtId="0" fontId="7" fillId="0" borderId="19" xfId="4" applyFont="1" applyBorder="1" applyAlignment="1" applyProtection="1">
      <alignment horizontal="center"/>
      <protection locked="0"/>
    </xf>
    <xf numFmtId="0" fontId="7" fillId="12" borderId="19" xfId="4" applyFont="1" applyFill="1" applyBorder="1" applyAlignment="1" applyProtection="1">
      <alignment horizontal="center"/>
      <protection locked="0"/>
    </xf>
    <xf numFmtId="164" fontId="7" fillId="0" borderId="13" xfId="2" applyFont="1" applyBorder="1" applyAlignment="1" applyProtection="1">
      <protection locked="0"/>
    </xf>
    <xf numFmtId="166" fontId="7" fillId="0" borderId="13" xfId="4" applyNumberFormat="1" applyFont="1" applyBorder="1" applyAlignment="1"/>
    <xf numFmtId="168" fontId="7" fillId="0" borderId="13" xfId="4" applyNumberFormat="1" applyFont="1" applyBorder="1" applyAlignment="1" applyProtection="1">
      <protection locked="0"/>
    </xf>
    <xf numFmtId="1" fontId="9" fillId="0" borderId="13" xfId="4" applyNumberFormat="1" applyFont="1" applyBorder="1" applyAlignment="1"/>
    <xf numFmtId="1" fontId="9" fillId="0" borderId="13" xfId="1" applyNumberFormat="1" applyFont="1" applyBorder="1" applyAlignment="1" applyProtection="1">
      <alignment horizontal="right"/>
      <protection locked="0"/>
    </xf>
    <xf numFmtId="1" fontId="9" fillId="0" borderId="15" xfId="1" applyNumberFormat="1" applyFont="1" applyBorder="1" applyAlignment="1" applyProtection="1">
      <alignment horizontal="right"/>
      <protection locked="0"/>
    </xf>
    <xf numFmtId="166" fontId="8" fillId="0" borderId="27" xfId="4" applyNumberFormat="1" applyFont="1" applyBorder="1" applyAlignment="1" applyProtection="1">
      <protection locked="0"/>
    </xf>
    <xf numFmtId="166" fontId="8" fillId="12" borderId="13" xfId="4" applyNumberFormat="1" applyFont="1" applyFill="1" applyBorder="1" applyAlignment="1" applyProtection="1">
      <protection locked="0"/>
    </xf>
    <xf numFmtId="10" fontId="9" fillId="0" borderId="13" xfId="3" applyNumberFormat="1" applyFont="1" applyBorder="1" applyAlignment="1" applyProtection="1">
      <alignment horizontal="center"/>
      <protection locked="0"/>
    </xf>
    <xf numFmtId="164" fontId="9" fillId="0" borderId="13" xfId="2" applyFont="1" applyBorder="1" applyAlignment="1" applyProtection="1">
      <alignment horizontal="center"/>
      <protection locked="0"/>
    </xf>
    <xf numFmtId="164" fontId="9" fillId="0" borderId="13" xfId="2" applyFont="1" applyBorder="1" applyAlignment="1" applyProtection="1">
      <protection locked="0"/>
    </xf>
    <xf numFmtId="10" fontId="8" fillId="0" borderId="20" xfId="4" applyNumberFormat="1" applyFont="1" applyBorder="1" applyAlignment="1" applyProtection="1">
      <protection locked="0"/>
    </xf>
    <xf numFmtId="164" fontId="9" fillId="0" borderId="27" xfId="2" applyFont="1" applyBorder="1" applyAlignment="1" applyProtection="1">
      <protection locked="0"/>
    </xf>
    <xf numFmtId="0" fontId="7" fillId="5" borderId="15" xfId="4" applyFont="1" applyFill="1" applyBorder="1" applyAlignment="1" applyProtection="1">
      <protection locked="0"/>
    </xf>
    <xf numFmtId="168" fontId="7" fillId="5" borderId="13" xfId="4" applyNumberFormat="1" applyFont="1" applyFill="1" applyBorder="1" applyAlignment="1" applyProtection="1">
      <protection locked="0"/>
    </xf>
    <xf numFmtId="169" fontId="7" fillId="5" borderId="13" xfId="1" applyNumberFormat="1" applyFont="1" applyFill="1" applyBorder="1" applyAlignment="1" applyProtection="1">
      <protection locked="0"/>
    </xf>
    <xf numFmtId="169" fontId="7" fillId="5" borderId="15" xfId="1" applyNumberFormat="1" applyFont="1" applyFill="1" applyBorder="1" applyAlignment="1" applyProtection="1">
      <protection locked="0"/>
    </xf>
    <xf numFmtId="10" fontId="7" fillId="5" borderId="13" xfId="3" applyNumberFormat="1" applyFont="1" applyFill="1" applyBorder="1" applyAlignment="1" applyProtection="1">
      <protection locked="0"/>
    </xf>
    <xf numFmtId="166" fontId="7" fillId="5" borderId="13" xfId="4" applyNumberFormat="1" applyFont="1" applyFill="1" applyBorder="1" applyAlignment="1" applyProtection="1">
      <protection locked="0"/>
    </xf>
    <xf numFmtId="166" fontId="7" fillId="5" borderId="27" xfId="4" applyNumberFormat="1" applyFont="1" applyFill="1" applyBorder="1" applyAlignment="1" applyProtection="1">
      <protection locked="0"/>
    </xf>
    <xf numFmtId="0" fontId="9" fillId="11" borderId="15" xfId="4" applyFont="1" applyFill="1" applyBorder="1" applyAlignment="1" applyProtection="1">
      <protection locked="0"/>
    </xf>
    <xf numFmtId="166" fontId="8" fillId="11" borderId="13" xfId="4" applyNumberFormat="1" applyFont="1" applyFill="1" applyBorder="1" applyAlignment="1" applyProtection="1">
      <protection locked="0"/>
    </xf>
    <xf numFmtId="0" fontId="8" fillId="11" borderId="13" xfId="4" applyFont="1" applyFill="1" applyBorder="1" applyAlignment="1" applyProtection="1">
      <protection locked="0"/>
    </xf>
    <xf numFmtId="0" fontId="8" fillId="11" borderId="15" xfId="4" applyFont="1" applyFill="1" applyBorder="1" applyAlignment="1" applyProtection="1">
      <protection locked="0"/>
    </xf>
    <xf numFmtId="166" fontId="8" fillId="11" borderId="27" xfId="4" applyNumberFormat="1" applyFont="1" applyFill="1" applyBorder="1" applyAlignment="1" applyProtection="1">
      <protection locked="0"/>
    </xf>
    <xf numFmtId="1" fontId="7" fillId="0" borderId="13" xfId="2" applyNumberFormat="1" applyFont="1" applyBorder="1" applyAlignment="1" applyProtection="1">
      <protection locked="0"/>
    </xf>
    <xf numFmtId="166" fontId="8" fillId="0" borderId="15" xfId="4" applyNumberFormat="1" applyFont="1" applyBorder="1" applyAlignment="1" applyProtection="1">
      <protection locked="0"/>
    </xf>
    <xf numFmtId="164" fontId="9" fillId="0" borderId="15" xfId="2" applyFont="1" applyBorder="1" applyAlignment="1" applyProtection="1">
      <alignment horizontal="center"/>
      <protection locked="0"/>
    </xf>
    <xf numFmtId="164" fontId="9" fillId="0" borderId="15" xfId="2" applyFont="1" applyBorder="1" applyAlignment="1" applyProtection="1">
      <protection locked="0"/>
    </xf>
    <xf numFmtId="1" fontId="8" fillId="0" borderId="13" xfId="4" applyNumberFormat="1" applyFont="1" applyBorder="1" applyAlignment="1"/>
    <xf numFmtId="166" fontId="7" fillId="5" borderId="15" xfId="4" applyNumberFormat="1" applyFont="1" applyFill="1" applyBorder="1" applyAlignment="1" applyProtection="1">
      <protection locked="0"/>
    </xf>
    <xf numFmtId="0" fontId="8" fillId="0" borderId="25" xfId="4" applyFont="1" applyBorder="1" applyAlignment="1" applyProtection="1">
      <protection locked="0"/>
    </xf>
    <xf numFmtId="0" fontId="11" fillId="14" borderId="29" xfId="0" applyFont="1" applyFill="1" applyBorder="1" applyAlignment="1" applyProtection="1">
      <protection locked="0"/>
    </xf>
    <xf numFmtId="0" fontId="0" fillId="0" borderId="0" xfId="0" applyProtection="1">
      <protection locked="0"/>
    </xf>
    <xf numFmtId="0" fontId="0" fillId="0" borderId="28" xfId="0" applyBorder="1" applyAlignment="1" applyProtection="1">
      <alignment horizontal="center" vertical="top"/>
      <protection locked="0"/>
    </xf>
    <xf numFmtId="0" fontId="12" fillId="0" borderId="6" xfId="0" applyFont="1" applyBorder="1" applyAlignment="1" applyProtection="1">
      <protection locked="0"/>
    </xf>
    <xf numFmtId="0" fontId="1" fillId="0" borderId="0" xfId="0" applyFont="1" applyFill="1" applyBorder="1" applyAlignment="1" applyProtection="1">
      <protection locked="0"/>
    </xf>
    <xf numFmtId="0" fontId="13" fillId="0" borderId="28" xfId="0" applyFont="1" applyFill="1" applyBorder="1" applyAlignment="1" applyProtection="1">
      <alignment horizontal="center"/>
      <protection locked="0"/>
    </xf>
    <xf numFmtId="0" fontId="13" fillId="0" borderId="2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28" xfId="0" applyBorder="1" applyAlignment="1" applyProtection="1">
      <protection locked="0"/>
    </xf>
    <xf numFmtId="164" fontId="0" fillId="0" borderId="28" xfId="0" applyNumberFormat="1" applyBorder="1" applyProtection="1">
      <protection locked="0"/>
    </xf>
    <xf numFmtId="0" fontId="0" fillId="0" borderId="6" xfId="0" applyBorder="1" applyAlignment="1" applyProtection="1">
      <protection locked="0"/>
    </xf>
    <xf numFmtId="0" fontId="0" fillId="15" borderId="30" xfId="0" applyFill="1" applyBorder="1" applyProtection="1">
      <protection locked="0"/>
    </xf>
    <xf numFmtId="164" fontId="0" fillId="15" borderId="30" xfId="0" applyNumberFormat="1" applyFill="1" applyBorder="1" applyProtection="1">
      <protection locked="0"/>
    </xf>
    <xf numFmtId="164" fontId="0" fillId="15" borderId="28" xfId="0" applyNumberFormat="1" applyFill="1" applyBorder="1" applyProtection="1">
      <protection locked="0"/>
    </xf>
    <xf numFmtId="10" fontId="0" fillId="0" borderId="7" xfId="0" applyNumberFormat="1" applyBorder="1" applyProtection="1">
      <protection locked="0"/>
    </xf>
    <xf numFmtId="164" fontId="0" fillId="0" borderId="7" xfId="0" applyNumberFormat="1" applyBorder="1" applyProtection="1">
      <protection locked="0"/>
    </xf>
    <xf numFmtId="0" fontId="0" fillId="0" borderId="0" xfId="0" applyAlignment="1" applyProtection="1">
      <protection locked="0"/>
    </xf>
    <xf numFmtId="10" fontId="14" fillId="14" borderId="30" xfId="0" applyNumberFormat="1" applyFont="1" applyFill="1" applyBorder="1" applyProtection="1">
      <protection locked="0"/>
    </xf>
    <xf numFmtId="164" fontId="14" fillId="14" borderId="31" xfId="0" applyNumberFormat="1" applyFont="1" applyFill="1" applyBorder="1" applyProtection="1">
      <protection locked="0"/>
    </xf>
    <xf numFmtId="0" fontId="14" fillId="17" borderId="28" xfId="0" applyFont="1" applyFill="1" applyBorder="1" applyAlignment="1" applyProtection="1">
      <protection locked="0"/>
    </xf>
    <xf numFmtId="0" fontId="0" fillId="18" borderId="32" xfId="0" applyFill="1" applyBorder="1" applyProtection="1">
      <protection locked="0"/>
    </xf>
    <xf numFmtId="0" fontId="0" fillId="0" borderId="28" xfId="0" applyBorder="1" applyProtection="1">
      <protection locked="0"/>
    </xf>
    <xf numFmtId="0" fontId="1" fillId="0" borderId="28" xfId="0" applyFont="1" applyBorder="1" applyAlignment="1" applyProtection="1">
      <alignment horizontal="center"/>
      <protection locked="0"/>
    </xf>
    <xf numFmtId="0" fontId="1" fillId="0" borderId="28" xfId="0" applyFont="1" applyBorder="1" applyAlignment="1" applyProtection="1">
      <alignment horizontal="center" wrapText="1"/>
      <protection locked="0"/>
    </xf>
    <xf numFmtId="10" fontId="1" fillId="0" borderId="28" xfId="0" applyNumberFormat="1" applyFont="1" applyBorder="1" applyAlignment="1" applyProtection="1">
      <alignment horizontal="center"/>
      <protection locked="0"/>
    </xf>
    <xf numFmtId="0" fontId="1" fillId="0" borderId="28" xfId="0" applyFont="1" applyBorder="1" applyAlignment="1" applyProtection="1">
      <protection locked="0"/>
    </xf>
    <xf numFmtId="14" fontId="0" fillId="0" borderId="28" xfId="0" applyNumberFormat="1" applyBorder="1" applyAlignment="1" applyProtection="1">
      <protection locked="0"/>
    </xf>
    <xf numFmtId="10" fontId="0" fillId="0" borderId="28" xfId="0" applyNumberFormat="1" applyFill="1" applyBorder="1" applyProtection="1">
      <protection locked="0"/>
    </xf>
    <xf numFmtId="165" fontId="0" fillId="0" borderId="28" xfId="0" applyNumberFormat="1" applyFill="1" applyBorder="1" applyProtection="1">
      <protection locked="0"/>
    </xf>
    <xf numFmtId="165" fontId="0" fillId="0" borderId="28" xfId="2" applyNumberFormat="1" applyFont="1" applyFill="1" applyBorder="1" applyProtection="1">
      <protection locked="0"/>
    </xf>
    <xf numFmtId="165" fontId="0" fillId="0" borderId="28" xfId="0" applyNumberFormat="1" applyBorder="1" applyProtection="1">
      <protection locked="0"/>
    </xf>
    <xf numFmtId="10" fontId="0" fillId="15" borderId="33" xfId="0" applyNumberFormat="1" applyFill="1" applyBorder="1" applyProtection="1">
      <protection locked="0"/>
    </xf>
    <xf numFmtId="164" fontId="0" fillId="15" borderId="34" xfId="0" applyNumberFormat="1" applyFill="1" applyBorder="1" applyProtection="1">
      <protection locked="0"/>
    </xf>
    <xf numFmtId="10" fontId="0" fillId="15" borderId="34" xfId="0" applyNumberFormat="1" applyFill="1" applyBorder="1" applyProtection="1">
      <protection locked="0"/>
    </xf>
    <xf numFmtId="10" fontId="0" fillId="15" borderId="35" xfId="0" applyNumberFormat="1" applyFill="1" applyBorder="1" applyProtection="1">
      <protection locked="0"/>
    </xf>
    <xf numFmtId="0" fontId="0" fillId="15" borderId="36" xfId="0" applyFill="1" applyBorder="1" applyProtection="1">
      <protection locked="0"/>
    </xf>
    <xf numFmtId="0" fontId="0" fillId="15" borderId="0" xfId="0" applyFill="1" applyBorder="1" applyProtection="1">
      <protection locked="0"/>
    </xf>
    <xf numFmtId="0" fontId="0" fillId="15" borderId="0" xfId="0" applyFill="1" applyBorder="1" applyAlignment="1" applyProtection="1">
      <protection locked="0"/>
    </xf>
    <xf numFmtId="0" fontId="0" fillId="15" borderId="37" xfId="0" applyFill="1" applyBorder="1" applyAlignment="1" applyProtection="1">
      <protection locked="0"/>
    </xf>
    <xf numFmtId="0" fontId="1" fillId="0" borderId="28" xfId="0" applyFont="1" applyFill="1" applyBorder="1" applyAlignment="1" applyProtection="1">
      <protection locked="0"/>
    </xf>
    <xf numFmtId="14" fontId="0" fillId="0" borderId="28" xfId="0" applyNumberFormat="1" applyBorder="1" applyProtection="1">
      <protection locked="0"/>
    </xf>
    <xf numFmtId="0" fontId="0" fillId="15" borderId="29" xfId="0" applyFill="1" applyBorder="1" applyAlignment="1" applyProtection="1">
      <protection locked="0"/>
    </xf>
    <xf numFmtId="0" fontId="0" fillId="15" borderId="12" xfId="0" applyFill="1" applyBorder="1" applyAlignment="1" applyProtection="1">
      <protection locked="0"/>
    </xf>
    <xf numFmtId="0" fontId="0" fillId="15" borderId="38" xfId="0" applyFill="1" applyBorder="1" applyAlignment="1" applyProtection="1">
      <protection locked="0"/>
    </xf>
    <xf numFmtId="0" fontId="1" fillId="0" borderId="29" xfId="0" applyFont="1" applyBorder="1" applyAlignment="1" applyProtection="1">
      <alignment wrapText="1"/>
      <protection locked="0"/>
    </xf>
    <xf numFmtId="0" fontId="1" fillId="0" borderId="39" xfId="0" applyFont="1" applyBorder="1" applyAlignment="1" applyProtection="1">
      <alignment horizontal="center" wrapText="1"/>
      <protection locked="0"/>
    </xf>
    <xf numFmtId="0" fontId="1" fillId="0" borderId="40" xfId="0" applyFont="1" applyBorder="1" applyAlignment="1" applyProtection="1">
      <alignment horizontal="center" wrapText="1"/>
      <protection locked="0"/>
    </xf>
    <xf numFmtId="0" fontId="1" fillId="0" borderId="41" xfId="0" applyFont="1" applyBorder="1" applyAlignment="1" applyProtection="1">
      <alignment horizontal="center" wrapText="1"/>
      <protection locked="0"/>
    </xf>
    <xf numFmtId="0" fontId="1" fillId="0" borderId="42" xfId="0" applyFont="1" applyBorder="1" applyAlignment="1" applyProtection="1">
      <alignment horizontal="center" wrapText="1"/>
      <protection locked="0"/>
    </xf>
    <xf numFmtId="0" fontId="1" fillId="0" borderId="43" xfId="0" applyFont="1" applyBorder="1" applyAlignment="1" applyProtection="1">
      <alignment horizontal="center" wrapText="1"/>
      <protection locked="0"/>
    </xf>
    <xf numFmtId="0" fontId="1" fillId="0" borderId="44" xfId="0" applyFont="1" applyBorder="1" applyAlignment="1" applyProtection="1">
      <alignment horizontal="center" wrapText="1"/>
      <protection locked="0"/>
    </xf>
    <xf numFmtId="0" fontId="1" fillId="0" borderId="38" xfId="0" applyFont="1" applyFill="1" applyBorder="1" applyAlignment="1" applyProtection="1">
      <alignment horizontal="center" wrapText="1"/>
      <protection locked="0"/>
    </xf>
    <xf numFmtId="0" fontId="1" fillId="0" borderId="32" xfId="0" applyFont="1" applyFill="1" applyBorder="1" applyAlignment="1" applyProtection="1">
      <alignment horizontal="center" wrapText="1"/>
      <protection locked="0"/>
    </xf>
    <xf numFmtId="0" fontId="1" fillId="19" borderId="32" xfId="0" applyFont="1" applyFill="1" applyBorder="1" applyAlignment="1" applyProtection="1">
      <alignment horizontal="center" wrapText="1"/>
      <protection locked="0"/>
    </xf>
    <xf numFmtId="164" fontId="1" fillId="0" borderId="45" xfId="2" applyNumberFormat="1" applyFont="1" applyBorder="1" applyProtection="1">
      <protection locked="0"/>
    </xf>
    <xf numFmtId="164" fontId="1" fillId="0" borderId="28" xfId="0" applyNumberFormat="1" applyFont="1" applyBorder="1"/>
    <xf numFmtId="170" fontId="1" fillId="0" borderId="46" xfId="0" applyNumberFormat="1" applyFont="1" applyBorder="1" applyProtection="1">
      <protection locked="0"/>
    </xf>
    <xf numFmtId="1" fontId="0" fillId="0" borderId="45" xfId="0" applyNumberFormat="1" applyFont="1" applyBorder="1"/>
    <xf numFmtId="1" fontId="0" fillId="0" borderId="28" xfId="1" applyNumberFormat="1" applyFont="1" applyBorder="1" applyAlignment="1" applyProtection="1">
      <alignment horizontal="right"/>
      <protection locked="0"/>
    </xf>
    <xf numFmtId="1" fontId="0" fillId="0" borderId="6" xfId="1" applyNumberFormat="1" applyFont="1" applyBorder="1" applyAlignment="1" applyProtection="1">
      <alignment horizontal="right"/>
      <protection locked="0"/>
    </xf>
    <xf numFmtId="10" fontId="0" fillId="0" borderId="45" xfId="0" applyNumberFormat="1" applyFill="1" applyBorder="1" applyProtection="1">
      <protection locked="0"/>
    </xf>
    <xf numFmtId="164" fontId="0" fillId="0" borderId="46" xfId="0" applyNumberFormat="1" applyFill="1" applyBorder="1" applyProtection="1">
      <protection locked="0"/>
    </xf>
    <xf numFmtId="164" fontId="0" fillId="0" borderId="8" xfId="0" applyNumberFormat="1" applyBorder="1" applyProtection="1">
      <protection locked="0"/>
    </xf>
    <xf numFmtId="164" fontId="0" fillId="19" borderId="28" xfId="0" applyNumberFormat="1" applyFill="1" applyBorder="1" applyAlignment="1" applyProtection="1">
      <protection locked="0"/>
    </xf>
    <xf numFmtId="164" fontId="1" fillId="0" borderId="28" xfId="2" applyNumberFormat="1" applyFont="1" applyBorder="1" applyProtection="1">
      <protection locked="0"/>
    </xf>
    <xf numFmtId="1" fontId="0" fillId="0" borderId="45" xfId="1" applyNumberFormat="1" applyFont="1" applyBorder="1" applyAlignment="1" applyProtection="1">
      <alignment horizontal="right"/>
      <protection locked="0"/>
    </xf>
    <xf numFmtId="10" fontId="4" fillId="0" borderId="45" xfId="3" applyNumberFormat="1" applyFont="1" applyBorder="1" applyAlignment="1" applyProtection="1">
      <alignment horizontal="center"/>
      <protection locked="0"/>
    </xf>
    <xf numFmtId="164" fontId="0" fillId="0" borderId="46" xfId="2" applyNumberFormat="1" applyFont="1" applyBorder="1" applyAlignment="1" applyProtection="1">
      <alignment horizontal="center"/>
      <protection locked="0"/>
    </xf>
    <xf numFmtId="164" fontId="0" fillId="0" borderId="46" xfId="2" applyNumberFormat="1" applyFont="1" applyFill="1" applyBorder="1" applyProtection="1">
      <protection locked="0"/>
    </xf>
    <xf numFmtId="164" fontId="0" fillId="0" borderId="8" xfId="2" applyFont="1" applyBorder="1" applyProtection="1">
      <protection locked="0"/>
    </xf>
    <xf numFmtId="164" fontId="0" fillId="0" borderId="28" xfId="2" applyFont="1" applyBorder="1" applyProtection="1">
      <protection locked="0"/>
    </xf>
    <xf numFmtId="164" fontId="0" fillId="0" borderId="46" xfId="2" applyNumberFormat="1" applyFont="1" applyBorder="1" applyProtection="1">
      <protection locked="0"/>
    </xf>
    <xf numFmtId="0" fontId="1" fillId="13" borderId="6" xfId="0" applyFont="1" applyFill="1" applyBorder="1" applyAlignment="1" applyProtection="1">
      <protection locked="0"/>
    </xf>
    <xf numFmtId="170" fontId="1" fillId="13" borderId="45" xfId="0" applyNumberFormat="1" applyFont="1" applyFill="1" applyBorder="1" applyAlignment="1" applyProtection="1">
      <protection locked="0"/>
    </xf>
    <xf numFmtId="170" fontId="1" fillId="13" borderId="28" xfId="0" applyNumberFormat="1" applyFont="1" applyFill="1" applyBorder="1" applyAlignment="1" applyProtection="1">
      <protection locked="0"/>
    </xf>
    <xf numFmtId="170" fontId="1" fillId="13" borderId="46" xfId="0" applyNumberFormat="1" applyFont="1" applyFill="1" applyBorder="1" applyProtection="1">
      <protection locked="0"/>
    </xf>
    <xf numFmtId="171" fontId="1" fillId="13" borderId="45" xfId="1" applyNumberFormat="1" applyFont="1" applyFill="1" applyBorder="1" applyAlignment="1" applyProtection="1">
      <protection locked="0"/>
    </xf>
    <xf numFmtId="171" fontId="1" fillId="13" borderId="28" xfId="1" applyNumberFormat="1" applyFont="1" applyFill="1" applyBorder="1" applyAlignment="1" applyProtection="1">
      <protection locked="0"/>
    </xf>
    <xf numFmtId="171" fontId="1" fillId="13" borderId="6" xfId="1" applyNumberFormat="1" applyFont="1" applyFill="1" applyBorder="1" applyAlignment="1" applyProtection="1">
      <protection locked="0"/>
    </xf>
    <xf numFmtId="10" fontId="1" fillId="13" borderId="45" xfId="3" applyNumberFormat="1" applyFont="1" applyFill="1" applyBorder="1" applyAlignment="1" applyProtection="1">
      <protection locked="0"/>
    </xf>
    <xf numFmtId="164" fontId="1" fillId="13" borderId="46" xfId="0" applyNumberFormat="1" applyFont="1" applyFill="1" applyBorder="1" applyAlignment="1" applyProtection="1">
      <protection locked="0"/>
    </xf>
    <xf numFmtId="164" fontId="1" fillId="13" borderId="8" xfId="0" applyNumberFormat="1" applyFont="1" applyFill="1" applyBorder="1" applyProtection="1">
      <protection locked="0"/>
    </xf>
    <xf numFmtId="164" fontId="1" fillId="13" borderId="28" xfId="0" applyNumberFormat="1" applyFont="1" applyFill="1" applyBorder="1" applyProtection="1">
      <protection locked="0"/>
    </xf>
    <xf numFmtId="164" fontId="1" fillId="13" borderId="28" xfId="0" applyNumberFormat="1" applyFont="1" applyFill="1" applyBorder="1" applyAlignment="1" applyProtection="1">
      <protection locked="0"/>
    </xf>
    <xf numFmtId="0" fontId="0" fillId="3" borderId="6" xfId="0" applyFill="1" applyBorder="1" applyAlignment="1" applyProtection="1">
      <alignment wrapText="1"/>
      <protection locked="0"/>
    </xf>
    <xf numFmtId="164" fontId="0" fillId="3" borderId="47" xfId="0" applyNumberFormat="1" applyFill="1" applyBorder="1" applyAlignment="1" applyProtection="1">
      <protection locked="0"/>
    </xf>
    <xf numFmtId="164" fontId="0" fillId="3" borderId="48" xfId="0" applyNumberFormat="1" applyFill="1" applyBorder="1" applyAlignment="1" applyProtection="1">
      <protection locked="0"/>
    </xf>
    <xf numFmtId="164" fontId="0" fillId="3" borderId="49" xfId="0" applyNumberFormat="1" applyFill="1" applyBorder="1" applyAlignment="1" applyProtection="1">
      <protection locked="0"/>
    </xf>
    <xf numFmtId="0" fontId="0" fillId="3" borderId="47" xfId="0" applyFill="1" applyBorder="1" applyProtection="1">
      <protection locked="0"/>
    </xf>
    <xf numFmtId="0" fontId="0" fillId="3" borderId="48" xfId="0" applyFill="1" applyBorder="1" applyProtection="1">
      <protection locked="0"/>
    </xf>
    <xf numFmtId="0" fontId="0" fillId="3" borderId="50" xfId="0" applyFill="1" applyBorder="1" applyProtection="1">
      <protection locked="0"/>
    </xf>
    <xf numFmtId="0" fontId="0" fillId="3" borderId="49" xfId="0" applyFill="1" applyBorder="1" applyProtection="1">
      <protection locked="0"/>
    </xf>
    <xf numFmtId="164" fontId="0" fillId="3" borderId="8" xfId="0" applyNumberFormat="1" applyFill="1" applyBorder="1" applyProtection="1">
      <protection locked="0"/>
    </xf>
    <xf numFmtId="0" fontId="0" fillId="3" borderId="28" xfId="0" applyFill="1" applyBorder="1" applyProtection="1">
      <protection locked="0"/>
    </xf>
    <xf numFmtId="164" fontId="0" fillId="3" borderId="28" xfId="0" applyNumberFormat="1" applyFill="1" applyBorder="1" applyProtection="1">
      <protection locked="0"/>
    </xf>
    <xf numFmtId="1" fontId="1" fillId="0" borderId="45" xfId="2" applyNumberFormat="1" applyFont="1" applyBorder="1" applyProtection="1">
      <protection locked="0"/>
    </xf>
    <xf numFmtId="1" fontId="0" fillId="0" borderId="46" xfId="1" applyNumberFormat="1" applyFont="1" applyBorder="1" applyAlignment="1" applyProtection="1">
      <alignment horizontal="right"/>
      <protection locked="0"/>
    </xf>
    <xf numFmtId="164" fontId="0" fillId="0" borderId="6" xfId="0" applyNumberFormat="1" applyFill="1" applyBorder="1" applyProtection="1">
      <protection locked="0"/>
    </xf>
    <xf numFmtId="164" fontId="0" fillId="0" borderId="6" xfId="2" applyNumberFormat="1" applyFont="1" applyBorder="1" applyAlignment="1" applyProtection="1">
      <alignment horizontal="center"/>
      <protection locked="0"/>
    </xf>
    <xf numFmtId="164" fontId="0" fillId="0" borderId="6" xfId="2" applyNumberFormat="1" applyFont="1" applyFill="1" applyBorder="1" applyProtection="1">
      <protection locked="0"/>
    </xf>
    <xf numFmtId="1" fontId="0" fillId="0" borderId="28" xfId="0" applyNumberFormat="1" applyBorder="1"/>
    <xf numFmtId="164" fontId="0" fillId="0" borderId="6" xfId="2" applyNumberFormat="1" applyFont="1" applyBorder="1" applyProtection="1">
      <protection locked="0"/>
    </xf>
    <xf numFmtId="171" fontId="1" fillId="13" borderId="46" xfId="1" applyNumberFormat="1" applyFont="1" applyFill="1" applyBorder="1" applyAlignment="1" applyProtection="1">
      <protection locked="0"/>
    </xf>
    <xf numFmtId="164" fontId="1" fillId="13" borderId="6" xfId="0" applyNumberFormat="1" applyFont="1" applyFill="1" applyBorder="1" applyAlignment="1" applyProtection="1">
      <protection locked="0"/>
    </xf>
    <xf numFmtId="0" fontId="0" fillId="0" borderId="12" xfId="0" applyBorder="1" applyProtection="1">
      <protection locked="0"/>
    </xf>
    <xf numFmtId="1" fontId="0" fillId="0" borderId="28" xfId="0" applyNumberFormat="1" applyFont="1" applyBorder="1"/>
    <xf numFmtId="0" fontId="15" fillId="0" borderId="0" xfId="0" applyFont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5" fillId="0" borderId="0" xfId="0" applyFont="1" applyAlignment="1"/>
    <xf numFmtId="0" fontId="5" fillId="0" borderId="0" xfId="0" applyFont="1" applyFill="1" applyBorder="1" applyAlignment="1">
      <alignment horizontal="left"/>
    </xf>
    <xf numFmtId="1" fontId="4" fillId="0" borderId="45" xfId="1" applyNumberFormat="1" applyFont="1" applyBorder="1" applyAlignment="1" applyProtection="1">
      <alignment horizontal="right"/>
      <protection locked="0"/>
    </xf>
    <xf numFmtId="1" fontId="4" fillId="0" borderId="45" xfId="2" applyNumberFormat="1" applyFont="1" applyBorder="1" applyProtection="1">
      <protection locked="0"/>
    </xf>
    <xf numFmtId="0" fontId="0" fillId="0" borderId="0" xfId="0" pivotButton="1"/>
    <xf numFmtId="0" fontId="1" fillId="0" borderId="0" xfId="0" applyFont="1"/>
    <xf numFmtId="0" fontId="1" fillId="3" borderId="12" xfId="0" applyFont="1" applyFill="1" applyBorder="1"/>
    <xf numFmtId="0" fontId="0" fillId="4" borderId="0" xfId="0" applyFill="1"/>
    <xf numFmtId="0" fontId="0" fillId="0" borderId="28" xfId="0" applyBorder="1"/>
    <xf numFmtId="0" fontId="16" fillId="0" borderId="0" xfId="0" applyFont="1"/>
    <xf numFmtId="0" fontId="1" fillId="0" borderId="51" xfId="0" applyFont="1" applyBorder="1"/>
    <xf numFmtId="0" fontId="7" fillId="11" borderId="13" xfId="4" applyFont="1" applyFill="1" applyBorder="1" applyAlignment="1" applyProtection="1">
      <alignment horizontal="center"/>
      <protection locked="0"/>
    </xf>
    <xf numFmtId="14" fontId="8" fillId="0" borderId="13" xfId="4" applyNumberFormat="1" applyFont="1" applyBorder="1" applyAlignment="1" applyProtection="1">
      <alignment horizontal="center" vertical="center"/>
      <protection locked="0"/>
    </xf>
    <xf numFmtId="0" fontId="9" fillId="0" borderId="13" xfId="4" applyFont="1" applyBorder="1" applyAlignment="1" applyProtection="1">
      <alignment horizontal="left" vertical="top"/>
      <protection locked="0"/>
    </xf>
    <xf numFmtId="166" fontId="8" fillId="8" borderId="13" xfId="4" applyNumberFormat="1" applyFont="1" applyFill="1" applyBorder="1" applyAlignment="1" applyProtection="1">
      <protection locked="0"/>
    </xf>
    <xf numFmtId="166" fontId="8" fillId="9" borderId="13" xfId="4" applyNumberFormat="1" applyFont="1" applyFill="1" applyBorder="1" applyAlignment="1" applyProtection="1">
      <protection locked="0"/>
    </xf>
    <xf numFmtId="0" fontId="7" fillId="5" borderId="13" xfId="4" applyFont="1" applyFill="1" applyBorder="1" applyAlignment="1" applyProtection="1">
      <alignment horizontal="center"/>
      <protection locked="0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7" fillId="6" borderId="13" xfId="4" applyFont="1" applyFill="1" applyBorder="1" applyAlignment="1" applyProtection="1">
      <alignment horizontal="left"/>
      <protection locked="0"/>
    </xf>
    <xf numFmtId="0" fontId="9" fillId="0" borderId="13" xfId="4" applyFont="1" applyBorder="1" applyAlignment="1" applyProtection="1">
      <alignment horizontal="center" vertical="center"/>
      <protection locked="0"/>
    </xf>
    <xf numFmtId="0" fontId="8" fillId="0" borderId="13" xfId="4" applyFont="1" applyBorder="1" applyAlignment="1" applyProtection="1"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1" fillId="3" borderId="34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3" borderId="8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164" fontId="14" fillId="16" borderId="28" xfId="0" applyNumberFormat="1" applyFont="1" applyFill="1" applyBorder="1" applyProtection="1">
      <protection locked="0"/>
    </xf>
    <xf numFmtId="164" fontId="14" fillId="17" borderId="6" xfId="0" applyNumberFormat="1" applyFont="1" applyFill="1" applyBorder="1" applyProtection="1">
      <protection locked="0"/>
    </xf>
    <xf numFmtId="164" fontId="14" fillId="17" borderId="8" xfId="0" applyNumberFormat="1" applyFont="1" applyFill="1" applyBorder="1" applyProtection="1">
      <protection locked="0"/>
    </xf>
    <xf numFmtId="0" fontId="1" fillId="13" borderId="28" xfId="0" applyFont="1" applyFill="1" applyBorder="1" applyAlignment="1" applyProtection="1">
      <alignment horizontal="center" wrapText="1"/>
      <protection locked="0"/>
    </xf>
    <xf numFmtId="14" fontId="0" fillId="0" borderId="28" xfId="0" applyNumberFormat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10" fillId="13" borderId="28" xfId="0" applyFont="1" applyFill="1" applyBorder="1" applyAlignment="1" applyProtection="1">
      <alignment horizontal="center"/>
      <protection locked="0"/>
    </xf>
    <xf numFmtId="0" fontId="11" fillId="14" borderId="28" xfId="0" applyFont="1" applyFill="1" applyBorder="1" applyAlignment="1" applyProtection="1">
      <alignment horizontal="left" wrapText="1"/>
      <protection locked="0"/>
    </xf>
    <xf numFmtId="0" fontId="12" fillId="0" borderId="28" xfId="0" applyFont="1" applyBorder="1" applyProtection="1">
      <protection locked="0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ableStyleLight1" xfId="4"/>
  </cellStyles>
  <dxfs count="4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12</xdr:row>
          <xdr:rowOff>12700</xdr:rowOff>
        </xdr:from>
        <xdr:to>
          <xdr:col>5</xdr:col>
          <xdr:colOff>215900</xdr:colOff>
          <xdr:row>13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 Skilbeck" refreshedDate="41620.467451157405" createdVersion="5" refreshedVersion="5" minRefreshableVersion="3" recordCount="10054">
  <cacheSource type="worksheet">
    <worksheetSource ref="A1:H1048576" sheet="Query"/>
  </cacheSource>
  <cacheFields count="8">
    <cacheField name="Helper1" numFmtId="0">
      <sharedItems containsBlank="1"/>
    </cacheField>
    <cacheField name="EndNodeAccount" numFmtId="0">
      <sharedItems containsBlank="1" count="845">
        <s v="05-15873181"/>
        <s v="05-27007655"/>
        <s v="05-30244858"/>
        <s v="05-30248928"/>
        <s v="05-30287365"/>
        <s v="05-30319330"/>
        <s v="05-30322941"/>
        <s v="05-30388930"/>
        <s v="05-30547975"/>
        <s v="05-30553129"/>
        <s v="05-30896369"/>
        <s v="05-31006750"/>
        <s v="05-42143260"/>
        <s v="05-42147965"/>
        <s v="05-42154992"/>
        <s v="05-42200653"/>
        <s v="05-43036558"/>
        <s v="05-44797573"/>
        <s v="05-45284052"/>
        <s v="05-48601546"/>
        <s v="05-48607670"/>
        <s v="05-61375440"/>
        <s v="05-67618714"/>
        <s v="05-71839846"/>
        <s v="05-73173447"/>
        <s v="05-74103386"/>
        <s v="05-75008479"/>
        <s v="05-75515177"/>
        <s v="05-75655167"/>
        <s v="05-77616933"/>
        <s v="05-77704629"/>
        <s v="05-79424372"/>
        <s v="05-79532963"/>
        <s v="05-79912680"/>
        <s v="05-80052982"/>
        <s v="05-80061898"/>
        <s v="05-80165891"/>
        <s v="05-80537333"/>
        <s v="05-81070446"/>
        <s v="05-81270365"/>
        <s v="05-82595050"/>
        <s v="05-82644064"/>
        <s v="05-85128093"/>
        <s v="05-85297612"/>
        <s v="05-85439801"/>
        <s v="05-85986633"/>
        <s v="05-87132894"/>
        <s v="05-87416510"/>
        <s v="05-87523232"/>
        <s v="05-87718003"/>
        <s v="05-88501695"/>
        <s v="05-88766195"/>
        <s v="05-89831955"/>
        <s v="05-90169575"/>
        <s v="05-90908866"/>
        <s v="05-90913646"/>
        <s v="05-92571644"/>
        <s v="05-92739969"/>
        <s v="05-92742064"/>
        <s v="05-93965969"/>
        <s v="05-94124839"/>
        <s v="05-94151813"/>
        <s v="05-96462328"/>
        <s v="05-96491474"/>
        <s v="05-96641611"/>
        <s v="05-97937205"/>
        <s v="06-10075898"/>
        <s v="06-10216806"/>
        <s v="06-10490633"/>
        <s v="15-13798823"/>
        <s v="15-19414446"/>
        <s v="15-22917446"/>
        <s v="15-25838726"/>
        <s v="15-30194240"/>
        <s v="15-30200383"/>
        <s v="15-30215431"/>
        <s v="15-30216418"/>
        <s v="15-30227515"/>
        <s v="15-30242459"/>
        <s v="15-30246529"/>
        <s v="15-30257819"/>
        <s v="15-30265414"/>
        <s v="15-30506140"/>
        <s v="15-30527408"/>
        <s v="15-30594668"/>
        <s v="15-30603429"/>
        <s v="15-30680851"/>
        <s v="15-30744838"/>
        <s v="15-30762627"/>
        <s v="15-30844017"/>
        <s v="15-30922360"/>
        <s v="15-30980788"/>
        <s v="15-30986588"/>
        <s v="15-42180907"/>
        <s v="15-42203453"/>
        <s v="15-42210219"/>
        <s v="15-42302752"/>
        <s v="15-52001162"/>
        <s v="15-66335288"/>
        <s v="15-66686669"/>
        <s v="15-67581064"/>
        <s v="15-73139024"/>
        <s v="15-75427198"/>
        <s v="15-77818868"/>
        <s v="15-79196588"/>
        <s v="15-79905951"/>
        <s v="15-79915178"/>
        <s v="15-79937457"/>
        <s v="15-79939712"/>
        <s v="15-79982286"/>
        <s v="15-80018194"/>
        <s v="15-80058734"/>
        <s v="15-80064911"/>
        <s v="15-80144875"/>
        <s v="15-80256019"/>
        <s v="15-82509247"/>
        <s v="15-82552874"/>
        <s v="15-83904421"/>
        <s v="15-84416833"/>
        <s v="15-85292670"/>
        <s v="15-86253049"/>
        <s v="15-86607145"/>
        <s v="15-87012869"/>
        <s v="15-87153836"/>
        <s v="15-89228123"/>
        <s v="15-89929552"/>
        <s v="15-91224922"/>
        <s v="15-91651197"/>
        <s v="15-92311533"/>
        <s v="15-92414559"/>
        <s v="15-92508926"/>
        <s v="15-92662271"/>
        <s v="15-92666578"/>
        <s v="15-95219740"/>
        <s v="15-95227787"/>
        <s v="15-96059891"/>
        <s v="15-96636269"/>
        <s v="15-98579777"/>
        <s v="16-10097301"/>
        <s v="16-10347437"/>
        <s v="16-10422556"/>
        <s v="16-10497439"/>
        <s v="16-10626501"/>
        <s v="25-27060436"/>
        <s v="25-28188890"/>
        <s v="25-30253650"/>
        <s v="25-30255335"/>
        <s v="25-30259610"/>
        <s v="25-30272299"/>
        <s v="25-30276596"/>
        <s v="25-30297188"/>
        <s v="25-30385487"/>
        <s v="25-30562493"/>
        <s v="25-30606337"/>
        <s v="25-30657353"/>
        <s v="25-30795895"/>
        <s v="25-30826731"/>
        <s v="25-30836077"/>
        <s v="25-30908068"/>
        <s v="25-41648931"/>
        <s v="25-42188917"/>
        <s v="25-42191249"/>
        <s v="25-44221106"/>
        <s v="25-45260575"/>
        <s v="25-45283972"/>
        <s v="25-66628293"/>
        <s v="25-66933353"/>
        <s v="25-72507405"/>
        <s v="25-73620648"/>
        <s v="25-75007281"/>
        <s v="25-75658328"/>
        <s v="25-77459677"/>
        <s v="25-79426727"/>
        <s v="25-79501954"/>
        <s v="25-79547792"/>
        <s v="25-79830573"/>
        <s v="25-79907428"/>
        <m/>
        <s v="15-99903869" u="1"/>
        <s v="06-10267004" u="1"/>
        <s v="15-96356130" u="1"/>
        <s v="15-77945980" u="1"/>
        <s v="05-77634830" u="1"/>
        <s v="15-88344774" u="1"/>
        <s v="05-42173070" u="1"/>
        <s v="15-43201379" u="1"/>
        <s v="05-96814987" u="1"/>
        <s v="15-92386104" u="1"/>
        <s v="05-29543098" u="1"/>
        <s v="05-30699425" u="1"/>
        <s v="05-73034821" u="1"/>
        <s v="05-96487176" u="1"/>
        <s v="15-30356914" u="1"/>
        <s v="06-10616644" u="1"/>
        <s v="05-45553084" u="1"/>
        <s v="15-42526947" u="1"/>
        <s v="06-10520484" u="1"/>
        <s v="16-10315986" u="1"/>
        <s v="15-24146947" u="1"/>
        <s v="06-10702075" u="1"/>
        <s v="16-10168166" u="1"/>
        <s v="06-11679293" u="1"/>
        <s v="15-30890618" u="1"/>
        <s v="05-86900265" u="1"/>
        <s v="06-11541161" u="1"/>
        <s v="16-10518363" u="1"/>
        <s v="05-30794030" u="1"/>
        <s v="15-81926746" u="1"/>
        <s v="05-84056348" u="1"/>
        <s v="06-11696414" u="1"/>
        <s v="15-96490193" u="1"/>
        <s v="16-10949385" u="1"/>
        <s v="15-30308962" u="1"/>
        <s v="15-96978176" u="1"/>
        <s v="15-89116376" u="1"/>
        <s v="06-10638343" u="1"/>
        <s v="15-71966835" u="1"/>
        <s v="06-10816615" u="1"/>
        <s v="06-11607436" u="1"/>
        <s v="05-97204983" u="1"/>
        <s v="05-30781612" u="1"/>
        <s v="06-11826507" u="1"/>
        <s v="05-30289750" u="1"/>
        <s v="05-61039139" u="1"/>
        <s v="05-96476228" u="1"/>
        <s v="05-85004849" u="1"/>
        <s v="15-77719150" u="1"/>
        <s v="05-80837732" u="1"/>
        <s v="05-86215864" u="1"/>
        <s v="06-10638699" u="1"/>
        <s v="05-90667776" u="1"/>
        <s v="16-10325705" u="1"/>
        <s v="06-11666961" u="1"/>
        <s v="05-77449177" u="1"/>
        <s v="15-36107509" u="1"/>
        <s v="05-66608219" u="1"/>
        <s v="05-88234832" u="1"/>
        <s v="16-10967516" u="1"/>
        <s v="15-89727237" u="1"/>
        <s v="06-11068019" u="1"/>
        <s v="05-31732648" u="1"/>
        <s v="05-53720962" u="1"/>
        <s v="16-11175608" u="1"/>
        <s v="06-10078691" u="1"/>
        <s v="05-78886999" u="1"/>
        <s v="04-95162663" u="1"/>
        <s v="16-10506609" u="1"/>
        <s v="05-30576087" u="1"/>
        <s v="05-87055409" u="1"/>
        <s v="05-69191057" u="1"/>
        <s v="05-30982842" u="1"/>
        <s v="05-11714318" u="1"/>
        <s v="05-94658598" u="1"/>
        <s v="15-42158627" u="1"/>
        <s v="16-10378699" u="1"/>
        <s v="06-11009012" u="1"/>
        <s v="06-10016965" u="1"/>
        <s v="06-10313077" u="1"/>
        <s v="15-77460692" u="1"/>
        <s v="15-89316303" u="1"/>
        <s v="05-53752673" u="1"/>
        <s v="05-87466980" u="1"/>
        <s v="05-42170846" u="1"/>
        <s v="15-91220551" u="1"/>
        <s v="06-10593187" u="1"/>
        <s v="15-59033081" u="1"/>
        <s v="05-96638583" u="1"/>
        <s v="06-10048568" u="1"/>
        <s v="16-10327866" u="1"/>
        <s v="15-69144904" u="1"/>
        <s v="06-10970971" u="1"/>
        <s v="15-84517862" u="1"/>
        <s v="06-10794072" u="1"/>
        <s v="15-98376798" u="1"/>
        <s v="16-10410870" u="1"/>
        <s v="06-11619684" u="1"/>
        <s v="06-10170317" u="1"/>
        <s v="15-83082161" u="1"/>
        <s v="05-30943610" u="1"/>
        <s v="05-66609326" u="1"/>
        <s v="06-11554095" u="1"/>
        <s v="05-18534018" u="1"/>
        <s v="05-90924185" u="1"/>
        <s v="15-99958472" u="1"/>
        <s v="16-10389451" u="1"/>
        <s v="15-30875581" u="1"/>
        <s v="16-11070446" u="1"/>
        <s v="05-88341156" u="1"/>
        <s v="06-11512004" u="1"/>
        <s v="06-10501209" u="1"/>
        <s v="15-51118700" u="1"/>
        <s v="05-82504074" u="1"/>
        <s v="16-10158303" u="1"/>
        <s v="15-31032754" u="1"/>
        <s v="16-10906908" u="1"/>
        <s v="15-99870367" u="1"/>
        <s v="16-10211563" u="1"/>
        <s v="05-73419662" u="1"/>
        <s v="06-11120894" u="1"/>
        <s v="06-11553030" u="1"/>
        <s v="16-10280895" u="1"/>
        <s v="15-49833149" u="1"/>
        <s v="05-96449385" u="1"/>
        <s v="06-10314087" u="1"/>
        <s v="06-10439780" u="1"/>
        <s v="16-10139333" u="1"/>
        <s v="15-87872140" u="1"/>
        <s v="05-99486549" u="1"/>
        <s v="06-10218525" u="1"/>
        <s v="15-31073207" u="1"/>
        <s v="05-30735453" u="1"/>
        <s v="16-10813121" u="1"/>
        <s v="05-89608229" u="1"/>
        <s v="06-11531676" u="1"/>
        <s v="05-52745153" u="1"/>
        <s v="05-44019756" u="1"/>
        <s v="06-10980831" u="1"/>
        <s v="05-71701747" u="1"/>
        <s v="15-87871237" u="1"/>
        <s v="05-89740325" u="1"/>
        <s v="05-42303798" u="1"/>
        <s v="06-10334197" u="1"/>
        <s v="06-11594088" u="1"/>
        <s v="05-78085949" u="1"/>
        <s v="16-11242122" u="1"/>
        <s v="15-30885560" u="1"/>
        <s v="15-88260331" u="1"/>
        <s v="06-10793255" u="1"/>
        <s v="05-49582200" u="1"/>
        <s v="05-78419571" u="1"/>
        <s v="15-83892599" u="1"/>
        <s v="15-96366733" u="1"/>
        <s v="05-53751834" u="1"/>
        <s v="05-67582356" u="1"/>
        <s v="05-87876934" u="1"/>
        <s v="15-81805061" u="1"/>
        <s v="05-53734248" u="1"/>
        <s v="15-86611216" u="1"/>
        <s v="15-92873037" u="1"/>
        <s v="05-94209237" u="1"/>
        <s v="16-10012007" u="1"/>
        <s v="05-46608819" u="1"/>
        <s v="15-84749663" u="1"/>
        <s v="16-10883366" u="1"/>
        <s v="15-92872210" u="1"/>
        <s v="15-95937710" u="1"/>
        <s v="15-80410941" u="1"/>
        <s v="06-10761889" u="1"/>
        <s v="05-42933759" u="1"/>
        <s v="15-78539469" u="1"/>
        <s v="16-11012006" u="1"/>
        <s v="15-89108588" u="1"/>
        <s v="15-87662134" u="1"/>
        <s v="15-95883284" u="1"/>
        <s v="05-31124557" u="1"/>
        <s v="06-10297933" u="1"/>
        <s v="15-30790194" u="1"/>
        <s v="05-86497615" u="1"/>
        <s v="15-98177436" u="1"/>
        <s v="15-69177733" u="1"/>
        <s v="05-89592142" u="1"/>
        <s v="15-30687166" u="1"/>
        <s v="05-30880052" u="1"/>
        <s v="15-87031356" u="1"/>
        <s v="16-10263362" u="1"/>
        <s v="15-98158239" u="1"/>
        <s v="06-10497926" u="1"/>
        <s v="05-66951858" u="1"/>
        <s v="06-11297813" u="1"/>
        <s v="05-73782883" u="1"/>
        <s v="15-25813967" u="1"/>
        <s v="05-88068688" u="1"/>
        <s v="06-10639988" u="1"/>
        <s v="05-20983903" u="1"/>
        <s v="05-18354555" u="1"/>
        <s v="16-11230617" u="1"/>
        <s v="15-85411547" u="1"/>
        <s v="15-86492112" u="1"/>
        <s v="16-10654012" u="1"/>
        <s v="15-50423850" u="1"/>
        <s v="05-29115158" u="1"/>
        <s v="05-98561573" u="1"/>
        <s v="15-48604249" u="1"/>
        <s v="06-11838937" u="1"/>
        <s v="15-21649083" u="1"/>
        <s v="05-86498636" u="1"/>
        <s v="05-89311215" u="1"/>
        <s v="15-86493155" u="1"/>
        <s v="16-10621830" u="1"/>
        <s v="15-90082563" u="1"/>
        <s v="06-10976061" u="1"/>
        <s v="16-10621711" u="1"/>
        <s v="15-86587812" u="1"/>
        <s v="16-11199402" u="1"/>
        <s v="05-30726569" u="1"/>
        <s v="05-30958036" u="1"/>
        <s v="15-96556929" u="1"/>
        <s v="05-71513883" u="1"/>
        <s v="15-79169430" u="1"/>
        <s v="15-76728948" u="1"/>
        <s v="05-96469796" u="1"/>
        <s v="05-92584385" u="1"/>
        <s v="15-80834323" u="1"/>
        <s v="05-94839759" u="1"/>
        <s v="05-30949067" u="1"/>
        <s v="15-30858490" u="1"/>
        <s v="05-30998386" u="1"/>
        <s v="15-89231325" u="1"/>
        <s v="05-97206914" u="1"/>
        <s v="15-92928807" u="1"/>
        <s v="05-72560909" u="1"/>
        <s v="05-96360840" u="1"/>
        <s v="06-10594357" u="1"/>
        <s v="06-11593313" u="1"/>
        <s v="05-97343372" u="1"/>
        <s v="05-94902998" u="1"/>
        <s v="15-44066397" u="1"/>
        <s v="15-72434430" u="1"/>
        <s v="16-11202407" u="1"/>
        <s v="15-97461789" u="1"/>
        <s v="05-96324392" u="1"/>
        <s v="05-90702727" u="1"/>
        <s v="06-10985461" u="1"/>
        <s v="16-10231930" u="1"/>
        <s v="05-84991920" u="1"/>
        <s v="05-79990925" u="1"/>
        <s v="06-10375145" u="1"/>
        <s v="05-96975161" u="1"/>
        <s v="06-10312722" u="1"/>
        <s v="06-10544459" u="1"/>
        <s v="05-53768076" u="1"/>
        <s v="15-82011702" u="1"/>
        <s v="05-79099644" u="1"/>
        <s v="15-86441602" u="1"/>
        <s v="16-10023438" u="1"/>
        <s v="06-11544685" u="1"/>
        <s v="15-53780170" u="1"/>
        <s v="05-63165476" u="1"/>
        <s v="15-29297040" u="1"/>
        <s v="06-11115252" u="1"/>
        <s v="16-10475484" u="1"/>
        <s v="16-10881904" u="1"/>
        <s v="05-51113719" u="1"/>
        <s v="16-10149947" u="1"/>
        <s v="06-11172972" u="1"/>
        <s v="05-90089837" u="1"/>
        <s v="15-94256094" u="1"/>
        <s v="16-10673877" u="1"/>
        <s v="05-98393484" u="1"/>
        <s v="15-91198928" u="1"/>
        <s v="15-86128828" u="1"/>
        <s v="06-10325128" u="1"/>
        <s v="15-84836394" u="1"/>
        <s v="06-10184563" u="1"/>
        <s v="05-86733896" u="1"/>
        <s v="06-11176161" u="1"/>
        <s v="06-10333518" u="1"/>
        <s v="05-60584618" u="1"/>
        <s v="15-90245593" u="1"/>
        <s v="05-97540818" u="1"/>
        <s v="15-88434350" u="1"/>
        <s v="15-35083947" u="1"/>
        <s v="15-80056156" u="1"/>
        <s v="05-71172923" u="1"/>
        <s v="05-88499978" u="1"/>
        <s v="15-34740485" u="1"/>
        <s v="06-10165128" u="1"/>
        <s v="05-30366985" u="1"/>
        <s v="05-50534816" u="1"/>
        <s v="06-11586159" u="1"/>
        <s v="05-29324604" u="1"/>
        <s v="16-11232701" u="1"/>
        <s v="15-88415261" u="1"/>
        <s v="05-25831481" u="1"/>
        <s v="05-87365490" u="1"/>
        <s v="15-29827573" u="1"/>
        <s v="15-78883621" u="1"/>
        <s v="16-10856478" u="1"/>
        <s v="16-10245108" u="1"/>
        <s v="15-30952147" u="1"/>
        <s v="05-98522998" u="1"/>
        <s v="05-72564842" u="1"/>
        <s v="06-10735655" u="1"/>
        <s v="15-91222935" u="1"/>
        <s v="15-75004652" u="1"/>
        <s v="16-10474634" u="1"/>
        <s v="15-30742012" u="1"/>
        <s v="05-72568150" u="1"/>
        <s v="15-14702379" u="1"/>
        <s v="15-20982451" u="1"/>
        <s v="05-42145848" u="1"/>
        <s v="15-96676393" u="1"/>
        <s v="15-30847951" u="1"/>
        <s v="16-10062819" u="1"/>
        <s v="15-12303286" u="1"/>
        <s v="15-73415522" u="1"/>
        <s v="16-10497398" u="1"/>
        <s v="15-54846994" u="1"/>
        <s v="15-57237373" u="1"/>
        <s v="15-96472832" u="1"/>
        <s v="06-11536228" u="1"/>
        <s v="15-31049015" u="1"/>
        <s v="05-53173906" u="1"/>
        <s v="06-10106347" u="1"/>
        <s v="15-99262889" u="1"/>
        <s v="05-88114219" u="1"/>
        <s v="05-99915690" u="1"/>
        <s v="05-96362729" u="1"/>
        <s v="06-11543910" u="1"/>
        <s v="15-91886337" u="1"/>
        <s v="05-65759051" u="1"/>
        <s v="05-61374805" u="1"/>
        <s v="05-25833177" u="1"/>
        <s v="15-30700504" u="1"/>
        <s v="05-15280439" u="1"/>
        <s v="06-11143826" u="1"/>
        <s v="15-30888998" u="1"/>
        <s v="16-10426433" u="1"/>
        <s v="06-10735989" u="1"/>
        <s v="05-17002381" u="1"/>
        <s v="15-46710469" u="1"/>
        <s v="16-10522092" u="1"/>
        <s v="15-96495693" u="1"/>
        <s v="16-10391193" u="1"/>
        <s v="15-30238418" u="1"/>
        <s v="05-11822642" u="1"/>
        <s v="05-42450771" u="1"/>
        <s v="15-57236329" u="1"/>
        <s v="05-92114506" u="1"/>
        <s v="15-96468095" u="1"/>
        <s v="06-10517215" u="1"/>
        <s v="06-10706888" u="1"/>
        <s v="05-18967607" u="1"/>
        <s v="15-73866513" u="1"/>
        <s v="06-11596558" u="1"/>
        <s v="05-30831636" u="1"/>
        <s v="15-91887574" u="1"/>
        <s v="16-10867434" u="1"/>
        <s v="(blank)" u="1"/>
        <s v="16-10408257" u="1"/>
        <s v="06-10325979" u="1"/>
        <s v="05-31092366" u="1"/>
        <s v="05-82357696" u="1"/>
        <s v="05-61389243" u="1"/>
        <s v="15-99284328" u="1"/>
        <s v="05-89400171" u="1"/>
        <s v="06-10200005" u="1"/>
        <s v="15-31123157" u="1"/>
        <s v="05-87127144" u="1"/>
        <s v="05-85555730" u="1"/>
        <s v="05-58786503" u="1"/>
        <s v="06-11200350" u="1"/>
        <s v="15-72019286" u="1"/>
        <s v="05-81949124" u="1"/>
        <s v="05-89114995" u="1"/>
        <s v="15-88085550" u="1"/>
        <s v="06-10978456" u="1"/>
        <s v="05-63880892" u="1"/>
        <s v="15-66819481" u="1"/>
        <s v="06-10306998" u="1"/>
        <s v="06-11660570" u="1"/>
        <s v="15-31059209" u="1"/>
        <s v="06-10947766" u="1"/>
        <s v="15-30751627" u="1"/>
        <s v="06-10220115" u="1"/>
        <s v="05-61031007" u="1"/>
        <s v="16-10711364" u="1"/>
        <s v="05-91620466" u="1"/>
        <s v="16-10228460" u="1"/>
        <s v="16-10426518" u="1"/>
        <s v="06-11840550" u="1"/>
        <s v="15-42993484" u="1"/>
        <s v="15-22889615" u="1"/>
        <s v="16-11066427" u="1"/>
        <s v="05-82516749" u="1"/>
        <s v="15-42122006" u="1"/>
        <s v="06-10379022" u="1"/>
        <s v="15-23783572" u="1"/>
        <s v="16-10101383" u="1"/>
        <s v="06-10778430" u="1"/>
        <s v="15-88664700" u="1"/>
        <s v="15-76730118" u="1"/>
        <s v="15-96474830" u="1"/>
        <s v="16-10028488" u="1"/>
        <s v="06-10871597" u="1"/>
        <s v="15-88233818" u="1"/>
        <s v="05-49527500" u="1"/>
        <s v="15-72479138" u="1"/>
        <s v="05-82515911" u="1"/>
        <s v="05-39831541" u="1"/>
        <s v="05-53758730" u="1"/>
        <s v="15-72571597" u="1"/>
        <s v="05-30455056" u="1"/>
        <s v="16-10512381" u="1"/>
        <s v="06-11577522" u="1"/>
        <s v="15-89940003" u="1"/>
        <s v="05-92509241" u="1"/>
        <s v="16-10878304" u="1"/>
        <s v="15-30775142" u="1"/>
        <s v="15-95235746" u="1"/>
        <s v="06-11186731" u="1"/>
        <s v="15-39792580" u="1"/>
        <s v="06-10673171" u="1"/>
        <s v="15-50514156" u="1"/>
        <s v="15-96847326" u="1"/>
        <s v="15-44818608" u="1"/>
        <s v="05-84538457" u="1"/>
        <s v="06-11545929" u="1"/>
        <s v="05-48612461" u="1"/>
        <s v="15-71534193" u="1"/>
        <s v="05-96830585" u="1"/>
        <s v="05-96799165" u="1"/>
        <s v="15-87501262" u="1"/>
        <s v="15-53791642" u="1"/>
        <s v="05-16284252" u="1"/>
        <s v="05-72989557" u="1"/>
        <s v="05-96650475" u="1"/>
        <s v="06-11516839" u="1"/>
        <s v="16-10276832" u="1"/>
        <s v="05-43672785" u="1"/>
        <s v="15-95887893" u="1"/>
        <s v="06-11251581" u="1"/>
        <s v="15-53723234" u="1"/>
        <s v="16-10478544" u="1"/>
        <s v="06-11557519" u="1"/>
        <s v="15-18933315" u="1"/>
        <s v="15-53761876" u="1"/>
        <s v="15-57100400" u="1"/>
        <s v="06-10223189" u="1"/>
        <s v="15-95879362" u="1"/>
        <s v="05-99010034" u="1"/>
        <s v="05-90001451" u="1"/>
        <s v="05-17854681" u="1"/>
        <s v="05-54854398" u="1"/>
        <s v="05-72709522" u="1"/>
        <s v="15-30382988" u="1"/>
        <s v="15-82667952" u="1"/>
        <s v="15-92932246" u="1"/>
        <s v="06-11798419" u="1"/>
        <s v="05-54851733" u="1"/>
        <s v="14-25000242" u="1"/>
        <s v="05-73861522" u="1"/>
        <s v="15-31102866" u="1"/>
        <s v="15-53775066" u="1"/>
        <s v="05-83146839" u="1"/>
        <s v="15-30964641" u="1"/>
        <s v="15-75361696" u="1"/>
        <s v="05-95939227" u="1"/>
        <s v="15-20995675" u="1"/>
        <s v="05-28022424" u="1"/>
        <s v="06-11012377" u="1"/>
        <s v="15-84921652" u="1"/>
        <s v="05-88347536" u="1"/>
        <s v="15-53773671" u="1"/>
        <s v="05-80823467" u="1"/>
        <s v="05-87535918" u="1"/>
        <s v="05-69139343" u="1"/>
        <s v="05-84832227" u="1"/>
        <s v="05-89345708" u="1"/>
        <s v="06-10378517" u="1"/>
        <s v="05-88090225" u="1"/>
        <s v="06-10369786" u="1"/>
        <s v="16-11249567" u="1"/>
        <s v="15-75381568" u="1"/>
        <s v="16-10901505" u="1"/>
        <s v="15-90962542" u="1"/>
        <s v="16-10561871" u="1"/>
        <s v="15-87933261" u="1"/>
        <s v="05-88179243" u="1"/>
        <s v="05-27054114" u="1"/>
        <s v="16-10521996" u="1"/>
        <s v="15-77752225" u="1"/>
        <s v="05-96493290" u="1"/>
        <s v="05-31025690" u="1"/>
        <s v="06-10805176" u="1"/>
        <s v="06-11673006" u="1"/>
        <s v="05-96442133" u="1"/>
        <s v="05-30456594" u="1"/>
        <s v="15-31127078" u="1"/>
        <s v="05-71589602" u="1"/>
        <s v="16-10912538" u="1"/>
        <s v="06-11231750" u="1"/>
        <s v="06-11549981" u="1"/>
        <s v="15-67607915" u="1"/>
        <s v="05-52252505" u="1"/>
        <s v="15-97710645" u="1"/>
        <s v="15-90921710" u="1"/>
        <s v="15-30997481" u="1"/>
        <s v="16-10732990" u="1"/>
        <s v="15-88688991" u="1"/>
        <s v="16-11229510" u="1"/>
        <s v="06-11606095" u="1"/>
        <s v="15-32440099" u="1"/>
        <s v="05-65854462" u="1"/>
        <s v="05-73865261" u="1"/>
        <s v="15-50554893" u="1"/>
        <s v="15-89638779" u="1"/>
        <s v="15-74914248" u="1"/>
        <s v="06-10833676" u="1"/>
        <s v="15-84097821" u="1"/>
        <s v="15-88171680" u="1"/>
        <s v="05-45245013" u="1"/>
        <s v="05-80044495" u="1"/>
        <s v="15-90363464" u="1"/>
        <s v="15-99868777" u="1"/>
        <s v="16-10705262" u="1"/>
        <s v="05-31096470" u="1"/>
        <s v="06-10548819" u="1"/>
        <s v="16-11141621" u="1"/>
        <s v="06-11139863" u="1"/>
        <s v="05-66602743" u="1"/>
        <s v="15-33317392" u="1"/>
        <s v="05-73863520" u="1"/>
        <s v="15-30358053" u="1"/>
        <s v="15-72566290" u="1"/>
        <s v="05-79909745" u="1"/>
        <s v="16-10048703" u="1"/>
        <s v="16-10514248" u="1"/>
        <s v="06-10626184" u="1"/>
        <s v="15-67734112" u="1"/>
        <s v="05-30521076" u="1"/>
        <s v="15-89110510" u="1"/>
        <s v="05-80824660" u="1"/>
        <s v="15-53795585" u="1"/>
        <s v="15-92583479" u="1"/>
        <s v="15-75522510" u="1"/>
        <s v="06-11251600" u="1"/>
        <s v="05-78604386" u="1"/>
        <s v="05-92109997" u="1"/>
        <s v="05-30901179" u="1"/>
        <s v="15-97310636" u="1"/>
        <s v="06-11011613" u="1"/>
        <s v="05-73002994" u="1"/>
        <s v="16-10784238" u="1"/>
        <s v="05-72653872" u="1"/>
        <s v="15-34344405" u="1"/>
        <s v="05-35867025" u="1"/>
        <s v="06-11252751" u="1"/>
        <s v="05-99917803" u="1"/>
        <s v="15-67583794" u="1"/>
        <s v="15-96311777" u="1"/>
        <s v="05-22819031" u="1"/>
        <s v="16-11184495" u="1"/>
        <s v="05-22732099" u="1"/>
        <s v="15-72563538" u="1"/>
        <s v="15-98122005" u="1"/>
        <s v="15-30323903" u="1"/>
        <s v="16-11143458" u="1"/>
        <s v="05-66245036" u="1"/>
        <s v="05-44442914" u="1"/>
        <s v="05-92071519" u="1"/>
        <s v="15-35148086" u="1"/>
        <s v="15-30978369" u="1"/>
        <s v="16-10947064" u="1"/>
        <s v="15-75542749" u="1"/>
        <s v="06-10061932" u="1"/>
        <s v="05-15238265" u="1"/>
        <s v="05-87399637" u="1"/>
        <s v="05-96389995" u="1"/>
        <s v="06-11599801" u="1"/>
        <s v="15-88314384" u="1"/>
        <s v="05-30780237" u="1"/>
        <s v="15-67716033" u="1"/>
        <s v="15-79868913" u="1"/>
        <s v="16-10516020" u="1"/>
        <s v="05-30897799" u="1"/>
        <s v="06-10897065" u="1"/>
        <s v="05-82663863" u="1"/>
        <s v="06-11042745" u="1"/>
        <s v="15-53786345" u="1"/>
        <s v="06-10222953" u="1"/>
        <s v="06-10036161" u="1"/>
        <s v="15-87533326" u="1"/>
        <s v="06-10846470" u="1"/>
        <s v="05-61416213" u="1"/>
        <s v="15-31129173" u="1"/>
        <s v="05-31045960" u="1"/>
        <s v="15-86899812" u="1"/>
        <s v="06-10846351" u="1"/>
        <s v="16-10316156" u="1"/>
        <s v="16-10279925" u="1"/>
        <s v="05-95005162" u="1"/>
        <s v="05-30636842" u="1"/>
        <s v="05-21007316" u="1"/>
        <s v="15-82514533" u="1"/>
        <s v="05-22878566" u="1"/>
        <s v="05-12687529" u="1"/>
        <s v="15-96981947" u="1"/>
        <s v="06-11199803" u="1"/>
        <s v="06-11234542" u="1"/>
        <s v="06-11646000" u="1"/>
        <s v="15-74104315" u="1"/>
        <s v="16-10346159" u="1"/>
        <s v="06-10082728" u="1"/>
        <s v="16-10793605" u="1"/>
        <s v="06-10044799" u="1"/>
        <s v="16-10524766" u="1"/>
        <s v="06-11695697" u="1"/>
        <s v="16-10193744" u="1"/>
        <s v="15-97278949" u="1"/>
        <s v="15-75556014" u="1"/>
        <s v="05-31130693" u="1"/>
        <s v="05-60992073" u="1"/>
        <s v="05-54849187" u="1"/>
        <s v="16-10918297" u="1"/>
        <s v="15-53715963" u="1"/>
        <s v="05-29659175" u="1"/>
        <s v="15-30851334" u="1"/>
        <s v="05-43636516" u="1"/>
        <s v="06-11836348" u="1"/>
        <s v="05-96851917" u="1"/>
        <s v="05-90920394" u="1"/>
        <s v="15-30893068" u="1"/>
        <s v="05-80607100" u="1"/>
        <s v="06-11647010" u="1"/>
        <s v="05-88294225" u="1"/>
        <s v="15-92115212" u="1"/>
        <s v="06-11818151" u="1"/>
        <s v="06-10110065" u="1"/>
        <s v="15-53728369" u="1"/>
        <s v="05-44038027" u="1"/>
        <s v="15-87537065" u="1"/>
        <s v="06-11615752" u="1"/>
        <s v="05-28520454" u="1"/>
        <s v="16-10964810" u="1"/>
        <s v="06-10819292" u="1"/>
        <s v="15-88342969" u="1"/>
        <s v="16-10955852" u="1"/>
        <s v="05-78540194" u="1"/>
        <s v="05-31039460" u="1"/>
        <s v="05-38207336" u="1"/>
        <s v="16-10134747" u="1"/>
        <s v="15-74566458" u="1"/>
        <s v="15-83177032" u="1"/>
        <s v="15-81115643" u="1"/>
        <s v="06-11216214" u="1"/>
        <s v="05-72275755" u="1"/>
        <s v="05-94258095" u="1"/>
        <s v="15-92934954" u="1"/>
        <s v="15-25840402" u="1"/>
        <s v="15-53749252" u="1"/>
        <s v="15-35050356" u="1"/>
        <s v="15-30999304" u="1"/>
        <s v="06-11848251" u="1"/>
        <s v="15-35997970" u="1"/>
      </sharedItems>
    </cacheField>
    <cacheField name="EndNodeName" numFmtId="0">
      <sharedItems containsBlank="1" count="842">
        <s v="Crosland"/>
        <s v="Grand Peaks Property Management"/>
        <s v="Vacation Station  Inc"/>
        <s v="Holiday Surf   Racquet Club"/>
        <s v="Property Management Hawaii"/>
        <s v="Oceanfront Realty  Inc"/>
        <s v="Oceano Rentals"/>
        <s v="Beachside Colony"/>
        <s v="Lifts West Condominium Hotel"/>
        <s v="Sunset Realty Services"/>
        <s v="Prudential Kapp Lyons Realty"/>
        <s v="Yellow Rose Realty  Inc"/>
        <s v="Coastline Luxury Rentals"/>
        <s v="Durkin Cottage Realty"/>
        <s v="Harbor Point Realty"/>
        <s v="Tahoe Keys Resort"/>
        <s v="Bighorn Rentals of Summit County"/>
        <s v="Chestnut Hill Realty Corp"/>
        <s v="OSU Properties LLC"/>
        <s v="Resort Vacation Properties of St  George Island"/>
        <s v="Allstate Management Corporation"/>
        <s v="Keystone Vacation Rentals Inc"/>
        <s v="710 Beach Rentals"/>
        <s v="Casas de Santa Fe Inc"/>
        <s v="Northern Rental Management Inc"/>
        <s v="Jenner Vacation Rentals"/>
        <s v="Daudelin Vacation Rentals"/>
        <s v="Latitude 26 Property Management"/>
        <s v="Florida Dream Homes"/>
        <s v="Island Vacations of Sanibel and Captiva Inc"/>
        <s v="The Safe Place Mini Storage"/>
        <s v="Black Hills Executive Lodging"/>
        <s v="Village Realty and Management Services Inc"/>
        <s v="Sunset Rentals Inc"/>
        <s v="Casa Playa Resort"/>
        <s v="Coastal Cottages AMI LLC"/>
        <s v="Jamaica Royale Management Inc"/>
        <s v="Long and Foster Real Estate Delaware"/>
        <s v="Island Breeze Rentals"/>
        <s v="Goodwin Management Inc  HOA"/>
        <s v="Reed Real Estate and Construction"/>
        <s v="Cuddle Up Cabin Rentals Inc"/>
        <s v="Tamarron Association of Condominium Owners Inc"/>
        <s v="Noric Miramar Beach"/>
        <s v="Sliding Rock Cabins"/>
        <s v="AGPM LLC"/>
        <s v="Eos Real Estate Management Group LLC"/>
        <s v="Charter at Beaver Creek"/>
        <s v="Sierra Realty and Management"/>
        <s v="Florida Lifestyle Vacation Rentals"/>
        <s v="Keith Brant"/>
        <s v="Busy Bee Vacations"/>
        <s v="Beach Time Rentals"/>
        <s v="Crystal Coast Escapes"/>
        <s v="E and S Ring Management Corp"/>
        <s v="Carmel River Inn"/>
        <s v="Gulf Blue Vacations"/>
        <s v="Kitty Hawk Rentals"/>
        <s v="OMG TRAVEL TAX"/>
        <s v="Coastal Joe Vacation Rentals"/>
        <s v="Ohiopyle Vacation Rentals"/>
        <s v="Kitty Hawk Rentals 2"/>
        <s v="Baker Acres RV Resort"/>
        <s v="Three Worlds RV   MHP"/>
        <s v="1st Class Bed and Breakfast Reservation Service"/>
        <s v="Range Property Management"/>
        <s v="R C Evans Management Group"/>
        <s v="DeNova Homes"/>
        <s v="Beach Condos in Destin Inc"/>
        <s v="America First Properties Management Companies"/>
        <s v="Kisco"/>
        <s v="RW SELBY   CO  INC"/>
        <s v="Tower Home Rentals LLC"/>
        <s v="Mountain Resorts LLC"/>
        <s v="Biloxi Beach Resort Rentals"/>
        <s v="Summit Resort Group"/>
        <s v="Condominium Management Co "/>
        <s v="Lake Tahoe Deluxe Vacation Rentals"/>
        <s v="Sunset Properties"/>
        <s v="The Dieter Company"/>
        <s v="Ski Country Resorts Mgmt"/>
        <s v="Newman Dailey Resort Prop  Mgmt"/>
        <s v="Shaver Lake Real Estate Inc"/>
        <s v="Sandalfoot Condominiums"/>
        <s v="Palmetto Vacations"/>
        <s v="Destin Resorts Inc"/>
        <s v="Contempo Florida Holidays"/>
        <s v="Greenbrier Valley Resorts"/>
        <s v="Coldwell Banker Deep Creek Realty"/>
        <s v="Maui Condos By Owner"/>
        <s v="Key Colony Beach Realty Inc"/>
        <s v="Four Seasons Resort Management"/>
        <s v="Liberty Vacation Homes"/>
        <s v="Sandys By The Shore"/>
        <s v="Tybee Vacation Rentals"/>
        <s v="Leslies Vacation Rentals LLC"/>
        <s v="Seaside Getaways"/>
        <s v="South Padre Island Realty LLC"/>
        <s v="Whaler Vacation Rental Program"/>
        <s v="Easy Street Vacation Rentals LLC"/>
        <s v="Southern California Vacation Rentals"/>
        <s v="The Hayman Company"/>
        <s v="Loyalty Vacation Rental Homes"/>
        <s v="Miss Kittys Fishing Getaways"/>
        <s v="Rocky Mountain Resort Management"/>
        <s v="Peak Property Management"/>
        <s v="Chelan Vacation Properties LLC"/>
        <s v="The Owner Rental Group"/>
        <s v="The Diplomat Resort"/>
        <s v="SNOHOMISH STORAGE ON BICKFORD"/>
        <s v="Mammoth Front Desk"/>
        <s v="Seahorse Beach Resort"/>
        <s v="Pelican Beach Management Inc"/>
        <s v="JME Management Inc"/>
        <s v="Crescent Royale Condominium Association Inc"/>
        <s v="Picard Realty Rentals"/>
        <s v="Oasis Property Management LLC"/>
        <s v="Kettler Management"/>
        <s v="Pinnacle Cabin Rentals Inc"/>
        <s v="Harmony Shores MHP"/>
        <s v="Cleveland Housing Parent"/>
        <s v="AFFINITY PROPERTY MANAGEMENT"/>
        <s v="Southern Shores Realty Outer Banks"/>
        <s v="Aspen Square Condominium Association"/>
        <s v="A1 U Stor It"/>
        <s v="Stan White Realty Property Paid"/>
        <s v="McLean Company Rentals"/>
        <s v="Old Baldy Club"/>
        <s v="Anchorage Rentals"/>
        <s v="John Jeffries House"/>
        <s v="San Juan Property Management"/>
        <s v="Marmot Vacation Rentals"/>
        <s v="Antlers at Vail"/>
        <s v="Lumacorp"/>
        <s v="Bluefin Bay   Surfside   Temperance Landing"/>
        <s v="King Management Solutions"/>
        <s v="FRBO Bookings vt"/>
        <s v="SkyRun Summit"/>
        <s v="The Lodge at Stillwater"/>
        <s v="Beach Properties of Hilton Head Inc"/>
        <s v="Lutsen Resort Company"/>
        <s v="Turnkey"/>
        <s v="Bozzuto Management"/>
        <s v="East Islands Rentals"/>
        <s v="Collins Vacation Rentals"/>
        <s v="Edgewater Beach Condominium"/>
        <s v="Pioneer Ridge Management"/>
        <s v="Sunray Vacation Rentals"/>
        <s v="Commodore Sales   Rental Corp"/>
        <s v="Seascape Resort"/>
        <s v="Wilgus Associates"/>
        <s v="A1 Vacation Rentals   CO"/>
        <s v="IPG Professional Management Inc"/>
        <s v="Millenium  Management   MSI"/>
        <s v="Destin Memories LLC"/>
        <s v="El Presidente Condominium"/>
        <s v="Seaside Vacations"/>
        <s v="Gibson Beach Rentals Inc"/>
        <s v="Rich Properties"/>
        <s v="Seaside Vacation Condos TNL Properties"/>
        <s v="Sisters Vacation Rentals"/>
        <s v="GLD Management"/>
        <s v="First Accommodations Inc"/>
        <s v="ReMax Kauai Com"/>
        <s v="Villa4Less LLC"/>
        <s v="Acton Indoor RV and Boat Storage"/>
        <s v="Stonehenge Management LLC"/>
        <s v="VRClubOnline LLC"/>
        <s v="The Best Spots"/>
        <s v="LM Mini Storage 1"/>
        <s v="Vintage Escapes LLC"/>
        <s v="Leighton Realty LLC"/>
        <s v="At Home Abroad LLC"/>
        <s v="VIP Realty Group Inc"/>
        <s v="Dolberry Realty  LLC"/>
        <s v="Joni s Beach Rentals Inc"/>
        <m/>
        <s v="Waterside Inn on the Beach" u="1"/>
        <s v="Christopher  McGuffin" u="1"/>
        <s v="ReMax Realty Group" u="1"/>
        <s v="Delphi Properties  LLC" u="1"/>
        <s v="Palms Self Storage" u="1"/>
        <s v="Kutztown Self Storage" u="1"/>
        <s v="Mountain Top Cabin Rentals" u="1"/>
        <s v="Tropical Sands Accomidations Sunset" u="1"/>
        <s v="country house Inn" u="1"/>
        <s v="Carolina Cabin Rentals  Inc" u="1"/>
        <s v="Gold Fish Properties   Lake Tahoe LLC" u="1"/>
        <s v="Orlando Property Management OPM" u="1"/>
        <s v="Stony Hill Barn Bed and Breakfast" u="1"/>
        <s v="Alturas Mini Storage" u="1"/>
        <s v="Lovelace Manor Bed and Breakfast" u="1"/>
        <s v="Rio Formoso" u="1"/>
        <s v="Metro Mini Storage Nashville" u="1"/>
        <s v="Advanced Technology Group  ATG" u="1"/>
        <s v="Vacation Rentals of Santa Barbara" u="1"/>
        <s v="Seaside Serenity Vacations" u="1"/>
        <s v="Universal Vacations Fort Myers" u="1"/>
        <s v="Romeo Inn" u="1"/>
        <s v="Outer Banks Blue Realty Services" u="1"/>
        <s v="Dalhart Self Storage" u="1"/>
        <s v="Mei  Lau" u="1"/>
        <s v="Montaneros" u="1"/>
        <s v="AB Sea Sales and Rentals Inc" u="1"/>
        <s v="ORV LLC" u="1"/>
        <s v="Coconut Condos" u="1"/>
        <s v="Century Storage Partners LP" u="1"/>
        <s v="Red Cardinal Bed   Breakfast" u="1"/>
        <s v="Sweet Briar Storage" u="1"/>
        <s v="All Star Mini Storage" u="1"/>
        <s v="Sonnenalp Real Estate" u="1"/>
        <s v="Mountains To Sea Vacation Rentals" u="1"/>
        <s v="Keith Grube" u="1"/>
        <s v="HRI   FRONT DESK   NO FEE" u="1"/>
        <s v="Pepin Cottage" u="1"/>
        <s v="John s Island Real Estate Co" u="1"/>
        <s v="Marathon Vacation " u="1"/>
        <s v="Greater Valley Group Properties" u="1"/>
        <s v="Cagan Management" u="1"/>
        <s v="Pearl City Storage Partners LLC" u="1"/>
        <s v="Farmer Apartments" u="1"/>
        <s v="Vacation Quest Inc" u="1"/>
        <s v="Lake Valley Properties" u="1"/>
        <s v="Team Inc Apartments" u="1"/>
        <s v="Watertown Bed and Breakfast" u="1"/>
        <s v="81 Enterprises Inc " u="1"/>
        <s v="R and V Management Corporation" u="1"/>
        <s v="Square One Management" u="1"/>
        <s v="Beachwalker Rentals" u="1"/>
        <s v="Executive Affiliates" u="1"/>
        <s v="Timber Creek Condo" u="1"/>
        <s v="BK Storage" u="1"/>
        <s v="Ventura Resort Rentals" u="1"/>
        <s v="Chalet Village Properties" u="1"/>
        <s v="Carolina One Vacation Rentals" u="1"/>
        <s v="Ashland Mountain House" u="1"/>
        <s v="Best Beach Getaways LLC" u="1"/>
        <s v="Park Plaza Condominiums" u="1"/>
        <s v="Vintage Escapes of Charleston LLC" u="1"/>
        <s v="Michael Saunders   Company Rental Seasonal" u="1"/>
        <s v="Victorian Rose Bed and Breakfast" u="1"/>
        <s v="The Seaside Real Estate Store" u="1"/>
        <s v="Paxman Rentals" u="1"/>
        <s v="PropMng" u="1"/>
        <s v="Paso Robles Vacation Rentals" u="1"/>
        <s v="Alamo Self Storage" u="1"/>
        <s v="Winfield Storage Rentals" u="1"/>
        <s v="Champagne Chalet" u="1"/>
        <s v="Vacation Properties Realty" u="1"/>
        <s v="MB Resort Vacations LLC" u="1"/>
        <s v="Beach n Bay Nick Juren eCheck" u="1"/>
        <s v="Coastal Vacation Rentals" u="1"/>
        <s v="Brad  Ballard" u="1"/>
        <s v="Metro Mini Storage Center Point" u="1"/>
        <s v="Airport Budget Storage" u="1"/>
        <s v="H A  Langer and Associates" u="1"/>
        <s v="Bel Sole Rental Company  LLC" u="1"/>
        <s v="A to Z Storage" u="1"/>
        <s v="Vacation By The Mouse" u="1"/>
        <s v="Sonoma Escape Vacation Rental" u="1"/>
        <s v="Double Diamond Yosemite Rentals" u="1"/>
        <s v="BMA Management" u="1"/>
        <s v="Nextwave Management" u="1"/>
        <s v="Greg  Slaughter" u="1"/>
        <s v="Partners Rental Program LLC" u="1"/>
        <s v="CENTURY 21 Boardwalk Vacation Rentals" u="1"/>
        <s v="Escondida" u="1"/>
        <s v="Tropical Sands Accommodations" u="1"/>
        <s v="Paradise Cottage" u="1"/>
        <s v="Hideout on the Horsehoe" u="1"/>
        <s v="West 2nd Street Storage Partners LLC" u="1"/>
        <s v="GLM Associates" u="1"/>
        <s v="Tennessee Mountain Golf" u="1"/>
        <s v="Chaney Properties LLC" u="1"/>
        <s v="Temecula Vacation Rentals" u="1"/>
        <s v="Book PCB  LLC" u="1"/>
        <s v="Kona Sunsets Vacation Rentals" u="1"/>
        <s v="St Augustine Beach Vacation Rental LLC" u="1"/>
        <s v="Grove Ridge RV Resort" u="1"/>
        <s v="Olde River Yacht Club CA" u="1"/>
        <s v="All Season Vacation Homes" u="1"/>
        <s v="Mark IX Frac Free HOA" u="1"/>
        <s v="Retreatia com" u="1"/>
        <s v="Green Gables Mini Storage LLC" u="1"/>
        <s v="Hill Home Forge" u="1"/>
        <s v="Central House" u="1"/>
        <s v="Storage World LLC" u="1"/>
        <s v="Dunedin RV Resort   Motel" u="1"/>
        <s v="Black Hills Vacation Homes" u="1"/>
        <s v="A Family Discount Storage   311" u="1"/>
        <s v="Gary  Salgado" u="1"/>
        <s v="322 Storage" u="1"/>
        <s v="Lodge at Stonehaven" u="1"/>
        <s v="BH Management Services Inc  Integrated" u="1"/>
        <s v="The Farm House Bed and Breakfast" u="1"/>
        <s v="The Wilderness Bed and Breakfast" u="1"/>
        <s v="Inn Harmony Guest Homes" u="1"/>
        <s v="the royal inn" u="1"/>
        <s v="Ryan  Downing" u="1"/>
        <s v="Baywatch Resort   Conference Center" u="1"/>
        <s v="Asset Campus" u="1"/>
        <s v="Cornerstone Realty of Lake Lure LLC" u="1"/>
        <s v="Cheap Orlando Vacation Rental LLC" u="1"/>
        <s v="Mayan Princess" u="1"/>
        <s v="Team Real Estate Inc" u="1"/>
        <s v="Denton Tap Self Storage" u="1"/>
        <s v="AHC Realty LLC" u="1"/>
        <s v="Watson Storage Complex Partnership" u="1"/>
        <s v="Stow It Mini Storage" u="1"/>
        <s v="Florida Sunlite Villas" u="1"/>
        <s v="D   S Management  Inc" u="1"/>
        <s v="Murdock Vacation Rentals" u="1"/>
        <s v="Advantage Properties CU Inc" u="1"/>
        <s v="Lewes Management Properties" u="1"/>
        <s v="Tropical Sands Accommodations SBH" u="1"/>
        <s v="Waldo Rose Storage Ceres" u="1"/>
        <s v="DePaul Management Company" u="1"/>
        <s v="Villa Luxury Rentals Inc" u="1"/>
        <s v="Lucky Savannah Vacation Rentals" u="1"/>
        <s v="Hillocks Stor All" u="1"/>
        <s v="Hilton Head Accommodations" u="1"/>
        <s v="Quickthunder" u="1"/>
        <s v="Inn Nature B B and Yoga" u="1"/>
        <s v="Sanibel Vacations LLC" u="1"/>
        <s v="Island Retreat II" u="1"/>
        <s v="Innovative Student Housing" u="1"/>
        <s v="Gulfport Florida Vacation Rentals" u="1"/>
        <s v="Magruder Companies" u="1"/>
        <s v="Adding Space Self Storage Harpersville" u="1"/>
        <s v="RSVP Rentals Inc" u="1"/>
        <s v="Pilot Properties LLC" u="1"/>
        <s v="Garden City Realty" u="1"/>
        <s v="Leinbach Mgmt co" u="1"/>
        <s v="Bakersfield Airport Storage Partners LLC" u="1"/>
        <s v="Heartland Self Storage No 2" u="1"/>
        <s v="Franktown Self Storage" u="1"/>
        <s v="Beach n Bay Getaways" u="1"/>
        <s v="Trident Realty Inc" u="1"/>
        <s v="Petes Storage" u="1"/>
        <s v="Valhalla Hillside Inn" u="1"/>
        <s v="South Gate Storage Partners" u="1"/>
        <s v="Longley Corners LLC" u="1"/>
        <s v="Duncan Family Suites" u="1"/>
        <s v="Michael Singer Inc" u="1"/>
        <s v="Suncastle Properties Inc" u="1"/>
        <s v="Sovereign Jacobs Property Management" u="1"/>
        <s v="Beach Shell Inn" u="1"/>
        <s v="Marco Island Vacation Properties" u="1"/>
        <s v="The Glens at Little River" u="1"/>
        <s v="Queen Village Management Inc" u="1"/>
        <s v="Whisper s Ranch Bed and Breakfast" u="1"/>
        <s v="Suzanne Solomon" u="1"/>
        <s v="Sterling Management" u="1"/>
        <s v="Greenwoods Bed   Breakfast  LLC" u="1"/>
        <s v="Bay Pointe Property Management" u="1"/>
        <s v="CK Gonzales Partnership LLC" u="1"/>
        <s v="Signature Property Management LLC" u="1"/>
        <s v="MAAC" u="1"/>
        <s v="Palm Springs Storage Partners LLC" u="1"/>
        <s v="Plaza Pointe Partners LLC" u="1"/>
        <s v="Tybee Vacation Information Center" u="1"/>
        <s v="Newcastle Retail Management" u="1"/>
        <s v="Greenfield Storage Partners LLC" u="1"/>
        <s v="Majestic Oaks RV Resort" u="1"/>
        <s v="Mansion Property Management" u="1"/>
        <s v="Sea Star Property Management" u="1"/>
        <s v="Joseph  Ragland" u="1"/>
        <s v="Redwood Coast Vacation Rentals" u="1"/>
        <s v="Luxurious Capitol Hill Modern 262728" u="1"/>
        <s v="Alpine Meadows Management Company" u="1"/>
        <s v="Tropical Sands Accommodations TIV" u="1"/>
        <s v="Stay Charlottesville LLC" u="1"/>
        <s v="Pismo Coast Management and Realty Inc" u="1"/>
        <s v="Pacific Western Bank" u="1"/>
        <s v="AAA Storage Buildings" u="1"/>
        <s v="JIK Properties" u="1"/>
        <s v="Weinstein Properties" u="1"/>
        <s v="Your Extra Closet  East and West" u="1"/>
        <s v="Beach Bums Vacation Rentals" u="1"/>
        <s v="Sugar Ski and Country Club" u="1"/>
        <s v="The Iris Inn" u="1"/>
        <s v="Rent SF" u="1"/>
        <s v="Zaranga Inc" u="1"/>
        <s v="Vivian Newcomb Rentals" u="1"/>
        <s v="Horizon Rentals" u="1"/>
        <s v="Vicinity Realty Services Inc" u="1"/>
        <s v="Glacier Real Estate Services" u="1"/>
        <s v="Corolla Shuttle" u="1"/>
        <s v="5326 5336 S Greenwood LLC" u="1"/>
        <s v="Lisbon Main St  Self Storage" u="1"/>
        <s v="Ideal Associates LLC" u="1"/>
        <s v="North Trail Stor it Park LLC" u="1"/>
        <s v="Price Brothers Property Management" u="1"/>
        <s v="Co Budget Storage" u="1"/>
        <s v="Gerding Edlen Management" u="1"/>
        <s v="Tupper Inn" u="1"/>
        <s v="Nantucket Retreats" u="1"/>
        <s v="First Coast Realty 2" u="1"/>
        <s v="Borrego Springs Motel" u="1"/>
        <s v="Bristol Suites" u="1"/>
        <s v="Sidal Realty" u="1"/>
        <s v="Michael  Splain" u="1"/>
        <s v="Yvonne Marsh Home" u="1"/>
        <s v="FlipKey Vacation Rental Network" u="1"/>
        <s v="High Feather Ranch Bed and Breakfast" u="1"/>
        <s v="Century 21 Island Realty" u="1"/>
        <s v="Dave Stubbs Real Estate Inc" u="1"/>
        <s v="Morgan PB" u="1"/>
        <s v="Associa Online" u="1"/>
        <s v="Spectrum Properties" u="1"/>
        <s v="Hold It Self Storage Centre North" u="1"/>
        <s v="Escape Hatch" u="1"/>
        <s v="Global Connections" u="1"/>
        <s v="Sublet.com" u="1"/>
        <s v="Morley s Acres Farm and Bed   Breakfast" u="1"/>
        <s v="Franklin Street Management Services LLC" u="1"/>
        <s v="Bed and Breakfast at Oliver Phelps" u="1"/>
        <s v="Skamania Resort Zipline Tours" u="1"/>
        <s v="Highland Rim Vacation Rentals" u="1"/>
        <s v="Cherry Valley Storage Partners LLC" u="1"/>
        <s v="Eastwood Management Corporation" u="1"/>
        <s v="Rainbow Realty Inc" u="1"/>
        <s v="Bestco Storage" u="1"/>
        <s v="Casa Condominiums" u="1"/>
        <s v="Peabody and Smith Realty" u="1"/>
        <s v="AB Storage" u="1"/>
        <s v="Shell Creek RV   MHP" u="1"/>
        <s v="Leisurelink Secure" u="1"/>
        <s v="Beach n Bay Getaways eCheck" u="1"/>
        <s v="Coastal Vacation and Sales" u="1"/>
        <s v="Palmdale Sierra Storage Partners LLC" u="1"/>
        <s v="Pleasant Grove Farm LLC" u="1"/>
        <s v="The Holstein Group" u="1"/>
        <s v="Blue Marlin Realty Group" u="1"/>
        <s v="Daniel  Farnum" u="1"/>
        <s v="Metro Mini Storage Hwy280" u="1"/>
        <s v="Dixon Storage" u="1"/>
        <s v="Optimus Realty Inc" u="1"/>
        <s v="Landmark Management Group" u="1"/>
        <s v="Telluride Rentals" u="1"/>
        <s v="MacArthur   Co" u="1"/>
        <s v="Key West Vacation Rentals" u="1"/>
        <s v="Golf in Paradise Realty Bonita" u="1"/>
        <s v="Coastal Waves Vacations  LLC" u="1"/>
        <s v="Ho Ching  Yung" u="1"/>
        <s v="Pack It Inn" u="1"/>
        <s v="Surrey Hills Mini Storage LLC" u="1"/>
        <s v="vkmiller2000 yahoo com Evolve Account" u="1"/>
        <s v="Boutikia Homes" u="1"/>
        <s v="Edward F  Bishop Co" u="1"/>
        <s v="Jubilee Housing Cres" u="1"/>
        <s v="A Family Discount Storage   323" u="1"/>
        <s v="Bluewater Key RV Resort" u="1"/>
        <s v="El Matador Management Co" u="1"/>
        <s v="A Family Discount Storage   333" u="1"/>
        <s v="Orlando Property Services" u="1"/>
        <s v="Flying Eagle Country B B" u="1"/>
        <s v="Utah Travel Connection" u="1"/>
        <s v="Storage Valet LLC" u="1"/>
        <s v="Neulion Group  LLC" u="1"/>
        <s v="Dune Resorts A Wave Inn" u="1"/>
        <s v="Bett Or Stor It" u="1"/>
        <s v="Indian Wells RV Resort" u="1"/>
        <s v="Planet Investment Corp" u="1"/>
        <s v="Larry  Bohnert" u="1"/>
        <s v="Blue Moose Vacations" u="1"/>
        <s v="Budget Store and Lock A" u="1"/>
        <s v="SkyRun Copper" u="1"/>
        <s v="The Lux Group" u="1"/>
        <s v="Smoky Mountain Escapes" u="1"/>
        <s v="Quartermaster Inn" u="1"/>
        <s v="Hopewell Bed   Breakfast" u="1"/>
        <s v="Elan Vacations Inc" u="1"/>
        <s v="Tyler s Place" u="1"/>
        <s v="The Sea Gypsy Inn" u="1"/>
        <s v="San Luis Mini Storage and Uhaul" u="1"/>
        <s v="Mountain Chalet Aspen checks only" u="1"/>
        <s v="Bayside Rentals" u="1"/>
        <s v="Evergreen Gate Inn" u="1"/>
        <s v="Island Resort Management LLC" u="1"/>
        <s v="Pollard Camper Rental" u="1"/>
        <s v="Lake Street Storage Partners LLC" u="1"/>
        <s v="Raptor Five" u="1"/>
        <s v="InstaManager" u="1"/>
        <s v="Melrose Apartments" u="1"/>
        <s v="Pacific Electric Lofts" u="1"/>
        <s v="Vail Mountain Lodge   Spa" u="1"/>
        <s v="Birchwood Hills Corporation" u="1"/>
        <s v="Safeguard Storage II" u="1"/>
        <s v="Elon Management" u="1"/>
        <s v="Northwood Ravin Services" u="1"/>
        <s v="Four Seasons Storage" u="1"/>
        <s v="Sovereign Property Management LLC" u="1"/>
        <s v="Cloudberry Cabin" u="1"/>
        <s v="JC Spence Company" u="1"/>
        <s v="Stay in Lake Tahoe" u="1"/>
        <s v="Sun and Sand Cabins" u="1"/>
        <s v="6 Star Management Company" u="1"/>
        <s v="Christen  Hammersley" u="1"/>
        <s v="Tierra Verde Property Management" u="1"/>
        <s v="Beaufort Realty" u="1"/>
        <s v="Pennrose Management Company" u="1"/>
        <s v="Second Development Services  Inc" u="1"/>
        <s v="Avalon Property Group" u="1"/>
        <s v="May Resort Rentals Inc" u="1"/>
        <s v="Big Sky Vacation Rentals" u="1"/>
        <s v="The New Millennium Fitness Club" u="1"/>
        <s v="Cammebys" u="1"/>
        <s v="Charles J Cadden" u="1"/>
        <s v="Elevate ROI" u="1"/>
        <s v="Village Properties LLC" u="1"/>
        <s v="Lava Springs Vacation Rentals LLC" u="1"/>
        <s v="Carillon Beach Rentals" u="1"/>
        <s v="Select Real Estate of Nevada Inc" u="1"/>
        <s v="Hillard House" u="1"/>
        <s v="Ashland s Tudor House" u="1"/>
        <s v="Goode Vacation Rentals frml Port Royal" u="1"/>
        <s v="Wine Country Lodges" u="1"/>
        <s v="No Ka Oi Self Storage" u="1"/>
        <s v="Olentangy Village Management Co" u="1"/>
        <s v="HomeCorp Relocation Inc" u="1"/>
        <s v="Linville River Log Cabins" u="1"/>
        <s v="Hwy 70 Storage" u="1"/>
        <s v="University City Housing" u="1"/>
        <s v="SolstenXP Lodging LLC" u="1"/>
        <s v="Grand Rental Station U Store" u="1"/>
        <s v="Storage Loft" u="1"/>
        <s v="Destin Beach Vacations" u="1"/>
        <s v="Main Street Storage Partners" u="1"/>
        <s v="Shoreline Properties Inc" u="1"/>
        <s v="Barbara McClain Properties" u="1"/>
        <s v="Undervalued Real Estate Fund  12  Ltd" u="1"/>
        <s v="Reside Living LLC" u="1"/>
        <s v="Vista Las Olas Resort" u="1"/>
        <s v="A Better Mini Storage" u="1"/>
        <s v="Vacation Cake Rentals  LLC" u="1"/>
        <s v="Coronado Studio" u="1"/>
        <s v="Island Retreat" u="1"/>
        <s v="REM Realty and Management" u="1"/>
        <s v="Red Door Vacations" u="1"/>
        <s v="DOBSON   son Inn" u="1"/>
        <s v="Philip W Smith Bed and Breakfast" u="1"/>
        <s v="Waters Edge RV Resort" u="1"/>
        <s v="Ryan  Schmitt" u="1"/>
        <s v="Schooner s Cove Inn" u="1"/>
        <s v="Georgia Mountain Cabin Rentals" u="1"/>
        <s v="Daudelin Vacation Rentals 2" u="1"/>
        <s v="Roddy Creek Automotive and Storage" u="1"/>
        <s v="New England Vacation Rentals" u="1"/>
        <s v="Kenney Realty Services LLC" u="1"/>
        <s v="Daytona Beach Resort" u="1"/>
        <s v="Dunes Property Management" u="1"/>
        <s v="Sequoia Real Estate Management" u="1"/>
        <s v="Moss Creek Investment" u="1"/>
        <s v="Francis Koole" u="1"/>
        <s v="Beach Front Only Vacation Rental" u="1"/>
        <s v="Bear Lake Lodging" u="1"/>
        <s v="Rand Holdings" u="1"/>
        <s v="Creekside Country Suite" u="1"/>
        <s v="Mountain Laurel Cabin Rentals" u="1"/>
        <s v="White Coach INN" u="1"/>
        <s v="Mountain Shadows" u="1"/>
        <s v="Rolling Bay Sea Cottage" u="1"/>
        <s v="Ocean Forest Plaza Penthouse" u="1"/>
        <s v="A Ta Ta Bed and Breakfast" u="1"/>
        <s v="Royal Beach Rentals" u="1"/>
        <s v="Relax on the Beach" u="1"/>
        <s v="Normandy Towers LLC" u="1"/>
        <s v="Wishing Well Historic Inn" u="1"/>
        <s v="Our Florida Concierge" u="1"/>
        <s v="Terrace Drive" u="1"/>
        <s v="Thomas  Payne" u="1"/>
        <s v="Southern Charm Bed   Breakfast" u="1"/>
        <s v="Skis and Seas Vacation Rentals LLC" u="1"/>
        <s v="Mountain Lodging LLC" u="1"/>
        <s v="Luxury Coastal Vacations" u="1"/>
        <s v="VRD Properties" u="1"/>
        <s v="Resort Property Rentals" u="1"/>
        <s v="Seale Family Inc " u="1"/>
        <s v="Terrus Real Estate" u="1"/>
        <s v="Mt  Hood Management LLC" u="1"/>
        <s v="Beachview Vacation Rentals" u="1"/>
        <s v="Crestmont Property Management" u="1"/>
        <s v="Alps Romance Suites" u="1"/>
        <s v="Pawleys Island Realty short term" u="1"/>
        <s v="Central Apartment Control Corporation" u="1"/>
        <s v="Pine Gables" u="1"/>
        <s v="Metro Mini Storage Center Point Parkway" u="1"/>
        <s v="Marine View Management Inc " u="1"/>
        <s v="REMS Inc" u="1"/>
        <s v="Clinton Management" u="1"/>
        <s v="Circle K Ranch" u="1"/>
        <s v="J Pepper Frazier Company" u="1"/>
        <s v="Villa Heidelberg B   B" u="1"/>
        <s v="Miller Park Lodge" u="1"/>
        <s v="Foresight Management" u="1"/>
        <s v="McKissack Residential Partners II" u="1"/>
        <s v="Collins Properties LLC Integrated" u="1"/>
        <s v="MMC Resort Rentals and Realty" u="1"/>
        <s v="North Idaho Property Solutions" u="1"/>
        <s v="Aldrich House Bed and Breakfast" u="1"/>
        <s v="Stonewood Storage" u="1"/>
        <s v="Rossman Realty" u="1"/>
        <s v="Dyna Corp Inc" u="1"/>
        <s v="Noric Miramar Beach  LLC" u="1"/>
        <s v="Rainbow cottage Inn" u="1"/>
        <s v="Lone Star Realty and Property Management Inc" u="1"/>
        <s v="Flowing Wells Self Storage" u="1"/>
        <s v="Kelly Jensen" u="1"/>
        <s v="Castle Peak Vacation Rentals" u="1"/>
        <s v="Kinlin Grover Realty Long Term" u="1"/>
        <s v="William  Bird" u="1"/>
        <s v="A Family Discount Storage   305" u="1"/>
        <s v="Heritage Ranch Bed and Breakfast" u="1"/>
        <s v="Winnebego Self Storage" u="1"/>
        <s v="Ben Littler" u="1"/>
        <s v="Kamco Property Company" u="1"/>
        <s v="ephraim  bushong" u="1"/>
        <s v="South San Marcos Self Storage" u="1"/>
        <s v="Pego Storage" u="1"/>
        <s v="Carefree Vacation Rentals LLC" u="1"/>
        <s v="MAAC Colonial Property Trust " u="1"/>
        <s v="NWF Management" u="1"/>
        <s v="A Venture Management" u="1"/>
        <s v="Brownstone Colonial Inn" u="1"/>
        <s v="Tradewinds Vacation Rentals" u="1"/>
        <s v="5 Star Branson Vacation Rentals" u="1"/>
        <s v="Ohio County Storage" u="1"/>
        <s v="Keefe Resort RE Office" u="1"/>
        <s v="Bears  Place Guest House" u="1"/>
        <s v="Wildland Properties" u="1"/>
        <s v="Bainbridge Vacation Rentals" u="1"/>
        <s v="Legacy Partners" u="1"/>
        <s v="HomeAway  3512832" u="1"/>
        <s v="Ridgeview Vacation Properties Inc" u="1"/>
        <s v="Martis Valley Vacation Rentals" u="1"/>
        <s v="Yem  Huynh" u="1"/>
        <s v="Egenuity Inc" u="1"/>
        <s v="Mustang Tower" u="1"/>
        <s v="AMC LLC" u="1"/>
        <s v="Forestdale Mini Storage Inc" u="1"/>
        <s v="Gatehouse 11247" u="1"/>
        <s v="Duncan House" u="1"/>
        <s v="Gold Star Self Storage" u="1"/>
        <s v="River Road Inn" u="1"/>
        <s v="Hot Springs Log Cabins" u="1"/>
        <s v="Three Palms Real Estate" u="1"/>
        <s v="Treetops RV Resort" u="1"/>
        <s v="Channel Investment Santa Barb" u="1"/>
        <s v="Penn Valley Mini Storage" u="1"/>
        <s v="Vacation Tahoe" u="1"/>
        <s v="A Family Discount Storage  314" u="1"/>
        <s v="Blue Sky Breckenridge" u="1"/>
        <s v="Black Canyon Inn" u="1"/>
        <s v="South Padre Condo Rentals LLC" u="1"/>
        <s v="Hess Road Storage LLC" u="1"/>
        <s v="A  Reservations by Dixie" u="1"/>
        <s v="Home Avenue Storage LLC" u="1"/>
        <s v="Breen Vacation Station" u="1"/>
        <s v="Mint City Storage" u="1"/>
        <s v="Pam Harrington Exclusives Inc" u="1"/>
        <s v="JT Properties" u="1"/>
        <s v="Beech Mountain Realty and Rentals" u="1"/>
        <s v="Palmdale North Storage Partners LLC" u="1"/>
        <s v="Princeton Management" u="1"/>
        <s v="Select Property Management Inc" u="1"/>
        <s v="Hilton Head Rent Direct" u="1"/>
        <s v="Mountain Green Rental Mgmt" u="1"/>
        <s v="Alpine Property Mgt and Vacation Rentals" u="1"/>
        <s v="Log Cabin Bed and Breakfast" u="1"/>
        <s v="The Columbine Group LLC" u="1"/>
        <s v="Campbell Property Management" u="1"/>
        <s v="Team Paradigm" u="1"/>
        <s v="MB Vacation" u="1"/>
        <s v="Dune Resorts Ocean Colony" u="1"/>
        <s v="Beach Plum Resort" u="1"/>
        <s v="Affordable Self Storage" u="1"/>
        <s v="Personal Touch Vacation Villas" u="1"/>
        <s v="Belgarde Enterprises" u="1"/>
        <s v="T and C Mini Storage" u="1"/>
        <s v="Abbey Del Sol" u="1"/>
        <s v="North Main Mini Storage" u="1"/>
        <s v="Cayucos Vacation Rentals" u="1"/>
        <s v="Palm Island Resort" u="1"/>
        <s v="Seasons Coastal Vacations" u="1"/>
        <s v="C O The Management Company" u="1"/>
        <s v="Sunset Reflections Vacation Rentals  LLC" u="1"/>
        <s v="Luxurious Capitol Hill Modern 307559" u="1"/>
        <s v="Pacific Ocean Realty" u="1"/>
        <s v="Old Trail Mini Storage" u="1"/>
        <s v="A Perfect Vacation Rental" u="1"/>
        <s v="Pinon Real Estate Group LLC" u="1"/>
        <s v="Creekside Storage" u="1"/>
        <s v="Shulman Properties" u="1"/>
        <s v="Amanda  Gardner" u="1"/>
        <s v="Northwest Self Storage" u="1"/>
        <s v="Red Bank Self Storage" u="1"/>
        <s v="Buena Park Storage Partners LLC" u="1"/>
        <s v="HMI Property Solutions Inc" u="1"/>
        <s v="Trinity Management Services" u="1"/>
        <s v="Mackinaw Getaways" u="1"/>
        <s v="Palm Bed and Breakfast" u="1"/>
        <s v="Thornton House Bed and Breakfast" u="1"/>
        <s v="Edmund C Olson Investment Hemet Florida" u="1"/>
        <s v="Green Property LLC" u="1"/>
        <s v="Inn On The Main LLC" u="1"/>
        <s v="Atlee s Tiny Storage LLC" u="1"/>
        <s v="Coastline Condos" u="1"/>
        <s v="Vacation Rent Seekers" u="1"/>
        <s v="McCarran Storage Partners LLC" u="1"/>
        <s v="Mountain Getaways Vacation Rentals" u="1"/>
        <s v="Weidner Properties" u="1"/>
        <s v="Classic Community Property Management" u="1"/>
        <s v="Blue Wave Storage" u="1"/>
        <s v="Sterling Properties" u="1"/>
        <s v="Vista Cay Management LLC" u="1"/>
        <s v="A Family Discount Storage   326" u="1"/>
        <s v="Cothren House   219 Washington" u="1"/>
        <s v="Go Florida Investments Inc" u="1"/>
        <s v="The Avenue Bed and Breakfast" u="1"/>
        <s v="Carolina Cottages" u="1"/>
        <s v="Utahs Best Vacation Rentals" u="1"/>
        <s v="Apple Creek Resort Management LLC" u="1"/>
        <s v="Vacare Marketing" u="1"/>
        <s v="Cross Creek Self Storage Portage" u="1"/>
        <s v="Whitman Fine Properties" u="1"/>
        <s v="Gemini International Vacation Villas" u="1"/>
        <s v="Covenant Property Investment Group" u="1"/>
        <s v="Atokad Storage" u="1"/>
        <s v="Pacific Shores Motor Coach Resort Inc " u="1"/>
        <s v="Real Properties" u="1"/>
        <s v="Valet Vacation Rentals" u="1"/>
        <s v="H 4 Rents" u="1"/>
        <s v="Load and Lock Mini Storage" u="1"/>
        <s v="Sunny Fort Myers Rentals" u="1"/>
        <s v="Wildwater River Guides LLC" u="1"/>
        <s v="Reservation Management and Hotel Supply" u="1"/>
        <s v="Skyrunner Guest House" u="1"/>
        <s v="Keefe Resort Vacation Rentals" u="1"/>
        <s v="Black Hills Vacation Lodging" u="1"/>
        <s v="Outer Banks Blue Realty Services echeck only" u="1"/>
        <s v="American Campus Communities" u="1"/>
        <s v="Hilltop House Bed   Breakfast" u="1"/>
        <s v="Woodmark Real Estate Services" u="1"/>
        <s v="Gulf Villa Rentals" u="1"/>
        <s v="Statewide Storage" u="1"/>
        <s v="Custom Care Company" u="1"/>
        <s v="Dune Resorts Winward Shores" u="1"/>
        <s v="Big Ridge Storage" u="1"/>
        <s v="Allec Self Storage" u="1"/>
        <s v="SeeLyon Beach Rentals" u="1"/>
        <s v="Dana Glass Properties Inc" u="1"/>
        <s v="Sweetwater RV Resort" u="1"/>
        <s v="Sara  Piethe" u="1"/>
        <s v="1st American Leisure Management LLC" u="1"/>
        <s v="Pennsylvania Association of Bed   Breakfast Inn " u="1"/>
        <s v="West Hawaii Property Services Online" u="1"/>
        <s v="JB Property Management and Company" u="1"/>
        <s v="Kona Storage Partners" u="1"/>
        <s v="Don Bricker Property Management Inc" u="1"/>
        <s v="Oliver Phelps Bed and Breakfast" u="1"/>
        <s v="The Viking Lodge and Ski Shop " u="1"/>
        <s v="Stow and Go Storage" u="1"/>
        <s v="Bray and Company" u="1"/>
        <s v="The Parks at Monterey Bay" u="1"/>
        <s v="Premier Vacation Rentals at Smith Mountain Lake" u="1"/>
        <s v="Main Street Storage" u="1"/>
        <s v="D and G Rental Management LLC" u="1"/>
        <s v="Sparks Storage Partners LLC" u="1"/>
        <s v="Lodge At Mark Twain Lake" u="1"/>
        <s v="Aransas Princess Resort" u="1"/>
        <s v="Majestic Mountain Getaways GA" u="1"/>
        <s v="Old Wellsboro Inn" u="1"/>
        <s v="Sarasota Surf and Racquet Club" u="1"/>
        <s v="Jason  Musick" u="1"/>
        <s v="5237 5245 S  Kenwood  LLC" u="1"/>
        <s v="C   G Nestling Properties" u="1"/>
        <s v="Acri Commercial Realty Inc" u="1"/>
        <s v="Evolve Vacation Rental Network Property" u="1"/>
        <s v="Ultimate SoCal Vacation Home LLC" u="1"/>
        <s v="New Horizons Management" u="1"/>
        <s v="Jailhouse Suites" u="1"/>
        <s v="Juan  Zanotti" u="1"/>
        <s v="Big Bear Mountain Property Management" u="1"/>
        <s v="Condo Management of Columbus" u="1"/>
        <s v="Stor Moore" u="1"/>
        <s v="H  J  Russell   Company" u="1"/>
        <s v="Bella Housing LLC" u="1"/>
        <s v="Kenneth  Rutland  II" u="1"/>
        <s v="Rent Monitor" u="1"/>
        <s v="Brannan Resort Rentals" u="1"/>
        <s v="Jo Ann Mangum Vacation Rentals" u="1"/>
        <s v="Dream Finders Realty   Vacation Rentals Inc" u="1"/>
        <s v="Blessings by the Beach" u="1"/>
        <s v="Adding Space Self Storage Sylacauga" u="1"/>
        <s v="Investors Property Services" u="1"/>
        <s v="Beach   Beyond Vacation Rentals" u="1"/>
        <s v="Starheel Properties Inc" u="1"/>
        <s v="Alpine Property Management" u="1"/>
        <s v="San Juan Vacation Ventures" u="1"/>
        <s v="Plantation HOA" u="1"/>
        <s v="Adventure Vacation Rentals" u="1"/>
        <s v="Shadow and Light Corporation" u="1"/>
        <s v="Red Lodge Rentals" u="1"/>
        <s v="A Bed of Roses" u="1"/>
        <s v="Palm Springs Rental Agency" u="1"/>
        <s v="Grayco Partners Management" u="1"/>
        <s v="Grayco Property Management" u="1"/>
        <s v="Ocean Lakes Properties" u="1"/>
        <s v="Ocean Watch Properties" u="1"/>
        <s v="Paramount Destinations" u="1"/>
        <s v="WBRES" u="1"/>
        <s v="Gulf Shores" u="1"/>
        <s v="Mile Zero Bed and Breakfast" u="1"/>
        <s v="Adventura LLC" u="1"/>
        <s v="Trails End Accomodations" u="1"/>
        <s v="Foxborough Storage Partners LLC" u="1"/>
        <s v="Keaau Storage Partners" u="1"/>
        <s v="Magical Memories Management" u="1"/>
        <s v="Youngs Suncoast Vacation Rentals" u="1"/>
        <s v="Gamble Mini Storage Leachville" u="1"/>
        <s v="Norris Lake Cabin Rentals" u="1"/>
        <s v="Riverview Residential Partners" u="1"/>
        <s v="Topia Inn" u="1"/>
        <s v="5242 S  Hyde Park  LLC" u="1"/>
        <s v="Shepherd s Rest Vacation Homes" u="1"/>
        <s v="Sand and Sea" u="1"/>
        <s v="Settler s Rest RV Resort" u="1"/>
        <s v="Waldo Rose Storage Stockton" u="1"/>
        <s v="Benfer Road Storage" u="1"/>
        <s v="The Red Door Inn" u="1"/>
        <s v="Hollys Vineyard Inc" u="1"/>
        <s v="Dovetail Resources LLC" u="1"/>
        <s v="Chris Kappmeyer Properties" u="1"/>
        <s v="Ellenton Gardens RV Resort" u="1"/>
        <s v="Gateway Guesthouse" u="1"/>
        <s v="La Finca Caribe" u="1"/>
        <s v="Greystone Property Management Corp" u="1"/>
        <s v="Akers Ellis Real Estate and Rentals" u="1"/>
        <s v="Property Management Systems, Inc." u="1"/>
        <s v="Valle Crucis Log Cabin Rentals" u="1"/>
        <s v="Ski Colorado Rory L Fisher" u="1"/>
      </sharedItems>
    </cacheField>
    <cacheField name="year" numFmtId="0">
      <sharedItems containsString="0" containsBlank="1" containsNumber="1" containsInteger="1" minValue="2011" maxValue="2013"/>
    </cacheField>
    <cacheField name="PaymentMethod" numFmtId="0">
      <sharedItems containsBlank="1"/>
    </cacheField>
    <cacheField name="txn_amount" numFmtId="0">
      <sharedItems containsString="0" containsBlank="1" containsNumber="1" minValue="0" maxValue="167956391.38999999"/>
    </cacheField>
    <cacheField name="txn_count" numFmtId="0">
      <sharedItems containsString="0" containsBlank="1" containsNumber="1" containsInteger="1" minValue="0" maxValue="138822"/>
    </cacheField>
    <cacheField name="Helper" numFmtId="0">
      <sharedItems containsBlank="1" count="1797">
        <s v="volume"/>
        <s v="count"/>
        <m/>
        <s v="" u="1"/>
        <s v="15-691449042011" u="1"/>
        <s v="05-874669802013" u="1"/>
        <s v="05-421708462013" u="1"/>
        <s v="15-845178622011" u="1"/>
        <s v="05-966385832012" u="1"/>
        <s v="05-302489282013" u="1"/>
        <s v="15-306034292013" u="1"/>
        <s v="15-830821612011" u="1"/>
        <s v="05-309436102011" u="1"/>
        <s v="05-666093262011" u="1"/>
        <s v="15-912205512013" u="1"/>
        <s v="06-100485682012" u="1"/>
        <s v="06-105931872013" u="1"/>
        <s v="16-103278662012" u="1"/>
        <s v="05-185340182011" u="1"/>
        <s v="05-909241852011" u="1"/>
        <s v="15-590330812013" u="1"/>
        <s v="15-691449042012" u="1"/>
        <s v="15-845178622012" u="1"/>
        <s v="15-422034532011" u="1"/>
        <s v="05-966385832013" u="1"/>
        <s v="15-983767982012" u="1"/>
        <s v="16-104108702012" u="1"/>
        <s v="06-101703172012" u="1"/>
        <s v="15-830821612012" u="1"/>
        <s v="15-308755812011" u="1"/>
        <s v="05-309436102012" u="1"/>
        <s v="05-666093262012" u="1"/>
        <s v="05-883411562011" u="1"/>
        <s v="16-103278662013" u="1"/>
        <s v="05-185340182012" u="1"/>
        <s v="05-909241852012" u="1"/>
        <s v="15-511187002011" u="1"/>
        <s v="15-691449042013" u="1"/>
        <s v="05-825040742011" u="1"/>
        <s v="06-109709712013" u="1"/>
        <s v="15-845178622013" u="1"/>
        <s v="15-999584722012" u="1"/>
        <s v="15-422034532012" u="1"/>
        <s v="16-103894512012" u="1"/>
        <s v="06-107940722013" u="1"/>
        <s v="15-983767982013" u="1"/>
        <s v="16-104108702013" u="1"/>
        <s v="06-116196842013" u="1"/>
        <s v="05-734196622011" u="1"/>
        <s v="05-776169332011" u="1"/>
        <s v="15-830821612013" u="1"/>
        <s v="15-308755812012" u="1"/>
        <s v="05-666093262013" u="1"/>
        <s v="05-883411562012" u="1"/>
        <s v="06-115540952013" u="1"/>
        <s v="05-185340182013" u="1"/>
        <s v="15-498331492011" u="1"/>
        <s v="05-909241852013" u="1"/>
        <s v="06-105012092012" u="1"/>
        <s v="15-511187002012" u="1"/>
        <s v="05-825040742012" u="1"/>
        <s v="16-101583032012" u="1"/>
        <s v="15-310327542012" u="1"/>
        <s v="15-422034532013" u="1"/>
        <s v="16-103894512013" u="1"/>
        <s v="15-878721402011" u="1"/>
        <s v="15-998703672012" u="1"/>
        <s v="16-102115632012" u="1"/>
        <s v="05-734196622012" u="1"/>
        <s v="05-776169332012" u="1"/>
        <s v="15-308755812013" u="1"/>
        <s v="16-102808952012" u="1"/>
        <s v="16-110704462013" u="1"/>
        <s v="05-883411562013" u="1"/>
        <s v="06-115120042013" u="1"/>
        <s v="15-498331492012" u="1"/>
        <s v="05-964493852012" u="1"/>
        <s v="06-105012092013" u="1"/>
        <s v="06-103140872012" u="1"/>
        <s v="05-307354532011" u="1"/>
        <s v="06-104397802012" u="1"/>
        <s v="15-511187002013" u="1"/>
        <s v="05-825040742013" u="1"/>
        <s v="16-101583032013" u="1"/>
        <s v="05-896082292011" u="1"/>
        <s v="15-310327542013" u="1"/>
        <s v="05-303229412011" u="1"/>
        <s v="16-109069082013" u="1"/>
        <s v="16-101393332012" u="1"/>
        <s v="15-878721402012" u="1"/>
        <s v="16-102115632013" u="1"/>
        <s v="05-527451532011" u="1"/>
        <s v="05-440197562011" u="1"/>
        <s v="05-734196622013" u="1"/>
        <s v="05-776169332013" u="1"/>
        <s v="06-111208942013" u="1"/>
        <s v="06-115530302013" u="1"/>
        <s v="16-102808952013" u="1"/>
        <s v="05-994865492012" u="1"/>
        <s v="06-102185252012" u="1"/>
        <s v="05-717017472011" u="1"/>
        <s v="05-964493852013" u="1"/>
        <s v="15-878712372011" u="1"/>
        <s v="06-102168062012" u="1"/>
        <s v="06-103140872013" u="1"/>
        <s v="05-307354532012" u="1"/>
        <s v="05-897403252011" u="1"/>
        <s v="06-104397802013" u="1"/>
        <s v="05-423037982011" u="1"/>
        <s v="05-896082292012" u="1"/>
        <s v="05-303229412012" u="1"/>
        <s v="05-780859492011" u="1"/>
        <s v="16-101393332013" u="1"/>
        <s v="15-878721402013" u="1"/>
        <s v="05-527451532012" u="1"/>
        <s v="15-308855602011" u="1"/>
        <s v="05-440197562012" u="1"/>
        <s v="15-882603312011" u="1"/>
        <s v="05-994865492013" u="1"/>
        <s v="06-102185252013" u="1"/>
        <s v="15-310732072013" u="1"/>
        <s v="05-495822002011" u="1"/>
        <s v="05-784195712011" u="1"/>
        <s v="05-717017472012" u="1"/>
        <s v="15-878712372012" u="1"/>
        <s v="06-102168062013" u="1"/>
        <s v="05-307354532013" u="1"/>
        <s v="05-897403252012" u="1"/>
        <s v="16-108131212013" u="1"/>
        <s v="05-423037982012" u="1"/>
        <s v="05-896082292013" u="1"/>
        <s v="06-115316762013" u="1"/>
        <s v="06-103341972012" u="1"/>
        <s v="05-303229412013" u="1"/>
        <s v="05-780859492012" u="1"/>
        <s v="05-537518342011" u="1"/>
        <s v="05-675823562011" u="1"/>
        <s v="05-878769342011" u="1"/>
        <s v="15-308855602012" u="1"/>
        <s v="05-440197562013" u="1"/>
        <s v="15-818050612011" u="1"/>
        <s v="05-537342482011" u="1"/>
        <s v="15-882603312012" u="1"/>
        <s v="05-495822002012" u="1"/>
        <s v="05-784195712012" u="1"/>
        <s v="06-109808312013" u="1"/>
        <s v="05-717017472013" u="1"/>
        <s v="15-838925992012" u="1"/>
        <s v="15-878712372013" u="1"/>
        <s v="05-897403252013" u="1"/>
        <s v="05-423037982013" u="1"/>
        <s v="15-866112162011" u="1"/>
        <s v="15-963667332012" u="1"/>
        <s v="06-103341972013" u="1"/>
        <s v="06-115940882013" u="1"/>
        <s v="05-780859492013" u="1"/>
        <s v="16-112421222013" u="1"/>
        <s v="05-675823562012" u="1"/>
        <s v="05-878769342012" u="1"/>
        <s v="15-308855602013" u="1"/>
        <s v="15-818050612012" u="1"/>
        <s v="05-466088192011" u="1"/>
        <s v="05-537342482012" u="1"/>
        <s v="15-847496632011" u="1"/>
        <s v="15-882603312013" u="1"/>
        <s v="06-107932552013" u="1"/>
        <s v="05-495822002013" u="1"/>
        <s v="05-784195712013" u="1"/>
        <s v="15-838925992013" u="1"/>
        <s v="15-804109412011" u="1"/>
        <s v="15-866112162012" u="1"/>
        <s v="05-429337592011" u="1"/>
        <s v="15-785394692011" u="1"/>
        <s v="15-928730372012" u="1"/>
        <s v="05-675823562013" u="1"/>
        <s v="05-878769342013" u="1"/>
        <s v="05-942092372012" u="1"/>
        <s v="16-100120072012" u="1"/>
        <s v="15-818050612013" u="1"/>
        <s v="05-466088192012" u="1"/>
        <s v="05-537342482013" u="1"/>
        <s v="05-741033862011" u="1"/>
        <s v="15-847496632012" u="1"/>
        <s v="05-852976122011" u="1"/>
        <s v="15-928722102012" u="1"/>
        <s v="05-718398462011" u="1"/>
        <s v="15-959377102012" u="1"/>
        <s v="15-804109412012" u="1"/>
        <s v="15-891085882011" u="1"/>
        <s v="15-866112162013" u="1"/>
        <s v="05-885016952011" u="1"/>
        <s v="15-876621342011" u="1"/>
        <s v="05-429337592012" u="1"/>
        <s v="15-785394692012" u="1"/>
        <s v="15-928730372013" u="1"/>
        <s v="05-942092372013" u="1"/>
        <s v="16-100120072013" u="1"/>
        <s v="05-466088192013" u="1"/>
        <s v="05-741033862012" u="1"/>
        <s v="15-847496632013" u="1"/>
        <s v="16-108833662013" u="1"/>
        <s v="05-852976122012" u="1"/>
        <s v="15-928722102013" u="1"/>
        <s v="05-718398462012" u="1"/>
        <s v="15-959377102013" u="1"/>
        <s v="15-891085882012" u="1"/>
        <s v="06-107618892013" u="1"/>
        <s v="15-307901942011" u="1"/>
        <s v="05-864976152011" u="1"/>
        <s v="05-885016952012" u="1"/>
        <s v="15-691777332011" u="1"/>
        <s v="15-876621342012" u="1"/>
        <s v="15-785394692013" u="1"/>
        <s v="15-958832842012" u="1"/>
        <s v="05-741033862013" u="1"/>
        <s v="05-852976122013" u="1"/>
        <s v="05-718398462013" u="1"/>
        <s v="05-799126802011" u="1"/>
        <s v="05-895921422011" u="1"/>
        <s v="16-110120062013" u="1"/>
        <s v="15-891085882013" u="1"/>
        <s v="15-306871662011" u="1"/>
        <s v="06-102979332012" u="1"/>
        <s v="15-307901942012" u="1"/>
        <s v="05-864976152012" u="1"/>
        <s v="05-308800522011" u="1"/>
        <s v="15-981774362012" u="1"/>
        <s v="05-885016952013" u="1"/>
        <s v="15-691777332012" u="1"/>
        <s v="15-876621342013" u="1"/>
        <s v="15-870313562011" u="1"/>
        <s v="05-676187142011" u="1"/>
        <s v="15-958832842013" u="1"/>
        <s v="05-311245572013" u="1"/>
        <s v="05-799126802012" u="1"/>
        <s v="05-895921422012" u="1"/>
        <s v="05-669518582011" u="1"/>
        <s v="15-306871662012" u="1"/>
        <s v="06-102979332013" u="1"/>
        <s v="15-307901942013" u="1"/>
        <s v="05-864976152013" u="1"/>
        <s v="05-308800522012" u="1"/>
        <s v="15-981774362013" u="1"/>
        <s v="15-691777332013" u="1"/>
        <s v="05-737828832011" u="1"/>
        <s v="05-676187142012" u="1"/>
        <s v="15-258139672011" u="1"/>
        <s v="15-899295522011" u="1"/>
        <s v="16-102633622012" u="1"/>
        <s v="15-981582392012" u="1"/>
        <s v="15-194144462011" u="1"/>
        <s v="06-104979262012" u="1"/>
        <s v="15-302154312011" u="1"/>
        <s v="05-209839032011" u="1"/>
        <s v="05-799126802013" u="1"/>
        <s v="05-895921422013" u="1"/>
        <s v="05-183545552011" u="1"/>
        <s v="05-669518582012" u="1"/>
        <s v="15-306871662013" u="1"/>
        <s v="15-854115472011" u="1"/>
        <s v="16-104225562012" u="1"/>
        <s v="05-308800522013" u="1"/>
        <s v="15-864921122011" u="1"/>
        <s v="05-737828832012" u="1"/>
        <s v="05-676187142013" u="1"/>
        <s v="15-258139672012" u="1"/>
        <s v="15-899295522012" u="1"/>
        <s v="16-102633622013" u="1"/>
        <s v="05-880686882012" u="1"/>
        <s v="15-981582392013" u="1"/>
        <s v="15-194144462012" u="1"/>
        <s v="06-104979262013" u="1"/>
        <s v="06-106399882012" u="1"/>
        <s v="15-302154312012" u="1"/>
        <s v="15-504238502011" u="1"/>
        <s v="05-209839032012" u="1"/>
        <s v="05-183545552012" u="1"/>
        <s v="05-291151582011" u="1"/>
        <s v="05-669518582013" u="1"/>
        <s v="15-486042492011" u="1"/>
        <s v="15-854115472012" u="1"/>
        <s v="16-104225562013" u="1"/>
        <s v="05-925716442012" u="1"/>
        <s v="06-112978132013" u="1"/>
        <s v="15-864921122012" u="1"/>
        <s v="05-737828832013" u="1"/>
        <s v="05-825950502011" u="1"/>
        <s v="15-258139672013" u="1"/>
        <s v="15-899295522013" u="1"/>
        <s v="05-880686882013" u="1"/>
        <s v="15-216490832011" u="1"/>
        <s v="05-864986362011" u="1"/>
        <s v="05-893112152011" u="1"/>
        <s v="15-194144462013" u="1"/>
        <s v="15-864931552011" u="1"/>
        <s v="06-106399882013" u="1"/>
        <s v="15-302154312013" u="1"/>
        <s v="15-504238502012" u="1"/>
        <s v="05-209839032013" u="1"/>
        <s v="05-183545552013" u="1"/>
        <s v="05-291151582012" u="1"/>
        <s v="05-985615732012" u="1"/>
        <s v="15-486042492012" u="1"/>
        <s v="16-112306172013" u="1"/>
        <s v="15-854115472013" u="1"/>
        <s v="05-925716442013" u="1"/>
        <s v="15-864921122013" u="1"/>
        <s v="05-825950502012" u="1"/>
        <s v="15-216490832012" u="1"/>
        <s v="05-864986362012" u="1"/>
        <s v="05-893112152012" u="1"/>
        <s v="15-864931552012" u="1"/>
        <s v="16-106540122013" u="1"/>
        <s v="15-504238502013" u="1"/>
        <s v="15-862530492011" u="1"/>
        <s v="05-291151582013" u="1"/>
        <s v="05-985615732013" u="1"/>
        <s v="15-486042492013" u="1"/>
        <s v="15-865878122011" u="1"/>
        <s v="15-900825632012" u="1"/>
        <s v="06-118389372013" u="1"/>
        <s v="05-825950502013" u="1"/>
        <s v="15-216490832013" u="1"/>
        <s v="05-307265692011" u="1"/>
        <s v="05-309580362011" u="1"/>
        <s v="05-864986362013" u="1"/>
        <s v="05-893112152013" u="1"/>
        <s v="15-864931552013" u="1"/>
        <s v="16-106217112012" u="1"/>
        <s v="05-715138832011" u="1"/>
        <s v="15-862530492012" u="1"/>
        <s v="16-106218302013" u="1"/>
        <s v="15-791694302011" u="1"/>
        <s v="15-865878122012" u="1"/>
        <s v="15-767289482011" u="1"/>
        <s v="15-900825632013" u="1"/>
        <s v="06-109760612013" u="1"/>
        <s v="05-755151772011" u="1"/>
        <s v="05-307265692012" u="1"/>
        <s v="05-309580362012" u="1"/>
        <s v="16-106217112013" u="1"/>
        <s v="15-965569292012" u="1"/>
        <s v="05-715138832012" u="1"/>
        <s v="15-862530492013" u="1"/>
        <s v="15-791694302012" u="1"/>
        <s v="15-865878122013" u="1"/>
        <s v="15-767289482012" u="1"/>
        <s v="15-808343232011" u="1"/>
        <s v="05-948397592011" u="1"/>
        <s v="05-964697962012" u="1"/>
        <s v="16-111994022013" u="1"/>
        <s v="05-755151772012" u="1"/>
        <s v="05-307265692013" u="1"/>
        <s v="05-309580362013" u="1"/>
        <s v="05-309490672011" u="1"/>
        <s v="15-308584902011" u="1"/>
        <s v="15-965569292013" u="1"/>
        <s v="05-715138832013" u="1"/>
        <s v="15-892313252011" u="1"/>
        <s v="15-791694302013" u="1"/>
        <s v="05-925843852012" u="1"/>
        <s v="05-875232322011" u="1"/>
        <s v="15-767289482013" u="1"/>
        <s v="15-808343232012" u="1"/>
        <s v="05-948397592012" u="1"/>
        <s v="05-964697962013" u="1"/>
        <s v="15-929288072011" u="1"/>
        <s v="05-725609092011" u="1"/>
        <s v="15-852926702011" u="1"/>
        <s v="05-755151772013" u="1"/>
        <s v="05-309490672012" u="1"/>
        <s v="15-302654142011" u="1"/>
        <s v="05-309983862012" u="1"/>
        <s v="15-892313252012" u="1"/>
        <s v="05-972069142012" u="1"/>
        <s v="05-925843852013" u="1"/>
        <s v="05-875232322012" u="1"/>
        <s v="15-808343232013" u="1"/>
        <s v="05-948397592013" u="1"/>
        <s v="15-929288072012" u="1"/>
        <s v="05-725609092012" u="1"/>
        <s v="15-852926702012" u="1"/>
        <s v="05-309490672013" u="1"/>
        <s v="15-302654142012" u="1"/>
        <s v="05-309983862013" u="1"/>
        <s v="15-892313252013" u="1"/>
        <s v="05-731734472011" u="1"/>
        <s v="05-972069142013" u="1"/>
        <s v="05-421549922011" u="1"/>
        <s v="05-875232322013" u="1"/>
        <s v="05-725609092013" u="1"/>
        <s v="15-852926702013" u="1"/>
        <s v="05-963608402012" u="1"/>
        <s v="15-302654142013" u="1"/>
        <s v="06-105943572012" u="1"/>
        <s v="05-909136462012" u="1"/>
        <s v="05-731734472012" u="1"/>
        <s v="05-421549922012" u="1"/>
        <s v="05-973433722012" u="1"/>
        <s v="05-963608402013" u="1"/>
        <s v="15-440663972011" u="1"/>
        <s v="15-724344302011" u="1"/>
        <s v="06-105943572013" u="1"/>
        <s v="05-909136462013" u="1"/>
        <s v="06-115933132013" u="1"/>
        <s v="05-731734472013" u="1"/>
        <s v="05-907027272011" u="1"/>
        <s v="05-421549922013" u="1"/>
        <s v="15-925089262012" u="1"/>
        <s v="05-849919202011" u="1"/>
        <s v="05-799909252011" u="1"/>
        <s v="05-973433722013" u="1"/>
        <s v="05-949029982012" u="1"/>
        <s v="15-440663972012" u="1"/>
        <s v="15-724344302012" u="1"/>
        <s v="05-613754402011" u="1"/>
        <s v="15-974617892012" u="1"/>
        <s v="05-963243922012" u="1"/>
        <s v="05-907027272012" u="1"/>
        <s v="16-102319302012" u="1"/>
        <s v="15-925089262013" u="1"/>
        <s v="05-849919202012" u="1"/>
        <s v="05-537680762011" u="1"/>
        <s v="05-799909252012" u="1"/>
        <s v="05-949029982013" u="1"/>
        <s v="06-103751452012" u="1"/>
        <s v="15-440663972013" u="1"/>
        <s v="15-724344302013" u="1"/>
        <s v="05-613754402012" u="1"/>
        <s v="16-112024072013" u="1"/>
        <s v="15-799397122011" u="1"/>
        <s v="15-974617892013" u="1"/>
        <s v="05-963243922013" u="1"/>
        <s v="05-969751612012" u="1"/>
        <s v="15-820117022011" u="1"/>
        <s v="05-907027272013" u="1"/>
        <s v="06-109854612013" u="1"/>
        <s v="16-102319302013" u="1"/>
        <s v="05-849919202013" u="1"/>
        <s v="06-105444592012" u="1"/>
        <s v="05-537680762012" u="1"/>
        <s v="05-790996442011" u="1"/>
        <s v="05-799909252013" u="1"/>
        <s v="15-864416022011" u="1"/>
        <s v="06-103751452013" u="1"/>
        <s v="05-613754402013" u="1"/>
        <s v="15-799397122012" u="1"/>
        <s v="15-537801702011" u="1"/>
        <s v="05-969751612013" u="1"/>
        <s v="06-103127222013" u="1"/>
        <s v="15-820117022012" u="1"/>
        <s v="05-631654762011" u="1"/>
        <s v="15-292970402011" u="1"/>
        <s v="06-105444592013" u="1"/>
        <s v="05-537680762013" u="1"/>
        <s v="05-790996442012" u="1"/>
        <s v="05-511137192011" u="1"/>
        <s v="16-100234382012" u="1"/>
        <s v="15-799397122013" u="1"/>
        <s v="15-820117022013" u="1"/>
        <s v="15-985797772012" u="1"/>
        <s v="05-900898372011" u="1"/>
        <s v="05-631654762012" u="1"/>
        <s v="15-292970402012" u="1"/>
        <s v="16-104754842012" u="1"/>
        <s v="05-790996442013" u="1"/>
        <s v="05-511137192012" u="1"/>
        <s v="05-871328942011" u="1"/>
        <s v="15-861288282011" u="1"/>
        <s v="06-115446852013" u="1"/>
        <s v="16-101499472012" u="1"/>
        <s v="15-985797772013" u="1"/>
        <s v="15-848363942011" u="1"/>
        <s v="05-631654762013" u="1"/>
        <s v="15-292970402013" u="1"/>
        <s v="15-942560942012" u="1"/>
        <s v="05-867338962011" u="1"/>
        <s v="06-111152522013" u="1"/>
        <s v="15-302164182011" u="1"/>
        <s v="16-104754842013" u="1"/>
        <s v="16-106738772012" u="1"/>
        <s v="16-108819042013" u="1"/>
        <s v="05-983934842012" u="1"/>
        <s v="05-511137192013" u="1"/>
        <s v="05-871328942012" u="1"/>
        <s v="15-911989282012" u="1"/>
        <s v="15-861288282012" u="1"/>
        <s v="16-101499472013" u="1"/>
        <s v="06-111729722013" u="1"/>
        <s v="06-103251282012" u="1"/>
        <s v="15-848363942012" u="1"/>
        <s v="15-942560942013" u="1"/>
        <s v="06-101845632012" u="1"/>
        <s v="05-867338962012" u="1"/>
        <s v="05-887661952011" u="1"/>
        <s v="15-302164182012" u="1"/>
        <s v="16-106738772013" u="1"/>
        <s v="05-983934842013" u="1"/>
        <s v="05-871328942013" u="1"/>
        <s v="15-911989282013" u="1"/>
        <s v="15-861288282013" u="1"/>
        <s v="05-605846182011" u="1"/>
        <s v="06-103251282013" u="1"/>
        <s v="15-884343502011" u="1"/>
        <s v="06-101845632013" u="1"/>
        <s v="05-867338962013" u="1"/>
        <s v="05-887661952012" u="1"/>
        <s v="15-302164182013" u="1"/>
        <s v="05-854398012011" u="1"/>
        <s v="15-350839472011" u="1"/>
        <s v="15-800561562011" u="1"/>
        <s v="05-711729232011" u="1"/>
        <s v="06-103335182012" u="1"/>
        <s v="05-605846182012" u="1"/>
        <s v="05-884999782011" u="1"/>
        <s v="15-902455932012" u="1"/>
        <s v="05-303669852011" u="1"/>
        <s v="05-975408182012" u="1"/>
        <s v="15-884343502012" u="1"/>
        <s v="05-505348162011" u="1"/>
        <s v="05-887661952013" u="1"/>
        <s v="06-111761612013" u="1"/>
        <s v="15-302465292011" u="1"/>
        <s v="05-854398012012" u="1"/>
        <s v="15-350839472012" u="1"/>
        <s v="15-800561562012" u="1"/>
        <s v="05-711729232012" u="1"/>
        <s v="06-103335182013" u="1"/>
        <s v="05-605846182013" u="1"/>
        <s v="05-884999782012" u="1"/>
        <s v="15-347404852012" u="1"/>
        <s v="05-293246042011" u="1"/>
        <s v="06-101651282012" u="1"/>
        <s v="15-902455932013" u="1"/>
        <s v="05-303669852012" u="1"/>
        <s v="05-975408182013" u="1"/>
        <s v="15-754271982011" u="1"/>
        <s v="15-884343502013" u="1"/>
        <s v="15-884152612011" u="1"/>
        <s v="05-505348162012" u="1"/>
        <s v="15-302465292012" u="1"/>
        <s v="05-258314812011" u="1"/>
        <s v="05-854398012013" u="1"/>
        <s v="15-350839472013" u="1"/>
        <s v="15-800561562013" u="1"/>
        <s v="05-711729232013" u="1"/>
        <s v="05-873654902011" u="1"/>
        <s v="05-795329632011" u="1"/>
        <s v="05-884999782013" u="1"/>
        <s v="05-293246042012" u="1"/>
        <s v="15-298275732011" u="1"/>
        <s v="05-447975732011" u="1"/>
        <s v="06-101651282013" u="1"/>
        <s v="05-303669852013" u="1"/>
        <s v="15-754271982012" u="1"/>
        <s v="15-884152612012" u="1"/>
        <s v="05-505348162013" u="1"/>
        <s v="15-302465292013" u="1"/>
        <s v="05-258314812012" u="1"/>
        <s v="06-115861592013" u="1"/>
        <s v="15-788836212011" u="1"/>
        <s v="05-873654902012" u="1"/>
        <s v="05-795329632012" u="1"/>
        <s v="05-158731812011" u="1"/>
        <s v="05-293246042013" u="1"/>
        <s v="15-298275732012" u="1"/>
        <s v="05-447975732012" u="1"/>
        <s v="16-112327012013" u="1"/>
        <s v="15-754271982013" u="1"/>
        <s v="15-309223602011" u="1"/>
        <s v="15-884152612013" u="1"/>
        <s v="15-802560192011" u="1"/>
        <s v="05-258314812013" u="1"/>
        <s v="15-788836212012" u="1"/>
        <s v="05-158731812012" u="1"/>
        <s v="15-298275732013" u="1"/>
        <s v="15-309521472011" u="1"/>
        <s v="05-447975732013" u="1"/>
        <s v="05-941518132012" u="1"/>
        <s v="15-309223602012" u="1"/>
        <s v="15-924145592012" u="1"/>
        <s v="15-802560192012" u="1"/>
        <s v="16-102451082012" u="1"/>
        <s v="15-788836212013" u="1"/>
        <s v="05-725648422011" u="1"/>
        <s v="16-108564782013" u="1"/>
        <s v="05-158731812013" u="1"/>
        <s v="15-309521472012" u="1"/>
        <s v="05-985229982012" u="1"/>
        <s v="15-309807882012" u="1"/>
        <s v="05-941518132013" u="1"/>
        <s v="15-309223602013" u="1"/>
        <s v="15-800181942011" u="1"/>
        <s v="15-912229352011" u="1"/>
        <s v="15-924145592013" u="1"/>
        <s v="15-750046522011" u="1"/>
        <s v="15-802560192013" u="1"/>
        <s v="15-307420122011" u="1"/>
        <s v="16-102451082013" u="1"/>
        <s v="05-725648422012" u="1"/>
        <s v="15-309521472013" u="1"/>
        <s v="05-801658912011" u="1"/>
        <s v="15-800181942012" u="1"/>
        <s v="15-912229352012" u="1"/>
        <s v="15-750046522012" u="1"/>
        <s v="16-104746342012" u="1"/>
        <s v="15-307420122012" u="1"/>
        <s v="05-725681502011" u="1"/>
        <s v="15-870128692011" u="1"/>
        <s v="05-725648422013" u="1"/>
        <s v="06-107356552013" u="1"/>
        <s v="15-147023792011" u="1"/>
        <s v="05-801658912012" u="1"/>
        <s v="15-209824512011" u="1"/>
        <s v="15-800181942013" u="1"/>
        <s v="15-912229352013" u="1"/>
        <s v="05-303193302011" u="1"/>
        <s v="05-421458482011" u="1"/>
        <s v="15-750046522013" u="1"/>
        <s v="16-104746342013" u="1"/>
        <s v="15-307420122013" u="1"/>
        <s v="05-305479752011" u="1"/>
        <s v="05-725681502012" u="1"/>
        <s v="15-308479512011" u="1"/>
        <s v="15-870128692012" u="1"/>
        <s v="15-123032862011" u="1"/>
        <s v="15-734155222011" u="1"/>
        <s v="15-147023792012" u="1"/>
        <s v="15-302275152011" u="1"/>
        <s v="05-801658912013" u="1"/>
        <s v="15-209824512012" u="1"/>
        <s v="05-303193302012" u="1"/>
        <s v="15-966763932012" u="1"/>
        <s v="05-305479752012" u="1"/>
        <s v="05-725681502013" u="1"/>
        <s v="15-308479512012" u="1"/>
        <s v="15-548469942011" u="1"/>
        <s v="15-572373732011" u="1"/>
        <s v="15-870128692013" u="1"/>
        <s v="16-100628192012" u="1"/>
        <s v="05-851280932011" u="1"/>
        <s v="15-734155222012" u="1"/>
        <s v="16-104973982012" u="1"/>
        <s v="15-147023792013" u="1"/>
        <s v="15-302275152012" u="1"/>
        <s v="05-531739062011" u="1"/>
        <s v="05-303193302013" u="1"/>
        <s v="05-305479752013" u="1"/>
        <s v="15-308479512013" u="1"/>
        <s v="15-548469942012" u="1"/>
        <s v="05-881142192011" u="1"/>
        <s v="15-572373732012" u="1"/>
        <s v="16-100628192013" u="1"/>
        <s v="15-964728322012" u="1"/>
        <s v="05-851280932012" u="1"/>
        <s v="15-734155222013" u="1"/>
        <s v="16-104973982013" u="1"/>
        <s v="15-302275152013" u="1"/>
        <s v="15-310490152012" u="1"/>
        <s v="05-531739062012" u="1"/>
        <s v="15-548469942013" u="1"/>
        <s v="06-101063472012" u="1"/>
        <s v="15-992628892012" u="1"/>
        <s v="05-657590512011" u="1"/>
        <s v="05-881142192012" u="1"/>
        <s v="15-572373732013" u="1"/>
        <s v="05-777046292011" u="1"/>
        <s v="15-964728322013" u="1"/>
        <s v="05-613748052011" u="1"/>
        <s v="05-851280932013" u="1"/>
        <s v="05-999156902012" u="1"/>
        <s v="05-258331772011" u="1"/>
        <s v="06-115362282013" u="1"/>
        <s v="15-307005042011" u="1"/>
        <s v="15-310490152013" u="1"/>
        <s v="05-531739062013" u="1"/>
        <s v="05-152804392011" u="1"/>
        <s v="05-805373332011" u="1"/>
        <s v="05-963627292012" u="1"/>
        <s v="15-918863372012" u="1"/>
        <s v="06-101063472013" u="1"/>
        <s v="05-657590512012" u="1"/>
        <s v="05-777046292012" u="1"/>
        <s v="15-308889982011" u="1"/>
        <s v="05-613748052012" u="1"/>
        <s v="05-258331772012" u="1"/>
        <s v="15-307005042012" u="1"/>
        <s v="05-152804392012" u="1"/>
        <s v="05-805373332012" u="1"/>
        <s v="05-963627292013" u="1"/>
        <s v="06-115439102013" u="1"/>
        <s v="15-918863372013" u="1"/>
        <s v="05-777046292013" u="1"/>
        <s v="15-308889982012" u="1"/>
        <s v="15-966362692012" u="1"/>
        <s v="05-613748052013" u="1"/>
        <s v="05-258331772013" u="1"/>
        <s v="15-307005042013" u="1"/>
        <s v="16-104264332012" u="1"/>
        <s v="05-170023812011" u="1"/>
        <s v="15-467104692011" u="1"/>
        <s v="05-152804392013" u="1"/>
        <s v="05-805373332013" u="1"/>
        <s v="15-866071452011" u="1"/>
        <s v="06-111438262013" u="1"/>
        <s v="15-308889982013" u="1"/>
        <s v="15-966362692013" u="1"/>
        <s v="15-302384182011" u="1"/>
        <s v="16-104264332013" u="1"/>
        <s v="05-118226422011" u="1"/>
        <s v="05-170023812012" u="1"/>
        <s v="05-424507712011" u="1"/>
        <s v="15-572363292011" u="1"/>
        <s v="15-467104692012" u="1"/>
        <s v="06-107359892013" u="1"/>
        <s v="15-866071452012" u="1"/>
        <s v="16-105220922012" u="1"/>
        <s v="15-964956932012" u="1"/>
        <s v="16-103911932012" u="1"/>
        <s v="15-926665782012" u="1"/>
        <s v="05-118226422012" u="1"/>
        <s v="05-424507712012" u="1"/>
        <s v="15-572363292012" u="1"/>
        <s v="15-467104692013" u="1"/>
        <s v="05-189676072011" u="1"/>
        <s v="05-921145062012" u="1"/>
        <s v="15-866071452013" u="1"/>
        <s v="16-105220922013" u="1"/>
        <s v="15-738665132011" u="1"/>
        <s v="15-964680952012" u="1"/>
        <s v="15-964956932013" u="1"/>
        <s v="16-103911932013" u="1"/>
        <s v="15-926665782013" u="1"/>
        <s v="05-118226422013" u="1"/>
        <s v="05-424507712013" u="1"/>
        <s v="15-572363292013" u="1"/>
        <s v="05-422006532011" u="1"/>
        <s v="05-189676072012" u="1"/>
        <s v="05-921145062013" u="1"/>
        <s v="05-308316362011" u="1"/>
        <s v="15-666866692011" u="1"/>
        <s v="15-738665132012" u="1"/>
        <s v="15-964680952013" u="1"/>
        <s v="15-675810642011" u="1"/>
        <s v="05-422006532012" u="1"/>
        <s v="06-105172152013" u="1"/>
        <s v="06-107068882013" u="1"/>
        <s v="05-189676072013" u="1"/>
        <s v="05-308316362012" u="1"/>
        <s v="15-666866692012" u="1"/>
        <s v="15-738665132013" u="1"/>
        <s v="15-675810642012" u="1"/>
        <s v="06-115965582013" u="1"/>
        <s v="05-422006532013" u="1"/>
        <s v="05-308316362013" u="1"/>
        <s v="15-918875742013" u="1"/>
        <s v="05-823576962011" u="1"/>
        <s v="15-666866692013" u="1"/>
        <s v="16-104082572012" u="1"/>
        <s v="05-613892432011" u="1"/>
        <s v="15-675810642013" u="1"/>
        <s v="06-103259792012" u="1"/>
        <s v="05-812703652011" u="1"/>
        <s v="16-108674342013" u="1"/>
        <s v="05-871271442011" u="1"/>
        <s v="05-823576962012" u="1"/>
        <s v="05-855557302011" u="1"/>
        <s v="16-104082572013" u="1"/>
        <s v="05-613892432012" u="1"/>
        <s v="15-992843282012" u="1"/>
        <s v="05-587865032011" u="1"/>
        <s v="16-106265012012" u="1"/>
        <s v="05-894001712012" u="1"/>
        <s v="06-103259792013" u="1"/>
        <s v="15-720192862011" u="1"/>
        <s v="05-812703652012" u="1"/>
        <s v="05-819491242011" u="1"/>
        <s v="05-310923662013" u="1"/>
        <s v="05-891149952011" u="1"/>
        <s v="15-880855502011" u="1"/>
        <s v="05-871271442012" u="1"/>
        <s v="05-823576962013" u="1"/>
        <s v="05-855557302012" u="1"/>
        <s v="15-800649112011" u="1"/>
        <s v="05-613892432013" u="1"/>
        <s v="15-992843282013" u="1"/>
        <s v="05-638808922011" u="1"/>
        <s v="15-668194812011" u="1"/>
        <s v="05-587865032012" u="1"/>
        <s v="16-106265012013" u="1"/>
        <s v="05-894001712013" u="1"/>
        <s v="15-720192862012" u="1"/>
        <s v="05-812703652013" u="1"/>
        <s v="05-819491242012" u="1"/>
        <s v="05-891149952012" u="1"/>
        <s v="06-102000052013" u="1"/>
        <s v="15-311231572013" u="1"/>
        <s v="15-880855502012" u="1"/>
        <s v="05-871271442013" u="1"/>
        <s v="15-307516272011" u="1"/>
        <s v="05-855557302013" u="1"/>
        <s v="15-800649112012" u="1"/>
        <s v="05-421479652011" u="1"/>
        <s v="05-859866332011" u="1"/>
        <s v="05-638808922012" u="1"/>
        <s v="15-668194812012" u="1"/>
        <s v="15-912249222011" u="1"/>
        <s v="05-587865032013" u="1"/>
        <s v="15-258387262011" u="1"/>
        <s v="05-610310072011" u="1"/>
        <s v="06-103069982012" u="1"/>
        <s v="06-112003502013" u="1"/>
        <s v="15-720192862013" u="1"/>
        <s v="05-819491242013" u="1"/>
        <s v="05-891149952013" u="1"/>
        <s v="15-880855502013" u="1"/>
        <s v="15-302578192011" u="1"/>
        <s v="06-109784562013" u="1"/>
        <s v="15-307516272012" u="1"/>
        <s v="06-102201152012" u="1"/>
        <s v="15-800649112013" u="1"/>
        <s v="05-421479652012" u="1"/>
        <s v="15-429934842011" u="1"/>
        <s v="05-859866332012" u="1"/>
        <s v="05-638808922013" u="1"/>
        <s v="05-939659692012" u="1"/>
        <s v="15-668194812013" u="1"/>
        <s v="15-912249222012" u="1"/>
        <s v="15-258387262012" u="1"/>
        <s v="05-610310072012" u="1"/>
        <s v="06-103069982013" u="1"/>
        <s v="06-116605702013" u="1"/>
        <s v="15-228896152011" u="1"/>
        <s v="16-107113642012" u="1"/>
        <s v="05-825167492011" u="1"/>
        <s v="05-916204662012" u="1"/>
        <s v="15-310592092013" u="1"/>
        <s v="06-109477662013" u="1"/>
        <s v="15-237835722011" u="1"/>
        <s v="16-102284602012" u="1"/>
        <s v="15-302578192012" u="1"/>
        <s v="15-307516272013" u="1"/>
        <s v="16-104265182012" u="1"/>
        <s v="06-102201152013" u="1"/>
        <s v="05-421479652013" u="1"/>
        <s v="15-429934842012" u="1"/>
        <s v="15-886647002011" u="1"/>
        <s v="05-859866332013" u="1"/>
        <s v="15-767301182011" u="1"/>
        <s v="05-939659692013" u="1"/>
        <s v="15-912249222013" u="1"/>
        <s v="15-258387262013" u="1"/>
        <s v="05-610310072013" u="1"/>
        <s v="15-228896152012" u="1"/>
        <s v="16-107113642013" u="1"/>
        <s v="05-825167492012" u="1"/>
        <s v="15-421220062012" u="1"/>
        <s v="05-916204662013" u="1"/>
        <s v="06-103790222012" u="1"/>
        <s v="15-237835722012" u="1"/>
        <s v="16-102284602013" u="1"/>
        <s v="05-303889302011" u="1"/>
        <s v="15-302578192013" u="1"/>
        <s v="16-101013832012" u="1"/>
        <s v="16-104265182013" u="1"/>
        <s v="06-118405502013" u="1"/>
        <s v="15-429934842013" u="1"/>
        <s v="15-886647002012" u="1"/>
        <s v="15-767301182012" u="1"/>
        <s v="15-964748302012" u="1"/>
        <s v="05-877180032011" u="1"/>
        <s v="15-882338182011" u="1"/>
        <s v="05-495275002011" u="1"/>
        <s v="15-724791382011" u="1"/>
        <s v="05-825159112011" u="1"/>
        <s v="15-228896152013" u="1"/>
        <s v="16-110664272013" u="1"/>
        <s v="05-825167492013" u="1"/>
        <s v="15-421220062013" u="1"/>
        <s v="16-100284882012" u="1"/>
        <s v="06-103790222013" u="1"/>
        <s v="15-237835722013" u="1"/>
        <s v="05-303889302012" u="1"/>
        <s v="05-398315412011" u="1"/>
        <s v="16-101013832013" u="1"/>
        <s v="05-537587302011" u="1"/>
        <s v="15-725715972011" u="1"/>
        <s v="05-304550562011" u="1"/>
        <s v="06-107784302013" u="1"/>
        <s v="15-886647002013" u="1"/>
        <s v="16-104974392012" u="1"/>
        <s v="15-767301182013" u="1"/>
        <s v="15-964748302013" u="1"/>
        <s v="05-877180032012" u="1"/>
        <s v="15-882338182012" u="1"/>
        <s v="05-495275002012" u="1"/>
        <s v="15-724791382012" u="1"/>
        <s v="05-825159112012" u="1"/>
        <s v="05-941248392012" u="1"/>
        <s v="05-398315412012" u="1"/>
        <s v="15-725715972012" u="1"/>
        <s v="05-304550562012" u="1"/>
        <s v="06-108715972013" u="1"/>
        <s v="16-104974392013" u="1"/>
        <s v="05-877180032013" u="1"/>
        <s v="15-882338182013" u="1"/>
        <s v="05-495275002013" u="1"/>
        <s v="15-724791382013" u="1"/>
        <s v="05-941248392013" u="1"/>
        <s v="15-899400032011" u="1"/>
        <s v="15-725715972013" u="1"/>
        <s v="05-304550562013" u="1"/>
        <s v="15-307751422011" u="1"/>
        <s v="15-397925802011" u="1"/>
        <s v="16-100973012012" u="1"/>
        <s v="15-505141562011" u="1"/>
        <s v="15-899400032012" u="1"/>
        <s v="05-925092412012" u="1"/>
        <s v="16-105123812013" u="1"/>
        <s v="06-115775222013" u="1"/>
        <s v="15-448186082011" u="1"/>
        <s v="05-845384572011" u="1"/>
        <s v="15-307751422012" u="1"/>
        <s v="05-486124612011" u="1"/>
        <s v="15-952357462012" u="1"/>
        <s v="05-979372052012" u="1"/>
        <s v="15-397925802012" u="1"/>
        <s v="15-715341932011" u="1"/>
        <s v="16-100973012013" u="1"/>
        <s v="06-106731712012" u="1"/>
        <s v="15-505141562012" u="1"/>
        <s v="15-899400032013" u="1"/>
        <s v="15-301942402011" u="1"/>
        <s v="15-875012622011" u="1"/>
        <s v="15-537916422011" u="1"/>
        <s v="15-968473262012" u="1"/>
        <s v="15-307626272011" u="1"/>
        <s v="05-810704462011" u="1"/>
        <s v="15-448186082012" u="1"/>
        <s v="05-162842522011" u="1"/>
        <s v="05-845384572012" u="1"/>
        <s v="16-108783042013" u="1"/>
        <s v="05-729895572011" u="1"/>
        <s v="15-307751422013" u="1"/>
        <s v="05-486124612012" u="1"/>
        <s v="05-979372052013" u="1"/>
        <s v="06-111867312013" u="1"/>
        <s v="15-397925802013" u="1"/>
        <s v="15-715341932012" u="1"/>
        <s v="05-436727852011" u="1"/>
        <s v="05-968305852012" u="1"/>
        <s v="06-106731712013" u="1"/>
        <s v="05-967991652012" u="1"/>
        <s v="15-505141562013" u="1"/>
        <s v="15-301942402012" u="1"/>
        <s v="15-875012622012" u="1"/>
        <s v="15-968473262013" u="1"/>
        <s v="15-307626272012" u="1"/>
        <s v="05-810704462012" u="1"/>
        <s v="15-448186082013" u="1"/>
        <s v="05-845384572013" u="1"/>
        <s v="06-115459292013" u="1"/>
        <s v="05-729895572012" u="1"/>
        <s v="05-486124612013" u="1"/>
        <s v="05-966504752012" u="1"/>
        <s v="15-715341932013" u="1"/>
        <s v="05-486015462011" u="1"/>
        <s v="16-102768322012" u="1"/>
        <s v="05-436727852012" u="1"/>
        <s v="05-968305852013" u="1"/>
        <s v="05-967991652013" u="1"/>
        <s v="15-537232342011" u="1"/>
        <s v="15-301942402013" u="1"/>
        <s v="15-875012622013" u="1"/>
        <s v="15-307626272013" u="1"/>
        <s v="05-810704462013" u="1"/>
        <s v="15-189333152011" u="1"/>
        <s v="15-844168332011" u="1"/>
        <s v="05-966504752013" u="1"/>
        <s v="05-452840522011" u="1"/>
        <s v="06-115168392013" u="1"/>
        <s v="15-958878932012" u="1"/>
        <s v="05-486015462012" u="1"/>
        <s v="16-102768322013" u="1"/>
        <s v="15-537618762011" u="1"/>
        <s v="16-104785442012" u="1"/>
        <s v="15-189333152012" u="1"/>
        <s v="15-571004002011" u="1"/>
        <s v="15-844168332012" u="1"/>
        <s v="05-452840522012" u="1"/>
        <s v="05-909088662011" u="1"/>
        <s v="15-958878932013" u="1"/>
        <s v="15-799822862011" u="1"/>
        <s v="05-486015462013" u="1"/>
        <s v="06-112515812013" u="1"/>
        <s v="05-900014512011" u="1"/>
        <s v="16-104785442013" u="1"/>
        <s v="05-178546812011" u="1"/>
        <s v="05-548543982011" u="1"/>
        <s v="06-115575192013" u="1"/>
        <s v="05-727095222011" u="1"/>
        <s v="15-844168332013" u="1"/>
        <s v="15-303829882011" u="1"/>
        <s v="05-452840522013" u="1"/>
        <s v="05-909088662012" u="1"/>
        <s v="06-102231892012" u="1"/>
        <s v="15-799822862012" u="1"/>
        <s v="15-958793622012" u="1"/>
        <s v="05-990100342012" u="1"/>
        <s v="05-900014512012" u="1"/>
        <s v="15-826679522011" u="1"/>
        <s v="05-178546812012" u="1"/>
        <s v="15-929322462011" u="1"/>
        <s v="05-727095222012" u="1"/>
        <s v="15-571004002013" u="1"/>
        <s v="15-892281232011" u="1"/>
        <s v="05-548517332011" u="1"/>
        <s v="14-250002422011" u="1"/>
        <s v="15-303829882012" u="1"/>
        <s v="05-738615222011" u="1"/>
        <s v="05-909088662013" u="1"/>
        <s v="06-102231892013" u="1"/>
        <s v="15-958793622013" u="1"/>
        <s v="15-305061402011" u="1"/>
        <s v="05-990100342013" u="1"/>
        <s v="15-423027522011" u="1"/>
        <s v="05-900014512013" u="1"/>
        <s v="15-826679522012" u="1"/>
        <s v="05-178546812013" u="1"/>
        <s v="15-929322462012" u="1"/>
        <s v="05-727095222013" u="1"/>
        <s v="15-537750662011" u="1"/>
        <s v="05-831468392011" u="1"/>
        <s v="15-892281232012" u="1"/>
        <s v="14-250002422012" u="1"/>
        <s v="15-303829882013" u="1"/>
        <s v="05-738615222012" u="1"/>
        <s v="05-826440642011" u="1"/>
        <s v="15-305061402012" u="1"/>
        <s v="15-423027522012" u="1"/>
        <s v="06-104906332012" u="1"/>
        <s v="15-309646412011" u="1"/>
        <s v="15-826679522013" u="1"/>
        <s v="15-753616962011" u="1"/>
        <s v="15-929322462013" u="1"/>
        <s v="06-117984192013" u="1"/>
        <s v="05-831468392012" u="1"/>
        <s v="15-892281232013" u="1"/>
        <s v="15-952277872012" u="1"/>
        <s v="15-209956752011" u="1"/>
        <s v="05-738615222013" u="1"/>
        <s v="05-826440642012" u="1"/>
        <s v="05-280224242011" u="1"/>
        <s v="15-305061402013" u="1"/>
        <s v="15-311028662013" u="1"/>
        <s v="15-423027522013" u="1"/>
        <s v="06-104906332013" u="1"/>
        <s v="15-309646412012" u="1"/>
        <s v="05-901695752012" u="1"/>
        <s v="15-849216522011" u="1"/>
        <s v="05-831468392013" u="1"/>
        <s v="15-952277872013" u="1"/>
        <s v="05-959392272012" u="1"/>
        <s v="15-209956752012" u="1"/>
        <s v="05-826440642013" u="1"/>
        <s v="05-883475362011" u="1"/>
        <s v="15-537736712011" u="1"/>
        <s v="05-901695752013" u="1"/>
        <s v="15-849216522012" u="1"/>
        <s v="05-875359182011" u="1"/>
        <s v="05-691393432011" u="1"/>
        <s v="05-959392272013" u="1"/>
        <s v="15-209956752013" u="1"/>
        <s v="05-848322272011" u="1"/>
        <s v="05-893457082011" u="1"/>
        <s v="05-883475362012" u="1"/>
        <s v="05-808234672012" u="1"/>
        <s v="05-880902252011" u="1"/>
        <s v="06-110123772013" u="1"/>
        <s v="15-849216522013" u="1"/>
        <s v="05-875359182012" u="1"/>
        <s v="05-848322272012" u="1"/>
        <s v="05-893457082012" u="1"/>
        <s v="06-103785172012" u="1"/>
        <s v="05-883475362013" u="1"/>
        <s v="15-753815682011" u="1"/>
        <s v="05-875359182013" u="1"/>
        <s v="15-305946682011" u="1"/>
        <s v="05-848322272013" u="1"/>
        <s v="05-893457082013" u="1"/>
        <s v="06-103785172013" u="1"/>
        <s v="15-753815682012" u="1"/>
        <s v="05-308963692011" u="1"/>
        <s v="05-964914742012" u="1"/>
        <s v="15-879332612011" u="1"/>
        <s v="05-800618982011" u="1"/>
        <s v="15-305946682012" u="1"/>
        <s v="06-103697862013" u="1"/>
        <s v="15-778188682011" u="1"/>
        <s v="15-800587342011" u="1"/>
        <s v="05-881792432011" u="1"/>
        <s v="15-909625422012" u="1"/>
        <s v="16-112495672013" u="1"/>
        <s v="16-105618712012" u="1"/>
        <s v="15-753815682013" u="1"/>
        <s v="16-109015052013" u="1"/>
        <s v="05-270541142011" u="1"/>
        <s v="15-777522252011" u="1"/>
        <s v="05-308963692012" u="1"/>
        <s v="05-964914742013" u="1"/>
        <s v="15-879332612012" u="1"/>
        <s v="05-800618982012" u="1"/>
        <s v="15-305946682013" u="1"/>
        <s v="15-778188682012" u="1"/>
        <s v="15-800587342012" u="1"/>
        <s v="15-909625422013" u="1"/>
        <s v="16-105618712013" u="1"/>
        <s v="05-270541142012" u="1"/>
        <s v="15-777522252012" u="1"/>
        <s v="05-308963692013" u="1"/>
        <s v="15-879332612013" u="1"/>
        <s v="05-304565942011" u="1"/>
        <s v="05-800618982013" u="1"/>
        <s v="05-715896022011" u="1"/>
        <s v="05-310256902012" u="1"/>
        <s v="15-778188682013" u="1"/>
        <s v="15-800587342013" u="1"/>
        <s v="15-421809072011" u="1"/>
        <s v="15-676079152011" u="1"/>
        <s v="16-105219962013" u="1"/>
        <s v="05-964421332012" u="1"/>
        <s v="15-777522252013" u="1"/>
        <s v="05-304565942012" u="1"/>
        <s v="05-522525052011" u="1"/>
        <s v="05-964932902013" u="1"/>
        <s v="05-715896022012" u="1"/>
        <s v="05-310256902013" u="1"/>
        <s v="06-108051762013" u="1"/>
        <s v="15-421809072012" u="1"/>
        <s v="06-116730062013" u="1"/>
        <s v="15-309865882012" u="1"/>
        <s v="15-676079152012" u="1"/>
        <s v="05-964421332013" u="1"/>
        <s v="15-923115332012" u="1"/>
        <s v="15-311270782013" u="1"/>
        <s v="05-715896022013" u="1"/>
        <s v="15-886889912011" u="1"/>
        <s v="15-977106452012" u="1"/>
        <s v="16-109125382013" u="1"/>
        <s v="15-421809072013" u="1"/>
        <s v="15-909217102012" u="1"/>
        <s v="06-112317502013" u="1"/>
        <s v="15-309974812012" u="1"/>
        <s v="15-309865882013" u="1"/>
        <s v="06-115499812013" u="1"/>
        <s v="15-676079152013" u="1"/>
        <s v="15-324400992011" u="1"/>
        <s v="15-923115332013" u="1"/>
        <s v="05-658544622011" u="1"/>
        <s v="16-107329902012" u="1"/>
        <s v="05-738652612011" u="1"/>
        <s v="15-505548932011" u="1"/>
        <s v="15-886889912012" u="1"/>
        <s v="15-749142482011" u="1"/>
        <s v="15-840978212011" u="1"/>
        <s v="15-309974812013" u="1"/>
        <s v="15-324400992012" u="1"/>
        <s v="05-658544622012" u="1"/>
        <s v="16-107329902013" u="1"/>
        <s v="05-738652612012" u="1"/>
        <s v="15-505548932012" u="1"/>
        <s v="05-452450132011" u="1"/>
        <s v="15-886889912013" u="1"/>
        <s v="15-896387792012" u="1"/>
        <s v="15-749142482012" u="1"/>
        <s v="15-840978212012" u="1"/>
        <s v="05-800444952011" u="1"/>
        <s v="15-903634642011" u="1"/>
        <s v="16-112295102013" u="1"/>
        <s v="06-116060952013" u="1"/>
        <s v="15-324400992013" u="1"/>
        <s v="05-658544622013" u="1"/>
        <s v="05-738652612013" u="1"/>
        <s v="15-881716802012" u="1"/>
        <s v="15-505548932013" u="1"/>
        <s v="05-452450132012" u="1"/>
        <s v="15-896387792013" u="1"/>
        <s v="15-749142482013" u="1"/>
        <s v="06-108336762013" u="1"/>
        <s v="15-840978212013" u="1"/>
        <s v="05-800444952012" u="1"/>
        <s v="15-903634642012" u="1"/>
        <s v="05-666027432011" u="1"/>
        <s v="15-998687772012" u="1"/>
        <s v="15-881716802013" u="1"/>
        <s v="15-333173922011" u="1"/>
        <s v="05-452450132013" u="1"/>
        <s v="05-738635202011" u="1"/>
        <s v="15-303580532011" u="1"/>
        <s v="15-725662902011" u="1"/>
        <s v="05-800444952013" u="1"/>
        <s v="05-799097452011" u="1"/>
        <s v="15-903634642013" u="1"/>
        <s v="05-666027432012" u="1"/>
        <s v="15-998687772013" u="1"/>
        <s v="15-677341122011" u="1"/>
        <s v="05-305210762011" u="1"/>
        <s v="15-891105102011" u="1"/>
        <s v="15-333173922012" u="1"/>
        <s v="05-808246602011" u="1"/>
        <s v="16-107052622013" u="1"/>
        <s v="15-537955852011" u="1"/>
        <s v="05-310964702013" u="1"/>
        <s v="06-105488192013" u="1"/>
        <s v="05-738635202012" u="1"/>
        <s v="15-303580532012" u="1"/>
        <s v="15-755225102011" u="1"/>
        <s v="15-725662902012" u="1"/>
        <s v="05-786043862011" u="1"/>
        <s v="05-799097452012" u="1"/>
        <s v="15-825528742011" u="1"/>
        <s v="16-111416212013" u="1"/>
        <s v="15-307448382011" u="1"/>
        <s v="16-100487032012" u="1"/>
        <s v="16-105142482012" u="1"/>
        <s v="05-302448582011" u="1"/>
        <s v="05-309011792011" u="1"/>
        <s v="05-756551672011" u="1"/>
        <s v="06-111398632013" u="1"/>
        <s v="05-666027432013" u="1"/>
        <s v="15-677341122012" u="1"/>
        <s v="05-305210762012" u="1"/>
        <s v="15-891105102012" u="1"/>
        <s v="05-730029942011" u="1"/>
        <s v="15-925834792012" u="1"/>
        <s v="05-738635202013" u="1"/>
        <s v="15-303580532013" u="1"/>
        <s v="15-755225102012" u="1"/>
        <s v="15-725662902013" u="1"/>
        <s v="05-786043862012" u="1"/>
        <s v="05-726538722011" u="1"/>
        <s v="05-799097452013" u="1"/>
        <s v="15-825528742012" u="1"/>
        <s v="15-307448382012" u="1"/>
        <s v="16-105142482013" u="1"/>
        <s v="05-302448582012" u="1"/>
        <s v="05-800529822011" u="1"/>
        <s v="05-921099972012" u="1"/>
        <s v="15-343444052011" u="1"/>
        <s v="05-309011792012" u="1"/>
        <s v="06-106261842013" u="1"/>
        <s v="05-756551672012" u="1"/>
        <s v="15-973106362012" u="1"/>
        <s v="15-677341122013" u="1"/>
        <s v="15-891105102013" u="1"/>
        <s v="05-730029942012" u="1"/>
        <s v="15-925834792013" u="1"/>
        <s v="05-358670252011" u="1"/>
        <s v="06-112516002013" u="1"/>
        <s v="05-786043862013" u="1"/>
        <s v="05-726538722012" u="1"/>
        <s v="15-663352882011" u="1"/>
        <s v="15-825528742013" u="1"/>
        <s v="05-302448582013" u="1"/>
        <s v="05-800529822012" u="1"/>
        <s v="05-921099972013" u="1"/>
        <s v="15-343444052012" u="1"/>
        <s v="05-302873652011" u="1"/>
        <s v="05-309011792013" u="1"/>
        <s v="05-756551672013" u="1"/>
        <s v="15-973106362013" u="1"/>
        <s v="06-110116132013" u="1"/>
        <s v="15-675837942011" u="1"/>
        <s v="15-229174462011" u="1"/>
        <s v="05-730029942013" u="1"/>
        <s v="05-228190312011" u="1"/>
        <s v="05-358670252012" u="1"/>
        <s v="16-107842382013" u="1"/>
        <s v="05-227320992011" u="1"/>
        <s v="05-927399692012" u="1"/>
        <s v="15-725635382011" u="1"/>
        <s v="05-726538722013" u="1"/>
        <s v="15-663352882012" u="1"/>
        <s v="15-302003832011" u="1"/>
        <s v="05-800529822013" u="1"/>
        <s v="15-343444052013" u="1"/>
        <s v="05-302873652012" u="1"/>
        <s v="15-303239032011" u="1"/>
        <s v="15-799151782011" u="1"/>
        <s v="05-999178032012" u="1"/>
        <s v="15-675837942012" u="1"/>
        <s v="15-963117772012" u="1"/>
        <s v="15-229174462012" u="1"/>
        <s v="05-228190312012" u="1"/>
        <s v="05-358670252013" u="1"/>
        <s v="05-227320992012" u="1"/>
        <s v="05-662450362011" u="1"/>
        <s v="05-927399692013" u="1"/>
        <s v="15-725635382012" u="1"/>
        <s v="05-444429142011" u="1"/>
        <s v="06-112527512013" u="1"/>
        <s v="15-981220052012" u="1"/>
        <s v="15-663352882013" u="1"/>
        <s v="15-302003832012" u="1"/>
        <s v="05-302873652013" u="1"/>
        <s v="15-799151782012" u="1"/>
        <s v="15-675837942013" u="1"/>
        <s v="15-963117772013" u="1"/>
        <s v="05-794243722011" u="1"/>
        <s v="15-229174462013" u="1"/>
        <s v="05-228190312013" u="1"/>
        <s v="16-111844952013" u="1"/>
        <s v="05-227320992013" u="1"/>
        <s v="05-662450362012" u="1"/>
        <s v="15-725635382013" u="1"/>
        <s v="05-444429142012" u="1"/>
        <s v="05-920715192012" u="1"/>
        <s v="15-981220052013" u="1"/>
        <s v="15-302003832013" u="1"/>
        <s v="15-952197402011" u="1"/>
        <s v="15-960598912012" u="1"/>
        <s v="15-799151782013" u="1"/>
        <s v="05-794243722012" u="1"/>
        <s v="16-111434582013" u="1"/>
        <s v="05-966416112012" u="1"/>
        <s v="15-351480862011" u="1"/>
        <s v="05-662450362013" u="1"/>
        <s v="15-839044212011" u="1"/>
        <s v="05-444429142013" u="1"/>
        <s v="05-920715192013" u="1"/>
        <s v="05-964623282012" u="1"/>
        <s v="15-952197402012" u="1"/>
        <s v="15-960598912013" u="1"/>
        <s v="15-755427492011" u="1"/>
        <s v="05-794243722013" u="1"/>
        <s v="05-966416112013" u="1"/>
        <s v="15-351480862012" u="1"/>
        <s v="15-309783692012" u="1"/>
        <s v="05-152382652011" u="1"/>
        <s v="05-873996372011" u="1"/>
        <s v="15-839044212012" u="1"/>
        <s v="05-964623282013" u="1"/>
        <s v="15-952197402013" u="1"/>
        <s v="15-883143842011" u="1"/>
        <s v="05-307802372011" u="1"/>
        <s v="15-677160332011" u="1"/>
        <s v="15-755427492012" u="1"/>
        <s v="15-798689132011" u="1"/>
        <s v="05-308977992011" u="1"/>
        <s v="15-351480862013" u="1"/>
        <s v="06-100619322012" u="1"/>
        <s v="15-309783692013" u="1"/>
        <s v="05-152382652012" u="1"/>
        <s v="05-873996372012" u="1"/>
        <s v="05-826638632011" u="1"/>
        <s v="05-963899952012" u="1"/>
        <s v="16-109470642013" u="1"/>
        <s v="15-839044212013" u="1"/>
        <s v="15-537863452011" u="1"/>
        <s v="15-677160332012" u="1"/>
        <s v="15-798689132012" u="1"/>
        <s v="16-105160202012" u="1"/>
        <s v="05-308977992012" u="1"/>
        <s v="06-100619322013" u="1"/>
        <s v="05-873996372013" u="1"/>
        <s v="05-826638632012" u="1"/>
        <s v="05-963899952013" u="1"/>
        <s v="15-537863452012" u="1"/>
        <s v="06-102229532012" u="1"/>
        <s v="06-115998012013" u="1"/>
        <s v="15-875333262011" u="1"/>
        <s v="06-100361612012" u="1"/>
        <s v="15-798689132013" u="1"/>
        <s v="16-105160202013" u="1"/>
        <s v="05-308977992013" u="1"/>
        <s v="06-108970652013" u="1"/>
        <s v="05-614162132011" u="1"/>
        <s v="05-826638632013" u="1"/>
        <s v="06-110427452013" u="1"/>
        <s v="06-102229532013" u="1"/>
        <s v="15-868998122011" u="1"/>
        <s v="15-875333262012" u="1"/>
        <s v="05-898319552012" u="1"/>
        <s v="05-614162132012" u="1"/>
        <s v="05-306368422011" u="1"/>
        <s v="05-310459602012" u="1"/>
        <s v="05-210073162011" u="1"/>
        <s v="15-868998122012" u="1"/>
        <s v="15-825145332011" u="1"/>
        <s v="15-875333262013" u="1"/>
        <s v="16-103161562012" u="1"/>
        <s v="06-108464702013" u="1"/>
        <s v="16-102799252012" u="1"/>
        <s v="05-898319552013" u="1"/>
        <s v="05-950051622012" u="1"/>
        <s v="05-614162132013" u="1"/>
        <s v="05-306368422012" u="1"/>
        <s v="15-311291732013" u="1"/>
        <s v="05-228785662011" u="1"/>
        <s v="05-126875292011" u="1"/>
        <s v="05-310459602013" u="1"/>
        <s v="05-210073162012" u="1"/>
        <s v="15-868998122013" u="1"/>
        <s v="06-108463512013" u="1"/>
        <s v="15-825145332012" u="1"/>
        <s v="16-103161562013" u="1"/>
        <s v="05-310067502012" u="1"/>
        <s v="15-741043152011" u="1"/>
        <s v="16-102799252013" u="1"/>
        <s v="05-950051622013" u="1"/>
        <s v="05-306368422013" u="1"/>
        <s v="05-228785662012" u="1"/>
        <s v="05-126875292012" u="1"/>
        <s v="15-969819472012" u="1"/>
        <s v="05-210073162013" u="1"/>
        <s v="15-825145332013" u="1"/>
        <s v="05-310067502013" u="1"/>
        <s v="15-741043152012" u="1"/>
        <s v="16-103461592012" u="1"/>
        <s v="06-100827282012" u="1"/>
        <s v="05-228785662013" u="1"/>
        <s v="05-126875292013" u="1"/>
        <s v="15-969819472013" u="1"/>
        <s v="06-111998032013" u="1"/>
        <s v="06-112345422013" u="1"/>
        <s v="06-116460002013" u="1"/>
        <s v="16-103461592013" u="1"/>
        <s v="06-100827282013" u="1"/>
        <s v="06-100447992012" u="1"/>
        <s v="16-105247662012" u="1"/>
        <s v="15-755560142011" u="1"/>
        <s v="16-107936052013" u="1"/>
        <s v="05-609920732011" u="1"/>
        <s v="16-101937442012" u="1"/>
        <s v="16-105247662013" u="1"/>
        <s v="06-116956972013" u="1"/>
        <s v="15-972789492012" u="1"/>
        <s v="05-548491872011" u="1"/>
        <s v="05-430365582011" u="1"/>
        <s v="15-755560142012" u="1"/>
        <s v="15-305274082011" u="1"/>
        <s v="15-537159632011" u="1"/>
        <s v="15-801448752011" u="1"/>
        <s v="05-609920732012" u="1"/>
        <s v="16-101937442013" u="1"/>
        <s v="15-972789492013" u="1"/>
        <s v="05-548491872012" u="1"/>
        <s v="05-296591752011" u="1"/>
        <s v="15-308513342011" u="1"/>
        <s v="05-430365582012" u="1"/>
        <s v="05-436365162011" u="1"/>
        <s v="15-755560142013" u="1"/>
        <s v="15-305274082012" u="1"/>
        <s v="05-311306932013" u="1"/>
        <s v="15-801448752012" u="1"/>
        <s v="05-609920732013" u="1"/>
        <s v="05-909203942011" u="1"/>
        <s v="05-548491872013" u="1"/>
        <s v="05-296591752012" u="1"/>
        <s v="05-430365582013" u="1"/>
        <s v="15-308930682011" u="1"/>
        <s v="16-109182972013" u="1"/>
        <s v="05-436365162012" u="1"/>
        <s v="05-806071002011" u="1"/>
        <s v="05-882942252011" u="1"/>
        <s v="15-305274082013" u="1"/>
        <s v="05-968519172012" u="1"/>
        <s v="05-909203942012" u="1"/>
        <s v="05-296591752013" u="1"/>
        <s v="15-308930682012" u="1"/>
        <s v="05-806071002012" u="1"/>
        <s v="05-882942252012" u="1"/>
        <s v="06-118363482013" u="1"/>
        <s v="05-968519172013" u="1"/>
        <s v="15-308930682013" u="1"/>
        <s v="05-806071002013" u="1"/>
        <s v="06-116470102013" u="1"/>
        <s v="15-921152122012" u="1"/>
        <s v="05-882942252013" u="1"/>
        <s v="15-537283692011" u="1"/>
        <s v="05-440380272011" u="1"/>
        <s v="15-875370652011" u="1"/>
        <s v="06-101100652012" u="1"/>
        <s v="15-520011622011" u="1"/>
        <s v="15-921152122013" u="1"/>
        <s v="15-537283692012" u="1"/>
        <s v="05-440380272012" u="1"/>
        <s v="06-118181512013" u="1"/>
        <s v="05-285204542011" u="1"/>
        <s v="15-875370652012" u="1"/>
        <s v="06-101100652013" u="1"/>
        <s v="15-520011622012" u="1"/>
        <s v="15-883429692011" u="1"/>
        <s v="05-785401942011" u="1"/>
        <s v="15-537283692013" u="1"/>
        <s v="05-382073362011" u="1"/>
        <s v="05-440380272013" u="1"/>
        <s v="05-285204542012" u="1"/>
        <s v="05-486076702011" u="1"/>
        <s v="15-745664582011" u="1"/>
        <s v="15-875370652013" u="1"/>
        <s v="15-831770322011" u="1"/>
        <s v="15-520011622013" u="1"/>
        <s v="15-883429692012" u="1"/>
        <s v="15-811156432011" u="1"/>
        <s v="05-785401942012" u="1"/>
        <s v="05-310394602012" u="1"/>
        <s v="06-116157522013" u="1"/>
        <s v="05-382073362012" u="1"/>
        <s v="05-722757552011" u="1"/>
        <s v="15-929349542011" u="1"/>
        <s v="15-258404022011" u="1"/>
        <s v="15-537492522011" u="1"/>
        <s v="05-285204542013" u="1"/>
        <s v="16-101347472012" u="1"/>
        <s v="05-486076702012" u="1"/>
        <s v="16-109648102013" u="1"/>
        <s v="06-108192922013" u="1"/>
        <s v="15-350503562011" u="1"/>
        <s v="15-745664582012" u="1"/>
        <s v="15-831770322012" u="1"/>
        <s v="15-883429692013" u="1"/>
        <s v="15-811156432012" u="1"/>
        <s v="16-109558522013" u="1"/>
        <s v="05-785401942013" u="1"/>
        <s v="05-310394602013" u="1"/>
        <s v="05-382073362013" u="1"/>
        <s v="05-722757552012" u="1"/>
        <s v="05-942580952012" u="1"/>
        <s v="15-929349542012" u="1"/>
        <s v="15-258404022012" u="1"/>
        <s v="15-537492522012" u="1"/>
        <s v="15-359979702011" u="1"/>
        <s v="16-101347472013" u="1"/>
        <s v="15-350503562012" u="1"/>
        <s v="15-422102192011" u="1"/>
        <s v="15-831770322013" u="1"/>
        <s v="15-309993042012" u="1"/>
        <s v="15-779459802011" u="1"/>
        <s v="15-811156432013" u="1"/>
        <s v="06-112162142013" u="1"/>
        <s v="05-722757552013" u="1"/>
        <s v="05-942580952013" u="1"/>
        <s v="15-929349542013" u="1"/>
        <s v="05-776348302011" u="1"/>
        <s v="15-258404022013" u="1"/>
        <s v="05-270076552011" u="1"/>
        <s v="15-306808512011" u="1"/>
        <s v="15-537492522013" u="1"/>
        <s v="15-359979702012" u="1"/>
        <s v="15-883447742011" u="1"/>
        <s v="05-421730702011" u="1"/>
        <s v="15-422102192012" u="1"/>
        <s v="15-999038692012" u="1"/>
        <s v="06-102670042012" u="1"/>
        <s v="15-432013792011" u="1"/>
        <s v="15-963561302012" u="1"/>
        <s v="15-309993042013" u="1"/>
        <s v="06-118482512013" u="1"/>
        <s v="15-779459802012" u="1"/>
        <s v="05-295430982011" u="1"/>
        <s v="05-306994252011" u="1"/>
        <s v="05-730348212011" u="1"/>
        <s v="05-776348302012" u="1"/>
        <s v="15-303569142011" u="1"/>
        <s v="05-270076552012" u="1"/>
        <s v="15-306808512012" u="1"/>
        <s v="15-359979702013" u="1"/>
        <s v="15-883447742012" u="1"/>
        <s v="05-421730702012" u="1"/>
        <s v="06-100758982012" u="1"/>
        <s v="15-422102192013" u="1"/>
        <s v="05-455530842011" u="1"/>
        <s v="06-102670042013" u="1"/>
        <s v="15-963561302013" u="1"/>
        <s v="05-968149872012" u="1"/>
        <s v="15-779459802013" u="1"/>
        <s v="15-923861042012" u="1"/>
        <s v="05-295430982012" u="1"/>
        <s v="15-241469472011" u="1"/>
        <s v="15-916511972012" u="1"/>
        <s v="05-306994252012" u="1"/>
        <s v="05-730348212012" u="1"/>
        <s v="05-776348302013" u="1"/>
        <s v="05-964871762012" u="1"/>
        <s v="15-303569142012" u="1"/>
        <s v="05-270076552013" u="1"/>
        <s v="15-306808512013" u="1"/>
        <s v="06-106166442012" u="1"/>
        <s v="15-883447742013" u="1"/>
        <s v="05-421730702013" u="1"/>
        <s v="06-100758982013" u="1"/>
        <s v="15-308906182011" u="1"/>
        <s v="05-869002652011" u="1"/>
        <s v="05-455530842012" u="1"/>
        <s v="06-105204842012" u="1"/>
        <s v="05-968149872013" u="1"/>
        <s v="16-103159862012" u="1"/>
        <s v="15-923861042013" u="1"/>
        <s v="15-241469472012" u="1"/>
        <s v="15-916511972013" u="1"/>
        <s v="05-307940302011" u="1"/>
        <s v="06-107020752012" u="1"/>
        <s v="05-306994252013" u="1"/>
        <s v="05-730348212013" u="1"/>
        <s v="05-964871762013" u="1"/>
        <s v="16-101681662012" u="1"/>
        <s v="15-819267462011" u="1"/>
        <s v="06-106166442013" u="1"/>
        <s v="15-308906182012" u="1"/>
        <s v="05-869002652012" u="1"/>
        <s v="05-455530842013" u="1"/>
        <s v="15-425269472013" u="1"/>
        <s v="05-840563482011" u="1"/>
        <s v="06-105204842013" u="1"/>
        <s v="16-103159862013" u="1"/>
        <s v="15-241469472013" u="1"/>
        <s v="16-105183632012" u="1"/>
        <s v="05-307940302012" u="1"/>
        <s v="06-107020752013" u="1"/>
        <s v="16-101681662013" u="1"/>
        <s v="15-819267462012" u="1"/>
        <s v="06-116792932013" u="1"/>
        <s v="15-308906182013" u="1"/>
        <s v="05-869002652013" u="1"/>
        <s v="05-840563482012" u="1"/>
        <s v="15-303089622011" u="1"/>
        <s v="15-964901932012" u="1"/>
        <s v="06-115411612013" u="1"/>
        <s v="15-891163762011" u="1"/>
        <s v="16-105183632013" u="1"/>
        <s v="05-307940302013" u="1"/>
        <s v="15-819267462013" u="1"/>
        <s v="15-137988232011" u="1"/>
        <s v="05-840563482013" u="1"/>
        <s v="15-303089622012" u="1"/>
        <s v="06-116964142013" u="1"/>
        <s v="15-719668352011" u="1"/>
        <s v="15-969781762012" u="1"/>
        <s v="15-871538362011" u="1"/>
        <s v="15-964901932013" u="1"/>
        <s v="15-891163762012" u="1"/>
        <s v="15-137988232012" u="1"/>
        <s v="16-109493852013" u="1"/>
        <s v="05-305531292011" u="1"/>
        <s v="15-303089622013" u="1"/>
        <s v="15-719668352012" u="1"/>
        <s v="15-871538362012" u="1"/>
        <s v="15-891163762013" u="1"/>
        <s v="05-307816122011" u="1"/>
        <s v="15-137988232013" u="1"/>
        <s v="05-305531292012" u="1"/>
        <s v="05-972049832012" u="1"/>
        <s v="06-106383432013" u="1"/>
        <s v="15-719668352013" u="1"/>
        <s v="15-871538362013" u="1"/>
        <s v="15-302424592011" u="1"/>
        <s v="06-108166152013" u="1"/>
        <s v="05-302897502011" u="1"/>
        <s v="05-610391392011" u="1"/>
        <s v="05-850048492011" u="1"/>
        <s v="05-307816122012" u="1"/>
        <s v="06-116074362013" u="1"/>
        <s v="15-777191502011" u="1"/>
        <s v="05-305531292013" u="1"/>
        <s v="05-972049832013" u="1"/>
        <s v="15-302424592012" u="1"/>
        <s v="05-302897502012" u="1"/>
        <s v="05-610391392012" u="1"/>
        <s v="05-964762282012" u="1"/>
        <s v="05-850048492012" u="1"/>
        <s v="05-307816122013" u="1"/>
        <s v="06-118265072013" u="1"/>
        <s v="15-777191502012" u="1"/>
        <s v="15-308440172011" u="1"/>
        <s v="15-799059512011" u="1"/>
        <s v="05-421432602011" u="1"/>
        <s v="05-862158642011" u="1"/>
        <s v="15-791965882011" u="1"/>
        <s v="15-799374572011" u="1"/>
        <s v="05-302897502013" u="1"/>
        <s v="05-610391392013" u="1"/>
        <s v="05-964762282013" u="1"/>
        <s v="05-850048492013" u="1"/>
        <s v="15-777191502013" u="1"/>
        <s v="15-308440172012" u="1"/>
        <s v="15-799059512012" u="1"/>
        <s v="05-421432602012" u="1"/>
        <s v="05-927420642012" u="1"/>
        <s v="05-774491772011" u="1"/>
        <s v="05-808377322012" u="1"/>
        <s v="15-361075092011" u="1"/>
        <s v="15-791965882012" u="1"/>
        <s v="15-799374572012" u="1"/>
        <s v="05-666082192011" u="1"/>
        <s v="16-103474372012" u="1"/>
        <s v="06-106386992012" u="1"/>
        <s v="05-882348322011" u="1"/>
        <s v="05-906677762012" u="1"/>
        <s v="16-103257052012" u="1"/>
        <s v="15-308440172013" u="1"/>
        <s v="15-799059512013" u="1"/>
        <s v="05-421432602013" u="1"/>
        <s v="05-927420642013" u="1"/>
        <s v="05-774491772012" u="1"/>
        <s v="15-731390242011" u="1"/>
        <s v="05-808377322013" u="1"/>
        <s v="15-361075092012" u="1"/>
        <s v="15-791965882013" u="1"/>
        <s v="15-799374572013" u="1"/>
        <s v="05-666082192012" u="1"/>
        <s v="16-103474372013" u="1"/>
        <s v="06-106386992013" u="1"/>
        <s v="15-897272372011" u="1"/>
        <s v="05-882348322012" u="1"/>
        <s v="05-906677762013" u="1"/>
        <s v="16-103257052013" u="1"/>
        <s v="06-116669612013" u="1"/>
        <s v="05-774491772013" u="1"/>
        <s v="15-731390242012" u="1"/>
        <s v="15-361075092013" u="1"/>
        <s v="05-317326482011" u="1"/>
        <s v="05-537209622011" u="1"/>
        <s v="05-666082192013" u="1"/>
        <s v="05-882348322013" u="1"/>
        <s v="05-788869992011" u="1"/>
        <s v="15-731390242013" u="1"/>
        <s v="05-317326482012" u="1"/>
        <s v="16-109675162013" u="1"/>
        <s v="04-951626632011" u="1"/>
        <s v="05-305760872011" u="1"/>
        <s v="05-537209622012" u="1"/>
        <s v="15-825092472011" u="1"/>
        <s v="05-870554092011" u="1"/>
        <s v="05-691910572011" u="1"/>
        <s v="06-110680192013" u="1"/>
        <s v="06-100786912012" u="1"/>
        <s v="05-874165102011" u="1"/>
        <s v="05-750084792011" u="1"/>
        <s v="05-317326482013" u="1"/>
        <s v="04-951626632012" u="1"/>
        <s v="05-117143182011" u="1"/>
        <s v="16-105066092012" u="1"/>
        <s v="05-305760872012" u="1"/>
        <s v="05-537209622013" u="1"/>
        <s v="05-946585982011" u="1"/>
        <s v="15-421586272011" u="1"/>
        <s v="15-825092472012" u="1"/>
        <s v="05-870554092012" u="1"/>
        <s v="05-691910572012" u="1"/>
        <s v="16-111756082013" u="1"/>
        <s v="06-100786912013" u="1"/>
        <s v="05-874165102012" u="1"/>
        <s v="05-750084792012" u="1"/>
        <s v="05-309828422012" u="1"/>
        <s v="04-951626632013" u="1"/>
        <s v="05-117143182012" u="1"/>
        <s v="16-105066092013" u="1"/>
        <s v="05-305760872013" u="1"/>
        <s v="05-946585982012" u="1"/>
        <s v="15-774606922011" u="1"/>
        <s v="15-421586272012" u="1"/>
        <s v="15-825092472013" u="1"/>
        <s v="15-893163032011" u="1"/>
        <s v="05-870554092013" u="1"/>
        <s v="16-103786992012" u="1"/>
        <s v="05-691910572013" u="1"/>
        <s v="05-537526732011" u="1"/>
        <s v="05-750084792013" u="1"/>
        <s v="06-100169652012" u="1"/>
        <s v="06-103130772012" u="1"/>
        <s v="05-874669802011" u="1"/>
        <s v="05-421708462011" u="1"/>
        <s v="05-309828422013" u="1"/>
        <s v="05-117143182013" u="1"/>
        <s v="05-946585982013" u="1"/>
        <s v="15-774606922012" u="1"/>
        <s v="05-302489282011" u="1"/>
        <s v="15-306034292011" u="1"/>
        <s v="15-421586272013" u="1"/>
        <s v="15-893163032012" u="1"/>
        <s v="16-103786992013" u="1"/>
        <s v="06-110090122013" u="1"/>
        <s v="15-926622712012" u="1"/>
        <s v="15-590330812011" u="1"/>
        <s v="06-100169652013" u="1"/>
        <s v="06-103130772013" u="1"/>
        <s v="05-874669802012" u="1"/>
        <s v="05-421708462012" u="1"/>
        <s v="15-774606922013" u="1"/>
        <s v="05-302489282012" u="1"/>
        <s v="15-306034292012" u="1"/>
        <s v="15-893163032013" u="1"/>
        <s v="15-912205512012" u="1"/>
        <s v="06-105931872012" u="1"/>
        <s v="15-926622712013" u="1"/>
        <s v="15-5903308120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54">
  <r>
    <s v="05-158731812012"/>
    <x v="0"/>
    <x v="0"/>
    <n v="2012"/>
    <s v="Visa"/>
    <n v="8115.8"/>
    <n v="69"/>
    <x v="0"/>
  </r>
  <r>
    <s v="05-158731812011"/>
    <x v="0"/>
    <x v="0"/>
    <n v="2011"/>
    <s v="eCheck"/>
    <n v="8127121.6699999999"/>
    <n v="9500"/>
    <x v="1"/>
  </r>
  <r>
    <s v="05-158731812012"/>
    <x v="0"/>
    <x v="0"/>
    <n v="2012"/>
    <s v="Master Card"/>
    <n v="5869.84"/>
    <n v="34"/>
    <x v="1"/>
  </r>
  <r>
    <s v="05-158731812011"/>
    <x v="0"/>
    <x v="0"/>
    <n v="2011"/>
    <s v="Star"/>
    <n v="5862.87"/>
    <n v="13"/>
    <x v="1"/>
  </r>
  <r>
    <s v="05-158731812011"/>
    <x v="0"/>
    <x v="0"/>
    <n v="2011"/>
    <s v="Master Card"/>
    <n v="205521.18"/>
    <n v="252"/>
    <x v="1"/>
  </r>
  <r>
    <s v="05-158731812011"/>
    <x v="0"/>
    <x v="0"/>
    <n v="2011"/>
    <s v="Visa"/>
    <n v="561199.77"/>
    <n v="748"/>
    <x v="1"/>
  </r>
  <r>
    <s v="05-158731812012"/>
    <x v="0"/>
    <x v="0"/>
    <n v="2012"/>
    <s v="eCheck"/>
    <n v="2495823.11"/>
    <n v="3213"/>
    <x v="1"/>
  </r>
  <r>
    <s v="05-158731812012"/>
    <x v="0"/>
    <x v="0"/>
    <n v="2012"/>
    <s v="Discover"/>
    <n v="312.5"/>
    <n v="4"/>
    <x v="1"/>
  </r>
  <r>
    <s v="05-158731812012"/>
    <x v="0"/>
    <x v="0"/>
    <n v="2012"/>
    <s v="NYCE"/>
    <n v="300"/>
    <n v="3"/>
    <x v="1"/>
  </r>
  <r>
    <s v="05-158731812011"/>
    <x v="0"/>
    <x v="0"/>
    <n v="2011"/>
    <s v="Pulse"/>
    <n v="3870.29"/>
    <n v="5"/>
    <x v="1"/>
  </r>
  <r>
    <s v="05-158731812013"/>
    <x v="0"/>
    <x v="0"/>
    <n v="2013"/>
    <s v="eCheck"/>
    <n v="887723.57"/>
    <n v="953"/>
    <x v="1"/>
  </r>
  <r>
    <s v="05-158731812011"/>
    <x v="0"/>
    <x v="0"/>
    <n v="2011"/>
    <s v="Discover"/>
    <n v="13187.23"/>
    <n v="27"/>
    <x v="1"/>
  </r>
  <r>
    <s v="05-158731812011"/>
    <x v="0"/>
    <x v="0"/>
    <n v="2011"/>
    <s v="NYCE"/>
    <n v="2426.9"/>
    <n v="3"/>
    <x v="1"/>
  </r>
  <r>
    <s v="05-158731812012"/>
    <x v="0"/>
    <x v="0"/>
    <n v="2012"/>
    <s v="Pulse"/>
    <n v="1390"/>
    <n v="5"/>
    <x v="1"/>
  </r>
  <r>
    <s v="05-158731812012"/>
    <x v="0"/>
    <x v="0"/>
    <n v="2012"/>
    <s v="Star"/>
    <n v="500"/>
    <n v="3"/>
    <x v="1"/>
  </r>
  <r>
    <s v="05-158731812012"/>
    <x v="0"/>
    <x v="0"/>
    <n v="2012"/>
    <s v="Debit"/>
    <n v="14829.61"/>
    <n v="84"/>
    <x v="1"/>
  </r>
  <r>
    <s v="05-270076552012"/>
    <x v="1"/>
    <x v="1"/>
    <n v="2012"/>
    <s v="Master Card"/>
    <n v="230184.01"/>
    <n v="366"/>
    <x v="0"/>
  </r>
  <r>
    <s v="05-270076552013"/>
    <x v="1"/>
    <x v="1"/>
    <n v="2013"/>
    <s v="Discover"/>
    <n v="40668.269999999997"/>
    <n v="68"/>
    <x v="1"/>
  </r>
  <r>
    <s v="05-270076552012"/>
    <x v="1"/>
    <x v="1"/>
    <n v="2012"/>
    <s v="Star"/>
    <n v="15782.78"/>
    <n v="38"/>
    <x v="1"/>
  </r>
  <r>
    <s v="05-270076552013"/>
    <x v="1"/>
    <x v="1"/>
    <n v="2013"/>
    <s v="eCheck"/>
    <n v="9835155.1999999993"/>
    <n v="12197"/>
    <x v="1"/>
  </r>
  <r>
    <s v="05-270076552012"/>
    <x v="1"/>
    <x v="1"/>
    <n v="2012"/>
    <s v="Debit"/>
    <n v="453000.56"/>
    <n v="955"/>
    <x v="1"/>
  </r>
  <r>
    <s v="05-270076552012"/>
    <x v="1"/>
    <x v="1"/>
    <n v="2012"/>
    <s v="Visa"/>
    <n v="446234.74"/>
    <n v="783"/>
    <x v="1"/>
  </r>
  <r>
    <s v="05-270076552011"/>
    <x v="1"/>
    <x v="1"/>
    <n v="2011"/>
    <s v="Master Card"/>
    <n v="155409.47"/>
    <n v="254"/>
    <x v="1"/>
  </r>
  <r>
    <s v="05-270076552012"/>
    <x v="1"/>
    <x v="1"/>
    <n v="2012"/>
    <s v="Pulse"/>
    <n v="27175.67"/>
    <n v="77"/>
    <x v="1"/>
  </r>
  <r>
    <s v="05-270076552011"/>
    <x v="1"/>
    <x v="1"/>
    <n v="2011"/>
    <s v="Star"/>
    <n v="21698.43"/>
    <n v="59"/>
    <x v="1"/>
  </r>
  <r>
    <s v="05-270076552011"/>
    <x v="1"/>
    <x v="1"/>
    <n v="2011"/>
    <s v="Visa"/>
    <n v="357556.85"/>
    <n v="865"/>
    <x v="1"/>
  </r>
  <r>
    <s v="05-270076552011"/>
    <x v="1"/>
    <x v="1"/>
    <n v="2011"/>
    <s v="eCheck"/>
    <n v="7696192.1799999997"/>
    <n v="11353"/>
    <x v="1"/>
  </r>
  <r>
    <s v="05-270076552013"/>
    <x v="1"/>
    <x v="1"/>
    <n v="2013"/>
    <s v="Debit"/>
    <n v="969295.75"/>
    <n v="1602"/>
    <x v="1"/>
  </r>
  <r>
    <s v="05-270076552012"/>
    <x v="1"/>
    <x v="1"/>
    <n v="2012"/>
    <s v="NYCE"/>
    <n v="4874"/>
    <n v="15"/>
    <x v="1"/>
  </r>
  <r>
    <s v="05-270076552012"/>
    <x v="1"/>
    <x v="1"/>
    <n v="2012"/>
    <s v="Discover"/>
    <n v="31846.36"/>
    <n v="46"/>
    <x v="1"/>
  </r>
  <r>
    <s v="05-270076552011"/>
    <x v="1"/>
    <x v="1"/>
    <n v="2011"/>
    <s v="Discover"/>
    <n v="21069.79"/>
    <n v="34"/>
    <x v="1"/>
  </r>
  <r>
    <s v="05-270076552011"/>
    <x v="1"/>
    <x v="1"/>
    <n v="2011"/>
    <s v="Pulse"/>
    <n v="30193.91"/>
    <n v="60"/>
    <x v="1"/>
  </r>
  <r>
    <s v="05-270076552011"/>
    <x v="1"/>
    <x v="1"/>
    <n v="2011"/>
    <s v="NYCE"/>
    <n v="4511.74"/>
    <n v="9"/>
    <x v="1"/>
  </r>
  <r>
    <s v="05-270076552013"/>
    <x v="1"/>
    <x v="1"/>
    <n v="2013"/>
    <s v="Master Card"/>
    <n v="351650.26"/>
    <n v="477"/>
    <x v="1"/>
  </r>
  <r>
    <s v="05-270076552012"/>
    <x v="1"/>
    <x v="1"/>
    <n v="2012"/>
    <s v="eCheck"/>
    <n v="10920840.33"/>
    <n v="14512"/>
    <x v="1"/>
  </r>
  <r>
    <s v="05-270076552013"/>
    <x v="1"/>
    <x v="1"/>
    <n v="2013"/>
    <s v="Visa"/>
    <n v="655228.19999999995"/>
    <n v="921"/>
    <x v="1"/>
  </r>
  <r>
    <s v="05-270076552011"/>
    <x v="1"/>
    <x v="1"/>
    <n v="2011"/>
    <s v="Debit"/>
    <n v="2389.7399999999998"/>
    <n v="6"/>
    <x v="1"/>
  </r>
  <r>
    <s v="05-302448582013"/>
    <x v="2"/>
    <x v="2"/>
    <n v="2013"/>
    <s v="Debit"/>
    <n v="104565.04"/>
    <n v="107"/>
    <x v="0"/>
  </r>
  <r>
    <s v="05-302448582011"/>
    <x v="2"/>
    <x v="2"/>
    <n v="2011"/>
    <s v="Master Card"/>
    <n v="179467.1"/>
    <n v="188"/>
    <x v="1"/>
  </r>
  <r>
    <s v="05-302448582012"/>
    <x v="2"/>
    <x v="2"/>
    <n v="2012"/>
    <s v="Visa"/>
    <n v="464079.43"/>
    <n v="439"/>
    <x v="1"/>
  </r>
  <r>
    <s v="05-302448582013"/>
    <x v="2"/>
    <x v="2"/>
    <n v="2013"/>
    <s v="Discover"/>
    <n v="18709.009999999998"/>
    <n v="26"/>
    <x v="1"/>
  </r>
  <r>
    <s v="05-302448582011"/>
    <x v="2"/>
    <x v="2"/>
    <n v="2011"/>
    <s v="eCheck"/>
    <n v="10480.299999999999"/>
    <n v="8"/>
    <x v="1"/>
  </r>
  <r>
    <s v="05-302448582013"/>
    <x v="2"/>
    <x v="2"/>
    <n v="2013"/>
    <s v="Visa"/>
    <n v="436161.88"/>
    <n v="438"/>
    <x v="1"/>
  </r>
  <r>
    <s v="05-302448582012"/>
    <x v="2"/>
    <x v="2"/>
    <n v="2012"/>
    <s v="Master Card"/>
    <n v="161469.69"/>
    <n v="156"/>
    <x v="1"/>
  </r>
  <r>
    <s v="05-302448582012"/>
    <x v="2"/>
    <x v="2"/>
    <n v="2012"/>
    <s v="Debit"/>
    <n v="71254.48"/>
    <n v="93"/>
    <x v="1"/>
  </r>
  <r>
    <s v="05-302448582011"/>
    <x v="2"/>
    <x v="2"/>
    <n v="2011"/>
    <s v="Debit"/>
    <n v="759.36"/>
    <n v="1"/>
    <x v="1"/>
  </r>
  <r>
    <s v="05-302448582011"/>
    <x v="2"/>
    <x v="2"/>
    <n v="2011"/>
    <s v="Discover"/>
    <n v="22238.47"/>
    <n v="24"/>
    <x v="1"/>
  </r>
  <r>
    <s v="05-302448582013"/>
    <x v="2"/>
    <x v="2"/>
    <n v="2013"/>
    <s v="eCheck"/>
    <n v="13836.83"/>
    <n v="15"/>
    <x v="1"/>
  </r>
  <r>
    <s v="05-302448582013"/>
    <x v="2"/>
    <x v="2"/>
    <n v="2013"/>
    <s v="Master Card"/>
    <n v="150977.96"/>
    <n v="146"/>
    <x v="1"/>
  </r>
  <r>
    <s v="05-302448582011"/>
    <x v="2"/>
    <x v="2"/>
    <n v="2011"/>
    <s v="Visa"/>
    <n v="544076.38"/>
    <n v="534"/>
    <x v="1"/>
  </r>
  <r>
    <s v="05-302448582012"/>
    <x v="2"/>
    <x v="2"/>
    <n v="2012"/>
    <s v="eCheck"/>
    <n v="21811.54"/>
    <n v="14"/>
    <x v="1"/>
  </r>
  <r>
    <s v="05-302448582012"/>
    <x v="2"/>
    <x v="2"/>
    <n v="2012"/>
    <s v="Discover"/>
    <n v="21879.62"/>
    <n v="17"/>
    <x v="1"/>
  </r>
  <r>
    <s v="05-302489282011"/>
    <x v="3"/>
    <x v="3"/>
    <n v="2011"/>
    <s v="Debit"/>
    <n v="2043.86"/>
    <n v="4"/>
    <x v="0"/>
  </r>
  <r>
    <s v="05-302489282012"/>
    <x v="3"/>
    <x v="3"/>
    <n v="2012"/>
    <s v="Visa"/>
    <n v="923183.28"/>
    <n v="1875"/>
    <x v="1"/>
  </r>
  <r>
    <s v="05-302489282011"/>
    <x v="3"/>
    <x v="3"/>
    <n v="2011"/>
    <s v="Master Card"/>
    <n v="600776.17000000004"/>
    <n v="1376"/>
    <x v="1"/>
  </r>
  <r>
    <s v="05-302489282011"/>
    <x v="3"/>
    <x v="3"/>
    <n v="2011"/>
    <s v="American Express"/>
    <n v="206146.24"/>
    <n v="473"/>
    <x v="1"/>
  </r>
  <r>
    <s v="05-302489282013"/>
    <x v="3"/>
    <x v="3"/>
    <n v="2013"/>
    <s v="American Express"/>
    <n v="303512.78000000003"/>
    <n v="515"/>
    <x v="1"/>
  </r>
  <r>
    <s v="05-302489282012"/>
    <x v="3"/>
    <x v="3"/>
    <n v="2012"/>
    <s v="Master Card"/>
    <n v="585475.59"/>
    <n v="1180"/>
    <x v="1"/>
  </r>
  <r>
    <s v="05-302489282013"/>
    <x v="3"/>
    <x v="3"/>
    <n v="2013"/>
    <s v="Debit"/>
    <n v="498833.82"/>
    <n v="942"/>
    <x v="1"/>
  </r>
  <r>
    <s v="05-302489282012"/>
    <x v="3"/>
    <x v="3"/>
    <n v="2012"/>
    <s v="American Express"/>
    <n v="278234.17"/>
    <n v="579"/>
    <x v="1"/>
  </r>
  <r>
    <s v="05-302489282013"/>
    <x v="3"/>
    <x v="3"/>
    <n v="2013"/>
    <s v="Visa"/>
    <n v="968789.31"/>
    <n v="1627"/>
    <x v="1"/>
  </r>
  <r>
    <s v="05-302489282012"/>
    <x v="3"/>
    <x v="3"/>
    <n v="2012"/>
    <s v="Debit"/>
    <n v="443226.96"/>
    <n v="1020"/>
    <x v="1"/>
  </r>
  <r>
    <s v="05-302489282013"/>
    <x v="3"/>
    <x v="3"/>
    <n v="2013"/>
    <s v="Master Card"/>
    <n v="502139.65"/>
    <n v="811"/>
    <x v="1"/>
  </r>
  <r>
    <s v="05-302489282011"/>
    <x v="3"/>
    <x v="3"/>
    <n v="2011"/>
    <s v="Visa"/>
    <n v="979680.76"/>
    <n v="2391"/>
    <x v="1"/>
  </r>
  <r>
    <s v="05-302873652013"/>
    <x v="4"/>
    <x v="4"/>
    <n v="2013"/>
    <s v="Debit"/>
    <n v="196504.7"/>
    <n v="238"/>
    <x v="0"/>
  </r>
  <r>
    <s v="05-302873652011"/>
    <x v="4"/>
    <x v="4"/>
    <n v="2011"/>
    <s v="Discover"/>
    <n v="81168.44"/>
    <n v="93"/>
    <x v="1"/>
  </r>
  <r>
    <s v="05-302873652013"/>
    <x v="4"/>
    <x v="4"/>
    <n v="2013"/>
    <s v="Visa"/>
    <n v="2122673.4900000002"/>
    <n v="2127"/>
    <x v="1"/>
  </r>
  <r>
    <s v="05-302873652012"/>
    <x v="4"/>
    <x v="4"/>
    <n v="2012"/>
    <s v="Debit"/>
    <n v="131178.13"/>
    <n v="166"/>
    <x v="1"/>
  </r>
  <r>
    <s v="05-302873652013"/>
    <x v="4"/>
    <x v="4"/>
    <n v="2013"/>
    <s v="Master Card"/>
    <n v="734359.11"/>
    <n v="734"/>
    <x v="1"/>
  </r>
  <r>
    <s v="05-302873652012"/>
    <x v="4"/>
    <x v="4"/>
    <n v="2012"/>
    <s v="Discover"/>
    <n v="104919.95"/>
    <n v="123"/>
    <x v="1"/>
  </r>
  <r>
    <s v="05-302873652011"/>
    <x v="4"/>
    <x v="4"/>
    <n v="2011"/>
    <s v="Master Card"/>
    <n v="744894.53"/>
    <n v="782"/>
    <x v="1"/>
  </r>
  <r>
    <s v="05-302873652011"/>
    <x v="4"/>
    <x v="4"/>
    <n v="2011"/>
    <s v="Visa"/>
    <n v="2234726.5099999998"/>
    <n v="2187"/>
    <x v="1"/>
  </r>
  <r>
    <s v="05-302873652012"/>
    <x v="4"/>
    <x v="4"/>
    <n v="2012"/>
    <s v="Master Card"/>
    <n v="790790.89"/>
    <n v="772"/>
    <x v="1"/>
  </r>
  <r>
    <s v="05-302873652013"/>
    <x v="4"/>
    <x v="4"/>
    <n v="2013"/>
    <s v="Discover"/>
    <n v="70593.25"/>
    <n v="85"/>
    <x v="1"/>
  </r>
  <r>
    <s v="05-302873652011"/>
    <x v="4"/>
    <x v="4"/>
    <n v="2011"/>
    <s v="Debit"/>
    <n v="757.5"/>
    <n v="1"/>
    <x v="1"/>
  </r>
  <r>
    <s v="05-302873652012"/>
    <x v="4"/>
    <x v="4"/>
    <n v="2012"/>
    <s v="Visa"/>
    <n v="2107287.9500000002"/>
    <n v="2048"/>
    <x v="1"/>
  </r>
  <r>
    <s v="05-303193302012"/>
    <x v="5"/>
    <x v="5"/>
    <n v="2012"/>
    <s v="Debit"/>
    <n v="295177.42"/>
    <n v="264"/>
    <x v="0"/>
  </r>
  <r>
    <s v="05-303193302012"/>
    <x v="5"/>
    <x v="5"/>
    <n v="2012"/>
    <s v="American Express"/>
    <n v="51949.59"/>
    <n v="50"/>
    <x v="1"/>
  </r>
  <r>
    <s v="05-303193302013"/>
    <x v="5"/>
    <x v="5"/>
    <n v="2013"/>
    <s v="Master Card"/>
    <n v="525895.24"/>
    <n v="441"/>
    <x v="1"/>
  </r>
  <r>
    <s v="05-303193302013"/>
    <x v="5"/>
    <x v="5"/>
    <n v="2013"/>
    <s v="Visa"/>
    <n v="1490156.9"/>
    <n v="1152"/>
    <x v="1"/>
  </r>
  <r>
    <s v="05-303193302011"/>
    <x v="5"/>
    <x v="5"/>
    <n v="2011"/>
    <s v="Visa"/>
    <n v="1864609.89"/>
    <n v="1425"/>
    <x v="1"/>
  </r>
  <r>
    <s v="05-303193302012"/>
    <x v="5"/>
    <x v="5"/>
    <n v="2012"/>
    <s v="Discover"/>
    <n v="89282.39"/>
    <n v="69"/>
    <x v="1"/>
  </r>
  <r>
    <s v="05-303193302011"/>
    <x v="5"/>
    <x v="5"/>
    <n v="2011"/>
    <s v="Master Card"/>
    <n v="728967.14"/>
    <n v="609"/>
    <x v="1"/>
  </r>
  <r>
    <s v="05-303193302013"/>
    <x v="5"/>
    <x v="5"/>
    <n v="2013"/>
    <s v="Discover"/>
    <n v="67619.77"/>
    <n v="57"/>
    <x v="1"/>
  </r>
  <r>
    <s v="05-303193302011"/>
    <x v="5"/>
    <x v="5"/>
    <n v="2011"/>
    <s v="American Express"/>
    <n v="33861.4"/>
    <n v="23"/>
    <x v="1"/>
  </r>
  <r>
    <s v="05-303193302011"/>
    <x v="5"/>
    <x v="5"/>
    <n v="2011"/>
    <s v="Debit"/>
    <n v="1575.99"/>
    <n v="1"/>
    <x v="1"/>
  </r>
  <r>
    <s v="05-303193302012"/>
    <x v="5"/>
    <x v="5"/>
    <n v="2012"/>
    <s v="Visa"/>
    <n v="1747078.5"/>
    <n v="1357"/>
    <x v="1"/>
  </r>
  <r>
    <s v="05-303193302012"/>
    <x v="5"/>
    <x v="5"/>
    <n v="2012"/>
    <s v="Master Card"/>
    <n v="803507.96"/>
    <n v="638"/>
    <x v="1"/>
  </r>
  <r>
    <s v="05-303193302013"/>
    <x v="5"/>
    <x v="5"/>
    <n v="2013"/>
    <s v="American Express"/>
    <n v="362840.7"/>
    <n v="296"/>
    <x v="1"/>
  </r>
  <r>
    <s v="05-303193302011"/>
    <x v="5"/>
    <x v="5"/>
    <n v="2011"/>
    <s v="Discover"/>
    <n v="68441.53"/>
    <n v="59"/>
    <x v="1"/>
  </r>
  <r>
    <s v="05-303193302013"/>
    <x v="5"/>
    <x v="5"/>
    <n v="2013"/>
    <s v="Debit"/>
    <n v="234021.32"/>
    <n v="261"/>
    <x v="1"/>
  </r>
  <r>
    <s v="05-303229412012"/>
    <x v="6"/>
    <x v="6"/>
    <n v="2012"/>
    <s v="Debit"/>
    <n v="177707.57"/>
    <n v="410"/>
    <x v="0"/>
  </r>
  <r>
    <s v="05-303229412011"/>
    <x v="6"/>
    <x v="6"/>
    <n v="2011"/>
    <s v="Master Card"/>
    <n v="120496.32000000001"/>
    <n v="225"/>
    <x v="1"/>
  </r>
  <r>
    <s v="05-303229412011"/>
    <x v="6"/>
    <x v="6"/>
    <n v="2011"/>
    <s v="Visa"/>
    <n v="453108.59"/>
    <n v="894"/>
    <x v="1"/>
  </r>
  <r>
    <s v="05-303229412012"/>
    <x v="6"/>
    <x v="6"/>
    <n v="2012"/>
    <s v="Master Card"/>
    <n v="121134.91"/>
    <n v="236"/>
    <x v="1"/>
  </r>
  <r>
    <s v="05-303229412012"/>
    <x v="6"/>
    <x v="6"/>
    <n v="2012"/>
    <s v="Visa"/>
    <n v="292626.09000000003"/>
    <n v="583"/>
    <x v="1"/>
  </r>
  <r>
    <s v="05-303229412013"/>
    <x v="6"/>
    <x v="6"/>
    <n v="2013"/>
    <s v="eCheck"/>
    <n v="6915"/>
    <n v="4"/>
    <x v="1"/>
  </r>
  <r>
    <s v="05-303229412013"/>
    <x v="6"/>
    <x v="6"/>
    <n v="2013"/>
    <s v="Visa"/>
    <n v="302554.71000000002"/>
    <n v="553"/>
    <x v="1"/>
  </r>
  <r>
    <s v="05-303229412013"/>
    <x v="6"/>
    <x v="6"/>
    <n v="2013"/>
    <s v="Master Card"/>
    <n v="140256.24"/>
    <n v="254"/>
    <x v="1"/>
  </r>
  <r>
    <s v="05-303229412013"/>
    <x v="6"/>
    <x v="6"/>
    <n v="2013"/>
    <s v="Debit"/>
    <n v="205881.35"/>
    <n v="401"/>
    <x v="1"/>
  </r>
  <r>
    <s v="05-303889302012"/>
    <x v="7"/>
    <x v="7"/>
    <n v="2012"/>
    <s v="Discover"/>
    <n v="101624.32000000001"/>
    <n v="199"/>
    <x v="0"/>
  </r>
  <r>
    <s v="05-303889302011"/>
    <x v="7"/>
    <x v="7"/>
    <n v="2011"/>
    <s v="Master Card"/>
    <n v="613230.68999999994"/>
    <n v="1525"/>
    <x v="1"/>
  </r>
  <r>
    <s v="05-303889302011"/>
    <x v="7"/>
    <x v="7"/>
    <n v="2011"/>
    <s v="Visa"/>
    <n v="1243108.76"/>
    <n v="3088"/>
    <x v="1"/>
  </r>
  <r>
    <s v="05-303889302012"/>
    <x v="7"/>
    <x v="7"/>
    <n v="2012"/>
    <s v="American Express"/>
    <n v="249435.48"/>
    <n v="454"/>
    <x v="1"/>
  </r>
  <r>
    <s v="05-303889302012"/>
    <x v="7"/>
    <x v="7"/>
    <n v="2012"/>
    <s v="Debit"/>
    <n v="391503.58"/>
    <n v="929"/>
    <x v="1"/>
  </r>
  <r>
    <s v="05-303889302012"/>
    <x v="7"/>
    <x v="7"/>
    <n v="2012"/>
    <s v="Master Card"/>
    <n v="461808.21"/>
    <n v="927"/>
    <x v="1"/>
  </r>
  <r>
    <s v="05-303889302012"/>
    <x v="7"/>
    <x v="7"/>
    <n v="2012"/>
    <s v="Visa"/>
    <n v="723651.48"/>
    <n v="1469"/>
    <x v="1"/>
  </r>
  <r>
    <s v="05-303889302011"/>
    <x v="7"/>
    <x v="7"/>
    <n v="2011"/>
    <s v="Debit"/>
    <n v="1947.86"/>
    <n v="6"/>
    <x v="1"/>
  </r>
  <r>
    <s v="05-303889302011"/>
    <x v="7"/>
    <x v="7"/>
    <n v="2011"/>
    <s v="American Express"/>
    <n v="328278.65000000002"/>
    <n v="704"/>
    <x v="1"/>
  </r>
  <r>
    <s v="05-303889302011"/>
    <x v="7"/>
    <x v="7"/>
    <n v="2011"/>
    <s v="Discover"/>
    <n v="176867.29"/>
    <n v="373"/>
    <x v="1"/>
  </r>
  <r>
    <s v="05-305479752013"/>
    <x v="8"/>
    <x v="8"/>
    <n v="2013"/>
    <s v="Debit"/>
    <n v="190038.83"/>
    <n v="844"/>
    <x v="0"/>
  </r>
  <r>
    <s v="05-305479752011"/>
    <x v="8"/>
    <x v="8"/>
    <n v="2011"/>
    <s v="Visa"/>
    <n v="387772.99"/>
    <n v="1725"/>
    <x v="1"/>
  </r>
  <r>
    <s v="05-305479752013"/>
    <x v="8"/>
    <x v="8"/>
    <n v="2013"/>
    <s v="American Express"/>
    <n v="68396.44"/>
    <n v="236"/>
    <x v="1"/>
  </r>
  <r>
    <s v="05-305479752011"/>
    <x v="8"/>
    <x v="8"/>
    <n v="2011"/>
    <s v="Master Card"/>
    <n v="201469.51"/>
    <n v="864"/>
    <x v="1"/>
  </r>
  <r>
    <s v="05-305479752013"/>
    <x v="8"/>
    <x v="8"/>
    <n v="2013"/>
    <s v="Discover"/>
    <n v="40459.360000000001"/>
    <n v="169"/>
    <x v="1"/>
  </r>
  <r>
    <s v="05-305479752012"/>
    <x v="8"/>
    <x v="8"/>
    <n v="2012"/>
    <s v="Discover"/>
    <n v="54976.25"/>
    <n v="220"/>
    <x v="1"/>
  </r>
  <r>
    <s v="05-305479752011"/>
    <x v="8"/>
    <x v="8"/>
    <n v="2011"/>
    <s v="Discover"/>
    <n v="44277.01"/>
    <n v="199"/>
    <x v="1"/>
  </r>
  <r>
    <s v="05-305479752013"/>
    <x v="8"/>
    <x v="8"/>
    <n v="2013"/>
    <s v="Visa"/>
    <n v="217192.48"/>
    <n v="933"/>
    <x v="1"/>
  </r>
  <r>
    <s v="05-305479752011"/>
    <x v="8"/>
    <x v="8"/>
    <n v="2011"/>
    <s v="American Express"/>
    <n v="83810.789999999994"/>
    <n v="261"/>
    <x v="1"/>
  </r>
  <r>
    <s v="05-305479752013"/>
    <x v="8"/>
    <x v="8"/>
    <n v="2013"/>
    <s v="Master Card"/>
    <n v="145653.13"/>
    <n v="570"/>
    <x v="1"/>
  </r>
  <r>
    <s v="05-305479752011"/>
    <x v="8"/>
    <x v="8"/>
    <n v="2011"/>
    <s v="Debit"/>
    <n v="1187.69"/>
    <n v="6"/>
    <x v="1"/>
  </r>
  <r>
    <s v="05-305479752012"/>
    <x v="8"/>
    <x v="8"/>
    <n v="2012"/>
    <s v="Debit"/>
    <n v="125306.24000000001"/>
    <n v="564"/>
    <x v="1"/>
  </r>
  <r>
    <s v="05-305479752012"/>
    <x v="8"/>
    <x v="8"/>
    <n v="2012"/>
    <s v="American Express"/>
    <n v="91545.61"/>
    <n v="290"/>
    <x v="1"/>
  </r>
  <r>
    <s v="05-305479752012"/>
    <x v="8"/>
    <x v="8"/>
    <n v="2012"/>
    <s v="Debit Card"/>
    <n v="51322.57"/>
    <n v="267"/>
    <x v="1"/>
  </r>
  <r>
    <s v="05-305479752012"/>
    <x v="8"/>
    <x v="8"/>
    <n v="2012"/>
    <s v="Visa"/>
    <n v="246219.35"/>
    <n v="1085"/>
    <x v="1"/>
  </r>
  <r>
    <s v="05-305479752012"/>
    <x v="8"/>
    <x v="8"/>
    <n v="2012"/>
    <s v="Master Card"/>
    <n v="205454.24"/>
    <n v="799"/>
    <x v="1"/>
  </r>
  <r>
    <s v="05-305531292012"/>
    <x v="9"/>
    <x v="9"/>
    <n v="2012"/>
    <s v="Visa"/>
    <n v="249493.97"/>
    <n v="525"/>
    <x v="0"/>
  </r>
  <r>
    <s v="05-305531292012"/>
    <x v="9"/>
    <x v="9"/>
    <n v="2012"/>
    <s v="Master Card"/>
    <n v="168053.76000000001"/>
    <n v="363"/>
    <x v="1"/>
  </r>
  <r>
    <s v="05-305531292011"/>
    <x v="9"/>
    <x v="9"/>
    <n v="2011"/>
    <s v="Debit"/>
    <n v="84.08"/>
    <n v="1"/>
    <x v="1"/>
  </r>
  <r>
    <s v="05-305531292011"/>
    <x v="9"/>
    <x v="9"/>
    <n v="2011"/>
    <s v="American Express"/>
    <n v="64019.49"/>
    <n v="128"/>
    <x v="1"/>
  </r>
  <r>
    <s v="05-305531292013"/>
    <x v="9"/>
    <x v="9"/>
    <n v="2013"/>
    <s v="Master Card"/>
    <n v="9439.19"/>
    <n v="17"/>
    <x v="1"/>
  </r>
  <r>
    <s v="05-305531292013"/>
    <x v="9"/>
    <x v="9"/>
    <n v="2013"/>
    <s v="American Express"/>
    <n v="3649.06"/>
    <n v="9"/>
    <x v="1"/>
  </r>
  <r>
    <s v="05-305531292013"/>
    <x v="9"/>
    <x v="9"/>
    <n v="2013"/>
    <s v="Visa"/>
    <n v="7813.91"/>
    <n v="16"/>
    <x v="1"/>
  </r>
  <r>
    <s v="05-305531292011"/>
    <x v="9"/>
    <x v="9"/>
    <n v="2011"/>
    <s v="Discover"/>
    <n v="88044.92"/>
    <n v="190"/>
    <x v="1"/>
  </r>
  <r>
    <s v="05-305531292013"/>
    <x v="9"/>
    <x v="9"/>
    <n v="2013"/>
    <s v="Debit"/>
    <n v="4148.8100000000004"/>
    <n v="10"/>
    <x v="1"/>
  </r>
  <r>
    <s v="05-305531292012"/>
    <x v="9"/>
    <x v="9"/>
    <n v="2012"/>
    <s v="Discover"/>
    <n v="71538.039999999994"/>
    <n v="144"/>
    <x v="1"/>
  </r>
  <r>
    <s v="05-305531292012"/>
    <x v="9"/>
    <x v="9"/>
    <n v="2012"/>
    <s v="American Express"/>
    <n v="62760.12"/>
    <n v="126"/>
    <x v="1"/>
  </r>
  <r>
    <s v="05-305531292011"/>
    <x v="9"/>
    <x v="9"/>
    <n v="2011"/>
    <s v="Master Card"/>
    <n v="262129.77"/>
    <n v="534"/>
    <x v="1"/>
  </r>
  <r>
    <s v="05-305531292012"/>
    <x v="9"/>
    <x v="9"/>
    <n v="2012"/>
    <s v="Debit"/>
    <n v="131871.6"/>
    <n v="306"/>
    <x v="1"/>
  </r>
  <r>
    <s v="05-305531292013"/>
    <x v="9"/>
    <x v="9"/>
    <n v="2013"/>
    <s v="Discover"/>
    <n v="1848.7"/>
    <n v="6"/>
    <x v="1"/>
  </r>
  <r>
    <s v="05-305531292011"/>
    <x v="9"/>
    <x v="9"/>
    <n v="2011"/>
    <s v="Visa"/>
    <n v="439002.61"/>
    <n v="994"/>
    <x v="1"/>
  </r>
  <r>
    <s v="05-308963692011"/>
    <x v="10"/>
    <x v="10"/>
    <n v="2011"/>
    <s v="Debit"/>
    <n v="1133.68"/>
    <n v="1"/>
    <x v="0"/>
  </r>
  <r>
    <s v="05-308963692013"/>
    <x v="10"/>
    <x v="10"/>
    <n v="2013"/>
    <s v="eCheck"/>
    <n v="17161.990000000002"/>
    <n v="14"/>
    <x v="1"/>
  </r>
  <r>
    <s v="05-308963692013"/>
    <x v="10"/>
    <x v="10"/>
    <n v="2013"/>
    <s v="Visa"/>
    <n v="932590"/>
    <n v="1028"/>
    <x v="1"/>
  </r>
  <r>
    <s v="05-308963692011"/>
    <x v="10"/>
    <x v="10"/>
    <n v="2011"/>
    <s v="Discover"/>
    <n v="68748.22"/>
    <n v="80"/>
    <x v="1"/>
  </r>
  <r>
    <s v="05-308963692013"/>
    <x v="10"/>
    <x v="10"/>
    <n v="2013"/>
    <s v="Master Card"/>
    <n v="415937.89"/>
    <n v="477"/>
    <x v="1"/>
  </r>
  <r>
    <s v="05-308963692012"/>
    <x v="10"/>
    <x v="10"/>
    <n v="2012"/>
    <s v="Debit"/>
    <n v="456403.97"/>
    <n v="737"/>
    <x v="1"/>
  </r>
  <r>
    <s v="05-308963692013"/>
    <x v="10"/>
    <x v="10"/>
    <n v="2013"/>
    <s v="Discover"/>
    <n v="108511.76"/>
    <n v="127"/>
    <x v="1"/>
  </r>
  <r>
    <s v="05-308963692012"/>
    <x v="10"/>
    <x v="10"/>
    <n v="2012"/>
    <s v="Visa"/>
    <n v="920937.89"/>
    <n v="1116"/>
    <x v="1"/>
  </r>
  <r>
    <s v="05-308963692012"/>
    <x v="10"/>
    <x v="10"/>
    <n v="2012"/>
    <s v="Master Card"/>
    <n v="507618.85"/>
    <n v="618"/>
    <x v="1"/>
  </r>
  <r>
    <s v="05-308963692011"/>
    <x v="10"/>
    <x v="10"/>
    <n v="2011"/>
    <s v="eCheck"/>
    <n v="2507.8000000000002"/>
    <n v="3"/>
    <x v="1"/>
  </r>
  <r>
    <s v="05-308963692011"/>
    <x v="10"/>
    <x v="10"/>
    <n v="2011"/>
    <s v="Master Card"/>
    <n v="320730.40000000002"/>
    <n v="421"/>
    <x v="1"/>
  </r>
  <r>
    <s v="05-308963692011"/>
    <x v="10"/>
    <x v="10"/>
    <n v="2011"/>
    <s v="Visa"/>
    <n v="779846.38"/>
    <n v="1071"/>
    <x v="1"/>
  </r>
  <r>
    <s v="05-308963692012"/>
    <x v="10"/>
    <x v="10"/>
    <n v="2012"/>
    <s v="eCheck"/>
    <n v="2355.65"/>
    <n v="4"/>
    <x v="1"/>
  </r>
  <r>
    <s v="05-308963692013"/>
    <x v="10"/>
    <x v="10"/>
    <n v="2013"/>
    <s v="American Express"/>
    <n v="238052.27"/>
    <n v="243"/>
    <x v="1"/>
  </r>
  <r>
    <s v="05-308963692012"/>
    <x v="10"/>
    <x v="10"/>
    <n v="2012"/>
    <s v="Discover"/>
    <n v="109533.4"/>
    <n v="129"/>
    <x v="1"/>
  </r>
  <r>
    <s v="05-308963692013"/>
    <x v="10"/>
    <x v="10"/>
    <n v="2013"/>
    <s v="Debit"/>
    <n v="509323.53"/>
    <n v="764"/>
    <x v="1"/>
  </r>
  <r>
    <s v="05-310067502012"/>
    <x v="11"/>
    <x v="11"/>
    <n v="2012"/>
    <s v="Master Card"/>
    <n v="119237.4"/>
    <n v="247"/>
    <x v="0"/>
  </r>
  <r>
    <s v="05-310067502012"/>
    <x v="11"/>
    <x v="11"/>
    <n v="2012"/>
    <s v="Debit Card"/>
    <n v="6368.58"/>
    <n v="13"/>
    <x v="1"/>
  </r>
  <r>
    <s v="05-310067502012"/>
    <x v="11"/>
    <x v="11"/>
    <n v="2012"/>
    <s v="Debit"/>
    <n v="141812.24"/>
    <n v="339"/>
    <x v="1"/>
  </r>
  <r>
    <s v="05-310067502013"/>
    <x v="11"/>
    <x v="11"/>
    <n v="2013"/>
    <s v="Visa"/>
    <n v="255399.28"/>
    <n v="572"/>
    <x v="1"/>
  </r>
  <r>
    <s v="05-310067502013"/>
    <x v="11"/>
    <x v="11"/>
    <n v="2013"/>
    <s v="Master Card"/>
    <n v="135959.13"/>
    <n v="311"/>
    <x v="1"/>
  </r>
  <r>
    <s v="05-310067502012"/>
    <x v="11"/>
    <x v="11"/>
    <n v="2012"/>
    <s v="Discover"/>
    <n v="37597.21"/>
    <n v="75"/>
    <x v="1"/>
  </r>
  <r>
    <s v="05-310067502013"/>
    <x v="11"/>
    <x v="11"/>
    <n v="2013"/>
    <s v="Discover"/>
    <n v="44171.78"/>
    <n v="99"/>
    <x v="1"/>
  </r>
  <r>
    <s v="05-310067502012"/>
    <x v="11"/>
    <x v="11"/>
    <n v="2012"/>
    <s v="Visa"/>
    <n v="219422.95"/>
    <n v="474"/>
    <x v="1"/>
  </r>
  <r>
    <s v="05-310067502013"/>
    <x v="11"/>
    <x v="11"/>
    <n v="2013"/>
    <s v="Debit"/>
    <n v="245227.53"/>
    <n v="611"/>
    <x v="1"/>
  </r>
  <r>
    <s v="05-421432602011"/>
    <x v="12"/>
    <x v="12"/>
    <n v="2011"/>
    <s v="Visa"/>
    <n v="479812.85"/>
    <n v="348"/>
    <x v="0"/>
  </r>
  <r>
    <s v="05-421432602012"/>
    <x v="12"/>
    <x v="12"/>
    <n v="2012"/>
    <s v="Debit"/>
    <n v="142523.96"/>
    <n v="108"/>
    <x v="1"/>
  </r>
  <r>
    <s v="05-421432602011"/>
    <x v="12"/>
    <x v="12"/>
    <n v="2011"/>
    <s v="Master Card"/>
    <n v="227446.04"/>
    <n v="152"/>
    <x v="1"/>
  </r>
  <r>
    <s v="05-421432602013"/>
    <x v="12"/>
    <x v="12"/>
    <n v="2013"/>
    <s v="Debit"/>
    <n v="233605.99"/>
    <n v="166"/>
    <x v="1"/>
  </r>
  <r>
    <s v="05-421432602013"/>
    <x v="12"/>
    <x v="12"/>
    <n v="2013"/>
    <s v="Visa"/>
    <n v="533811.75"/>
    <n v="286"/>
    <x v="1"/>
  </r>
  <r>
    <s v="05-421432602013"/>
    <x v="12"/>
    <x v="12"/>
    <n v="2013"/>
    <s v="Master Card"/>
    <n v="311194.46999999997"/>
    <n v="192"/>
    <x v="1"/>
  </r>
  <r>
    <s v="05-421432602012"/>
    <x v="12"/>
    <x v="12"/>
    <n v="2012"/>
    <s v="Master Card"/>
    <n v="253743.24"/>
    <n v="168"/>
    <x v="1"/>
  </r>
  <r>
    <s v="05-421432602012"/>
    <x v="12"/>
    <x v="12"/>
    <n v="2012"/>
    <s v="Visa"/>
    <n v="414217"/>
    <n v="247"/>
    <x v="1"/>
  </r>
  <r>
    <s v="05-421479652012"/>
    <x v="13"/>
    <x v="13"/>
    <n v="2012"/>
    <s v="American Express"/>
    <n v="271040.5"/>
    <n v="245"/>
    <x v="0"/>
  </r>
  <r>
    <s v="05-421479652012"/>
    <x v="13"/>
    <x v="13"/>
    <n v="2012"/>
    <s v="Master Card"/>
    <n v="500307.85"/>
    <n v="507"/>
    <x v="1"/>
  </r>
  <r>
    <s v="05-421479652011"/>
    <x v="13"/>
    <x v="13"/>
    <n v="2011"/>
    <s v="eCheck"/>
    <n v="138043"/>
    <n v="65"/>
    <x v="1"/>
  </r>
  <r>
    <s v="05-421479652012"/>
    <x v="13"/>
    <x v="13"/>
    <n v="2012"/>
    <s v="Debit"/>
    <n v="243205.67"/>
    <n v="330"/>
    <x v="1"/>
  </r>
  <r>
    <s v="05-421479652013"/>
    <x v="13"/>
    <x v="13"/>
    <n v="2013"/>
    <s v="American Express"/>
    <n v="307273.5"/>
    <n v="232"/>
    <x v="1"/>
  </r>
  <r>
    <s v="05-421479652013"/>
    <x v="13"/>
    <x v="13"/>
    <n v="2013"/>
    <s v="Discover"/>
    <n v="101973.75"/>
    <n v="103"/>
    <x v="1"/>
  </r>
  <r>
    <s v="05-421479652012"/>
    <x v="13"/>
    <x v="13"/>
    <n v="2012"/>
    <s v="Visa"/>
    <n v="900062.5"/>
    <n v="839"/>
    <x v="1"/>
  </r>
  <r>
    <s v="05-421479652013"/>
    <x v="13"/>
    <x v="13"/>
    <n v="2013"/>
    <s v="Debit"/>
    <n v="381830.25"/>
    <n v="478"/>
    <x v="1"/>
  </r>
  <r>
    <s v="05-421479652012"/>
    <x v="13"/>
    <x v="13"/>
    <n v="2012"/>
    <s v="Discover"/>
    <n v="114285"/>
    <n v="126"/>
    <x v="1"/>
  </r>
  <r>
    <s v="05-421479652012"/>
    <x v="13"/>
    <x v="13"/>
    <n v="2012"/>
    <s v="eCheck"/>
    <n v="197181.67"/>
    <n v="97"/>
    <x v="1"/>
  </r>
  <r>
    <s v="05-421479652011"/>
    <x v="13"/>
    <x v="13"/>
    <n v="2011"/>
    <s v="Master Card"/>
    <n v="537512.23"/>
    <n v="516"/>
    <x v="1"/>
  </r>
  <r>
    <s v="05-421479652011"/>
    <x v="13"/>
    <x v="13"/>
    <n v="2011"/>
    <s v="Visa"/>
    <n v="977214"/>
    <n v="981"/>
    <x v="1"/>
  </r>
  <r>
    <s v="05-421479652013"/>
    <x v="13"/>
    <x v="13"/>
    <n v="2013"/>
    <s v="Visa"/>
    <n v="853428"/>
    <n v="780"/>
    <x v="1"/>
  </r>
  <r>
    <s v="05-421479652013"/>
    <x v="13"/>
    <x v="13"/>
    <n v="2013"/>
    <s v="Master Card"/>
    <n v="498727.75"/>
    <n v="476"/>
    <x v="1"/>
  </r>
  <r>
    <s v="05-421479652011"/>
    <x v="13"/>
    <x v="13"/>
    <n v="2011"/>
    <s v="Discover"/>
    <n v="108890"/>
    <n v="120"/>
    <x v="1"/>
  </r>
  <r>
    <s v="05-421479652013"/>
    <x v="13"/>
    <x v="13"/>
    <n v="2013"/>
    <s v="eCheck"/>
    <n v="197616.92"/>
    <n v="96"/>
    <x v="1"/>
  </r>
  <r>
    <s v="05-421479652011"/>
    <x v="13"/>
    <x v="13"/>
    <n v="2011"/>
    <s v="American Express"/>
    <n v="308673.11"/>
    <n v="248"/>
    <x v="1"/>
  </r>
  <r>
    <s v="05-421549922012"/>
    <x v="14"/>
    <x v="14"/>
    <n v="2012"/>
    <s v="Debit"/>
    <n v="87632.97"/>
    <n v="152"/>
    <x v="0"/>
  </r>
  <r>
    <s v="05-421549922011"/>
    <x v="14"/>
    <x v="14"/>
    <n v="2011"/>
    <s v="Master Card"/>
    <n v="152121.54"/>
    <n v="155"/>
    <x v="1"/>
  </r>
  <r>
    <s v="05-421549922011"/>
    <x v="14"/>
    <x v="14"/>
    <n v="2011"/>
    <s v="Visa"/>
    <n v="337841.6"/>
    <n v="369"/>
    <x v="1"/>
  </r>
  <r>
    <s v="05-421549922012"/>
    <x v="14"/>
    <x v="14"/>
    <n v="2012"/>
    <s v="Pulse"/>
    <n v="27214.32"/>
    <n v="46"/>
    <x v="1"/>
  </r>
  <r>
    <s v="05-421549922012"/>
    <x v="14"/>
    <x v="14"/>
    <n v="2012"/>
    <s v="NYCE"/>
    <n v="4355.75"/>
    <n v="5"/>
    <x v="1"/>
  </r>
  <r>
    <s v="05-421549922011"/>
    <x v="14"/>
    <x v="14"/>
    <n v="2011"/>
    <s v="NYCE"/>
    <n v="6997.75"/>
    <n v="16"/>
    <x v="1"/>
  </r>
  <r>
    <s v="05-421549922013"/>
    <x v="14"/>
    <x v="14"/>
    <n v="2013"/>
    <s v="Master Card"/>
    <n v="170911.37"/>
    <n v="167"/>
    <x v="1"/>
  </r>
  <r>
    <s v="05-421549922012"/>
    <x v="14"/>
    <x v="14"/>
    <n v="2012"/>
    <s v="Discover"/>
    <n v="47604.32"/>
    <n v="48"/>
    <x v="1"/>
  </r>
  <r>
    <s v="05-421549922013"/>
    <x v="14"/>
    <x v="14"/>
    <n v="2013"/>
    <s v="Debit"/>
    <n v="172537.49"/>
    <n v="263"/>
    <x v="1"/>
  </r>
  <r>
    <s v="05-421549922013"/>
    <x v="14"/>
    <x v="14"/>
    <n v="2013"/>
    <s v="Visa"/>
    <n v="259294.95"/>
    <n v="240"/>
    <x v="1"/>
  </r>
  <r>
    <s v="05-421549922011"/>
    <x v="14"/>
    <x v="14"/>
    <n v="2011"/>
    <s v="Pulse"/>
    <n v="23225.5"/>
    <n v="40"/>
    <x v="1"/>
  </r>
  <r>
    <s v="05-421549922011"/>
    <x v="14"/>
    <x v="14"/>
    <n v="2011"/>
    <s v="Discover"/>
    <n v="10724.3"/>
    <n v="14"/>
    <x v="1"/>
  </r>
  <r>
    <s v="05-421549922012"/>
    <x v="14"/>
    <x v="14"/>
    <n v="2012"/>
    <s v="Star"/>
    <n v="15006.62"/>
    <n v="20"/>
    <x v="1"/>
  </r>
  <r>
    <s v="05-421549922012"/>
    <x v="14"/>
    <x v="14"/>
    <n v="2012"/>
    <s v="Visa"/>
    <n v="290830.2"/>
    <n v="284"/>
    <x v="1"/>
  </r>
  <r>
    <s v="05-421549922013"/>
    <x v="14"/>
    <x v="14"/>
    <n v="2013"/>
    <s v="Discover"/>
    <n v="28808.86"/>
    <n v="28"/>
    <x v="1"/>
  </r>
  <r>
    <s v="05-421549922011"/>
    <x v="14"/>
    <x v="14"/>
    <n v="2011"/>
    <s v="Star"/>
    <n v="37777.35"/>
    <n v="57"/>
    <x v="1"/>
  </r>
  <r>
    <s v="05-421549922012"/>
    <x v="14"/>
    <x v="14"/>
    <n v="2012"/>
    <s v="Master Card"/>
    <n v="151686.06"/>
    <n v="159"/>
    <x v="1"/>
  </r>
  <r>
    <s v="05-422006532013"/>
    <x v="15"/>
    <x v="15"/>
    <n v="2013"/>
    <s v="American Express"/>
    <n v="859880.49"/>
    <n v="977"/>
    <x v="0"/>
  </r>
  <r>
    <s v="05-422006532011"/>
    <x v="15"/>
    <x v="15"/>
    <n v="2011"/>
    <s v="Master Card"/>
    <n v="1158113.71"/>
    <n v="1591"/>
    <x v="1"/>
  </r>
  <r>
    <s v="05-422006532012"/>
    <x v="15"/>
    <x v="15"/>
    <n v="2012"/>
    <s v="Discover"/>
    <n v="146205.56"/>
    <n v="183"/>
    <x v="1"/>
  </r>
  <r>
    <s v="05-422006532011"/>
    <x v="15"/>
    <x v="15"/>
    <n v="2011"/>
    <s v="Visa"/>
    <n v="3589925.44"/>
    <n v="5077"/>
    <x v="1"/>
  </r>
  <r>
    <s v="05-422006532012"/>
    <x v="15"/>
    <x v="15"/>
    <n v="2012"/>
    <s v="American Express"/>
    <n v="959184.11"/>
    <n v="1125"/>
    <x v="1"/>
  </r>
  <r>
    <s v="05-422006532013"/>
    <x v="15"/>
    <x v="15"/>
    <n v="2013"/>
    <s v="Debit"/>
    <n v="1006074.53"/>
    <n v="1550"/>
    <x v="1"/>
  </r>
  <r>
    <s v="05-422006532013"/>
    <x v="15"/>
    <x v="15"/>
    <n v="2013"/>
    <s v="Discover"/>
    <n v="123537.82"/>
    <n v="155"/>
    <x v="1"/>
  </r>
  <r>
    <s v="05-422006532011"/>
    <x v="15"/>
    <x v="15"/>
    <n v="2011"/>
    <s v="American Express"/>
    <n v="1071488.31"/>
    <n v="1279"/>
    <x v="1"/>
  </r>
  <r>
    <s v="05-422006532012"/>
    <x v="15"/>
    <x v="15"/>
    <n v="2012"/>
    <s v="Debit"/>
    <n v="1107337.53"/>
    <n v="1649"/>
    <x v="1"/>
  </r>
  <r>
    <s v="05-422006532012"/>
    <x v="15"/>
    <x v="15"/>
    <n v="2012"/>
    <s v="Visa"/>
    <n v="2495969.37"/>
    <n v="3141"/>
    <x v="1"/>
  </r>
  <r>
    <s v="05-422006532012"/>
    <x v="15"/>
    <x v="15"/>
    <n v="2012"/>
    <s v="Master Card"/>
    <n v="1039666.14"/>
    <n v="1321"/>
    <x v="1"/>
  </r>
  <r>
    <s v="05-422006532013"/>
    <x v="15"/>
    <x v="15"/>
    <n v="2013"/>
    <s v="Master Card"/>
    <n v="788712.7"/>
    <n v="1019"/>
    <x v="1"/>
  </r>
  <r>
    <s v="05-422006532011"/>
    <x v="15"/>
    <x v="15"/>
    <n v="2011"/>
    <s v="Discover"/>
    <n v="170444.73"/>
    <n v="215"/>
    <x v="1"/>
  </r>
  <r>
    <s v="05-422006532011"/>
    <x v="15"/>
    <x v="15"/>
    <n v="2011"/>
    <s v="Debit"/>
    <n v="3276.95"/>
    <n v="8"/>
    <x v="1"/>
  </r>
  <r>
    <s v="05-422006532013"/>
    <x v="15"/>
    <x v="15"/>
    <n v="2013"/>
    <s v="Visa"/>
    <n v="2098283.52"/>
    <n v="2724"/>
    <x v="1"/>
  </r>
  <r>
    <s v="05-430365582012"/>
    <x v="16"/>
    <x v="16"/>
    <n v="2012"/>
    <s v="Pulse"/>
    <n v="4502.5200000000004"/>
    <n v="11"/>
    <x v="0"/>
  </r>
  <r>
    <s v="05-430365582011"/>
    <x v="16"/>
    <x v="16"/>
    <n v="2011"/>
    <s v="Debit"/>
    <n v="618"/>
    <n v="3"/>
    <x v="1"/>
  </r>
  <r>
    <s v="05-430365582011"/>
    <x v="16"/>
    <x v="16"/>
    <n v="2011"/>
    <s v="Discover"/>
    <n v="46781.2"/>
    <n v="87"/>
    <x v="1"/>
  </r>
  <r>
    <s v="05-430365582011"/>
    <x v="16"/>
    <x v="16"/>
    <n v="2011"/>
    <s v="NYCE"/>
    <n v="5885.39"/>
    <n v="15"/>
    <x v="1"/>
  </r>
  <r>
    <s v="05-430365582011"/>
    <x v="16"/>
    <x v="16"/>
    <n v="2011"/>
    <s v="American Express"/>
    <n v="138270.26999999999"/>
    <n v="232"/>
    <x v="1"/>
  </r>
  <r>
    <s v="05-430365582013"/>
    <x v="16"/>
    <x v="16"/>
    <n v="2013"/>
    <s v="Debit"/>
    <n v="121422.36"/>
    <n v="171"/>
    <x v="1"/>
  </r>
  <r>
    <s v="05-430365582011"/>
    <x v="16"/>
    <x v="16"/>
    <n v="2011"/>
    <s v="Pulse"/>
    <n v="12898.73"/>
    <n v="29"/>
    <x v="1"/>
  </r>
  <r>
    <s v="05-430365582011"/>
    <x v="16"/>
    <x v="16"/>
    <n v="2011"/>
    <s v="Visa"/>
    <n v="455386.54"/>
    <n v="799"/>
    <x v="1"/>
  </r>
  <r>
    <s v="05-430365582012"/>
    <x v="16"/>
    <x v="16"/>
    <n v="2012"/>
    <s v="NYCE"/>
    <n v="1310.68"/>
    <n v="3"/>
    <x v="1"/>
  </r>
  <r>
    <s v="05-430365582012"/>
    <x v="16"/>
    <x v="16"/>
    <n v="2012"/>
    <s v="Discover"/>
    <n v="33139.86"/>
    <n v="71"/>
    <x v="1"/>
  </r>
  <r>
    <s v="05-430365582011"/>
    <x v="16"/>
    <x v="16"/>
    <n v="2011"/>
    <s v="Master Card"/>
    <n v="219098.32"/>
    <n v="377"/>
    <x v="1"/>
  </r>
  <r>
    <s v="05-430365582013"/>
    <x v="16"/>
    <x v="16"/>
    <n v="2013"/>
    <s v="American Express"/>
    <n v="109597.37"/>
    <n v="185"/>
    <x v="1"/>
  </r>
  <r>
    <s v="05-430365582011"/>
    <x v="16"/>
    <x v="16"/>
    <n v="2011"/>
    <s v="Star"/>
    <n v="9989.9699999999993"/>
    <n v="25"/>
    <x v="1"/>
  </r>
  <r>
    <s v="05-430365582012"/>
    <x v="16"/>
    <x v="16"/>
    <n v="2012"/>
    <s v="Master Card"/>
    <n v="212104.25"/>
    <n v="355"/>
    <x v="1"/>
  </r>
  <r>
    <s v="05-430365582012"/>
    <x v="16"/>
    <x v="16"/>
    <n v="2012"/>
    <s v="Visa"/>
    <n v="449501.43"/>
    <n v="698"/>
    <x v="1"/>
  </r>
  <r>
    <s v="05-430365582013"/>
    <x v="16"/>
    <x v="16"/>
    <n v="2013"/>
    <s v="Discover"/>
    <n v="33691.300000000003"/>
    <n v="62"/>
    <x v="1"/>
  </r>
  <r>
    <s v="05-430365582012"/>
    <x v="16"/>
    <x v="16"/>
    <n v="2012"/>
    <s v="Star"/>
    <n v="4693.05"/>
    <n v="11"/>
    <x v="1"/>
  </r>
  <r>
    <s v="05-430365582012"/>
    <x v="16"/>
    <x v="16"/>
    <n v="2012"/>
    <s v="Debit"/>
    <n v="65854.17"/>
    <n v="122"/>
    <x v="1"/>
  </r>
  <r>
    <s v="05-430365582013"/>
    <x v="16"/>
    <x v="16"/>
    <n v="2013"/>
    <s v="Master Card"/>
    <n v="173523.09"/>
    <n v="274"/>
    <x v="1"/>
  </r>
  <r>
    <s v="05-430365582012"/>
    <x v="16"/>
    <x v="16"/>
    <n v="2012"/>
    <s v="American Express"/>
    <n v="130022.12"/>
    <n v="207"/>
    <x v="1"/>
  </r>
  <r>
    <s v="05-430365582013"/>
    <x v="16"/>
    <x v="16"/>
    <n v="2013"/>
    <s v="Visa"/>
    <n v="407937.29"/>
    <n v="630"/>
    <x v="1"/>
  </r>
  <r>
    <s v="05-447975732013"/>
    <x v="17"/>
    <x v="17"/>
    <n v="2013"/>
    <s v="Scan"/>
    <n v="12622607.6"/>
    <n v="11894"/>
    <x v="0"/>
  </r>
  <r>
    <s v="05-447975732011"/>
    <x v="17"/>
    <x v="17"/>
    <n v="2011"/>
    <s v="Visa"/>
    <n v="671168.13"/>
    <n v="356"/>
    <x v="1"/>
  </r>
  <r>
    <s v="05-447975732011"/>
    <x v="17"/>
    <x v="17"/>
    <n v="2011"/>
    <s v="Star"/>
    <n v="1934.95"/>
    <n v="1"/>
    <x v="1"/>
  </r>
  <r>
    <s v="05-447975732012"/>
    <x v="17"/>
    <x v="17"/>
    <n v="2012"/>
    <s v="Discover"/>
    <n v="11471.7"/>
    <n v="6"/>
    <x v="1"/>
  </r>
  <r>
    <s v="05-447975732011"/>
    <x v="17"/>
    <x v="17"/>
    <n v="2011"/>
    <s v="Master Card"/>
    <n v="311841.13"/>
    <n v="180"/>
    <x v="1"/>
  </r>
  <r>
    <s v="05-447975732011"/>
    <x v="17"/>
    <x v="17"/>
    <n v="2011"/>
    <s v="Pulse"/>
    <n v="7468.56"/>
    <n v="8"/>
    <x v="1"/>
  </r>
  <r>
    <s v="05-447975732012"/>
    <x v="17"/>
    <x v="17"/>
    <n v="2012"/>
    <s v="NYCE"/>
    <n v="2889.65"/>
    <n v="5"/>
    <x v="1"/>
  </r>
  <r>
    <s v="05-447975732013"/>
    <x v="17"/>
    <x v="17"/>
    <n v="2013"/>
    <s v="Master Card"/>
    <n v="610377.93000000005"/>
    <n v="318"/>
    <x v="1"/>
  </r>
  <r>
    <s v="05-447975732013"/>
    <x v="17"/>
    <x v="17"/>
    <n v="2013"/>
    <s v="eCheck"/>
    <n v="36829050.079999998"/>
    <n v="24954"/>
    <x v="1"/>
  </r>
  <r>
    <s v="05-447975732012"/>
    <x v="17"/>
    <x v="17"/>
    <n v="2012"/>
    <s v="Pulse"/>
    <n v="9794.2199999999993"/>
    <n v="8"/>
    <x v="1"/>
  </r>
  <r>
    <s v="05-447975732013"/>
    <x v="17"/>
    <x v="17"/>
    <n v="2013"/>
    <s v="Visa"/>
    <n v="962416.77"/>
    <n v="496"/>
    <x v="1"/>
  </r>
  <r>
    <s v="05-447975732012"/>
    <x v="17"/>
    <x v="17"/>
    <n v="2012"/>
    <s v="Scan"/>
    <n v="1835682.09"/>
    <n v="2035"/>
    <x v="1"/>
  </r>
  <r>
    <s v="05-447975732011"/>
    <x v="17"/>
    <x v="17"/>
    <n v="2011"/>
    <s v="NYCE"/>
    <n v="2420.4499999999998"/>
    <n v="6"/>
    <x v="1"/>
  </r>
  <r>
    <s v="05-447975732011"/>
    <x v="17"/>
    <x v="17"/>
    <n v="2011"/>
    <s v="eCheck"/>
    <n v="32280279.949999999"/>
    <n v="23790"/>
    <x v="1"/>
  </r>
  <r>
    <s v="05-447975732012"/>
    <x v="17"/>
    <x v="17"/>
    <n v="2012"/>
    <s v="Debit"/>
    <n v="435320.75"/>
    <n v="293"/>
    <x v="1"/>
  </r>
  <r>
    <s v="05-447975732011"/>
    <x v="17"/>
    <x v="17"/>
    <n v="2011"/>
    <s v="Discover"/>
    <n v="30352.97"/>
    <n v="19"/>
    <x v="1"/>
  </r>
  <r>
    <s v="05-447975732012"/>
    <x v="17"/>
    <x v="17"/>
    <n v="2012"/>
    <s v="Visa"/>
    <n v="852899.28"/>
    <n v="440"/>
    <x v="1"/>
  </r>
  <r>
    <s v="05-447975732013"/>
    <x v="17"/>
    <x v="17"/>
    <n v="2013"/>
    <s v="Discover"/>
    <n v="33891.629999999997"/>
    <n v="23"/>
    <x v="1"/>
  </r>
  <r>
    <s v="05-447975732012"/>
    <x v="17"/>
    <x v="17"/>
    <n v="2012"/>
    <s v="eCheck"/>
    <n v="37602932.979999997"/>
    <n v="26522"/>
    <x v="1"/>
  </r>
  <r>
    <s v="05-447975732013"/>
    <x v="17"/>
    <x v="17"/>
    <n v="2013"/>
    <s v="Debit"/>
    <n v="781750.54"/>
    <n v="480"/>
    <x v="1"/>
  </r>
  <r>
    <s v="05-447975732012"/>
    <x v="17"/>
    <x v="17"/>
    <n v="2012"/>
    <s v="Star"/>
    <n v="11808.95"/>
    <n v="11"/>
    <x v="1"/>
  </r>
  <r>
    <s v="05-447975732012"/>
    <x v="17"/>
    <x v="17"/>
    <n v="2012"/>
    <s v="Master Card"/>
    <n v="500163.77"/>
    <n v="263"/>
    <x v="1"/>
  </r>
  <r>
    <s v="05-452840522012"/>
    <x v="18"/>
    <x v="18"/>
    <n v="2012"/>
    <s v="Pulse"/>
    <n v="5693.79"/>
    <n v="8"/>
    <x v="0"/>
  </r>
  <r>
    <s v="05-452840522013"/>
    <x v="18"/>
    <x v="18"/>
    <n v="2013"/>
    <s v="eCheck"/>
    <n v="3926137.18"/>
    <n v="2021"/>
    <x v="1"/>
  </r>
  <r>
    <s v="05-452840522013"/>
    <x v="18"/>
    <x v="18"/>
    <n v="2013"/>
    <s v="Master Card"/>
    <n v="29362.58"/>
    <n v="44"/>
    <x v="1"/>
  </r>
  <r>
    <s v="05-452840522013"/>
    <x v="18"/>
    <x v="18"/>
    <n v="2013"/>
    <s v="Visa"/>
    <n v="51378.57"/>
    <n v="44"/>
    <x v="1"/>
  </r>
  <r>
    <s v="05-452840522011"/>
    <x v="18"/>
    <x v="18"/>
    <n v="2011"/>
    <s v="Debit"/>
    <n v="464.95"/>
    <n v="1"/>
    <x v="1"/>
  </r>
  <r>
    <s v="05-452840522012"/>
    <x v="18"/>
    <x v="18"/>
    <n v="2012"/>
    <s v="NYCE"/>
    <n v="532.20000000000005"/>
    <n v="1"/>
    <x v="1"/>
  </r>
  <r>
    <s v="05-452840522011"/>
    <x v="18"/>
    <x v="18"/>
    <n v="2011"/>
    <s v="Visa"/>
    <n v="20653.150000000001"/>
    <n v="36"/>
    <x v="1"/>
  </r>
  <r>
    <s v="05-452840522011"/>
    <x v="18"/>
    <x v="18"/>
    <n v="2011"/>
    <s v="Star"/>
    <n v="1734.8"/>
    <n v="4"/>
    <x v="1"/>
  </r>
  <r>
    <s v="05-452840522012"/>
    <x v="18"/>
    <x v="18"/>
    <n v="2012"/>
    <s v="Discover"/>
    <n v="4728.7299999999996"/>
    <n v="8"/>
    <x v="1"/>
  </r>
  <r>
    <s v="05-452840522011"/>
    <x v="18"/>
    <x v="18"/>
    <n v="2011"/>
    <s v="Master Card"/>
    <n v="7925.72"/>
    <n v="17"/>
    <x v="1"/>
  </r>
  <r>
    <s v="05-452840522011"/>
    <x v="18"/>
    <x v="18"/>
    <n v="2011"/>
    <s v="Pulse"/>
    <n v="2351.5"/>
    <n v="4"/>
    <x v="1"/>
  </r>
  <r>
    <s v="05-452840522013"/>
    <x v="18"/>
    <x v="18"/>
    <n v="2013"/>
    <s v="Debit"/>
    <n v="141305.45000000001"/>
    <n v="131"/>
    <x v="1"/>
  </r>
  <r>
    <s v="05-452840522012"/>
    <x v="18"/>
    <x v="18"/>
    <n v="2012"/>
    <s v="Visa"/>
    <n v="34679.97"/>
    <n v="48"/>
    <x v="1"/>
  </r>
  <r>
    <s v="05-452840522012"/>
    <x v="18"/>
    <x v="18"/>
    <n v="2012"/>
    <s v="eCheck"/>
    <n v="4067582.93"/>
    <n v="5496"/>
    <x v="1"/>
  </r>
  <r>
    <s v="05-452840522013"/>
    <x v="18"/>
    <x v="18"/>
    <n v="2013"/>
    <s v="Discover"/>
    <n v="8950.42"/>
    <n v="6"/>
    <x v="1"/>
  </r>
  <r>
    <s v="05-452840522012"/>
    <x v="18"/>
    <x v="18"/>
    <n v="2012"/>
    <s v="Star"/>
    <n v="1259.9000000000001"/>
    <n v="2"/>
    <x v="1"/>
  </r>
  <r>
    <s v="05-452840522012"/>
    <x v="18"/>
    <x v="18"/>
    <n v="2012"/>
    <s v="Debit"/>
    <n v="52192.66"/>
    <n v="73"/>
    <x v="1"/>
  </r>
  <r>
    <s v="05-452840522011"/>
    <x v="18"/>
    <x v="18"/>
    <n v="2011"/>
    <s v="eCheck"/>
    <n v="3708689.62"/>
    <n v="7068"/>
    <x v="1"/>
  </r>
  <r>
    <s v="05-452840522012"/>
    <x v="18"/>
    <x v="18"/>
    <n v="2012"/>
    <s v="Master Card"/>
    <n v="41698"/>
    <n v="63"/>
    <x v="1"/>
  </r>
  <r>
    <s v="05-452840522011"/>
    <x v="18"/>
    <x v="18"/>
    <n v="2011"/>
    <s v="Discover"/>
    <n v="1142.47"/>
    <n v="2"/>
    <x v="1"/>
  </r>
  <r>
    <s v="05-452840522011"/>
    <x v="18"/>
    <x v="18"/>
    <n v="2011"/>
    <s v="NYCE"/>
    <n v="1596.55"/>
    <n v="3"/>
    <x v="1"/>
  </r>
  <r>
    <s v="05-486015462012"/>
    <x v="19"/>
    <x v="19"/>
    <n v="2012"/>
    <s v="Discover"/>
    <n v="426094.14"/>
    <n v="299"/>
    <x v="0"/>
  </r>
  <r>
    <s v="05-486015462013"/>
    <x v="19"/>
    <x v="19"/>
    <n v="2013"/>
    <s v="Debit"/>
    <n v="1883457.41"/>
    <n v="1991"/>
    <x v="1"/>
  </r>
  <r>
    <s v="05-486015462012"/>
    <x v="19"/>
    <x v="19"/>
    <n v="2012"/>
    <s v="NYCE"/>
    <n v="11586.19"/>
    <n v="7"/>
    <x v="1"/>
  </r>
  <r>
    <s v="05-486015462011"/>
    <x v="19"/>
    <x v="19"/>
    <n v="2011"/>
    <s v="Visa"/>
    <n v="3473420.73"/>
    <n v="2287"/>
    <x v="1"/>
  </r>
  <r>
    <s v="05-486015462011"/>
    <x v="19"/>
    <x v="19"/>
    <n v="2011"/>
    <s v="Star"/>
    <n v="23001.52"/>
    <n v="29"/>
    <x v="1"/>
  </r>
  <r>
    <s v="05-486015462011"/>
    <x v="19"/>
    <x v="19"/>
    <n v="2011"/>
    <s v="Master Card"/>
    <n v="1927502.01"/>
    <n v="1216"/>
    <x v="1"/>
  </r>
  <r>
    <s v="05-486015462012"/>
    <x v="19"/>
    <x v="19"/>
    <n v="2012"/>
    <s v="Pulse"/>
    <n v="79461.86"/>
    <n v="54"/>
    <x v="1"/>
  </r>
  <r>
    <s v="05-486015462012"/>
    <x v="19"/>
    <x v="19"/>
    <n v="2012"/>
    <s v="Visa"/>
    <n v="3409415.01"/>
    <n v="2234"/>
    <x v="1"/>
  </r>
  <r>
    <s v="05-486015462012"/>
    <x v="19"/>
    <x v="19"/>
    <n v="2012"/>
    <s v="Star"/>
    <n v="37717.51"/>
    <n v="22"/>
    <x v="1"/>
  </r>
  <r>
    <s v="05-486015462012"/>
    <x v="19"/>
    <x v="19"/>
    <n v="2012"/>
    <s v="Debit"/>
    <n v="485628.92"/>
    <n v="380"/>
    <x v="1"/>
  </r>
  <r>
    <s v="05-486015462013"/>
    <x v="19"/>
    <x v="19"/>
    <n v="2013"/>
    <s v="Discover"/>
    <n v="836824.98"/>
    <n v="692"/>
    <x v="1"/>
  </r>
  <r>
    <s v="05-486015462012"/>
    <x v="19"/>
    <x v="19"/>
    <n v="2012"/>
    <s v="Master Card"/>
    <n v="1817071.54"/>
    <n v="1236"/>
    <x v="1"/>
  </r>
  <r>
    <s v="05-486015462011"/>
    <x v="19"/>
    <x v="19"/>
    <n v="2011"/>
    <s v="NYCE"/>
    <n v="15330.5"/>
    <n v="19"/>
    <x v="1"/>
  </r>
  <r>
    <s v="05-486015462011"/>
    <x v="19"/>
    <x v="19"/>
    <n v="2011"/>
    <s v="Pulse"/>
    <n v="49551.37"/>
    <n v="36"/>
    <x v="1"/>
  </r>
  <r>
    <s v="05-486015462013"/>
    <x v="19"/>
    <x v="19"/>
    <n v="2013"/>
    <s v="Visa"/>
    <n v="6070693.6900000004"/>
    <n v="4790"/>
    <x v="1"/>
  </r>
  <r>
    <s v="05-486015462011"/>
    <x v="19"/>
    <x v="19"/>
    <n v="2011"/>
    <s v="Debit"/>
    <n v="2532.0700000000002"/>
    <n v="3"/>
    <x v="1"/>
  </r>
  <r>
    <s v="05-486015462013"/>
    <x v="19"/>
    <x v="19"/>
    <n v="2013"/>
    <s v="Master Card"/>
    <n v="2863633.64"/>
    <n v="2292"/>
    <x v="1"/>
  </r>
  <r>
    <s v="05-486015462011"/>
    <x v="19"/>
    <x v="19"/>
    <n v="2011"/>
    <s v="Discover"/>
    <n v="461582.3"/>
    <n v="291"/>
    <x v="1"/>
  </r>
  <r>
    <s v="05-486076702012"/>
    <x v="20"/>
    <x v="20"/>
    <n v="2012"/>
    <s v="Debit"/>
    <n v="200"/>
    <n v="1"/>
    <x v="0"/>
  </r>
  <r>
    <s v="05-486076702011"/>
    <x v="20"/>
    <x v="20"/>
    <n v="2011"/>
    <s v="eCheck"/>
    <n v="53130.400000000001"/>
    <n v="75"/>
    <x v="1"/>
  </r>
  <r>
    <s v="05-486076702011"/>
    <x v="20"/>
    <x v="20"/>
    <n v="2011"/>
    <s v="NYCE"/>
    <n v="13339"/>
    <n v="18"/>
    <x v="1"/>
  </r>
  <r>
    <s v="05-486076702011"/>
    <x v="20"/>
    <x v="20"/>
    <n v="2011"/>
    <s v="Pulse"/>
    <n v="13519.9"/>
    <n v="19"/>
    <x v="1"/>
  </r>
  <r>
    <s v="05-486076702011"/>
    <x v="20"/>
    <x v="20"/>
    <n v="2011"/>
    <s v="Master Card"/>
    <n v="2216"/>
    <n v="3"/>
    <x v="1"/>
  </r>
  <r>
    <s v="05-486076702011"/>
    <x v="20"/>
    <x v="20"/>
    <n v="2011"/>
    <s v="Star"/>
    <n v="16984.14"/>
    <n v="28"/>
    <x v="1"/>
  </r>
  <r>
    <s v="05-486076702011"/>
    <x v="20"/>
    <x v="20"/>
    <n v="2011"/>
    <s v="Visa"/>
    <n v="21471.599999999999"/>
    <n v="37"/>
    <x v="1"/>
  </r>
  <r>
    <s v="05-613754402011"/>
    <x v="21"/>
    <x v="21"/>
    <n v="2011"/>
    <s v="Master Card"/>
    <n v="157720.51"/>
    <n v="302"/>
    <x v="0"/>
  </r>
  <r>
    <s v="05-613754402011"/>
    <x v="21"/>
    <x v="21"/>
    <n v="2011"/>
    <s v="Visa"/>
    <n v="374564.98"/>
    <n v="781"/>
    <x v="1"/>
  </r>
  <r>
    <s v="05-613754402011"/>
    <x v="21"/>
    <x v="21"/>
    <n v="2011"/>
    <s v="Star"/>
    <n v="16484.45"/>
    <n v="44"/>
    <x v="1"/>
  </r>
  <r>
    <s v="05-613754402011"/>
    <x v="21"/>
    <x v="21"/>
    <n v="2011"/>
    <s v="Pulse"/>
    <n v="5994.93"/>
    <n v="17"/>
    <x v="1"/>
  </r>
  <r>
    <s v="05-613754402012"/>
    <x v="21"/>
    <x v="21"/>
    <n v="2012"/>
    <s v="Discover"/>
    <n v="35101.279999999999"/>
    <n v="71"/>
    <x v="1"/>
  </r>
  <r>
    <s v="05-613754402012"/>
    <x v="21"/>
    <x v="21"/>
    <n v="2012"/>
    <s v="NYCE"/>
    <n v="1186.1099999999999"/>
    <n v="3"/>
    <x v="1"/>
  </r>
  <r>
    <s v="05-613754402013"/>
    <x v="21"/>
    <x v="21"/>
    <n v="2013"/>
    <s v="Debit"/>
    <n v="226474.91"/>
    <n v="450"/>
    <x v="1"/>
  </r>
  <r>
    <s v="05-613754402013"/>
    <x v="21"/>
    <x v="21"/>
    <n v="2013"/>
    <s v="Discover"/>
    <n v="39181.21"/>
    <n v="77"/>
    <x v="1"/>
  </r>
  <r>
    <s v="05-613754402012"/>
    <x v="21"/>
    <x v="21"/>
    <n v="2012"/>
    <s v="Debit Card"/>
    <n v="17519.36"/>
    <n v="35"/>
    <x v="1"/>
  </r>
  <r>
    <s v="05-613754402012"/>
    <x v="21"/>
    <x v="21"/>
    <n v="2012"/>
    <s v="Master Card"/>
    <n v="180691.41"/>
    <n v="356"/>
    <x v="1"/>
  </r>
  <r>
    <s v="05-613754402012"/>
    <x v="21"/>
    <x v="21"/>
    <n v="2012"/>
    <s v="Visa"/>
    <n v="438877.68"/>
    <n v="861"/>
    <x v="1"/>
  </r>
  <r>
    <s v="05-613754402012"/>
    <x v="21"/>
    <x v="21"/>
    <n v="2012"/>
    <s v="American Express"/>
    <n v="502.78"/>
    <n v="1"/>
    <x v="1"/>
  </r>
  <r>
    <s v="05-613754402012"/>
    <x v="21"/>
    <x v="21"/>
    <n v="2012"/>
    <s v="Star"/>
    <n v="4176.47"/>
    <n v="9"/>
    <x v="1"/>
  </r>
  <r>
    <s v="05-613754402011"/>
    <x v="21"/>
    <x v="21"/>
    <n v="2011"/>
    <s v="NYCE"/>
    <n v="1071.8599999999999"/>
    <n v="2"/>
    <x v="1"/>
  </r>
  <r>
    <s v="05-613754402012"/>
    <x v="21"/>
    <x v="21"/>
    <n v="2012"/>
    <s v="Debit"/>
    <n v="132065.42000000001"/>
    <n v="282"/>
    <x v="1"/>
  </r>
  <r>
    <s v="05-613754402013"/>
    <x v="21"/>
    <x v="21"/>
    <n v="2013"/>
    <s v="Visa"/>
    <n v="662032.29"/>
    <n v="1253"/>
    <x v="1"/>
  </r>
  <r>
    <s v="05-613754402011"/>
    <x v="21"/>
    <x v="21"/>
    <n v="2011"/>
    <s v="Discover"/>
    <n v="20401.37"/>
    <n v="45"/>
    <x v="1"/>
  </r>
  <r>
    <s v="05-613754402013"/>
    <x v="21"/>
    <x v="21"/>
    <n v="2013"/>
    <s v="Master Card"/>
    <n v="237251.96"/>
    <n v="474"/>
    <x v="1"/>
  </r>
  <r>
    <s v="05-613754402012"/>
    <x v="21"/>
    <x v="21"/>
    <n v="2012"/>
    <s v="Pulse"/>
    <n v="815.92"/>
    <n v="2"/>
    <x v="1"/>
  </r>
  <r>
    <s v="05-613754402011"/>
    <x v="21"/>
    <x v="21"/>
    <n v="2011"/>
    <s v="Debit"/>
    <n v="754.69"/>
    <n v="3"/>
    <x v="1"/>
  </r>
  <r>
    <s v="05-676187142013"/>
    <x v="22"/>
    <x v="22"/>
    <n v="2013"/>
    <s v="Visa"/>
    <n v="1174961.3600000001"/>
    <n v="726"/>
    <x v="0"/>
  </r>
  <r>
    <s v="05-676187142013"/>
    <x v="22"/>
    <x v="22"/>
    <n v="2013"/>
    <s v="Master Card"/>
    <n v="499402.37"/>
    <n v="274"/>
    <x v="1"/>
  </r>
  <r>
    <s v="05-676187142011"/>
    <x v="22"/>
    <x v="22"/>
    <n v="2011"/>
    <s v="Discover"/>
    <n v="14841.26"/>
    <n v="15"/>
    <x v="1"/>
  </r>
  <r>
    <s v="05-676187142011"/>
    <x v="22"/>
    <x v="22"/>
    <n v="2011"/>
    <s v="American Express"/>
    <n v="10791.5"/>
    <n v="3"/>
    <x v="1"/>
  </r>
  <r>
    <s v="05-676187142012"/>
    <x v="22"/>
    <x v="22"/>
    <n v="2012"/>
    <s v="Master Card"/>
    <n v="383457.28000000003"/>
    <n v="227"/>
    <x v="1"/>
  </r>
  <r>
    <s v="05-676187142013"/>
    <x v="22"/>
    <x v="22"/>
    <n v="2013"/>
    <s v="Discover"/>
    <n v="82930.28"/>
    <n v="57"/>
    <x v="1"/>
  </r>
  <r>
    <s v="05-676187142012"/>
    <x v="22"/>
    <x v="22"/>
    <n v="2012"/>
    <s v="Debit"/>
    <n v="188469.81"/>
    <n v="154"/>
    <x v="1"/>
  </r>
  <r>
    <s v="05-676187142012"/>
    <x v="22"/>
    <x v="22"/>
    <n v="2012"/>
    <s v="Visa"/>
    <n v="753327.06"/>
    <n v="519"/>
    <x v="1"/>
  </r>
  <r>
    <s v="05-676187142012"/>
    <x v="22"/>
    <x v="22"/>
    <n v="2012"/>
    <s v="American Express"/>
    <n v="52084.45"/>
    <n v="49"/>
    <x v="1"/>
  </r>
  <r>
    <s v="05-676187142011"/>
    <x v="22"/>
    <x v="22"/>
    <n v="2011"/>
    <s v="Visa"/>
    <n v="823425.11"/>
    <n v="468"/>
    <x v="1"/>
  </r>
  <r>
    <s v="05-676187142011"/>
    <x v="22"/>
    <x v="22"/>
    <n v="2011"/>
    <s v="Master Card"/>
    <n v="314367.81"/>
    <n v="176"/>
    <x v="1"/>
  </r>
  <r>
    <s v="05-676187142012"/>
    <x v="22"/>
    <x v="22"/>
    <n v="2012"/>
    <s v="Discover"/>
    <n v="41066.730000000003"/>
    <n v="25"/>
    <x v="1"/>
  </r>
  <r>
    <s v="05-676187142013"/>
    <x v="22"/>
    <x v="22"/>
    <n v="2013"/>
    <s v="Debit"/>
    <n v="417181.39"/>
    <n v="295"/>
    <x v="1"/>
  </r>
  <r>
    <s v="05-676187142013"/>
    <x v="22"/>
    <x v="22"/>
    <n v="2013"/>
    <s v="American Express"/>
    <n v="65377.94"/>
    <n v="37"/>
    <x v="1"/>
  </r>
  <r>
    <s v="05-718398462011"/>
    <x v="23"/>
    <x v="23"/>
    <n v="2011"/>
    <s v="American Express"/>
    <n v="864698.79"/>
    <n v="422"/>
    <x v="0"/>
  </r>
  <r>
    <s v="05-718398462011"/>
    <x v="23"/>
    <x v="23"/>
    <n v="2011"/>
    <s v="Debit"/>
    <n v="700"/>
    <n v="1"/>
    <x v="1"/>
  </r>
  <r>
    <s v="05-718398462012"/>
    <x v="23"/>
    <x v="23"/>
    <n v="2012"/>
    <s v="Master Card"/>
    <n v="621406.74"/>
    <n v="348"/>
    <x v="1"/>
  </r>
  <r>
    <s v="05-718398462012"/>
    <x v="23"/>
    <x v="23"/>
    <n v="2012"/>
    <s v="Visa"/>
    <n v="912686"/>
    <n v="483"/>
    <x v="1"/>
  </r>
  <r>
    <s v="05-718398462013"/>
    <x v="23"/>
    <x v="23"/>
    <n v="2013"/>
    <s v="Visa"/>
    <n v="827122.83"/>
    <n v="450"/>
    <x v="1"/>
  </r>
  <r>
    <s v="05-718398462013"/>
    <x v="23"/>
    <x v="23"/>
    <n v="2013"/>
    <s v="Master Card"/>
    <n v="638581.18999999994"/>
    <n v="304"/>
    <x v="1"/>
  </r>
  <r>
    <s v="05-718398462013"/>
    <x v="23"/>
    <x v="23"/>
    <n v="2013"/>
    <s v="Debit"/>
    <n v="105076.02"/>
    <n v="84"/>
    <x v="1"/>
  </r>
  <r>
    <s v="05-718398462011"/>
    <x v="23"/>
    <x v="23"/>
    <n v="2011"/>
    <s v="Visa"/>
    <n v="890248.38"/>
    <n v="475"/>
    <x v="1"/>
  </r>
  <r>
    <s v="05-718398462011"/>
    <x v="23"/>
    <x v="23"/>
    <n v="2011"/>
    <s v="Master Card"/>
    <n v="755180.42"/>
    <n v="387"/>
    <x v="1"/>
  </r>
  <r>
    <s v="05-718398462013"/>
    <x v="23"/>
    <x v="23"/>
    <n v="2013"/>
    <s v="American Express"/>
    <n v="892775.28"/>
    <n v="360"/>
    <x v="1"/>
  </r>
  <r>
    <s v="05-718398462012"/>
    <x v="23"/>
    <x v="23"/>
    <n v="2012"/>
    <s v="American Express"/>
    <n v="852709.42"/>
    <n v="419"/>
    <x v="1"/>
  </r>
  <r>
    <s v="05-718398462012"/>
    <x v="23"/>
    <x v="23"/>
    <n v="2012"/>
    <s v="Debit"/>
    <n v="141821.19"/>
    <n v="96"/>
    <x v="1"/>
  </r>
  <r>
    <s v="05-718398462013"/>
    <x v="23"/>
    <x v="23"/>
    <n v="2013"/>
    <s v="Discover"/>
    <n v="14157.9"/>
    <n v="3"/>
    <x v="1"/>
  </r>
  <r>
    <s v="05-731734472013"/>
    <x v="24"/>
    <x v="24"/>
    <n v="2013"/>
    <s v="Master Card"/>
    <n v="171251.56"/>
    <n v="173"/>
    <x v="0"/>
  </r>
  <r>
    <s v="05-731734472013"/>
    <x v="24"/>
    <x v="24"/>
    <n v="2013"/>
    <s v="Visa"/>
    <n v="384016.99"/>
    <n v="347"/>
    <x v="1"/>
  </r>
  <r>
    <s v="05-731734472011"/>
    <x v="24"/>
    <x v="24"/>
    <n v="2011"/>
    <s v="Discover"/>
    <n v="34827.300000000003"/>
    <n v="43"/>
    <x v="1"/>
  </r>
  <r>
    <s v="05-731734472012"/>
    <x v="24"/>
    <x v="24"/>
    <n v="2012"/>
    <s v="Debit"/>
    <n v="58288.3"/>
    <n v="81"/>
    <x v="1"/>
  </r>
  <r>
    <s v="05-731734472012"/>
    <x v="24"/>
    <x v="24"/>
    <n v="2012"/>
    <s v="Master Card"/>
    <n v="181872.61"/>
    <n v="187"/>
    <x v="1"/>
  </r>
  <r>
    <s v="05-731734472013"/>
    <x v="24"/>
    <x v="24"/>
    <n v="2013"/>
    <s v="Discover"/>
    <n v="58420.6"/>
    <n v="51"/>
    <x v="1"/>
  </r>
  <r>
    <s v="05-731734472012"/>
    <x v="24"/>
    <x v="24"/>
    <n v="2012"/>
    <s v="Visa"/>
    <n v="352900.72"/>
    <n v="344"/>
    <x v="1"/>
  </r>
  <r>
    <s v="05-731734472013"/>
    <x v="24"/>
    <x v="24"/>
    <n v="2013"/>
    <s v="Debit"/>
    <n v="89509.86"/>
    <n v="95"/>
    <x v="1"/>
  </r>
  <r>
    <s v="05-731734472011"/>
    <x v="24"/>
    <x v="24"/>
    <n v="2011"/>
    <s v="Visa"/>
    <n v="375116.12"/>
    <n v="378"/>
    <x v="1"/>
  </r>
  <r>
    <s v="05-731734472012"/>
    <x v="24"/>
    <x v="24"/>
    <n v="2012"/>
    <s v="Discover"/>
    <n v="42550.3"/>
    <n v="42"/>
    <x v="1"/>
  </r>
  <r>
    <s v="05-731734472011"/>
    <x v="24"/>
    <x v="24"/>
    <n v="2011"/>
    <s v="Master Card"/>
    <n v="191302.42"/>
    <n v="214"/>
    <x v="1"/>
  </r>
  <r>
    <s v="05-741033862013"/>
    <x v="25"/>
    <x v="25"/>
    <n v="2013"/>
    <s v="Debit"/>
    <n v="98893.37"/>
    <n v="115"/>
    <x v="0"/>
  </r>
  <r>
    <s v="05-741033862013"/>
    <x v="25"/>
    <x v="25"/>
    <n v="2013"/>
    <s v="Visa"/>
    <n v="286163.23"/>
    <n v="305"/>
    <x v="1"/>
  </r>
  <r>
    <s v="05-741033862013"/>
    <x v="25"/>
    <x v="25"/>
    <n v="2013"/>
    <s v="Master Card"/>
    <n v="132981.66"/>
    <n v="140"/>
    <x v="1"/>
  </r>
  <r>
    <s v="05-741033862011"/>
    <x v="25"/>
    <x v="25"/>
    <n v="2011"/>
    <s v="Discover"/>
    <n v="10772.04"/>
    <n v="13"/>
    <x v="1"/>
  </r>
  <r>
    <s v="05-741033862011"/>
    <x v="25"/>
    <x v="25"/>
    <n v="2011"/>
    <s v="eCheck"/>
    <n v="111"/>
    <n v="1"/>
    <x v="1"/>
  </r>
  <r>
    <s v="05-741033862012"/>
    <x v="25"/>
    <x v="25"/>
    <n v="2012"/>
    <s v="American Express"/>
    <n v="115004.73"/>
    <n v="110"/>
    <x v="1"/>
  </r>
  <r>
    <s v="05-741033862012"/>
    <x v="25"/>
    <x v="25"/>
    <n v="2012"/>
    <s v="Debit"/>
    <n v="101883.22"/>
    <n v="132"/>
    <x v="1"/>
  </r>
  <r>
    <s v="05-741033862012"/>
    <x v="25"/>
    <x v="25"/>
    <n v="2012"/>
    <s v="Discover"/>
    <n v="16827.099999999999"/>
    <n v="20"/>
    <x v="1"/>
  </r>
  <r>
    <s v="05-741033862011"/>
    <x v="25"/>
    <x v="25"/>
    <n v="2011"/>
    <s v="American Express"/>
    <n v="98392"/>
    <n v="117"/>
    <x v="1"/>
  </r>
  <r>
    <s v="05-741033862011"/>
    <x v="25"/>
    <x v="25"/>
    <n v="2011"/>
    <s v="Visa"/>
    <n v="434834.39"/>
    <n v="570"/>
    <x v="1"/>
  </r>
  <r>
    <s v="05-741033862013"/>
    <x v="25"/>
    <x v="25"/>
    <n v="2013"/>
    <s v="Discover"/>
    <n v="15925.46"/>
    <n v="14"/>
    <x v="1"/>
  </r>
  <r>
    <s v="05-741033862011"/>
    <x v="25"/>
    <x v="25"/>
    <n v="2011"/>
    <s v="Master Card"/>
    <n v="166342.28"/>
    <n v="197"/>
    <x v="1"/>
  </r>
  <r>
    <s v="05-741033862013"/>
    <x v="25"/>
    <x v="25"/>
    <n v="2013"/>
    <s v="American Express"/>
    <n v="114800.44"/>
    <n v="103"/>
    <x v="1"/>
  </r>
  <r>
    <s v="05-741033862012"/>
    <x v="25"/>
    <x v="25"/>
    <n v="2012"/>
    <s v="Master Card"/>
    <n v="134077.24"/>
    <n v="156"/>
    <x v="1"/>
  </r>
  <r>
    <s v="05-741033862012"/>
    <x v="25"/>
    <x v="25"/>
    <n v="2012"/>
    <s v="Visa"/>
    <n v="312675.01"/>
    <n v="381"/>
    <x v="1"/>
  </r>
  <r>
    <s v="05-750084792013"/>
    <x v="26"/>
    <x v="26"/>
    <n v="2013"/>
    <s v="Master Card"/>
    <n v="163084.49"/>
    <n v="180"/>
    <x v="0"/>
  </r>
  <r>
    <s v="05-750084792012"/>
    <x v="26"/>
    <x v="26"/>
    <n v="2012"/>
    <s v="eCheck"/>
    <n v="19314.599999999999"/>
    <n v="4"/>
    <x v="1"/>
  </r>
  <r>
    <s v="05-750084792013"/>
    <x v="26"/>
    <x v="26"/>
    <n v="2013"/>
    <s v="Visa"/>
    <n v="259027.79"/>
    <n v="268"/>
    <x v="1"/>
  </r>
  <r>
    <s v="05-750084792011"/>
    <x v="26"/>
    <x v="26"/>
    <n v="2011"/>
    <s v="Discover"/>
    <n v="58614.86"/>
    <n v="74"/>
    <x v="1"/>
  </r>
  <r>
    <s v="05-750084792011"/>
    <x v="26"/>
    <x v="26"/>
    <n v="2011"/>
    <s v="eCheck"/>
    <n v="11343"/>
    <n v="9"/>
    <x v="1"/>
  </r>
  <r>
    <s v="05-750084792013"/>
    <x v="26"/>
    <x v="26"/>
    <n v="2013"/>
    <s v="Debit"/>
    <n v="130031.62"/>
    <n v="163"/>
    <x v="1"/>
  </r>
  <r>
    <s v="05-750084792012"/>
    <x v="26"/>
    <x v="26"/>
    <n v="2012"/>
    <s v="Discover"/>
    <n v="62598.18"/>
    <n v="66"/>
    <x v="1"/>
  </r>
  <r>
    <s v="05-750084792011"/>
    <x v="26"/>
    <x v="26"/>
    <n v="2011"/>
    <s v="Visa"/>
    <n v="614499.27"/>
    <n v="725"/>
    <x v="1"/>
  </r>
  <r>
    <s v="05-750084792013"/>
    <x v="26"/>
    <x v="26"/>
    <n v="2013"/>
    <s v="Discover"/>
    <n v="40760.949999999997"/>
    <n v="47"/>
    <x v="1"/>
  </r>
  <r>
    <s v="05-750084792012"/>
    <x v="26"/>
    <x v="26"/>
    <n v="2012"/>
    <s v="Debit"/>
    <n v="184104.21"/>
    <n v="247"/>
    <x v="1"/>
  </r>
  <r>
    <s v="05-750084792011"/>
    <x v="26"/>
    <x v="26"/>
    <n v="2011"/>
    <s v="Master Card"/>
    <n v="274193.09000000003"/>
    <n v="296"/>
    <x v="1"/>
  </r>
  <r>
    <s v="05-750084792012"/>
    <x v="26"/>
    <x v="26"/>
    <n v="2012"/>
    <s v="American Express"/>
    <n v="4487"/>
    <n v="5"/>
    <x v="1"/>
  </r>
  <r>
    <s v="05-750084792012"/>
    <x v="26"/>
    <x v="26"/>
    <n v="2012"/>
    <s v="Visa"/>
    <n v="434162.3"/>
    <n v="448"/>
    <x v="1"/>
  </r>
  <r>
    <s v="05-750084792012"/>
    <x v="26"/>
    <x v="26"/>
    <n v="2012"/>
    <s v="Master Card"/>
    <n v="217444.56"/>
    <n v="243"/>
    <x v="1"/>
  </r>
  <r>
    <s v="05-750084792011"/>
    <x v="26"/>
    <x v="26"/>
    <n v="2011"/>
    <s v="Debit"/>
    <n v="1132"/>
    <n v="2"/>
    <x v="1"/>
  </r>
  <r>
    <s v="05-750084792013"/>
    <x v="26"/>
    <x v="26"/>
    <n v="2013"/>
    <s v="eCheck"/>
    <n v="38055.42"/>
    <n v="26"/>
    <x v="1"/>
  </r>
  <r>
    <s v="05-750084792011"/>
    <x v="26"/>
    <x v="26"/>
    <n v="2011"/>
    <s v="American Express"/>
    <n v="722.4"/>
    <n v="1"/>
    <x v="1"/>
  </r>
  <r>
    <s v="05-755151772013"/>
    <x v="27"/>
    <x v="27"/>
    <n v="2013"/>
    <s v="Debit"/>
    <n v="168922.93"/>
    <n v="398"/>
    <x v="0"/>
  </r>
  <r>
    <s v="05-755151772011"/>
    <x v="27"/>
    <x v="27"/>
    <n v="2011"/>
    <s v="eCheck"/>
    <n v="1252.8800000000001"/>
    <n v="3"/>
    <x v="1"/>
  </r>
  <r>
    <s v="05-755151772013"/>
    <x v="27"/>
    <x v="27"/>
    <n v="2013"/>
    <s v="American Express"/>
    <n v="37103.21"/>
    <n v="62"/>
    <x v="1"/>
  </r>
  <r>
    <s v="05-755151772012"/>
    <x v="27"/>
    <x v="27"/>
    <n v="2012"/>
    <s v="Discover"/>
    <n v="24620.35"/>
    <n v="42"/>
    <x v="1"/>
  </r>
  <r>
    <s v="05-755151772013"/>
    <x v="27"/>
    <x v="27"/>
    <n v="2013"/>
    <s v="Visa"/>
    <n v="141608.97"/>
    <n v="210"/>
    <x v="1"/>
  </r>
  <r>
    <s v="05-755151772012"/>
    <x v="27"/>
    <x v="27"/>
    <n v="2012"/>
    <s v="eCheck"/>
    <n v="11935.69"/>
    <n v="14"/>
    <x v="1"/>
  </r>
  <r>
    <s v="05-755151772013"/>
    <x v="27"/>
    <x v="27"/>
    <n v="2013"/>
    <s v="Master Card"/>
    <n v="73835.839999999997"/>
    <n v="126"/>
    <x v="1"/>
  </r>
  <r>
    <s v="05-755151772011"/>
    <x v="27"/>
    <x v="27"/>
    <n v="2011"/>
    <s v="Discover"/>
    <n v="20149.46"/>
    <n v="44"/>
    <x v="1"/>
  </r>
  <r>
    <s v="05-755151772012"/>
    <x v="27"/>
    <x v="27"/>
    <n v="2012"/>
    <s v="Visa"/>
    <n v="141867.51"/>
    <n v="238"/>
    <x v="1"/>
  </r>
  <r>
    <s v="05-755151772011"/>
    <x v="27"/>
    <x v="27"/>
    <n v="2011"/>
    <s v="American Express"/>
    <n v="71101.33"/>
    <n v="125"/>
    <x v="1"/>
  </r>
  <r>
    <s v="05-755151772013"/>
    <x v="27"/>
    <x v="27"/>
    <n v="2013"/>
    <s v="eCheck"/>
    <n v="20899.14"/>
    <n v="40"/>
    <x v="1"/>
  </r>
  <r>
    <s v="05-755151772012"/>
    <x v="27"/>
    <x v="27"/>
    <n v="2012"/>
    <s v="Master Card"/>
    <n v="116365.93"/>
    <n v="214"/>
    <x v="1"/>
  </r>
  <r>
    <s v="05-755151772013"/>
    <x v="27"/>
    <x v="27"/>
    <n v="2013"/>
    <s v="Discover"/>
    <n v="12909.6"/>
    <n v="25"/>
    <x v="1"/>
  </r>
  <r>
    <s v="05-755151772012"/>
    <x v="27"/>
    <x v="27"/>
    <n v="2012"/>
    <s v="American Express"/>
    <n v="35694.69"/>
    <n v="68"/>
    <x v="1"/>
  </r>
  <r>
    <s v="05-755151772011"/>
    <x v="27"/>
    <x v="27"/>
    <n v="2011"/>
    <s v="Master Card"/>
    <n v="185046.44"/>
    <n v="305"/>
    <x v="1"/>
  </r>
  <r>
    <s v="05-755151772012"/>
    <x v="27"/>
    <x v="27"/>
    <n v="2012"/>
    <s v="Debit"/>
    <n v="216496.33"/>
    <n v="453"/>
    <x v="1"/>
  </r>
  <r>
    <s v="05-755151772011"/>
    <x v="27"/>
    <x v="27"/>
    <n v="2011"/>
    <s v="Visa"/>
    <n v="354974.46"/>
    <n v="689"/>
    <x v="1"/>
  </r>
  <r>
    <s v="05-756551672013"/>
    <x v="28"/>
    <x v="28"/>
    <n v="2013"/>
    <s v="American Express"/>
    <n v="111896.95"/>
    <n v="165"/>
    <x v="0"/>
  </r>
  <r>
    <s v="05-756551672013"/>
    <x v="28"/>
    <x v="28"/>
    <n v="2013"/>
    <s v="Debit"/>
    <n v="209906.23"/>
    <n v="363"/>
    <x v="1"/>
  </r>
  <r>
    <s v="05-756551672012"/>
    <x v="28"/>
    <x v="28"/>
    <n v="2012"/>
    <s v="Star"/>
    <n v="12686.67"/>
    <n v="19"/>
    <x v="1"/>
  </r>
  <r>
    <s v="05-756551672012"/>
    <x v="28"/>
    <x v="28"/>
    <n v="2012"/>
    <s v="Visa"/>
    <n v="454097.77"/>
    <n v="628"/>
    <x v="1"/>
  </r>
  <r>
    <s v="05-756551672013"/>
    <x v="28"/>
    <x v="28"/>
    <n v="2013"/>
    <s v="Discover"/>
    <n v="47438.81"/>
    <n v="66"/>
    <x v="1"/>
  </r>
  <r>
    <s v="05-756551672012"/>
    <x v="28"/>
    <x v="28"/>
    <n v="2012"/>
    <s v="Master Card"/>
    <n v="275810.11"/>
    <n v="403"/>
    <x v="1"/>
  </r>
  <r>
    <s v="05-756551672012"/>
    <x v="28"/>
    <x v="28"/>
    <n v="2012"/>
    <s v="Pulse"/>
    <n v="29875.919999999998"/>
    <n v="51"/>
    <x v="1"/>
  </r>
  <r>
    <s v="05-756551672012"/>
    <x v="28"/>
    <x v="28"/>
    <n v="2012"/>
    <s v="Debit"/>
    <n v="166072.69"/>
    <n v="301"/>
    <x v="1"/>
  </r>
  <r>
    <s v="05-756551672012"/>
    <x v="28"/>
    <x v="28"/>
    <n v="2012"/>
    <s v="American Express"/>
    <n v="115542.87"/>
    <n v="139"/>
    <x v="1"/>
  </r>
  <r>
    <s v="05-756551672011"/>
    <x v="28"/>
    <x v="28"/>
    <n v="2011"/>
    <s v="NYCE"/>
    <n v="19779.060000000001"/>
    <n v="42"/>
    <x v="1"/>
  </r>
  <r>
    <s v="05-756551672011"/>
    <x v="28"/>
    <x v="28"/>
    <n v="2011"/>
    <s v="Discover"/>
    <n v="39480.239999999998"/>
    <n v="53"/>
    <x v="1"/>
  </r>
  <r>
    <s v="05-756551672011"/>
    <x v="28"/>
    <x v="28"/>
    <n v="2011"/>
    <s v="Pulse"/>
    <n v="54653.27"/>
    <n v="94"/>
    <x v="1"/>
  </r>
  <r>
    <s v="05-756551672011"/>
    <x v="28"/>
    <x v="28"/>
    <n v="2011"/>
    <s v="American Express"/>
    <n v="128572.45"/>
    <n v="162"/>
    <x v="1"/>
  </r>
  <r>
    <s v="05-756551672013"/>
    <x v="28"/>
    <x v="28"/>
    <n v="2013"/>
    <s v="Visa"/>
    <n v="350891.24"/>
    <n v="508"/>
    <x v="1"/>
  </r>
  <r>
    <s v="05-756551672013"/>
    <x v="28"/>
    <x v="28"/>
    <n v="2013"/>
    <s v="Master Card"/>
    <n v="213200.89"/>
    <n v="308"/>
    <x v="1"/>
  </r>
  <r>
    <s v="05-756551672012"/>
    <x v="28"/>
    <x v="28"/>
    <n v="2012"/>
    <s v="NYCE"/>
    <n v="18639.59"/>
    <n v="27"/>
    <x v="1"/>
  </r>
  <r>
    <s v="05-756551672012"/>
    <x v="28"/>
    <x v="28"/>
    <n v="2012"/>
    <s v="Discover"/>
    <n v="60117.71"/>
    <n v="83"/>
    <x v="1"/>
  </r>
  <r>
    <s v="05-756551672011"/>
    <x v="28"/>
    <x v="28"/>
    <n v="2011"/>
    <s v="Star"/>
    <n v="31713.02"/>
    <n v="57"/>
    <x v="1"/>
  </r>
  <r>
    <s v="05-756551672011"/>
    <x v="28"/>
    <x v="28"/>
    <n v="2011"/>
    <s v="Visa"/>
    <n v="408476.2"/>
    <n v="570"/>
    <x v="1"/>
  </r>
  <r>
    <s v="05-756551672011"/>
    <x v="28"/>
    <x v="28"/>
    <n v="2011"/>
    <s v="Debit"/>
    <n v="975"/>
    <n v="2"/>
    <x v="1"/>
  </r>
  <r>
    <s v="05-756551672011"/>
    <x v="28"/>
    <x v="28"/>
    <n v="2011"/>
    <s v="Master Card"/>
    <n v="211905.29"/>
    <n v="313"/>
    <x v="1"/>
  </r>
  <r>
    <s v="05-776169332012"/>
    <x v="29"/>
    <x v="29"/>
    <n v="2012"/>
    <s v="Debit"/>
    <n v="68729.84"/>
    <n v="177"/>
    <x v="0"/>
  </r>
  <r>
    <s v="05-776169332011"/>
    <x v="29"/>
    <x v="29"/>
    <n v="2011"/>
    <s v="NYCE"/>
    <n v="6522.63"/>
    <n v="16"/>
    <x v="1"/>
  </r>
  <r>
    <s v="05-776169332013"/>
    <x v="29"/>
    <x v="29"/>
    <n v="2013"/>
    <s v="Visa"/>
    <n v="302402.13"/>
    <n v="678"/>
    <x v="1"/>
  </r>
  <r>
    <s v="05-776169332012"/>
    <x v="29"/>
    <x v="29"/>
    <n v="2012"/>
    <s v="Pulse"/>
    <n v="1444.25"/>
    <n v="5"/>
    <x v="1"/>
  </r>
  <r>
    <s v="05-776169332013"/>
    <x v="29"/>
    <x v="29"/>
    <n v="2013"/>
    <s v="Master Card"/>
    <n v="206935.28"/>
    <n v="415"/>
    <x v="1"/>
  </r>
  <r>
    <s v="05-776169332011"/>
    <x v="29"/>
    <x v="29"/>
    <n v="2011"/>
    <s v="Master Card"/>
    <n v="169347.88"/>
    <n v="349"/>
    <x v="1"/>
  </r>
  <r>
    <s v="05-776169332011"/>
    <x v="29"/>
    <x v="29"/>
    <n v="2011"/>
    <s v="Visa"/>
    <n v="305625.05"/>
    <n v="662"/>
    <x v="1"/>
  </r>
  <r>
    <s v="05-776169332011"/>
    <x v="29"/>
    <x v="29"/>
    <n v="2011"/>
    <s v="Pulse"/>
    <n v="6155.2"/>
    <n v="25"/>
    <x v="1"/>
  </r>
  <r>
    <s v="05-776169332011"/>
    <x v="29"/>
    <x v="29"/>
    <n v="2011"/>
    <s v="Star"/>
    <n v="9339.7999999999993"/>
    <n v="30"/>
    <x v="1"/>
  </r>
  <r>
    <s v="05-776169332012"/>
    <x v="29"/>
    <x v="29"/>
    <n v="2012"/>
    <s v="Visa"/>
    <n v="283299.23"/>
    <n v="660"/>
    <x v="1"/>
  </r>
  <r>
    <s v="05-776169332012"/>
    <x v="29"/>
    <x v="29"/>
    <n v="2012"/>
    <s v="Star"/>
    <n v="477.7"/>
    <n v="2"/>
    <x v="1"/>
  </r>
  <r>
    <s v="05-776169332012"/>
    <x v="29"/>
    <x v="29"/>
    <n v="2012"/>
    <s v="Master Card"/>
    <n v="189287.61"/>
    <n v="385"/>
    <x v="1"/>
  </r>
  <r>
    <s v="05-776169332013"/>
    <x v="29"/>
    <x v="29"/>
    <n v="2013"/>
    <s v="Debit"/>
    <n v="111366.66"/>
    <n v="237"/>
    <x v="1"/>
  </r>
  <r>
    <s v="05-777046292011"/>
    <x v="30"/>
    <x v="30"/>
    <n v="2011"/>
    <s v="Pulse"/>
    <n v="7335.07"/>
    <n v="62"/>
    <x v="0"/>
  </r>
  <r>
    <s v="05-777046292013"/>
    <x v="30"/>
    <x v="30"/>
    <n v="2013"/>
    <s v="Master Card"/>
    <n v="57232.55"/>
    <n v="468"/>
    <x v="1"/>
  </r>
  <r>
    <s v="05-777046292011"/>
    <x v="30"/>
    <x v="30"/>
    <n v="2011"/>
    <s v="Discover"/>
    <n v="8407.35"/>
    <n v="63"/>
    <x v="1"/>
  </r>
  <r>
    <s v="05-777046292012"/>
    <x v="30"/>
    <x v="30"/>
    <n v="2012"/>
    <s v="Star"/>
    <n v="6219.06"/>
    <n v="52"/>
    <x v="1"/>
  </r>
  <r>
    <s v="05-777046292011"/>
    <x v="30"/>
    <x v="30"/>
    <n v="2011"/>
    <s v="Debit"/>
    <n v="1933"/>
    <n v="16"/>
    <x v="1"/>
  </r>
  <r>
    <s v="05-777046292013"/>
    <x v="30"/>
    <x v="30"/>
    <n v="2013"/>
    <s v="Visa"/>
    <n v="94985.12"/>
    <n v="561"/>
    <x v="1"/>
  </r>
  <r>
    <s v="05-777046292012"/>
    <x v="30"/>
    <x v="30"/>
    <n v="2012"/>
    <s v="eCheck"/>
    <n v="51247.8"/>
    <n v="264"/>
    <x v="1"/>
  </r>
  <r>
    <s v="05-777046292012"/>
    <x v="30"/>
    <x v="30"/>
    <n v="2012"/>
    <s v="Discover"/>
    <n v="11800.66"/>
    <n v="85"/>
    <x v="1"/>
  </r>
  <r>
    <s v="05-777046292011"/>
    <x v="30"/>
    <x v="30"/>
    <n v="2011"/>
    <s v="eCheck"/>
    <n v="24802"/>
    <n v="151"/>
    <x v="1"/>
  </r>
  <r>
    <s v="05-777046292011"/>
    <x v="30"/>
    <x v="30"/>
    <n v="2011"/>
    <s v="NYCE"/>
    <n v="4320"/>
    <n v="30"/>
    <x v="1"/>
  </r>
  <r>
    <s v="05-777046292013"/>
    <x v="30"/>
    <x v="30"/>
    <n v="2013"/>
    <s v="Debit"/>
    <n v="217067.25"/>
    <n v="1853"/>
    <x v="1"/>
  </r>
  <r>
    <s v="05-777046292011"/>
    <x v="30"/>
    <x v="30"/>
    <n v="2011"/>
    <s v="Master Card"/>
    <n v="73366.13"/>
    <n v="627"/>
    <x v="1"/>
  </r>
  <r>
    <s v="05-777046292012"/>
    <x v="30"/>
    <x v="30"/>
    <n v="2012"/>
    <s v="Pulse"/>
    <n v="10511.19"/>
    <n v="91"/>
    <x v="1"/>
  </r>
  <r>
    <s v="05-777046292012"/>
    <x v="30"/>
    <x v="30"/>
    <n v="2012"/>
    <s v="NYCE"/>
    <n v="2877"/>
    <n v="30"/>
    <x v="1"/>
  </r>
  <r>
    <s v="05-777046292011"/>
    <x v="30"/>
    <x v="30"/>
    <n v="2011"/>
    <s v="Visa"/>
    <n v="233086.44"/>
    <n v="1700"/>
    <x v="1"/>
  </r>
  <r>
    <s v="05-777046292013"/>
    <x v="30"/>
    <x v="30"/>
    <n v="2013"/>
    <s v="eCheck"/>
    <n v="55703.24"/>
    <n v="307"/>
    <x v="1"/>
  </r>
  <r>
    <s v="05-777046292012"/>
    <x v="30"/>
    <x v="30"/>
    <n v="2012"/>
    <s v="Visa"/>
    <n v="89423.81"/>
    <n v="528"/>
    <x v="1"/>
  </r>
  <r>
    <s v="05-777046292013"/>
    <x v="30"/>
    <x v="30"/>
    <n v="2013"/>
    <s v="Discover"/>
    <n v="7370.14"/>
    <n v="53"/>
    <x v="1"/>
  </r>
  <r>
    <s v="05-777046292012"/>
    <x v="30"/>
    <x v="30"/>
    <n v="2012"/>
    <s v="Debit"/>
    <n v="192416.26"/>
    <n v="1597"/>
    <x v="1"/>
  </r>
  <r>
    <s v="05-777046292011"/>
    <x v="30"/>
    <x v="30"/>
    <n v="2011"/>
    <s v="Star"/>
    <n v="1356"/>
    <n v="16"/>
    <x v="1"/>
  </r>
  <r>
    <s v="05-777046292012"/>
    <x v="30"/>
    <x v="30"/>
    <n v="2012"/>
    <s v="Master Card"/>
    <n v="70464.649999999994"/>
    <n v="554"/>
    <x v="1"/>
  </r>
  <r>
    <s v="05-794243722013"/>
    <x v="31"/>
    <x v="31"/>
    <n v="2013"/>
    <s v="Discover"/>
    <n v="130083.76"/>
    <n v="112"/>
    <x v="0"/>
  </r>
  <r>
    <s v="05-794243722013"/>
    <x v="31"/>
    <x v="31"/>
    <n v="2013"/>
    <s v="eCheck"/>
    <n v="1981.78"/>
    <n v="2"/>
    <x v="1"/>
  </r>
  <r>
    <s v="05-794243722012"/>
    <x v="31"/>
    <x v="31"/>
    <n v="2012"/>
    <s v="Debit"/>
    <n v="243872.01"/>
    <n v="273"/>
    <x v="1"/>
  </r>
  <r>
    <s v="05-794243722012"/>
    <x v="31"/>
    <x v="31"/>
    <n v="2012"/>
    <s v="Visa"/>
    <n v="716754.63"/>
    <n v="625"/>
    <x v="1"/>
  </r>
  <r>
    <s v="05-794243722012"/>
    <x v="31"/>
    <x v="31"/>
    <n v="2012"/>
    <s v="Master Card"/>
    <n v="265792.89"/>
    <n v="256"/>
    <x v="1"/>
  </r>
  <r>
    <s v="05-794243722012"/>
    <x v="31"/>
    <x v="31"/>
    <n v="2012"/>
    <s v="American Express"/>
    <n v="126855.8"/>
    <n v="102"/>
    <x v="1"/>
  </r>
  <r>
    <s v="05-794243722011"/>
    <x v="31"/>
    <x v="31"/>
    <n v="2011"/>
    <s v="Visa"/>
    <n v="762387.45"/>
    <n v="752"/>
    <x v="1"/>
  </r>
  <r>
    <s v="05-794243722011"/>
    <x v="31"/>
    <x v="31"/>
    <n v="2011"/>
    <s v="Master Card"/>
    <n v="310195.01"/>
    <n v="325"/>
    <x v="1"/>
  </r>
  <r>
    <s v="05-794243722011"/>
    <x v="31"/>
    <x v="31"/>
    <n v="2011"/>
    <s v="eCheck"/>
    <n v="765.89"/>
    <n v="1"/>
    <x v="1"/>
  </r>
  <r>
    <s v="05-794243722012"/>
    <x v="31"/>
    <x v="31"/>
    <n v="2012"/>
    <s v="Discover"/>
    <n v="103572.09"/>
    <n v="106"/>
    <x v="1"/>
  </r>
  <r>
    <s v="05-794243722013"/>
    <x v="31"/>
    <x v="31"/>
    <n v="2013"/>
    <s v="American Express"/>
    <n v="117469.49"/>
    <n v="85"/>
    <x v="1"/>
  </r>
  <r>
    <s v="05-794243722013"/>
    <x v="31"/>
    <x v="31"/>
    <n v="2013"/>
    <s v="Debit"/>
    <n v="225381.35"/>
    <n v="257"/>
    <x v="1"/>
  </r>
  <r>
    <s v="05-794243722013"/>
    <x v="31"/>
    <x v="31"/>
    <n v="2013"/>
    <s v="Master Card"/>
    <n v="277218.62"/>
    <n v="250"/>
    <x v="1"/>
  </r>
  <r>
    <s v="05-794243722011"/>
    <x v="31"/>
    <x v="31"/>
    <n v="2011"/>
    <s v="American Express"/>
    <n v="134079.67999999999"/>
    <n v="118"/>
    <x v="1"/>
  </r>
  <r>
    <s v="05-794243722011"/>
    <x v="31"/>
    <x v="31"/>
    <n v="2011"/>
    <s v="Discover"/>
    <n v="114573.57"/>
    <n v="106"/>
    <x v="1"/>
  </r>
  <r>
    <s v="05-794243722012"/>
    <x v="31"/>
    <x v="31"/>
    <n v="2012"/>
    <s v="eCheck"/>
    <n v="309.58"/>
    <n v="1"/>
    <x v="1"/>
  </r>
  <r>
    <s v="05-794243722013"/>
    <x v="31"/>
    <x v="31"/>
    <n v="2013"/>
    <s v="Visa"/>
    <n v="663458.88"/>
    <n v="531"/>
    <x v="1"/>
  </r>
  <r>
    <s v="05-795329632011"/>
    <x v="32"/>
    <x v="32"/>
    <n v="2011"/>
    <s v="Pulse"/>
    <n v="367144.75"/>
    <n v="371"/>
    <x v="0"/>
  </r>
  <r>
    <s v="05-795329632012"/>
    <x v="32"/>
    <x v="32"/>
    <n v="2012"/>
    <s v="eCheck"/>
    <n v="109"/>
    <n v="1"/>
    <x v="1"/>
  </r>
  <r>
    <s v="05-795329632011"/>
    <x v="32"/>
    <x v="32"/>
    <n v="2011"/>
    <s v="eCheck"/>
    <n v="514222.35"/>
    <n v="347"/>
    <x v="1"/>
  </r>
  <r>
    <s v="05-795329632011"/>
    <x v="32"/>
    <x v="32"/>
    <n v="2011"/>
    <s v="NYCE"/>
    <n v="400518.44"/>
    <n v="389"/>
    <x v="1"/>
  </r>
  <r>
    <s v="05-795329632011"/>
    <x v="32"/>
    <x v="32"/>
    <n v="2011"/>
    <s v="Visa"/>
    <n v="15637214.359999999"/>
    <n v="10295"/>
    <x v="1"/>
  </r>
  <r>
    <s v="05-795329632011"/>
    <x v="32"/>
    <x v="32"/>
    <n v="2011"/>
    <s v="Master Card"/>
    <n v="8488390.8200000003"/>
    <n v="5270"/>
    <x v="1"/>
  </r>
  <r>
    <s v="05-795329632011"/>
    <x v="32"/>
    <x v="32"/>
    <n v="2011"/>
    <s v="Star"/>
    <n v="585896.56999999995"/>
    <n v="609"/>
    <x v="1"/>
  </r>
  <r>
    <s v="05-799126802013"/>
    <x v="33"/>
    <x v="33"/>
    <n v="2013"/>
    <s v="Discover"/>
    <n v="470913.77"/>
    <n v="460"/>
    <x v="0"/>
  </r>
  <r>
    <s v="05-799126802012"/>
    <x v="33"/>
    <x v="33"/>
    <n v="2012"/>
    <s v="Visa"/>
    <n v="3075283.82"/>
    <n v="2788"/>
    <x v="1"/>
  </r>
  <r>
    <s v="05-799126802012"/>
    <x v="33"/>
    <x v="33"/>
    <n v="2012"/>
    <s v="Master Card"/>
    <n v="1756162.81"/>
    <n v="1674"/>
    <x v="1"/>
  </r>
  <r>
    <s v="05-799126802012"/>
    <x v="33"/>
    <x v="33"/>
    <n v="2012"/>
    <s v="Discover"/>
    <n v="446777.7"/>
    <n v="430"/>
    <x v="1"/>
  </r>
  <r>
    <s v="05-799126802012"/>
    <x v="33"/>
    <x v="33"/>
    <n v="2012"/>
    <s v="American Express"/>
    <n v="1568287.88"/>
    <n v="1265"/>
    <x v="1"/>
  </r>
  <r>
    <s v="05-799126802011"/>
    <x v="33"/>
    <x v="33"/>
    <n v="2011"/>
    <s v="Visa"/>
    <n v="3208779.96"/>
    <n v="2789"/>
    <x v="1"/>
  </r>
  <r>
    <s v="05-799126802012"/>
    <x v="33"/>
    <x v="33"/>
    <n v="2012"/>
    <s v="Debit"/>
    <n v="691408.89"/>
    <n v="851"/>
    <x v="1"/>
  </r>
  <r>
    <s v="05-799126802011"/>
    <x v="33"/>
    <x v="33"/>
    <n v="2011"/>
    <s v="Master Card"/>
    <n v="1612073.39"/>
    <n v="1427"/>
    <x v="1"/>
  </r>
  <r>
    <s v="05-799126802013"/>
    <x v="33"/>
    <x v="33"/>
    <n v="2013"/>
    <s v="Debit"/>
    <n v="742190.12"/>
    <n v="970"/>
    <x v="1"/>
  </r>
  <r>
    <s v="05-799126802013"/>
    <x v="33"/>
    <x v="33"/>
    <n v="2013"/>
    <s v="Visa"/>
    <n v="3041327.13"/>
    <n v="2891"/>
    <x v="1"/>
  </r>
  <r>
    <s v="05-799126802013"/>
    <x v="33"/>
    <x v="33"/>
    <n v="2013"/>
    <s v="Master Card"/>
    <n v="1588225.28"/>
    <n v="1531"/>
    <x v="1"/>
  </r>
  <r>
    <s v="05-799126802013"/>
    <x v="33"/>
    <x v="33"/>
    <n v="2013"/>
    <s v="American Express"/>
    <n v="1609298.45"/>
    <n v="1328"/>
    <x v="1"/>
  </r>
  <r>
    <s v="05-799126802011"/>
    <x v="33"/>
    <x v="33"/>
    <n v="2011"/>
    <s v="Discover"/>
    <n v="462798.41"/>
    <n v="417"/>
    <x v="1"/>
  </r>
  <r>
    <s v="05-799126802011"/>
    <x v="33"/>
    <x v="33"/>
    <n v="2011"/>
    <s v="American Express"/>
    <n v="1415496.22"/>
    <n v="1070"/>
    <x v="1"/>
  </r>
  <r>
    <s v="05-800529822013"/>
    <x v="34"/>
    <x v="34"/>
    <n v="2013"/>
    <s v="Discover"/>
    <n v="86447.45"/>
    <n v="176"/>
    <x v="0"/>
  </r>
  <r>
    <s v="05-800529822011"/>
    <x v="34"/>
    <x v="34"/>
    <n v="2011"/>
    <s v="Star"/>
    <n v="12758"/>
    <n v="48"/>
    <x v="1"/>
  </r>
  <r>
    <s v="05-800529822012"/>
    <x v="34"/>
    <x v="34"/>
    <n v="2012"/>
    <s v="Debit"/>
    <n v="125775.69"/>
    <n v="463"/>
    <x v="1"/>
  </r>
  <r>
    <s v="05-800529822012"/>
    <x v="34"/>
    <x v="34"/>
    <n v="2012"/>
    <s v="Master Card"/>
    <n v="315688.13"/>
    <n v="730"/>
    <x v="1"/>
  </r>
  <r>
    <s v="05-800529822012"/>
    <x v="34"/>
    <x v="34"/>
    <n v="2012"/>
    <s v="Visa"/>
    <n v="496061.66"/>
    <n v="1125"/>
    <x v="1"/>
  </r>
  <r>
    <s v="05-800529822011"/>
    <x v="34"/>
    <x v="34"/>
    <n v="2011"/>
    <s v="eCheck"/>
    <n v="2700"/>
    <n v="1"/>
    <x v="1"/>
  </r>
  <r>
    <s v="05-800529822011"/>
    <x v="34"/>
    <x v="34"/>
    <n v="2011"/>
    <s v="Discover"/>
    <n v="66767.839999999997"/>
    <n v="173"/>
    <x v="1"/>
  </r>
  <r>
    <s v="05-800529822011"/>
    <x v="34"/>
    <x v="34"/>
    <n v="2011"/>
    <s v="Debit"/>
    <n v="241.98"/>
    <n v="1"/>
    <x v="1"/>
  </r>
  <r>
    <s v="05-800529822013"/>
    <x v="34"/>
    <x v="34"/>
    <n v="2013"/>
    <s v="Master Card"/>
    <n v="284599.38"/>
    <n v="601"/>
    <x v="1"/>
  </r>
  <r>
    <s v="05-800529822011"/>
    <x v="34"/>
    <x v="34"/>
    <n v="2011"/>
    <s v="NYCE"/>
    <n v="14617.64"/>
    <n v="46"/>
    <x v="1"/>
  </r>
  <r>
    <s v="05-800529822013"/>
    <x v="34"/>
    <x v="34"/>
    <n v="2013"/>
    <s v="Visa"/>
    <n v="478550.96"/>
    <n v="1039"/>
    <x v="1"/>
  </r>
  <r>
    <s v="05-800529822013"/>
    <x v="34"/>
    <x v="34"/>
    <n v="2013"/>
    <s v="Debit"/>
    <n v="144924.44"/>
    <n v="502"/>
    <x v="1"/>
  </r>
  <r>
    <s v="05-800529822011"/>
    <x v="34"/>
    <x v="34"/>
    <n v="2011"/>
    <s v="Pulse"/>
    <n v="20195.55"/>
    <n v="65"/>
    <x v="1"/>
  </r>
  <r>
    <s v="05-800529822012"/>
    <x v="34"/>
    <x v="34"/>
    <n v="2012"/>
    <s v="Discover"/>
    <n v="62678.47"/>
    <n v="155"/>
    <x v="1"/>
  </r>
  <r>
    <s v="05-800529822011"/>
    <x v="34"/>
    <x v="34"/>
    <n v="2011"/>
    <s v="Visa"/>
    <n v="555419.56999999995"/>
    <n v="1528"/>
    <x v="1"/>
  </r>
  <r>
    <s v="05-800529822011"/>
    <x v="34"/>
    <x v="34"/>
    <n v="2011"/>
    <s v="Master Card"/>
    <n v="271275.89"/>
    <n v="731"/>
    <x v="1"/>
  </r>
  <r>
    <s v="05-800618982013"/>
    <x v="35"/>
    <x v="35"/>
    <n v="2013"/>
    <s v="Discover"/>
    <n v="44876.18"/>
    <n v="61"/>
    <x v="0"/>
  </r>
  <r>
    <s v="05-800618982013"/>
    <x v="35"/>
    <x v="35"/>
    <n v="2013"/>
    <s v="eCheck"/>
    <n v="156891.70000000001"/>
    <n v="101"/>
    <x v="1"/>
  </r>
  <r>
    <s v="05-800618982012"/>
    <x v="35"/>
    <x v="35"/>
    <n v="2012"/>
    <s v="Visa"/>
    <n v="350332.84"/>
    <n v="387"/>
    <x v="1"/>
  </r>
  <r>
    <s v="05-800618982012"/>
    <x v="35"/>
    <x v="35"/>
    <n v="2012"/>
    <s v="Master Card"/>
    <n v="234771.55"/>
    <n v="274"/>
    <x v="1"/>
  </r>
  <r>
    <s v="05-800618982013"/>
    <x v="35"/>
    <x v="35"/>
    <n v="2013"/>
    <s v="Master Card"/>
    <n v="256502.64"/>
    <n v="278"/>
    <x v="1"/>
  </r>
  <r>
    <s v="05-800618982013"/>
    <x v="35"/>
    <x v="35"/>
    <n v="2013"/>
    <s v="Visa"/>
    <n v="432813.18"/>
    <n v="484"/>
    <x v="1"/>
  </r>
  <r>
    <s v="05-800618982012"/>
    <x v="35"/>
    <x v="35"/>
    <n v="2012"/>
    <s v="eCheck"/>
    <n v="366155.96"/>
    <n v="239"/>
    <x v="1"/>
  </r>
  <r>
    <s v="05-800618982011"/>
    <x v="35"/>
    <x v="35"/>
    <n v="2011"/>
    <s v="Discover"/>
    <n v="9762.49"/>
    <n v="18"/>
    <x v="1"/>
  </r>
  <r>
    <s v="05-800618982011"/>
    <x v="35"/>
    <x v="35"/>
    <n v="2011"/>
    <s v="eCheck"/>
    <n v="209245.74"/>
    <n v="144"/>
    <x v="1"/>
  </r>
  <r>
    <s v="05-800618982013"/>
    <x v="35"/>
    <x v="35"/>
    <n v="2013"/>
    <s v="Debit"/>
    <n v="125027.29"/>
    <n v="169"/>
    <x v="1"/>
  </r>
  <r>
    <s v="05-800618982012"/>
    <x v="35"/>
    <x v="35"/>
    <n v="2012"/>
    <s v="Debit"/>
    <n v="89246.29"/>
    <n v="119"/>
    <x v="1"/>
  </r>
  <r>
    <s v="05-800618982011"/>
    <x v="35"/>
    <x v="35"/>
    <n v="2011"/>
    <s v="Master Card"/>
    <n v="105603.14"/>
    <n v="117"/>
    <x v="1"/>
  </r>
  <r>
    <s v="05-800618982012"/>
    <x v="35"/>
    <x v="35"/>
    <n v="2012"/>
    <s v="Discover"/>
    <n v="27902.82"/>
    <n v="33"/>
    <x v="1"/>
  </r>
  <r>
    <s v="05-800618982011"/>
    <x v="35"/>
    <x v="35"/>
    <n v="2011"/>
    <s v="Visa"/>
    <n v="181166.35"/>
    <n v="249"/>
    <x v="1"/>
  </r>
  <r>
    <s v="05-801658912011"/>
    <x v="36"/>
    <x v="36"/>
    <n v="2011"/>
    <s v="Debit"/>
    <n v="302.39999999999998"/>
    <n v="1"/>
    <x v="0"/>
  </r>
  <r>
    <s v="05-801658912012"/>
    <x v="36"/>
    <x v="36"/>
    <n v="2012"/>
    <s v="Discover"/>
    <n v="256267.01"/>
    <n v="280"/>
    <x v="1"/>
  </r>
  <r>
    <s v="05-801658912011"/>
    <x v="36"/>
    <x v="36"/>
    <n v="2011"/>
    <s v="Master Card"/>
    <n v="942591.69"/>
    <n v="895"/>
    <x v="1"/>
  </r>
  <r>
    <s v="05-801658912011"/>
    <x v="36"/>
    <x v="36"/>
    <n v="2011"/>
    <s v="Visa"/>
    <n v="1847367.34"/>
    <n v="1746"/>
    <x v="1"/>
  </r>
  <r>
    <s v="05-801658912013"/>
    <x v="36"/>
    <x v="36"/>
    <n v="2013"/>
    <s v="Discover"/>
    <n v="253609.03"/>
    <n v="246"/>
    <x v="1"/>
  </r>
  <r>
    <s v="05-801658912012"/>
    <x v="36"/>
    <x v="36"/>
    <n v="2012"/>
    <s v="Master Card"/>
    <n v="1196328.1100000001"/>
    <n v="1080"/>
    <x v="1"/>
  </r>
  <r>
    <s v="05-801658912012"/>
    <x v="36"/>
    <x v="36"/>
    <n v="2012"/>
    <s v="Visa"/>
    <n v="1901268.53"/>
    <n v="1703"/>
    <x v="1"/>
  </r>
  <r>
    <s v="05-801658912013"/>
    <x v="36"/>
    <x v="36"/>
    <n v="2013"/>
    <s v="Debit"/>
    <n v="394386.68"/>
    <n v="478"/>
    <x v="1"/>
  </r>
  <r>
    <s v="05-801658912013"/>
    <x v="36"/>
    <x v="36"/>
    <n v="2013"/>
    <s v="Visa"/>
    <n v="1894928.41"/>
    <n v="1741"/>
    <x v="1"/>
  </r>
  <r>
    <s v="05-801658912011"/>
    <x v="36"/>
    <x v="36"/>
    <n v="2011"/>
    <s v="Discover"/>
    <n v="198745.52"/>
    <n v="195"/>
    <x v="1"/>
  </r>
  <r>
    <s v="05-801658912013"/>
    <x v="36"/>
    <x v="36"/>
    <n v="2013"/>
    <s v="Master Card"/>
    <n v="1045712.12"/>
    <n v="967"/>
    <x v="1"/>
  </r>
  <r>
    <s v="05-801658912012"/>
    <x v="36"/>
    <x v="36"/>
    <n v="2012"/>
    <s v="Debit"/>
    <n v="350809.17"/>
    <n v="427"/>
    <x v="1"/>
  </r>
  <r>
    <s v="05-805373332012"/>
    <x v="37"/>
    <x v="37"/>
    <n v="2012"/>
    <s v="Discover"/>
    <n v="229510.73"/>
    <n v="175"/>
    <x v="0"/>
  </r>
  <r>
    <s v="05-805373332011"/>
    <x v="37"/>
    <x v="37"/>
    <n v="2011"/>
    <s v="Discover"/>
    <n v="206044.94"/>
    <n v="153"/>
    <x v="1"/>
  </r>
  <r>
    <s v="05-805373332013"/>
    <x v="37"/>
    <x v="37"/>
    <n v="2013"/>
    <s v="Debit"/>
    <n v="441640.23"/>
    <n v="376"/>
    <x v="1"/>
  </r>
  <r>
    <s v="05-805373332013"/>
    <x v="37"/>
    <x v="37"/>
    <n v="2013"/>
    <s v="Master Card"/>
    <n v="865338.32"/>
    <n v="597"/>
    <x v="1"/>
  </r>
  <r>
    <s v="05-805373332013"/>
    <x v="37"/>
    <x v="37"/>
    <n v="2013"/>
    <s v="Visa"/>
    <n v="1641519.09"/>
    <n v="1070"/>
    <x v="1"/>
  </r>
  <r>
    <s v="05-805373332013"/>
    <x v="37"/>
    <x v="37"/>
    <n v="2013"/>
    <s v="Discover"/>
    <n v="253790.21"/>
    <n v="168"/>
    <x v="1"/>
  </r>
  <r>
    <s v="05-805373332012"/>
    <x v="37"/>
    <x v="37"/>
    <n v="2012"/>
    <s v="Visa"/>
    <n v="1667366.76"/>
    <n v="1073"/>
    <x v="1"/>
  </r>
  <r>
    <s v="05-805373332012"/>
    <x v="37"/>
    <x v="37"/>
    <n v="2012"/>
    <s v="Master Card"/>
    <n v="973503.79"/>
    <n v="658"/>
    <x v="1"/>
  </r>
  <r>
    <s v="05-805373332011"/>
    <x v="37"/>
    <x v="37"/>
    <n v="2011"/>
    <s v="Master Card"/>
    <n v="1022275.57"/>
    <n v="672"/>
    <x v="1"/>
  </r>
  <r>
    <s v="05-805373332011"/>
    <x v="37"/>
    <x v="37"/>
    <n v="2011"/>
    <s v="Visa"/>
    <n v="1903918.87"/>
    <n v="1362"/>
    <x v="1"/>
  </r>
  <r>
    <s v="05-805373332012"/>
    <x v="37"/>
    <x v="37"/>
    <n v="2012"/>
    <s v="Debit"/>
    <n v="402957.64"/>
    <n v="354"/>
    <x v="1"/>
  </r>
  <r>
    <s v="05-810704462013"/>
    <x v="38"/>
    <x v="38"/>
    <n v="2013"/>
    <s v="Visa"/>
    <n v="305172.93"/>
    <n v="196"/>
    <x v="0"/>
  </r>
  <r>
    <s v="05-810704462013"/>
    <x v="38"/>
    <x v="38"/>
    <n v="2013"/>
    <s v="Master Card"/>
    <n v="151780.68"/>
    <n v="89"/>
    <x v="1"/>
  </r>
  <r>
    <s v="05-810704462011"/>
    <x v="38"/>
    <x v="38"/>
    <n v="2011"/>
    <s v="Discover"/>
    <n v="18934.38"/>
    <n v="9"/>
    <x v="1"/>
  </r>
  <r>
    <s v="05-810704462012"/>
    <x v="38"/>
    <x v="38"/>
    <n v="2012"/>
    <s v="Visa"/>
    <n v="237419.09"/>
    <n v="138"/>
    <x v="1"/>
  </r>
  <r>
    <s v="05-810704462013"/>
    <x v="38"/>
    <x v="38"/>
    <n v="2013"/>
    <s v="Discover"/>
    <n v="31194.53"/>
    <n v="21"/>
    <x v="1"/>
  </r>
  <r>
    <s v="05-810704462012"/>
    <x v="38"/>
    <x v="38"/>
    <n v="2012"/>
    <s v="Debit"/>
    <n v="74932.899999999994"/>
    <n v="56"/>
    <x v="1"/>
  </r>
  <r>
    <s v="05-810704462012"/>
    <x v="38"/>
    <x v="38"/>
    <n v="2012"/>
    <s v="Master Card"/>
    <n v="136671.07999999999"/>
    <n v="81"/>
    <x v="1"/>
  </r>
  <r>
    <s v="05-810704462011"/>
    <x v="38"/>
    <x v="38"/>
    <n v="2011"/>
    <s v="Visa"/>
    <n v="263611.09999999998"/>
    <n v="139"/>
    <x v="1"/>
  </r>
  <r>
    <s v="05-810704462011"/>
    <x v="38"/>
    <x v="38"/>
    <n v="2011"/>
    <s v="Master Card"/>
    <n v="140038.51"/>
    <n v="68"/>
    <x v="1"/>
  </r>
  <r>
    <s v="05-810704462013"/>
    <x v="38"/>
    <x v="38"/>
    <n v="2013"/>
    <s v="Debit"/>
    <n v="142669.97"/>
    <n v="95"/>
    <x v="1"/>
  </r>
  <r>
    <s v="05-810704462012"/>
    <x v="38"/>
    <x v="38"/>
    <n v="2012"/>
    <s v="Discover"/>
    <n v="30242.71"/>
    <n v="20"/>
    <x v="1"/>
  </r>
  <r>
    <s v="05-812703652012"/>
    <x v="39"/>
    <x v="39"/>
    <n v="2012"/>
    <s v="Discover"/>
    <n v="11305.8"/>
    <n v="144"/>
    <x v="0"/>
  </r>
  <r>
    <s v="05-812703652013"/>
    <x v="39"/>
    <x v="39"/>
    <n v="2013"/>
    <s v="Debit"/>
    <n v="32457.93"/>
    <n v="366"/>
    <x v="1"/>
  </r>
  <r>
    <s v="05-812703652011"/>
    <x v="39"/>
    <x v="39"/>
    <n v="2011"/>
    <s v="eCheck"/>
    <n v="35210.730000000003"/>
    <n v="269"/>
    <x v="1"/>
  </r>
  <r>
    <s v="05-812703652011"/>
    <x v="39"/>
    <x v="39"/>
    <n v="2011"/>
    <s v="Master Card"/>
    <n v="21436.880000000001"/>
    <n v="119"/>
    <x v="1"/>
  </r>
  <r>
    <s v="05-812703652012"/>
    <x v="39"/>
    <x v="39"/>
    <n v="2012"/>
    <s v="Debit"/>
    <n v="121273.01"/>
    <n v="1157"/>
    <x v="1"/>
  </r>
  <r>
    <s v="05-812703652013"/>
    <x v="39"/>
    <x v="39"/>
    <n v="2013"/>
    <s v="Discover"/>
    <n v="2591.15"/>
    <n v="35"/>
    <x v="1"/>
  </r>
  <r>
    <s v="05-812703652011"/>
    <x v="39"/>
    <x v="39"/>
    <n v="2011"/>
    <s v="Visa"/>
    <n v="59546.3"/>
    <n v="351"/>
    <x v="1"/>
  </r>
  <r>
    <s v="05-812703652012"/>
    <x v="39"/>
    <x v="39"/>
    <n v="2012"/>
    <s v="Master Card"/>
    <n v="41868.82"/>
    <n v="425"/>
    <x v="1"/>
  </r>
  <r>
    <s v="05-812703652011"/>
    <x v="39"/>
    <x v="39"/>
    <n v="2011"/>
    <s v="Star"/>
    <n v="433.71"/>
    <n v="4"/>
    <x v="1"/>
  </r>
  <r>
    <s v="05-812703652011"/>
    <x v="39"/>
    <x v="39"/>
    <n v="2011"/>
    <s v="Debit"/>
    <n v="808.33"/>
    <n v="6"/>
    <x v="1"/>
  </r>
  <r>
    <s v="05-812703652012"/>
    <x v="39"/>
    <x v="39"/>
    <n v="2012"/>
    <s v="Pulse"/>
    <n v="19495.32"/>
    <n v="169"/>
    <x v="1"/>
  </r>
  <r>
    <s v="05-812703652013"/>
    <x v="39"/>
    <x v="39"/>
    <n v="2013"/>
    <s v="eCheck"/>
    <n v="14028.56"/>
    <n v="181"/>
    <x v="1"/>
  </r>
  <r>
    <s v="05-812703652012"/>
    <x v="39"/>
    <x v="39"/>
    <n v="2012"/>
    <s v="Visa"/>
    <n v="60090.38"/>
    <n v="619"/>
    <x v="1"/>
  </r>
  <r>
    <s v="05-812703652012"/>
    <x v="39"/>
    <x v="39"/>
    <n v="2012"/>
    <s v="Star"/>
    <n v="2475.37"/>
    <n v="32"/>
    <x v="1"/>
  </r>
  <r>
    <s v="05-812703652011"/>
    <x v="39"/>
    <x v="39"/>
    <n v="2011"/>
    <s v="Pulse"/>
    <n v="2975.03"/>
    <n v="25"/>
    <x v="1"/>
  </r>
  <r>
    <s v="05-812703652013"/>
    <x v="39"/>
    <x v="39"/>
    <n v="2013"/>
    <s v="Master Card"/>
    <n v="9532.76"/>
    <n v="104"/>
    <x v="1"/>
  </r>
  <r>
    <s v="05-812703652013"/>
    <x v="39"/>
    <x v="39"/>
    <n v="2013"/>
    <s v="Visa"/>
    <n v="17842.349999999999"/>
    <n v="180"/>
    <x v="1"/>
  </r>
  <r>
    <s v="05-812703652012"/>
    <x v="39"/>
    <x v="39"/>
    <n v="2012"/>
    <s v="eCheck"/>
    <n v="74698.97"/>
    <n v="824"/>
    <x v="1"/>
  </r>
  <r>
    <s v="05-812703652011"/>
    <x v="39"/>
    <x v="39"/>
    <n v="2011"/>
    <s v="Discover"/>
    <n v="688.97"/>
    <n v="7"/>
    <x v="1"/>
  </r>
  <r>
    <s v="05-825950502011"/>
    <x v="40"/>
    <x v="40"/>
    <n v="2011"/>
    <s v="Master Card"/>
    <n v="1101643.82"/>
    <n v="940"/>
    <x v="0"/>
  </r>
  <r>
    <s v="05-825950502011"/>
    <x v="40"/>
    <x v="40"/>
    <n v="2011"/>
    <s v="Visa"/>
    <n v="2027349.43"/>
    <n v="1805"/>
    <x v="1"/>
  </r>
  <r>
    <s v="05-825950502012"/>
    <x v="40"/>
    <x v="40"/>
    <n v="2012"/>
    <s v="Pulse"/>
    <n v="242379.6"/>
    <n v="255"/>
    <x v="1"/>
  </r>
  <r>
    <s v="05-825950502012"/>
    <x v="40"/>
    <x v="40"/>
    <n v="2012"/>
    <s v="NYCE"/>
    <n v="59216.73"/>
    <n v="77"/>
    <x v="1"/>
  </r>
  <r>
    <s v="05-825950502012"/>
    <x v="40"/>
    <x v="40"/>
    <n v="2012"/>
    <s v="Discover"/>
    <n v="518991.76"/>
    <n v="475"/>
    <x v="1"/>
  </r>
  <r>
    <s v="05-825950502012"/>
    <x v="40"/>
    <x v="40"/>
    <n v="2012"/>
    <s v="Master Card"/>
    <n v="1308868.78"/>
    <n v="1212"/>
    <x v="1"/>
  </r>
  <r>
    <s v="05-825950502011"/>
    <x v="40"/>
    <x v="40"/>
    <n v="2011"/>
    <s v="Pulse"/>
    <n v="312295.55"/>
    <n v="349"/>
    <x v="1"/>
  </r>
  <r>
    <s v="05-825950502012"/>
    <x v="40"/>
    <x v="40"/>
    <n v="2012"/>
    <s v="Visa"/>
    <n v="2291547.37"/>
    <n v="2066"/>
    <x v="1"/>
  </r>
  <r>
    <s v="05-825950502013"/>
    <x v="40"/>
    <x v="40"/>
    <n v="2013"/>
    <s v="Discover"/>
    <n v="539003.05000000005"/>
    <n v="466"/>
    <x v="1"/>
  </r>
  <r>
    <s v="05-825950502011"/>
    <x v="40"/>
    <x v="40"/>
    <n v="2011"/>
    <s v="Star"/>
    <n v="86376.1"/>
    <n v="111"/>
    <x v="1"/>
  </r>
  <r>
    <s v="05-825950502012"/>
    <x v="40"/>
    <x v="40"/>
    <n v="2012"/>
    <s v="eCheck"/>
    <n v="600"/>
    <n v="1"/>
    <x v="1"/>
  </r>
  <r>
    <s v="05-825950502013"/>
    <x v="40"/>
    <x v="40"/>
    <n v="2013"/>
    <s v="Debit"/>
    <n v="1238816.19"/>
    <n v="1361"/>
    <x v="1"/>
  </r>
  <r>
    <s v="05-825950502012"/>
    <x v="40"/>
    <x v="40"/>
    <n v="2012"/>
    <s v="Star"/>
    <n v="124555.46"/>
    <n v="113"/>
    <x v="1"/>
  </r>
  <r>
    <s v="05-825950502011"/>
    <x v="40"/>
    <x v="40"/>
    <n v="2011"/>
    <s v="Discover"/>
    <n v="366792.1"/>
    <n v="312"/>
    <x v="1"/>
  </r>
  <r>
    <s v="05-825950502011"/>
    <x v="40"/>
    <x v="40"/>
    <n v="2011"/>
    <s v="NYCE"/>
    <n v="38466.620000000003"/>
    <n v="50"/>
    <x v="1"/>
  </r>
  <r>
    <s v="05-825950502012"/>
    <x v="40"/>
    <x v="40"/>
    <n v="2012"/>
    <s v="Debit"/>
    <n v="706565.74"/>
    <n v="852"/>
    <x v="1"/>
  </r>
  <r>
    <s v="05-825950502013"/>
    <x v="40"/>
    <x v="40"/>
    <n v="2013"/>
    <s v="Visa"/>
    <n v="2411549.8199999998"/>
    <n v="2127"/>
    <x v="1"/>
  </r>
  <r>
    <s v="05-825950502013"/>
    <x v="40"/>
    <x v="40"/>
    <n v="2013"/>
    <s v="Master Card"/>
    <n v="1292818.99"/>
    <n v="1187"/>
    <x v="1"/>
  </r>
  <r>
    <s v="05-826440642011"/>
    <x v="41"/>
    <x v="41"/>
    <n v="2011"/>
    <s v="Pulse"/>
    <n v="9842.43"/>
    <n v="28"/>
    <x v="0"/>
  </r>
  <r>
    <s v="05-826440642011"/>
    <x v="41"/>
    <x v="41"/>
    <n v="2011"/>
    <s v="Master Card"/>
    <n v="210802.42"/>
    <n v="490"/>
    <x v="1"/>
  </r>
  <r>
    <s v="05-826440642011"/>
    <x v="41"/>
    <x v="41"/>
    <n v="2011"/>
    <s v="Visa"/>
    <n v="522106.24"/>
    <n v="1273"/>
    <x v="1"/>
  </r>
  <r>
    <s v="05-826440642013"/>
    <x v="41"/>
    <x v="41"/>
    <n v="2013"/>
    <s v="Discover"/>
    <n v="59556.25"/>
    <n v="122"/>
    <x v="1"/>
  </r>
  <r>
    <s v="05-826440642013"/>
    <x v="41"/>
    <x v="41"/>
    <n v="2013"/>
    <s v="American Express"/>
    <n v="125496.31"/>
    <n v="301"/>
    <x v="1"/>
  </r>
  <r>
    <s v="05-826440642011"/>
    <x v="41"/>
    <x v="41"/>
    <n v="2011"/>
    <s v="American Express"/>
    <n v="119682.59"/>
    <n v="281"/>
    <x v="1"/>
  </r>
  <r>
    <s v="05-826440642011"/>
    <x v="41"/>
    <x v="41"/>
    <n v="2011"/>
    <s v="NYCE"/>
    <n v="3257.75"/>
    <n v="8"/>
    <x v="1"/>
  </r>
  <r>
    <s v="05-826440642012"/>
    <x v="41"/>
    <x v="41"/>
    <n v="2012"/>
    <s v="Discover"/>
    <n v="58891.9"/>
    <n v="134"/>
    <x v="1"/>
  </r>
  <r>
    <s v="05-826440642011"/>
    <x v="41"/>
    <x v="41"/>
    <n v="2011"/>
    <s v="Debit"/>
    <n v="1982.78"/>
    <n v="4"/>
    <x v="1"/>
  </r>
  <r>
    <s v="05-826440642012"/>
    <x v="41"/>
    <x v="41"/>
    <n v="2012"/>
    <s v="American Express"/>
    <n v="145704.14000000001"/>
    <n v="366"/>
    <x v="1"/>
  </r>
  <r>
    <s v="05-826440642013"/>
    <x v="41"/>
    <x v="41"/>
    <n v="2013"/>
    <s v="Visa"/>
    <n v="282620.02"/>
    <n v="671"/>
    <x v="1"/>
  </r>
  <r>
    <s v="05-826440642011"/>
    <x v="41"/>
    <x v="41"/>
    <n v="2011"/>
    <s v="Discover"/>
    <n v="56367.59"/>
    <n v="115"/>
    <x v="1"/>
  </r>
  <r>
    <s v="05-826440642012"/>
    <x v="41"/>
    <x v="41"/>
    <n v="2012"/>
    <s v="Debit"/>
    <n v="254695.04000000001"/>
    <n v="667"/>
    <x v="1"/>
  </r>
  <r>
    <s v="05-826440642013"/>
    <x v="41"/>
    <x v="41"/>
    <n v="2013"/>
    <s v="Master Card"/>
    <n v="175515.19"/>
    <n v="415"/>
    <x v="1"/>
  </r>
  <r>
    <s v="05-826440642012"/>
    <x v="41"/>
    <x v="41"/>
    <n v="2012"/>
    <s v="Master Card"/>
    <n v="205802.76"/>
    <n v="531"/>
    <x v="1"/>
  </r>
  <r>
    <s v="05-826440642011"/>
    <x v="41"/>
    <x v="41"/>
    <n v="2011"/>
    <s v="Star"/>
    <n v="4489.5"/>
    <n v="15"/>
    <x v="1"/>
  </r>
  <r>
    <s v="05-826440642012"/>
    <x v="41"/>
    <x v="41"/>
    <n v="2012"/>
    <s v="Visa"/>
    <n v="353837.64"/>
    <n v="898"/>
    <x v="1"/>
  </r>
  <r>
    <s v="05-826440642013"/>
    <x v="41"/>
    <x v="41"/>
    <n v="2013"/>
    <s v="Debit"/>
    <n v="260873.62"/>
    <n v="669"/>
    <x v="1"/>
  </r>
  <r>
    <s v="05-851280932013"/>
    <x v="42"/>
    <x v="42"/>
    <n v="2013"/>
    <s v="Visa"/>
    <n v="204008.04"/>
    <n v="521"/>
    <x v="0"/>
  </r>
  <r>
    <s v="05-851280932013"/>
    <x v="42"/>
    <x v="42"/>
    <n v="2013"/>
    <s v="Master Card"/>
    <n v="95390.24"/>
    <n v="231"/>
    <x v="1"/>
  </r>
  <r>
    <s v="05-851280932011"/>
    <x v="42"/>
    <x v="42"/>
    <n v="2011"/>
    <s v="Debit"/>
    <n v="475.2"/>
    <n v="2"/>
    <x v="1"/>
  </r>
  <r>
    <s v="05-851280932012"/>
    <x v="42"/>
    <x v="42"/>
    <n v="2012"/>
    <s v="Master Card"/>
    <n v="109802.13"/>
    <n v="285"/>
    <x v="1"/>
  </r>
  <r>
    <s v="05-851280932012"/>
    <x v="42"/>
    <x v="42"/>
    <n v="2012"/>
    <s v="Visa"/>
    <n v="193547.1"/>
    <n v="514"/>
    <x v="1"/>
  </r>
  <r>
    <s v="05-851280932013"/>
    <x v="42"/>
    <x v="42"/>
    <n v="2013"/>
    <s v="Discover"/>
    <n v="24759.27"/>
    <n v="52"/>
    <x v="1"/>
  </r>
  <r>
    <s v="05-851280932012"/>
    <x v="42"/>
    <x v="42"/>
    <n v="2012"/>
    <s v="Debit"/>
    <n v="59417.38"/>
    <n v="205"/>
    <x v="1"/>
  </r>
  <r>
    <s v="05-851280932012"/>
    <x v="42"/>
    <x v="42"/>
    <n v="2012"/>
    <s v="Discover"/>
    <n v="20973.89"/>
    <n v="50"/>
    <x v="1"/>
  </r>
  <r>
    <s v="05-851280932011"/>
    <x v="42"/>
    <x v="42"/>
    <n v="2011"/>
    <s v="Visa"/>
    <n v="91926.24"/>
    <n v="203"/>
    <x v="1"/>
  </r>
  <r>
    <s v="05-851280932011"/>
    <x v="42"/>
    <x v="42"/>
    <n v="2011"/>
    <s v="Discover"/>
    <n v="10014.18"/>
    <n v="20"/>
    <x v="1"/>
  </r>
  <r>
    <s v="05-851280932011"/>
    <x v="42"/>
    <x v="42"/>
    <n v="2011"/>
    <s v="Master Card"/>
    <n v="39705.050000000003"/>
    <n v="87"/>
    <x v="1"/>
  </r>
  <r>
    <s v="05-851280932013"/>
    <x v="42"/>
    <x v="42"/>
    <n v="2013"/>
    <s v="Debit"/>
    <n v="60371.88"/>
    <n v="218"/>
    <x v="1"/>
  </r>
  <r>
    <s v="05-852976122011"/>
    <x v="43"/>
    <x v="43"/>
    <n v="2011"/>
    <s v="Visa"/>
    <n v="150975.57999999999"/>
    <n v="571"/>
    <x v="0"/>
  </r>
  <r>
    <s v="05-852976122013"/>
    <x v="43"/>
    <x v="43"/>
    <n v="2013"/>
    <s v="Debit"/>
    <n v="105084.46"/>
    <n v="379"/>
    <x v="1"/>
  </r>
  <r>
    <s v="05-852976122012"/>
    <x v="43"/>
    <x v="43"/>
    <n v="2012"/>
    <s v="Discover"/>
    <n v="38339.089999999997"/>
    <n v="141"/>
    <x v="1"/>
  </r>
  <r>
    <s v="05-852976122011"/>
    <x v="43"/>
    <x v="43"/>
    <n v="2011"/>
    <s v="Master Card"/>
    <n v="92324.800000000003"/>
    <n v="354"/>
    <x v="1"/>
  </r>
  <r>
    <s v="05-852976122013"/>
    <x v="43"/>
    <x v="43"/>
    <n v="2013"/>
    <s v="American Express"/>
    <n v="25689.64"/>
    <n v="96"/>
    <x v="1"/>
  </r>
  <r>
    <s v="05-852976122013"/>
    <x v="43"/>
    <x v="43"/>
    <n v="2013"/>
    <s v="Master Card"/>
    <n v="139945.04999999999"/>
    <n v="500"/>
    <x v="1"/>
  </r>
  <r>
    <s v="05-852976122013"/>
    <x v="43"/>
    <x v="43"/>
    <n v="2013"/>
    <s v="Visa"/>
    <n v="220699.94"/>
    <n v="781"/>
    <x v="1"/>
  </r>
  <r>
    <s v="05-852976122011"/>
    <x v="43"/>
    <x v="43"/>
    <n v="2011"/>
    <s v="Discover"/>
    <n v="22706.78"/>
    <n v="81"/>
    <x v="1"/>
  </r>
  <r>
    <s v="05-852976122012"/>
    <x v="43"/>
    <x v="43"/>
    <n v="2012"/>
    <s v="Visa"/>
    <n v="227265.82"/>
    <n v="832"/>
    <x v="1"/>
  </r>
  <r>
    <s v="05-852976122012"/>
    <x v="43"/>
    <x v="43"/>
    <n v="2012"/>
    <s v="Master Card"/>
    <n v="170660.37"/>
    <n v="667"/>
    <x v="1"/>
  </r>
  <r>
    <s v="05-852976122012"/>
    <x v="43"/>
    <x v="43"/>
    <n v="2012"/>
    <s v="Debit"/>
    <n v="98949.86"/>
    <n v="407"/>
    <x v="1"/>
  </r>
  <r>
    <s v="05-852976122013"/>
    <x v="43"/>
    <x v="43"/>
    <n v="2013"/>
    <s v="Discover"/>
    <n v="31805.93"/>
    <n v="122"/>
    <x v="1"/>
  </r>
  <r>
    <s v="05-854398012011"/>
    <x v="44"/>
    <x v="44"/>
    <n v="2011"/>
    <s v="Visa"/>
    <n v="408688.2"/>
    <n v="1008"/>
    <x v="0"/>
  </r>
  <r>
    <s v="05-854398012011"/>
    <x v="44"/>
    <x v="44"/>
    <n v="2011"/>
    <s v="Master Card"/>
    <n v="178845.75"/>
    <n v="458"/>
    <x v="1"/>
  </r>
  <r>
    <s v="05-854398012012"/>
    <x v="44"/>
    <x v="44"/>
    <n v="2012"/>
    <s v="Discover"/>
    <n v="112634"/>
    <n v="280"/>
    <x v="1"/>
  </r>
  <r>
    <s v="05-854398012013"/>
    <x v="44"/>
    <x v="44"/>
    <n v="2013"/>
    <s v="Visa"/>
    <n v="636902.14"/>
    <n v="1571"/>
    <x v="1"/>
  </r>
  <r>
    <s v="05-854398012013"/>
    <x v="44"/>
    <x v="44"/>
    <n v="2013"/>
    <s v="Master Card"/>
    <n v="362735.01"/>
    <n v="878"/>
    <x v="1"/>
  </r>
  <r>
    <s v="05-854398012011"/>
    <x v="44"/>
    <x v="44"/>
    <n v="2011"/>
    <s v="NYCE"/>
    <n v="2442.13"/>
    <n v="7"/>
    <x v="1"/>
  </r>
  <r>
    <s v="05-854398012012"/>
    <x v="44"/>
    <x v="44"/>
    <n v="2012"/>
    <s v="Debit"/>
    <n v="267647.95"/>
    <n v="691"/>
    <x v="1"/>
  </r>
  <r>
    <s v="05-854398012013"/>
    <x v="44"/>
    <x v="44"/>
    <n v="2013"/>
    <s v="Debit"/>
    <n v="356114.57"/>
    <n v="943"/>
    <x v="1"/>
  </r>
  <r>
    <s v="05-854398012011"/>
    <x v="44"/>
    <x v="44"/>
    <n v="2011"/>
    <s v="Discover"/>
    <n v="50954.34"/>
    <n v="120"/>
    <x v="1"/>
  </r>
  <r>
    <s v="05-854398012013"/>
    <x v="44"/>
    <x v="44"/>
    <n v="2013"/>
    <s v="Discover"/>
    <n v="94381.18"/>
    <n v="227"/>
    <x v="1"/>
  </r>
  <r>
    <s v="05-854398012012"/>
    <x v="44"/>
    <x v="44"/>
    <n v="2012"/>
    <s v="Visa"/>
    <n v="690159.52"/>
    <n v="1681"/>
    <x v="1"/>
  </r>
  <r>
    <s v="05-854398012011"/>
    <x v="44"/>
    <x v="44"/>
    <n v="2011"/>
    <s v="Pulse"/>
    <n v="2075.3200000000002"/>
    <n v="7"/>
    <x v="1"/>
  </r>
  <r>
    <s v="05-854398012011"/>
    <x v="44"/>
    <x v="44"/>
    <n v="2011"/>
    <s v="Star"/>
    <n v="4781.3100000000004"/>
    <n v="15"/>
    <x v="1"/>
  </r>
  <r>
    <s v="05-854398012011"/>
    <x v="44"/>
    <x v="44"/>
    <n v="2011"/>
    <s v="Debit"/>
    <n v="1562.24"/>
    <n v="4"/>
    <x v="1"/>
  </r>
  <r>
    <s v="05-854398012012"/>
    <x v="44"/>
    <x v="44"/>
    <n v="2012"/>
    <s v="Master Card"/>
    <n v="396293.04"/>
    <n v="938"/>
    <x v="1"/>
  </r>
  <r>
    <s v="05-859866332012"/>
    <x v="45"/>
    <x v="45"/>
    <n v="2012"/>
    <s v="Pulse"/>
    <n v="6166"/>
    <n v="7"/>
    <x v="0"/>
  </r>
  <r>
    <s v="05-859866332013"/>
    <x v="45"/>
    <x v="45"/>
    <n v="2013"/>
    <s v="eCheck"/>
    <n v="4877094.63"/>
    <n v="6817"/>
    <x v="1"/>
  </r>
  <r>
    <s v="05-859866332011"/>
    <x v="45"/>
    <x v="45"/>
    <n v="2011"/>
    <s v="Discover"/>
    <n v="4792"/>
    <n v="6"/>
    <x v="1"/>
  </r>
  <r>
    <s v="05-859866332012"/>
    <x v="45"/>
    <x v="45"/>
    <n v="2012"/>
    <s v="Star"/>
    <n v="2731"/>
    <n v="4"/>
    <x v="1"/>
  </r>
  <r>
    <s v="05-859866332013"/>
    <x v="45"/>
    <x v="45"/>
    <n v="2013"/>
    <s v="Discover"/>
    <n v="22505.5"/>
    <n v="27"/>
    <x v="1"/>
  </r>
  <r>
    <s v="05-859866332012"/>
    <x v="45"/>
    <x v="45"/>
    <n v="2012"/>
    <s v="Debit"/>
    <n v="141309.07999999999"/>
    <n v="179"/>
    <x v="1"/>
  </r>
  <r>
    <s v="05-859866332012"/>
    <x v="45"/>
    <x v="45"/>
    <n v="2012"/>
    <s v="Visa"/>
    <n v="117488.19"/>
    <n v="149"/>
    <x v="1"/>
  </r>
  <r>
    <s v="05-859866332011"/>
    <x v="45"/>
    <x v="45"/>
    <n v="2011"/>
    <s v="eCheck"/>
    <n v="469618.38"/>
    <n v="629"/>
    <x v="1"/>
  </r>
  <r>
    <s v="05-859866332011"/>
    <x v="45"/>
    <x v="45"/>
    <n v="2011"/>
    <s v="Star"/>
    <n v="815"/>
    <n v="1"/>
    <x v="1"/>
  </r>
  <r>
    <s v="05-859866332012"/>
    <x v="45"/>
    <x v="45"/>
    <n v="2012"/>
    <s v="Master Card"/>
    <n v="80901.070000000007"/>
    <n v="96"/>
    <x v="1"/>
  </r>
  <r>
    <s v="05-859866332011"/>
    <x v="45"/>
    <x v="45"/>
    <n v="2011"/>
    <s v="Visa"/>
    <n v="9144"/>
    <n v="11"/>
    <x v="1"/>
  </r>
  <r>
    <s v="05-859866332011"/>
    <x v="45"/>
    <x v="45"/>
    <n v="2011"/>
    <s v="Master Card"/>
    <n v="9222"/>
    <n v="13"/>
    <x v="1"/>
  </r>
  <r>
    <s v="05-859866332012"/>
    <x v="45"/>
    <x v="45"/>
    <n v="2012"/>
    <s v="eCheck"/>
    <n v="5377782.6900000004"/>
    <n v="7512"/>
    <x v="1"/>
  </r>
  <r>
    <s v="05-859866332012"/>
    <x v="45"/>
    <x v="45"/>
    <n v="2012"/>
    <s v="NYCE"/>
    <n v="5481"/>
    <n v="6"/>
    <x v="1"/>
  </r>
  <r>
    <s v="05-859866332012"/>
    <x v="45"/>
    <x v="45"/>
    <n v="2012"/>
    <s v="Discover"/>
    <n v="16941.310000000001"/>
    <n v="21"/>
    <x v="1"/>
  </r>
  <r>
    <s v="05-859866332013"/>
    <x v="45"/>
    <x v="45"/>
    <n v="2013"/>
    <s v="Debit"/>
    <n v="376356.81"/>
    <n v="495"/>
    <x v="1"/>
  </r>
  <r>
    <s v="05-859866332011"/>
    <x v="45"/>
    <x v="45"/>
    <n v="2011"/>
    <s v="Pulse"/>
    <n v="2442"/>
    <n v="3"/>
    <x v="1"/>
  </r>
  <r>
    <s v="05-859866332011"/>
    <x v="45"/>
    <x v="45"/>
    <n v="2011"/>
    <s v="Debit"/>
    <n v="2076"/>
    <n v="2"/>
    <x v="1"/>
  </r>
  <r>
    <s v="05-859866332013"/>
    <x v="45"/>
    <x v="45"/>
    <n v="2013"/>
    <s v="Visa"/>
    <n v="197663.4"/>
    <n v="252"/>
    <x v="1"/>
  </r>
  <r>
    <s v="05-859866332013"/>
    <x v="45"/>
    <x v="45"/>
    <n v="2013"/>
    <s v="Master Card"/>
    <n v="77945.42"/>
    <n v="102"/>
    <x v="1"/>
  </r>
  <r>
    <s v="05-871328942012"/>
    <x v="46"/>
    <x v="46"/>
    <n v="2012"/>
    <s v="Debit"/>
    <n v="157826.22"/>
    <n v="267"/>
    <x v="0"/>
  </r>
  <r>
    <s v="05-871328942011"/>
    <x v="46"/>
    <x v="46"/>
    <n v="2011"/>
    <s v="Visa"/>
    <n v="4620.75"/>
    <n v="8"/>
    <x v="1"/>
  </r>
  <r>
    <s v="05-871328942012"/>
    <x v="46"/>
    <x v="46"/>
    <n v="2012"/>
    <s v="NYCE"/>
    <n v="908.95"/>
    <n v="2"/>
    <x v="1"/>
  </r>
  <r>
    <s v="05-871328942011"/>
    <x v="46"/>
    <x v="46"/>
    <n v="2011"/>
    <s v="eCheck"/>
    <n v="190889.64"/>
    <n v="242"/>
    <x v="1"/>
  </r>
  <r>
    <s v="05-871328942012"/>
    <x v="46"/>
    <x v="46"/>
    <n v="2012"/>
    <s v="Discover"/>
    <n v="6028.75"/>
    <n v="6"/>
    <x v="1"/>
  </r>
  <r>
    <s v="05-871328942011"/>
    <x v="46"/>
    <x v="46"/>
    <n v="2011"/>
    <s v="Star"/>
    <n v="948.95"/>
    <n v="2"/>
    <x v="1"/>
  </r>
  <r>
    <s v="05-871328942011"/>
    <x v="46"/>
    <x v="46"/>
    <n v="2011"/>
    <s v="Master Card"/>
    <n v="2751.64"/>
    <n v="3"/>
    <x v="1"/>
  </r>
  <r>
    <s v="05-871328942013"/>
    <x v="46"/>
    <x v="46"/>
    <n v="2013"/>
    <s v="Discover"/>
    <n v="24154.46"/>
    <n v="30"/>
    <x v="1"/>
  </r>
  <r>
    <s v="05-871328942012"/>
    <x v="46"/>
    <x v="46"/>
    <n v="2012"/>
    <s v="Pulse"/>
    <n v="16331.61"/>
    <n v="34"/>
    <x v="1"/>
  </r>
  <r>
    <s v="05-871328942013"/>
    <x v="46"/>
    <x v="46"/>
    <n v="2013"/>
    <s v="eCheck"/>
    <n v="4358101.2699999996"/>
    <n v="4881"/>
    <x v="1"/>
  </r>
  <r>
    <s v="05-871328942011"/>
    <x v="46"/>
    <x v="46"/>
    <n v="2011"/>
    <s v="Debit"/>
    <n v="210"/>
    <n v="1"/>
    <x v="1"/>
  </r>
  <r>
    <s v="05-871328942012"/>
    <x v="46"/>
    <x v="46"/>
    <n v="2012"/>
    <s v="Visa"/>
    <n v="168184.98"/>
    <n v="234"/>
    <x v="1"/>
  </r>
  <r>
    <s v="05-871328942012"/>
    <x v="46"/>
    <x v="46"/>
    <n v="2012"/>
    <s v="Master Card"/>
    <n v="67332.009999999995"/>
    <n v="96"/>
    <x v="1"/>
  </r>
  <r>
    <s v="05-871328942012"/>
    <x v="46"/>
    <x v="46"/>
    <n v="2012"/>
    <s v="eCheck"/>
    <n v="2980930.92"/>
    <n v="3623"/>
    <x v="1"/>
  </r>
  <r>
    <s v="05-871328942012"/>
    <x v="46"/>
    <x v="46"/>
    <n v="2012"/>
    <s v="Star"/>
    <n v="1406"/>
    <n v="6"/>
    <x v="1"/>
  </r>
  <r>
    <s v="05-871328942011"/>
    <x v="46"/>
    <x v="46"/>
    <n v="2011"/>
    <s v="Scan"/>
    <n v="182030.22"/>
    <n v="301"/>
    <x v="1"/>
  </r>
  <r>
    <s v="05-871328942013"/>
    <x v="46"/>
    <x v="46"/>
    <n v="2013"/>
    <s v="Master Card"/>
    <n v="153215.19"/>
    <n v="202"/>
    <x v="1"/>
  </r>
  <r>
    <s v="05-871328942013"/>
    <x v="46"/>
    <x v="46"/>
    <n v="2013"/>
    <s v="Visa"/>
    <n v="331261.78000000003"/>
    <n v="402"/>
    <x v="1"/>
  </r>
  <r>
    <s v="05-871328942013"/>
    <x v="46"/>
    <x v="46"/>
    <n v="2013"/>
    <s v="Debit"/>
    <n v="551881.09"/>
    <n v="818"/>
    <x v="1"/>
  </r>
  <r>
    <s v="05-874165102011"/>
    <x v="47"/>
    <x v="47"/>
    <n v="2011"/>
    <s v="Visa"/>
    <n v="1036.3800000000001"/>
    <n v="2"/>
    <x v="0"/>
  </r>
  <r>
    <s v="05-874165102011"/>
    <x v="47"/>
    <x v="47"/>
    <n v="2011"/>
    <s v="Master Card"/>
    <n v="4474.3900000000003"/>
    <n v="5"/>
    <x v="1"/>
  </r>
  <r>
    <s v="05-874165102012"/>
    <x v="47"/>
    <x v="47"/>
    <n v="2012"/>
    <s v="Master Card"/>
    <n v="298"/>
    <n v="2"/>
    <x v="1"/>
  </r>
  <r>
    <s v="05-874165102012"/>
    <x v="47"/>
    <x v="47"/>
    <n v="2012"/>
    <s v="Visa"/>
    <n v="1305.5"/>
    <n v="2"/>
    <x v="1"/>
  </r>
  <r>
    <s v="05-875232322013"/>
    <x v="48"/>
    <x v="48"/>
    <n v="2013"/>
    <s v="Master Card"/>
    <n v="155954.92000000001"/>
    <n v="161"/>
    <x v="0"/>
  </r>
  <r>
    <s v="05-875232322012"/>
    <x v="48"/>
    <x v="48"/>
    <n v="2012"/>
    <s v="Pulse"/>
    <n v="24908.39"/>
    <n v="32"/>
    <x v="1"/>
  </r>
  <r>
    <s v="05-875232322013"/>
    <x v="48"/>
    <x v="48"/>
    <n v="2013"/>
    <s v="Visa"/>
    <n v="159649.42000000001"/>
    <n v="210"/>
    <x v="1"/>
  </r>
  <r>
    <s v="05-875232322013"/>
    <x v="48"/>
    <x v="48"/>
    <n v="2013"/>
    <s v="eCheck"/>
    <n v="2694.23"/>
    <n v="11"/>
    <x v="1"/>
  </r>
  <r>
    <s v="05-875232322012"/>
    <x v="48"/>
    <x v="48"/>
    <n v="2012"/>
    <s v="Star"/>
    <n v="2565"/>
    <n v="9"/>
    <x v="1"/>
  </r>
  <r>
    <s v="05-875232322012"/>
    <x v="48"/>
    <x v="48"/>
    <n v="2012"/>
    <s v="Visa"/>
    <n v="170310.81"/>
    <n v="179"/>
    <x v="1"/>
  </r>
  <r>
    <s v="05-875232322012"/>
    <x v="48"/>
    <x v="48"/>
    <n v="2012"/>
    <s v="Debit"/>
    <n v="261950.87"/>
    <n v="317"/>
    <x v="1"/>
  </r>
  <r>
    <s v="05-875232322012"/>
    <x v="48"/>
    <x v="48"/>
    <n v="2012"/>
    <s v="Master Card"/>
    <n v="99211.77"/>
    <n v="111"/>
    <x v="1"/>
  </r>
  <r>
    <s v="05-875232322011"/>
    <x v="48"/>
    <x v="48"/>
    <n v="2011"/>
    <s v="Visa"/>
    <n v="70"/>
    <n v="1"/>
    <x v="1"/>
  </r>
  <r>
    <s v="05-875232322011"/>
    <x v="48"/>
    <x v="48"/>
    <n v="2011"/>
    <s v="Master Card"/>
    <n v="1"/>
    <n v="1"/>
    <x v="1"/>
  </r>
  <r>
    <s v="05-875232322013"/>
    <x v="48"/>
    <x v="48"/>
    <n v="2013"/>
    <s v="Discover"/>
    <n v="44232"/>
    <n v="42"/>
    <x v="1"/>
  </r>
  <r>
    <s v="05-875232322013"/>
    <x v="48"/>
    <x v="48"/>
    <n v="2013"/>
    <s v="Debit"/>
    <n v="438232.71"/>
    <n v="550"/>
    <x v="1"/>
  </r>
  <r>
    <s v="05-875232322012"/>
    <x v="48"/>
    <x v="48"/>
    <n v="2012"/>
    <s v="Discover"/>
    <n v="24994"/>
    <n v="24"/>
    <x v="1"/>
  </r>
  <r>
    <s v="05-875232322012"/>
    <x v="48"/>
    <x v="48"/>
    <n v="2012"/>
    <s v="NYCE"/>
    <n v="4758"/>
    <n v="6"/>
    <x v="1"/>
  </r>
  <r>
    <s v="05-875232322012"/>
    <x v="48"/>
    <x v="48"/>
    <n v="2012"/>
    <s v="eCheck"/>
    <n v="1469.58"/>
    <n v="6"/>
    <x v="1"/>
  </r>
  <r>
    <s v="05-877180032012"/>
    <x v="49"/>
    <x v="49"/>
    <n v="2012"/>
    <s v="Master Card"/>
    <n v="585322.05000000005"/>
    <n v="672"/>
    <x v="0"/>
  </r>
  <r>
    <s v="05-877180032012"/>
    <x v="49"/>
    <x v="49"/>
    <n v="2012"/>
    <s v="Visa"/>
    <n v="984672.74"/>
    <n v="1080"/>
    <x v="1"/>
  </r>
  <r>
    <s v="05-877180032012"/>
    <x v="49"/>
    <x v="49"/>
    <n v="2012"/>
    <s v="Debit"/>
    <n v="203943.35"/>
    <n v="325"/>
    <x v="1"/>
  </r>
  <r>
    <s v="05-877180032011"/>
    <x v="49"/>
    <x v="49"/>
    <n v="2011"/>
    <s v="Discover"/>
    <n v="15313.38"/>
    <n v="19"/>
    <x v="1"/>
  </r>
  <r>
    <s v="05-877180032011"/>
    <x v="49"/>
    <x v="49"/>
    <n v="2011"/>
    <s v="Debit"/>
    <n v="200"/>
    <n v="1"/>
    <x v="1"/>
  </r>
  <r>
    <s v="05-877180032013"/>
    <x v="49"/>
    <x v="49"/>
    <n v="2013"/>
    <s v="Master Card"/>
    <n v="581081.84"/>
    <n v="645"/>
    <x v="1"/>
  </r>
  <r>
    <s v="05-877180032013"/>
    <x v="49"/>
    <x v="49"/>
    <n v="2013"/>
    <s v="Visa"/>
    <n v="1165804.8999999999"/>
    <n v="1187"/>
    <x v="1"/>
  </r>
  <r>
    <s v="05-877180032012"/>
    <x v="49"/>
    <x v="49"/>
    <n v="2012"/>
    <s v="Discover"/>
    <n v="120089.26"/>
    <n v="135"/>
    <x v="1"/>
  </r>
  <r>
    <s v="05-877180032011"/>
    <x v="49"/>
    <x v="49"/>
    <n v="2011"/>
    <s v="Pulse"/>
    <n v="1"/>
    <n v="1"/>
    <x v="1"/>
  </r>
  <r>
    <s v="05-877180032013"/>
    <x v="49"/>
    <x v="49"/>
    <n v="2013"/>
    <s v="Debit"/>
    <n v="268493.15999999997"/>
    <n v="393"/>
    <x v="1"/>
  </r>
  <r>
    <s v="05-877180032013"/>
    <x v="49"/>
    <x v="49"/>
    <n v="2013"/>
    <s v="Discover"/>
    <n v="143659.81"/>
    <n v="163"/>
    <x v="1"/>
  </r>
  <r>
    <s v="05-877180032011"/>
    <x v="49"/>
    <x v="49"/>
    <n v="2011"/>
    <s v="Visa"/>
    <n v="173222.16"/>
    <n v="177"/>
    <x v="1"/>
  </r>
  <r>
    <s v="05-877180032011"/>
    <x v="49"/>
    <x v="49"/>
    <n v="2011"/>
    <s v="Master Card"/>
    <n v="82189.539999999994"/>
    <n v="116"/>
    <x v="1"/>
  </r>
  <r>
    <s v="05-885016952011"/>
    <x v="50"/>
    <x v="50"/>
    <n v="2011"/>
    <s v="Discover"/>
    <n v="2427.02"/>
    <n v="2"/>
    <x v="0"/>
  </r>
  <r>
    <s v="05-885016952013"/>
    <x v="50"/>
    <x v="50"/>
    <n v="2013"/>
    <s v="Master Card"/>
    <n v="19412.830000000002"/>
    <n v="18"/>
    <x v="1"/>
  </r>
  <r>
    <s v="05-885016952013"/>
    <x v="50"/>
    <x v="50"/>
    <n v="2013"/>
    <s v="Visa"/>
    <n v="44657.61"/>
    <n v="33"/>
    <x v="1"/>
  </r>
  <r>
    <s v="05-885016952012"/>
    <x v="50"/>
    <x v="50"/>
    <n v="2012"/>
    <s v="Debit"/>
    <n v="21073.99"/>
    <n v="24"/>
    <x v="1"/>
  </r>
  <r>
    <s v="05-885016952012"/>
    <x v="50"/>
    <x v="50"/>
    <n v="2012"/>
    <s v="Visa"/>
    <n v="49828.639999999999"/>
    <n v="41"/>
    <x v="1"/>
  </r>
  <r>
    <s v="05-885016952013"/>
    <x v="50"/>
    <x v="50"/>
    <n v="2013"/>
    <s v="Discover"/>
    <n v="4761.7"/>
    <n v="4"/>
    <x v="1"/>
  </r>
  <r>
    <s v="05-885016952012"/>
    <x v="50"/>
    <x v="50"/>
    <n v="2012"/>
    <s v="Master Card"/>
    <n v="11145.66"/>
    <n v="13"/>
    <x v="1"/>
  </r>
  <r>
    <s v="05-885016952011"/>
    <x v="50"/>
    <x v="50"/>
    <n v="2011"/>
    <s v="Visa"/>
    <n v="11382.4"/>
    <n v="12"/>
    <x v="1"/>
  </r>
  <r>
    <s v="05-885016952011"/>
    <x v="50"/>
    <x v="50"/>
    <n v="2011"/>
    <s v="Master Card"/>
    <n v="2309.5300000000002"/>
    <n v="1"/>
    <x v="1"/>
  </r>
  <r>
    <s v="05-885016952013"/>
    <x v="50"/>
    <x v="50"/>
    <n v="2013"/>
    <s v="Debit"/>
    <n v="19077.5"/>
    <n v="10"/>
    <x v="1"/>
  </r>
  <r>
    <s v="05-885016952012"/>
    <x v="50"/>
    <x v="50"/>
    <n v="2012"/>
    <s v="Discover"/>
    <n v="4940.6099999999997"/>
    <n v="3"/>
    <x v="1"/>
  </r>
  <r>
    <s v="05-887661952012"/>
    <x v="51"/>
    <x v="51"/>
    <n v="2012"/>
    <s v="Pulse"/>
    <n v="3612.42"/>
    <n v="8"/>
    <x v="0"/>
  </r>
  <r>
    <s v="05-887661952013"/>
    <x v="51"/>
    <x v="51"/>
    <n v="2013"/>
    <s v="eCheck"/>
    <n v="1195"/>
    <n v="2"/>
    <x v="1"/>
  </r>
  <r>
    <s v="05-887661952013"/>
    <x v="51"/>
    <x v="51"/>
    <n v="2013"/>
    <s v="Discover"/>
    <n v="5512.27"/>
    <n v="13"/>
    <x v="1"/>
  </r>
  <r>
    <s v="05-887661952012"/>
    <x v="51"/>
    <x v="51"/>
    <n v="2012"/>
    <s v="eCheck"/>
    <n v="5917.9"/>
    <n v="8"/>
    <x v="1"/>
  </r>
  <r>
    <s v="05-887661952012"/>
    <x v="51"/>
    <x v="51"/>
    <n v="2012"/>
    <s v="Master Card"/>
    <n v="44075.42"/>
    <n v="80"/>
    <x v="1"/>
  </r>
  <r>
    <s v="05-887661952012"/>
    <x v="51"/>
    <x v="51"/>
    <n v="2012"/>
    <s v="Visa"/>
    <n v="86162.52"/>
    <n v="150"/>
    <x v="1"/>
  </r>
  <r>
    <s v="05-887661952012"/>
    <x v="51"/>
    <x v="51"/>
    <n v="2012"/>
    <s v="Star"/>
    <n v="4875.9399999999996"/>
    <n v="7"/>
    <x v="1"/>
  </r>
  <r>
    <s v="05-887661952013"/>
    <x v="51"/>
    <x v="51"/>
    <n v="2013"/>
    <s v="Master Card"/>
    <n v="39185.769999999997"/>
    <n v="76"/>
    <x v="1"/>
  </r>
  <r>
    <s v="05-887661952011"/>
    <x v="51"/>
    <x v="51"/>
    <n v="2011"/>
    <s v="eCheck"/>
    <n v="6671.15"/>
    <n v="11"/>
    <x v="1"/>
  </r>
  <r>
    <s v="05-887661952013"/>
    <x v="51"/>
    <x v="51"/>
    <n v="2013"/>
    <s v="Visa"/>
    <n v="64191.23"/>
    <n v="144"/>
    <x v="1"/>
  </r>
  <r>
    <s v="05-887661952013"/>
    <x v="51"/>
    <x v="51"/>
    <n v="2013"/>
    <s v="Debit"/>
    <n v="34817.230000000003"/>
    <n v="73"/>
    <x v="1"/>
  </r>
  <r>
    <s v="05-887661952011"/>
    <x v="51"/>
    <x v="51"/>
    <n v="2011"/>
    <s v="Visa"/>
    <n v="2275.75"/>
    <n v="3"/>
    <x v="1"/>
  </r>
  <r>
    <s v="05-887661952012"/>
    <x v="51"/>
    <x v="51"/>
    <n v="2012"/>
    <s v="Debit"/>
    <n v="24324.58"/>
    <n v="54"/>
    <x v="1"/>
  </r>
  <r>
    <s v="05-887661952012"/>
    <x v="51"/>
    <x v="51"/>
    <n v="2012"/>
    <s v="NYCE"/>
    <n v="1056.95"/>
    <n v="3"/>
    <x v="1"/>
  </r>
  <r>
    <s v="05-887661952012"/>
    <x v="51"/>
    <x v="51"/>
    <n v="2012"/>
    <s v="Discover"/>
    <n v="5718.9"/>
    <n v="10"/>
    <x v="1"/>
  </r>
  <r>
    <s v="05-898319552013"/>
    <x v="52"/>
    <x v="52"/>
    <n v="2013"/>
    <s v="Visa"/>
    <n v="310205.40000000002"/>
    <n v="460"/>
    <x v="0"/>
  </r>
  <r>
    <s v="05-898319552013"/>
    <x v="52"/>
    <x v="52"/>
    <n v="2013"/>
    <s v="Debit"/>
    <n v="140017.01999999999"/>
    <n v="202"/>
    <x v="1"/>
  </r>
  <r>
    <s v="05-898319552013"/>
    <x v="52"/>
    <x v="52"/>
    <n v="2013"/>
    <s v="Master Card"/>
    <n v="169164.22"/>
    <n v="247"/>
    <x v="1"/>
  </r>
  <r>
    <s v="05-898319552012"/>
    <x v="52"/>
    <x v="52"/>
    <n v="2012"/>
    <s v="Discover"/>
    <n v="39687.39"/>
    <n v="41"/>
    <x v="1"/>
  </r>
  <r>
    <s v="05-898319552012"/>
    <x v="52"/>
    <x v="52"/>
    <n v="2012"/>
    <s v="Debit"/>
    <n v="86980.02"/>
    <n v="95"/>
    <x v="1"/>
  </r>
  <r>
    <s v="05-898319552012"/>
    <x v="52"/>
    <x v="52"/>
    <n v="2012"/>
    <s v="Visa"/>
    <n v="299089.40000000002"/>
    <n v="308"/>
    <x v="1"/>
  </r>
  <r>
    <s v="05-898319552013"/>
    <x v="52"/>
    <x v="52"/>
    <n v="2013"/>
    <s v="Discover"/>
    <n v="40873.839999999997"/>
    <n v="67"/>
    <x v="1"/>
  </r>
  <r>
    <s v="05-898319552012"/>
    <x v="52"/>
    <x v="52"/>
    <n v="2012"/>
    <s v="Master Card"/>
    <n v="185420.58"/>
    <n v="201"/>
    <x v="1"/>
  </r>
  <r>
    <s v="05-901695752013"/>
    <x v="53"/>
    <x v="53"/>
    <n v="2013"/>
    <s v="Debit"/>
    <n v="47810.64"/>
    <n v="44"/>
    <x v="0"/>
  </r>
  <r>
    <s v="05-901695752013"/>
    <x v="53"/>
    <x v="53"/>
    <n v="2013"/>
    <s v="Visa"/>
    <n v="229794.59"/>
    <n v="173"/>
    <x v="1"/>
  </r>
  <r>
    <s v="05-901695752013"/>
    <x v="53"/>
    <x v="53"/>
    <n v="2013"/>
    <s v="Master Card"/>
    <n v="140826.87"/>
    <n v="95"/>
    <x v="1"/>
  </r>
  <r>
    <s v="05-901695752012"/>
    <x v="53"/>
    <x v="53"/>
    <n v="2012"/>
    <s v="Master Card"/>
    <n v="99702.35"/>
    <n v="74"/>
    <x v="1"/>
  </r>
  <r>
    <s v="05-901695752012"/>
    <x v="53"/>
    <x v="53"/>
    <n v="2012"/>
    <s v="Visa"/>
    <n v="170416.58"/>
    <n v="131"/>
    <x v="1"/>
  </r>
  <r>
    <s v="05-901695752012"/>
    <x v="53"/>
    <x v="53"/>
    <n v="2012"/>
    <s v="Debit"/>
    <n v="48934.45"/>
    <n v="52"/>
    <x v="1"/>
  </r>
  <r>
    <s v="05-909088662012"/>
    <x v="54"/>
    <x v="54"/>
    <n v="2012"/>
    <s v="Visa"/>
    <n v="3887069.85"/>
    <n v="3758"/>
    <x v="0"/>
  </r>
  <r>
    <s v="05-909088662012"/>
    <x v="54"/>
    <x v="54"/>
    <n v="2012"/>
    <s v="Cash"/>
    <n v="58716.47"/>
    <n v="39"/>
    <x v="1"/>
  </r>
  <r>
    <s v="05-909088662012"/>
    <x v="54"/>
    <x v="54"/>
    <n v="2012"/>
    <s v="Master Card"/>
    <n v="1814057.97"/>
    <n v="1743"/>
    <x v="1"/>
  </r>
  <r>
    <s v="05-909088662011"/>
    <x v="54"/>
    <x v="54"/>
    <n v="2011"/>
    <s v="Scan"/>
    <n v="51623558.210000001"/>
    <n v="44502"/>
    <x v="1"/>
  </r>
  <r>
    <s v="05-909088662012"/>
    <x v="54"/>
    <x v="54"/>
    <n v="2012"/>
    <s v="Star"/>
    <n v="155665.34"/>
    <n v="275"/>
    <x v="1"/>
  </r>
  <r>
    <s v="05-909088662012"/>
    <x v="54"/>
    <x v="54"/>
    <n v="2012"/>
    <s v="eCheck"/>
    <n v="29429056.460000001"/>
    <n v="16872"/>
    <x v="1"/>
  </r>
  <r>
    <s v="05-909088662013"/>
    <x v="54"/>
    <x v="54"/>
    <n v="2013"/>
    <s v="Debit"/>
    <n v="2772470.88"/>
    <n v="3506"/>
    <x v="1"/>
  </r>
  <r>
    <s v="05-909088662013"/>
    <x v="54"/>
    <x v="54"/>
    <n v="2013"/>
    <s v="Visa"/>
    <n v="3208014.37"/>
    <n v="2961"/>
    <x v="1"/>
  </r>
  <r>
    <s v="05-909088662011"/>
    <x v="54"/>
    <x v="54"/>
    <n v="2011"/>
    <s v="Cash"/>
    <n v="15566.23"/>
    <n v="13"/>
    <x v="1"/>
  </r>
  <r>
    <s v="05-909088662011"/>
    <x v="54"/>
    <x v="54"/>
    <n v="2011"/>
    <s v="eCheck"/>
    <n v="9377857.4700000007"/>
    <n v="5588"/>
    <x v="1"/>
  </r>
  <r>
    <s v="05-909088662013"/>
    <x v="54"/>
    <x v="54"/>
    <n v="2013"/>
    <s v="Master Card"/>
    <n v="1624450.15"/>
    <n v="1333"/>
    <x v="1"/>
  </r>
  <r>
    <s v="05-909088662012"/>
    <x v="54"/>
    <x v="54"/>
    <n v="2012"/>
    <s v="Debit"/>
    <n v="1885434.35"/>
    <n v="2385"/>
    <x v="1"/>
  </r>
  <r>
    <s v="05-909088662012"/>
    <x v="54"/>
    <x v="54"/>
    <n v="2012"/>
    <s v="Scan"/>
    <n v="167956391.38999999"/>
    <n v="138822"/>
    <x v="1"/>
  </r>
  <r>
    <s v="05-909088662012"/>
    <x v="54"/>
    <x v="54"/>
    <n v="2012"/>
    <s v="NYCE"/>
    <n v="8021.31"/>
    <n v="17"/>
    <x v="1"/>
  </r>
  <r>
    <s v="05-909088662013"/>
    <x v="54"/>
    <x v="54"/>
    <n v="2013"/>
    <s v="Cash"/>
    <n v="22690.37"/>
    <n v="16"/>
    <x v="1"/>
  </r>
  <r>
    <s v="05-909088662012"/>
    <x v="54"/>
    <x v="54"/>
    <n v="2012"/>
    <s v="American Express"/>
    <n v="19730.939999999999"/>
    <n v="20"/>
    <x v="1"/>
  </r>
  <r>
    <s v="05-909088662012"/>
    <x v="54"/>
    <x v="54"/>
    <n v="2012"/>
    <s v="Discover"/>
    <n v="134277.82999999999"/>
    <n v="106"/>
    <x v="1"/>
  </r>
  <r>
    <s v="05-909088662012"/>
    <x v="54"/>
    <x v="54"/>
    <n v="2012"/>
    <s v="Pulse"/>
    <n v="57688.76"/>
    <n v="81"/>
    <x v="1"/>
  </r>
  <r>
    <s v="05-909088662011"/>
    <x v="54"/>
    <x v="54"/>
    <n v="2011"/>
    <s v="Star"/>
    <n v="97002.81"/>
    <n v="166"/>
    <x v="1"/>
  </r>
  <r>
    <s v="05-909088662013"/>
    <x v="54"/>
    <x v="54"/>
    <n v="2013"/>
    <s v="Scan"/>
    <n v="161415801.38"/>
    <n v="123722"/>
    <x v="1"/>
  </r>
  <r>
    <s v="05-909088662011"/>
    <x v="54"/>
    <x v="54"/>
    <n v="2011"/>
    <s v="Visa"/>
    <n v="1517036.78"/>
    <n v="1642"/>
    <x v="1"/>
  </r>
  <r>
    <s v="05-909088662013"/>
    <x v="54"/>
    <x v="54"/>
    <n v="2013"/>
    <s v="Discover"/>
    <n v="106024.21"/>
    <n v="107"/>
    <x v="1"/>
  </r>
  <r>
    <s v="05-909088662011"/>
    <x v="54"/>
    <x v="54"/>
    <n v="2011"/>
    <s v="Master Card"/>
    <n v="506455.47"/>
    <n v="484"/>
    <x v="1"/>
  </r>
  <r>
    <s v="05-909088662013"/>
    <x v="54"/>
    <x v="54"/>
    <n v="2013"/>
    <s v="eCheck"/>
    <n v="29608450.18"/>
    <n v="16651"/>
    <x v="1"/>
  </r>
  <r>
    <s v="05-909088662011"/>
    <x v="54"/>
    <x v="54"/>
    <n v="2011"/>
    <s v="American Express"/>
    <n v="25814.33"/>
    <n v="24"/>
    <x v="1"/>
  </r>
  <r>
    <s v="05-909136462012"/>
    <x v="55"/>
    <x v="55"/>
    <n v="2012"/>
    <s v="Debit"/>
    <n v="81857.539999999994"/>
    <n v="394"/>
    <x v="0"/>
  </r>
  <r>
    <s v="05-909136462012"/>
    <x v="55"/>
    <x v="55"/>
    <n v="2012"/>
    <s v="Discover"/>
    <n v="22112.560000000001"/>
    <n v="85"/>
    <x v="1"/>
  </r>
  <r>
    <s v="05-909136462012"/>
    <x v="55"/>
    <x v="55"/>
    <n v="2012"/>
    <s v="American Express"/>
    <n v="162690.62"/>
    <n v="618"/>
    <x v="1"/>
  </r>
  <r>
    <s v="05-909136462013"/>
    <x v="55"/>
    <x v="55"/>
    <n v="2013"/>
    <s v="Visa"/>
    <n v="634818.03"/>
    <n v="2695"/>
    <x v="1"/>
  </r>
  <r>
    <s v="05-909136462013"/>
    <x v="55"/>
    <x v="55"/>
    <n v="2013"/>
    <s v="Master Card"/>
    <n v="385325.74"/>
    <n v="2238"/>
    <x v="1"/>
  </r>
  <r>
    <s v="05-909136462012"/>
    <x v="55"/>
    <x v="55"/>
    <n v="2012"/>
    <s v="Visa"/>
    <n v="545688.27"/>
    <n v="2319"/>
    <x v="1"/>
  </r>
  <r>
    <s v="05-909136462013"/>
    <x v="55"/>
    <x v="55"/>
    <n v="2013"/>
    <s v="American Express"/>
    <n v="192149.11"/>
    <n v="698"/>
    <x v="1"/>
  </r>
  <r>
    <s v="05-909136462013"/>
    <x v="55"/>
    <x v="55"/>
    <n v="2013"/>
    <s v="Discover"/>
    <n v="24910.9"/>
    <n v="94"/>
    <x v="1"/>
  </r>
  <r>
    <s v="05-909136462013"/>
    <x v="55"/>
    <x v="55"/>
    <n v="2013"/>
    <s v="Debit"/>
    <n v="23256.18"/>
    <n v="145"/>
    <x v="1"/>
  </r>
  <r>
    <s v="05-909136462012"/>
    <x v="55"/>
    <x v="55"/>
    <n v="2012"/>
    <s v="Master Card"/>
    <n v="368421.54"/>
    <n v="2087"/>
    <x v="1"/>
  </r>
  <r>
    <s v="05-925716442013"/>
    <x v="56"/>
    <x v="56"/>
    <n v="2013"/>
    <s v="Debit"/>
    <n v="1863956.23"/>
    <n v="2888"/>
    <x v="0"/>
  </r>
  <r>
    <s v="05-925716442013"/>
    <x v="56"/>
    <x v="56"/>
    <n v="2013"/>
    <s v="American Express"/>
    <n v="1042720.06"/>
    <n v="1307"/>
    <x v="1"/>
  </r>
  <r>
    <s v="05-925716442012"/>
    <x v="56"/>
    <x v="56"/>
    <n v="2012"/>
    <s v="Debit"/>
    <n v="1256774.8899999999"/>
    <n v="2018"/>
    <x v="1"/>
  </r>
  <r>
    <s v="05-925716442013"/>
    <x v="56"/>
    <x v="56"/>
    <n v="2013"/>
    <s v="Master Card"/>
    <n v="1886917.54"/>
    <n v="2428"/>
    <x v="1"/>
  </r>
  <r>
    <s v="05-925716442012"/>
    <x v="56"/>
    <x v="56"/>
    <n v="2012"/>
    <s v="American Express"/>
    <n v="975736.63"/>
    <n v="1207"/>
    <x v="1"/>
  </r>
  <r>
    <s v="05-925716442013"/>
    <x v="56"/>
    <x v="56"/>
    <n v="2013"/>
    <s v="Visa"/>
    <n v="3279922.48"/>
    <n v="4090"/>
    <x v="1"/>
  </r>
  <r>
    <s v="05-925716442012"/>
    <x v="56"/>
    <x v="56"/>
    <n v="2012"/>
    <s v="Discover"/>
    <n v="545618.42000000004"/>
    <n v="703"/>
    <x v="1"/>
  </r>
  <r>
    <s v="05-925716442012"/>
    <x v="56"/>
    <x v="56"/>
    <n v="2012"/>
    <s v="Visa"/>
    <n v="2476282.17"/>
    <n v="3346"/>
    <x v="1"/>
  </r>
  <r>
    <s v="05-925716442012"/>
    <x v="56"/>
    <x v="56"/>
    <n v="2012"/>
    <s v="Master Card"/>
    <n v="1728071.12"/>
    <n v="2359"/>
    <x v="1"/>
  </r>
  <r>
    <s v="05-925716442013"/>
    <x v="56"/>
    <x v="56"/>
    <n v="2013"/>
    <s v="Discover"/>
    <n v="668850.36"/>
    <n v="838"/>
    <x v="1"/>
  </r>
  <r>
    <s v="05-927399692013"/>
    <x v="57"/>
    <x v="57"/>
    <n v="2013"/>
    <s v="Discover"/>
    <n v="1100528.1399999999"/>
    <n v="813"/>
    <x v="0"/>
  </r>
  <r>
    <s v="05-927399692012"/>
    <x v="57"/>
    <x v="57"/>
    <n v="2012"/>
    <s v="Master Card"/>
    <n v="3770418.37"/>
    <n v="2900"/>
    <x v="1"/>
  </r>
  <r>
    <s v="05-927399692012"/>
    <x v="57"/>
    <x v="57"/>
    <n v="2012"/>
    <s v="Visa"/>
    <n v="5936581.4000000004"/>
    <n v="4451"/>
    <x v="1"/>
  </r>
  <r>
    <s v="05-927399692013"/>
    <x v="57"/>
    <x v="57"/>
    <n v="2013"/>
    <s v="Debit"/>
    <n v="2466274.23"/>
    <n v="2484"/>
    <x v="1"/>
  </r>
  <r>
    <s v="05-927399692012"/>
    <x v="57"/>
    <x v="57"/>
    <n v="2012"/>
    <s v="eCheck"/>
    <n v="7725.44"/>
    <n v="8"/>
    <x v="1"/>
  </r>
  <r>
    <s v="05-927399692013"/>
    <x v="57"/>
    <x v="57"/>
    <n v="2013"/>
    <s v="Visa"/>
    <n v="6777308.0099999998"/>
    <n v="5154"/>
    <x v="1"/>
  </r>
  <r>
    <s v="05-927399692012"/>
    <x v="57"/>
    <x v="57"/>
    <n v="2012"/>
    <s v="Debit"/>
    <n v="1905125.82"/>
    <n v="1939"/>
    <x v="1"/>
  </r>
  <r>
    <s v="05-927399692013"/>
    <x v="57"/>
    <x v="57"/>
    <n v="2013"/>
    <s v="Master Card"/>
    <n v="3783909.04"/>
    <n v="2872"/>
    <x v="1"/>
  </r>
  <r>
    <s v="05-927399692012"/>
    <x v="57"/>
    <x v="57"/>
    <n v="2012"/>
    <s v="Discover"/>
    <n v="693104.04"/>
    <n v="537"/>
    <x v="1"/>
  </r>
  <r>
    <s v="05-927420642012"/>
    <x v="58"/>
    <x v="58"/>
    <n v="2012"/>
    <s v="American Express"/>
    <n v="462.91"/>
    <n v="7"/>
    <x v="0"/>
  </r>
  <r>
    <s v="05-927420642013"/>
    <x v="58"/>
    <x v="58"/>
    <n v="2013"/>
    <s v="Master Card"/>
    <n v="34303.599999999999"/>
    <n v="227"/>
    <x v="1"/>
  </r>
  <r>
    <s v="05-927420642012"/>
    <x v="58"/>
    <x v="58"/>
    <n v="2012"/>
    <s v="Debit"/>
    <n v="526.66"/>
    <n v="7"/>
    <x v="1"/>
  </r>
  <r>
    <s v="05-927420642013"/>
    <x v="58"/>
    <x v="58"/>
    <n v="2013"/>
    <s v="Visa"/>
    <n v="43838.400000000001"/>
    <n v="356"/>
    <x v="1"/>
  </r>
  <r>
    <s v="05-927420642013"/>
    <x v="58"/>
    <x v="58"/>
    <n v="2013"/>
    <s v="American Express"/>
    <n v="22718.36"/>
    <n v="171"/>
    <x v="1"/>
  </r>
  <r>
    <s v="05-927420642013"/>
    <x v="58"/>
    <x v="58"/>
    <n v="2013"/>
    <s v="Debit"/>
    <n v="23042.52"/>
    <n v="239"/>
    <x v="1"/>
  </r>
  <r>
    <s v="05-927420642012"/>
    <x v="58"/>
    <x v="58"/>
    <n v="2012"/>
    <s v="Visa"/>
    <n v="1271.33"/>
    <n v="12"/>
    <x v="1"/>
  </r>
  <r>
    <s v="05-927420642012"/>
    <x v="58"/>
    <x v="58"/>
    <n v="2012"/>
    <s v="Master Card"/>
    <n v="5511.22"/>
    <n v="22"/>
    <x v="1"/>
  </r>
  <r>
    <s v="05-927420642013"/>
    <x v="58"/>
    <x v="58"/>
    <n v="2013"/>
    <s v="Discover"/>
    <n v="2404.0700000000002"/>
    <n v="24"/>
    <x v="1"/>
  </r>
  <r>
    <s v="05-939659692012"/>
    <x v="59"/>
    <x v="59"/>
    <n v="2012"/>
    <s v="Discover"/>
    <n v="170404.87"/>
    <n v="108"/>
    <x v="0"/>
  </r>
  <r>
    <s v="05-939659692013"/>
    <x v="59"/>
    <x v="59"/>
    <n v="2013"/>
    <s v="Debit"/>
    <n v="409682.68"/>
    <n v="362"/>
    <x v="1"/>
  </r>
  <r>
    <s v="05-939659692013"/>
    <x v="59"/>
    <x v="59"/>
    <n v="2013"/>
    <s v="Master Card"/>
    <n v="630232.80000000005"/>
    <n v="431"/>
    <x v="1"/>
  </r>
  <r>
    <s v="05-939659692013"/>
    <x v="59"/>
    <x v="59"/>
    <n v="2013"/>
    <s v="American Express"/>
    <n v="553881.65"/>
    <n v="359"/>
    <x v="1"/>
  </r>
  <r>
    <s v="05-939659692012"/>
    <x v="59"/>
    <x v="59"/>
    <n v="2012"/>
    <s v="Debit"/>
    <n v="337161.2"/>
    <n v="323"/>
    <x v="1"/>
  </r>
  <r>
    <s v="05-939659692012"/>
    <x v="59"/>
    <x v="59"/>
    <n v="2012"/>
    <s v="American Express"/>
    <n v="533388.6"/>
    <n v="361"/>
    <x v="1"/>
  </r>
  <r>
    <s v="05-939659692012"/>
    <x v="59"/>
    <x v="59"/>
    <n v="2012"/>
    <s v="Master Card"/>
    <n v="502664.24"/>
    <n v="427"/>
    <x v="1"/>
  </r>
  <r>
    <s v="05-939659692012"/>
    <x v="59"/>
    <x v="59"/>
    <n v="2012"/>
    <s v="Visa"/>
    <n v="943902.04"/>
    <n v="738"/>
    <x v="1"/>
  </r>
  <r>
    <s v="05-939659692013"/>
    <x v="59"/>
    <x v="59"/>
    <n v="2013"/>
    <s v="Discover"/>
    <n v="192244.52"/>
    <n v="121"/>
    <x v="1"/>
  </r>
  <r>
    <s v="05-939659692013"/>
    <x v="59"/>
    <x v="59"/>
    <n v="2013"/>
    <s v="Visa"/>
    <n v="1064859.71"/>
    <n v="766"/>
    <x v="1"/>
  </r>
  <r>
    <s v="05-941248392013"/>
    <x v="60"/>
    <x v="60"/>
    <n v="2013"/>
    <s v="Visa"/>
    <n v="198072.48"/>
    <n v="331"/>
    <x v="0"/>
  </r>
  <r>
    <s v="05-941248392013"/>
    <x v="60"/>
    <x v="60"/>
    <n v="2013"/>
    <s v="Master Card"/>
    <n v="80074.3"/>
    <n v="141"/>
    <x v="1"/>
  </r>
  <r>
    <s v="05-941248392012"/>
    <x v="60"/>
    <x v="60"/>
    <n v="2012"/>
    <s v="Discover"/>
    <n v="28593.33"/>
    <n v="47"/>
    <x v="1"/>
  </r>
  <r>
    <s v="05-941248392013"/>
    <x v="60"/>
    <x v="60"/>
    <n v="2013"/>
    <s v="Discover"/>
    <n v="50888.5"/>
    <n v="87"/>
    <x v="1"/>
  </r>
  <r>
    <s v="05-941248392013"/>
    <x v="60"/>
    <x v="60"/>
    <n v="2013"/>
    <s v="Debit"/>
    <n v="113064.41"/>
    <n v="194"/>
    <x v="1"/>
  </r>
  <r>
    <s v="05-941248392013"/>
    <x v="60"/>
    <x v="60"/>
    <n v="2013"/>
    <s v="American Express"/>
    <n v="47903.8"/>
    <n v="80"/>
    <x v="1"/>
  </r>
  <r>
    <s v="05-941248392012"/>
    <x v="60"/>
    <x v="60"/>
    <n v="2012"/>
    <s v="Master Card"/>
    <n v="89234.65"/>
    <n v="151"/>
    <x v="1"/>
  </r>
  <r>
    <s v="05-941248392012"/>
    <x v="60"/>
    <x v="60"/>
    <n v="2012"/>
    <s v="Visa"/>
    <n v="134733.15"/>
    <n v="209"/>
    <x v="1"/>
  </r>
  <r>
    <s v="05-941248392012"/>
    <x v="60"/>
    <x v="60"/>
    <n v="2012"/>
    <s v="Debit"/>
    <n v="71502.41"/>
    <n v="132"/>
    <x v="1"/>
  </r>
  <r>
    <s v="05-941248392012"/>
    <x v="60"/>
    <x v="60"/>
    <n v="2012"/>
    <s v="American Express"/>
    <n v="49128.74"/>
    <n v="70"/>
    <x v="1"/>
  </r>
  <r>
    <s v="05-941518132013"/>
    <x v="61"/>
    <x v="61"/>
    <n v="2013"/>
    <s v="Visa"/>
    <n v="2146140.5499999998"/>
    <n v="1444"/>
    <x v="0"/>
  </r>
  <r>
    <s v="05-941518132012"/>
    <x v="61"/>
    <x v="61"/>
    <n v="2012"/>
    <s v="Debit"/>
    <n v="668858.97"/>
    <n v="665"/>
    <x v="1"/>
  </r>
  <r>
    <s v="05-941518132013"/>
    <x v="61"/>
    <x v="61"/>
    <n v="2013"/>
    <s v="Master Card"/>
    <n v="1122619.73"/>
    <n v="837"/>
    <x v="1"/>
  </r>
  <r>
    <s v="05-941518132012"/>
    <x v="61"/>
    <x v="61"/>
    <n v="2012"/>
    <s v="Visa"/>
    <n v="1366782.44"/>
    <n v="988"/>
    <x v="1"/>
  </r>
  <r>
    <s v="05-941518132013"/>
    <x v="61"/>
    <x v="61"/>
    <n v="2013"/>
    <s v="Debit"/>
    <n v="1102987.5900000001"/>
    <n v="1197"/>
    <x v="1"/>
  </r>
  <r>
    <s v="05-941518132012"/>
    <x v="61"/>
    <x v="61"/>
    <n v="2012"/>
    <s v="Master Card"/>
    <n v="831288.41"/>
    <n v="619"/>
    <x v="1"/>
  </r>
  <r>
    <s v="05-941518132013"/>
    <x v="61"/>
    <x v="61"/>
    <n v="2013"/>
    <s v="Discover"/>
    <n v="408427.58"/>
    <n v="268"/>
    <x v="1"/>
  </r>
  <r>
    <s v="05-941518132012"/>
    <x v="61"/>
    <x v="61"/>
    <n v="2012"/>
    <s v="eCheck"/>
    <n v="341706.85"/>
    <n v="291"/>
    <x v="1"/>
  </r>
  <r>
    <s v="05-941518132013"/>
    <x v="61"/>
    <x v="61"/>
    <n v="2013"/>
    <s v="eCheck"/>
    <n v="351710.95"/>
    <n v="206"/>
    <x v="1"/>
  </r>
  <r>
    <s v="05-941518132012"/>
    <x v="61"/>
    <x v="61"/>
    <n v="2012"/>
    <s v="Discover"/>
    <n v="261439.51"/>
    <n v="194"/>
    <x v="1"/>
  </r>
  <r>
    <s v="05-964623282012"/>
    <x v="62"/>
    <x v="62"/>
    <n v="2012"/>
    <s v="Master Card"/>
    <n v="5372.84"/>
    <n v="25"/>
    <x v="0"/>
  </r>
  <r>
    <s v="05-964623282012"/>
    <x v="62"/>
    <x v="62"/>
    <n v="2012"/>
    <s v="Visa"/>
    <n v="6092.91"/>
    <n v="22"/>
    <x v="1"/>
  </r>
  <r>
    <s v="05-964623282012"/>
    <x v="62"/>
    <x v="62"/>
    <n v="2012"/>
    <s v="Debit"/>
    <n v="4744.8999999999996"/>
    <n v="20"/>
    <x v="1"/>
  </r>
  <r>
    <s v="05-964623282013"/>
    <x v="62"/>
    <x v="62"/>
    <n v="2013"/>
    <s v="Debit"/>
    <n v="20133.830000000002"/>
    <n v="76"/>
    <x v="1"/>
  </r>
  <r>
    <s v="05-964623282013"/>
    <x v="62"/>
    <x v="62"/>
    <n v="2013"/>
    <s v="Visa"/>
    <n v="26844.76"/>
    <n v="111"/>
    <x v="1"/>
  </r>
  <r>
    <s v="05-964623282012"/>
    <x v="62"/>
    <x v="62"/>
    <n v="2012"/>
    <s v="Debit Card"/>
    <n v="866.36"/>
    <n v="3"/>
    <x v="1"/>
  </r>
  <r>
    <s v="05-964623282013"/>
    <x v="62"/>
    <x v="62"/>
    <n v="2013"/>
    <s v="Master Card"/>
    <n v="12070.25"/>
    <n v="55"/>
    <x v="1"/>
  </r>
  <r>
    <s v="05-964914742013"/>
    <x v="63"/>
    <x v="63"/>
    <n v="2013"/>
    <s v="Debit"/>
    <n v="198862.7"/>
    <n v="759"/>
    <x v="0"/>
  </r>
  <r>
    <s v="05-964914742013"/>
    <x v="63"/>
    <x v="63"/>
    <n v="2013"/>
    <s v="Master Card"/>
    <n v="80085.84"/>
    <n v="299"/>
    <x v="1"/>
  </r>
  <r>
    <s v="05-964914742013"/>
    <x v="63"/>
    <x v="63"/>
    <n v="2013"/>
    <s v="Visa"/>
    <n v="141899.76999999999"/>
    <n v="517"/>
    <x v="1"/>
  </r>
  <r>
    <s v="05-964914742012"/>
    <x v="63"/>
    <x v="63"/>
    <n v="2012"/>
    <s v="Master Card"/>
    <n v="37411.730000000003"/>
    <n v="132"/>
    <x v="1"/>
  </r>
  <r>
    <s v="05-964914742012"/>
    <x v="63"/>
    <x v="63"/>
    <n v="2012"/>
    <s v="Visa"/>
    <n v="51349.17"/>
    <n v="205"/>
    <x v="1"/>
  </r>
  <r>
    <s v="05-964914742012"/>
    <x v="63"/>
    <x v="63"/>
    <n v="2012"/>
    <s v="Debit"/>
    <n v="51449.63"/>
    <n v="206"/>
    <x v="1"/>
  </r>
  <r>
    <s v="05-964914742012"/>
    <x v="63"/>
    <x v="63"/>
    <n v="2012"/>
    <s v="Debit Card"/>
    <n v="1236.3499999999999"/>
    <n v="4"/>
    <x v="1"/>
  </r>
  <r>
    <s v="05-966416112012"/>
    <x v="64"/>
    <x v="64"/>
    <n v="2012"/>
    <s v="Discover"/>
    <n v="131311.29"/>
    <n v="401"/>
    <x v="0"/>
  </r>
  <r>
    <s v="05-966416112012"/>
    <x v="64"/>
    <x v="64"/>
    <n v="2012"/>
    <s v="American Express"/>
    <n v="246704.18"/>
    <n v="641"/>
    <x v="1"/>
  </r>
  <r>
    <s v="05-966416112012"/>
    <x v="64"/>
    <x v="64"/>
    <n v="2012"/>
    <s v="Debit"/>
    <n v="538650.89"/>
    <n v="1805"/>
    <x v="1"/>
  </r>
  <r>
    <s v="05-966416112013"/>
    <x v="64"/>
    <x v="64"/>
    <n v="2013"/>
    <s v="Discover"/>
    <n v="154852.73000000001"/>
    <n v="465"/>
    <x v="1"/>
  </r>
  <r>
    <s v="05-966416112012"/>
    <x v="64"/>
    <x v="64"/>
    <n v="2012"/>
    <s v="Visa"/>
    <n v="675961.97"/>
    <n v="2118"/>
    <x v="1"/>
  </r>
  <r>
    <s v="05-966416112013"/>
    <x v="64"/>
    <x v="64"/>
    <n v="2013"/>
    <s v="Debit"/>
    <n v="860128.4"/>
    <n v="2842"/>
    <x v="1"/>
  </r>
  <r>
    <s v="05-966416112013"/>
    <x v="64"/>
    <x v="64"/>
    <n v="2013"/>
    <s v="American Express"/>
    <n v="263199.43"/>
    <n v="625"/>
    <x v="1"/>
  </r>
  <r>
    <s v="05-966416112012"/>
    <x v="64"/>
    <x v="64"/>
    <n v="2012"/>
    <s v="Master Card"/>
    <n v="629338.11"/>
    <n v="1971"/>
    <x v="1"/>
  </r>
  <r>
    <s v="05-966416112012"/>
    <x v="64"/>
    <x v="64"/>
    <n v="2012"/>
    <s v="eCheck"/>
    <n v="154.13999999999999"/>
    <n v="1"/>
    <x v="1"/>
  </r>
  <r>
    <s v="05-966416112013"/>
    <x v="64"/>
    <x v="64"/>
    <n v="2013"/>
    <s v="Visa"/>
    <n v="981204.75"/>
    <n v="2979"/>
    <x v="1"/>
  </r>
  <r>
    <s v="05-966416112012"/>
    <x v="64"/>
    <x v="64"/>
    <n v="2012"/>
    <s v="Debit Card"/>
    <n v="116221.42"/>
    <n v="392"/>
    <x v="1"/>
  </r>
  <r>
    <s v="05-966416112013"/>
    <x v="64"/>
    <x v="64"/>
    <n v="2013"/>
    <s v="Master Card"/>
    <n v="694731.94"/>
    <n v="2125"/>
    <x v="1"/>
  </r>
  <r>
    <s v="05-979372052013"/>
    <x v="65"/>
    <x v="65"/>
    <n v="2013"/>
    <s v="Visa"/>
    <n v="149755.15"/>
    <n v="135"/>
    <x v="0"/>
  </r>
  <r>
    <s v="05-979372052013"/>
    <x v="65"/>
    <x v="65"/>
    <n v="2013"/>
    <s v="Master Card"/>
    <n v="51945.15"/>
    <n v="49"/>
    <x v="1"/>
  </r>
  <r>
    <s v="05-979372052013"/>
    <x v="65"/>
    <x v="65"/>
    <n v="2013"/>
    <s v="Debit"/>
    <n v="38689.32"/>
    <n v="45"/>
    <x v="1"/>
  </r>
  <r>
    <s v="05-979372052012"/>
    <x v="65"/>
    <x v="65"/>
    <n v="2012"/>
    <s v="Master Card"/>
    <n v="56561.19"/>
    <n v="55"/>
    <x v="1"/>
  </r>
  <r>
    <s v="05-979372052012"/>
    <x v="65"/>
    <x v="65"/>
    <n v="2012"/>
    <s v="Visa"/>
    <n v="65945.83"/>
    <n v="71"/>
    <x v="1"/>
  </r>
  <r>
    <s v="05-979372052012"/>
    <x v="65"/>
    <x v="65"/>
    <n v="2012"/>
    <s v="Debit Card"/>
    <n v="3286.88"/>
    <n v="5"/>
    <x v="1"/>
  </r>
  <r>
    <s v="05-979372052012"/>
    <x v="65"/>
    <x v="65"/>
    <n v="2012"/>
    <s v="Debit"/>
    <n v="31505.57"/>
    <n v="34"/>
    <x v="1"/>
  </r>
  <r>
    <s v="06-100758982013"/>
    <x v="66"/>
    <x v="66"/>
    <n v="2013"/>
    <s v="Master Card"/>
    <n v="81036.240000000005"/>
    <n v="105"/>
    <x v="0"/>
  </r>
  <r>
    <s v="06-100758982013"/>
    <x v="66"/>
    <x v="66"/>
    <n v="2013"/>
    <s v="Visa"/>
    <n v="135931.53"/>
    <n v="184"/>
    <x v="1"/>
  </r>
  <r>
    <s v="06-100758982012"/>
    <x v="66"/>
    <x v="66"/>
    <n v="2012"/>
    <s v="eCheck"/>
    <n v="66422.460000000006"/>
    <n v="96"/>
    <x v="1"/>
  </r>
  <r>
    <s v="06-100758982013"/>
    <x v="66"/>
    <x v="66"/>
    <n v="2013"/>
    <s v="Debit"/>
    <n v="276579.81"/>
    <n v="347"/>
    <x v="1"/>
  </r>
  <r>
    <s v="06-100758982012"/>
    <x v="66"/>
    <x v="66"/>
    <n v="2012"/>
    <s v="Scan"/>
    <n v="1244573.51"/>
    <n v="1524"/>
    <x v="1"/>
  </r>
  <r>
    <s v="06-100758982012"/>
    <x v="66"/>
    <x v="66"/>
    <n v="2012"/>
    <s v="Debit"/>
    <n v="6277"/>
    <n v="8"/>
    <x v="1"/>
  </r>
  <r>
    <s v="06-100758982012"/>
    <x v="66"/>
    <x v="66"/>
    <n v="2012"/>
    <s v="Visa"/>
    <n v="6472.6"/>
    <n v="7"/>
    <x v="1"/>
  </r>
  <r>
    <s v="06-100758982013"/>
    <x v="66"/>
    <x v="66"/>
    <n v="2013"/>
    <s v="Discover"/>
    <n v="4336.75"/>
    <n v="5"/>
    <x v="1"/>
  </r>
  <r>
    <s v="06-100758982013"/>
    <x v="66"/>
    <x v="66"/>
    <n v="2013"/>
    <s v="eCheck"/>
    <n v="4056394.62"/>
    <n v="4912"/>
    <x v="1"/>
  </r>
  <r>
    <s v="06-100758982012"/>
    <x v="66"/>
    <x v="66"/>
    <n v="2012"/>
    <s v="Master Card"/>
    <n v="4833.8"/>
    <n v="4"/>
    <x v="1"/>
  </r>
  <r>
    <s v="06-100758982013"/>
    <x v="66"/>
    <x v="66"/>
    <n v="2013"/>
    <s v="Scan"/>
    <n v="11762676.039999999"/>
    <n v="15448"/>
    <x v="1"/>
  </r>
  <r>
    <s v="06-102168062012"/>
    <x v="67"/>
    <x v="67"/>
    <n v="2012"/>
    <s v="Visa"/>
    <n v="770.95"/>
    <n v="1"/>
    <x v="0"/>
  </r>
  <r>
    <s v="06-102168062013"/>
    <x v="67"/>
    <x v="67"/>
    <n v="2013"/>
    <s v="eCheck"/>
    <n v="757188.07"/>
    <n v="581"/>
    <x v="1"/>
  </r>
  <r>
    <s v="06-102168062012"/>
    <x v="67"/>
    <x v="67"/>
    <n v="2012"/>
    <s v="eCheck"/>
    <n v="216842.5"/>
    <n v="202"/>
    <x v="1"/>
  </r>
  <r>
    <s v="06-102168062013"/>
    <x v="67"/>
    <x v="67"/>
    <n v="2013"/>
    <s v="Master Card"/>
    <n v="5580.75"/>
    <n v="5"/>
    <x v="1"/>
  </r>
  <r>
    <s v="06-104906332013"/>
    <x v="68"/>
    <x v="68"/>
    <n v="2013"/>
    <s v="Discover"/>
    <n v="166896.5"/>
    <n v="187"/>
    <x v="0"/>
  </r>
  <r>
    <s v="06-104906332013"/>
    <x v="68"/>
    <x v="68"/>
    <n v="2013"/>
    <s v="Debit"/>
    <n v="568635.41"/>
    <n v="745"/>
    <x v="1"/>
  </r>
  <r>
    <s v="06-104906332012"/>
    <x v="68"/>
    <x v="68"/>
    <n v="2012"/>
    <s v="Master Card"/>
    <n v="44472.53"/>
    <n v="77"/>
    <x v="1"/>
  </r>
  <r>
    <s v="06-104906332012"/>
    <x v="68"/>
    <x v="68"/>
    <n v="2012"/>
    <s v="Visa"/>
    <n v="67460.67"/>
    <n v="104"/>
    <x v="1"/>
  </r>
  <r>
    <s v="06-104906332012"/>
    <x v="68"/>
    <x v="68"/>
    <n v="2012"/>
    <s v="Debit"/>
    <n v="33372.160000000003"/>
    <n v="63"/>
    <x v="1"/>
  </r>
  <r>
    <s v="06-104906332012"/>
    <x v="68"/>
    <x v="68"/>
    <n v="2012"/>
    <s v="Discover"/>
    <n v="3772.2"/>
    <n v="7"/>
    <x v="1"/>
  </r>
  <r>
    <s v="06-104906332013"/>
    <x v="68"/>
    <x v="68"/>
    <n v="2013"/>
    <s v="eCheck"/>
    <n v="18753.490000000002"/>
    <n v="13"/>
    <x v="1"/>
  </r>
  <r>
    <s v="06-104906332013"/>
    <x v="68"/>
    <x v="68"/>
    <n v="2013"/>
    <s v="Master Card"/>
    <n v="507871.15"/>
    <n v="604"/>
    <x v="1"/>
  </r>
  <r>
    <s v="06-104906332013"/>
    <x v="68"/>
    <x v="68"/>
    <n v="2013"/>
    <s v="Visa"/>
    <n v="881242.62"/>
    <n v="1004"/>
    <x v="1"/>
  </r>
  <r>
    <s v="15-137988232013"/>
    <x v="69"/>
    <x v="69"/>
    <n v="2013"/>
    <s v="eCheck"/>
    <n v="5439837.2999999998"/>
    <n v="8129"/>
    <x v="0"/>
  </r>
  <r>
    <s v="15-137988232013"/>
    <x v="69"/>
    <x v="69"/>
    <n v="2013"/>
    <s v="Master Card"/>
    <n v="242456.44"/>
    <n v="333"/>
    <x v="1"/>
  </r>
  <r>
    <s v="15-137988232011"/>
    <x v="69"/>
    <x v="69"/>
    <n v="2011"/>
    <s v="Debit"/>
    <n v="1552"/>
    <n v="2"/>
    <x v="1"/>
  </r>
  <r>
    <s v="15-137988232013"/>
    <x v="69"/>
    <x v="69"/>
    <n v="2013"/>
    <s v="Visa"/>
    <n v="468715.97"/>
    <n v="624"/>
    <x v="1"/>
  </r>
  <r>
    <s v="15-137988232012"/>
    <x v="69"/>
    <x v="69"/>
    <n v="2012"/>
    <s v="Pulse"/>
    <n v="8743.5"/>
    <n v="20"/>
    <x v="1"/>
  </r>
  <r>
    <s v="15-137988232011"/>
    <x v="69"/>
    <x v="69"/>
    <n v="2011"/>
    <s v="Visa"/>
    <n v="11950.93"/>
    <n v="21"/>
    <x v="1"/>
  </r>
  <r>
    <s v="15-137988232012"/>
    <x v="69"/>
    <x v="69"/>
    <n v="2012"/>
    <s v="NYCE"/>
    <n v="3960.34"/>
    <n v="8"/>
    <x v="1"/>
  </r>
  <r>
    <s v="15-137988232012"/>
    <x v="69"/>
    <x v="69"/>
    <n v="2012"/>
    <s v="eCheck"/>
    <n v="4318072.8899999997"/>
    <n v="6883"/>
    <x v="1"/>
  </r>
  <r>
    <s v="15-137988232012"/>
    <x v="69"/>
    <x v="69"/>
    <n v="2012"/>
    <s v="Discover"/>
    <n v="33698.94"/>
    <n v="41"/>
    <x v="1"/>
  </r>
  <r>
    <s v="15-137988232011"/>
    <x v="69"/>
    <x v="69"/>
    <n v="2011"/>
    <s v="Star"/>
    <n v="2804.8"/>
    <n v="3"/>
    <x v="1"/>
  </r>
  <r>
    <s v="15-137988232012"/>
    <x v="69"/>
    <x v="69"/>
    <n v="2012"/>
    <s v="Debit"/>
    <n v="231544.45"/>
    <n v="452"/>
    <x v="1"/>
  </r>
  <r>
    <s v="15-137988232012"/>
    <x v="69"/>
    <x v="69"/>
    <n v="2012"/>
    <s v="Visa"/>
    <n v="299133.3"/>
    <n v="424"/>
    <x v="1"/>
  </r>
  <r>
    <s v="15-137988232012"/>
    <x v="69"/>
    <x v="69"/>
    <n v="2012"/>
    <s v="Star"/>
    <n v="9573.2999999999993"/>
    <n v="22"/>
    <x v="1"/>
  </r>
  <r>
    <s v="15-137988232012"/>
    <x v="69"/>
    <x v="69"/>
    <n v="2012"/>
    <s v="Master Card"/>
    <n v="172944.25"/>
    <n v="252"/>
    <x v="1"/>
  </r>
  <r>
    <s v="15-137988232011"/>
    <x v="69"/>
    <x v="69"/>
    <n v="2011"/>
    <s v="Master Card"/>
    <n v="4209.47"/>
    <n v="4"/>
    <x v="1"/>
  </r>
  <r>
    <s v="15-137988232011"/>
    <x v="69"/>
    <x v="69"/>
    <n v="2011"/>
    <s v="eCheck"/>
    <n v="226700.83"/>
    <n v="338"/>
    <x v="1"/>
  </r>
  <r>
    <s v="15-137988232013"/>
    <x v="69"/>
    <x v="69"/>
    <n v="2013"/>
    <s v="Discover"/>
    <n v="51721.37"/>
    <n v="81"/>
    <x v="1"/>
  </r>
  <r>
    <s v="15-137988232013"/>
    <x v="69"/>
    <x v="69"/>
    <n v="2013"/>
    <s v="Debit"/>
    <n v="743853.62"/>
    <n v="1197"/>
    <x v="1"/>
  </r>
  <r>
    <s v="15-194144462011"/>
    <x v="70"/>
    <x v="70"/>
    <n v="2011"/>
    <s v="Visa"/>
    <n v="97322.64"/>
    <n v="301"/>
    <x v="0"/>
  </r>
  <r>
    <s v="15-194144462013"/>
    <x v="70"/>
    <x v="70"/>
    <n v="2013"/>
    <s v="Discover"/>
    <n v="11306"/>
    <n v="11"/>
    <x v="1"/>
  </r>
  <r>
    <s v="15-194144462011"/>
    <x v="70"/>
    <x v="70"/>
    <n v="2011"/>
    <s v="Master Card"/>
    <n v="153761.25"/>
    <n v="152"/>
    <x v="1"/>
  </r>
  <r>
    <s v="15-194144462012"/>
    <x v="70"/>
    <x v="70"/>
    <n v="2012"/>
    <s v="Scan"/>
    <n v="112992864.69"/>
    <n v="33907"/>
    <x v="1"/>
  </r>
  <r>
    <s v="15-194144462012"/>
    <x v="70"/>
    <x v="70"/>
    <n v="2012"/>
    <s v="Debit"/>
    <n v="31320.18"/>
    <n v="149"/>
    <x v="1"/>
  </r>
  <r>
    <s v="15-194144462012"/>
    <x v="70"/>
    <x v="70"/>
    <n v="2012"/>
    <s v="Discover"/>
    <n v="29220.15"/>
    <n v="27"/>
    <x v="1"/>
  </r>
  <r>
    <s v="15-194144462011"/>
    <x v="70"/>
    <x v="70"/>
    <n v="2011"/>
    <s v="eCheck"/>
    <n v="9249091.0800000001"/>
    <n v="2548"/>
    <x v="1"/>
  </r>
  <r>
    <s v="15-194144462013"/>
    <x v="70"/>
    <x v="70"/>
    <n v="2013"/>
    <s v="Debit"/>
    <n v="24745.38"/>
    <n v="103"/>
    <x v="1"/>
  </r>
  <r>
    <s v="15-194144462011"/>
    <x v="70"/>
    <x v="70"/>
    <n v="2011"/>
    <s v="Star"/>
    <n v="3249"/>
    <n v="14"/>
    <x v="1"/>
  </r>
  <r>
    <s v="15-194144462012"/>
    <x v="70"/>
    <x v="70"/>
    <n v="2012"/>
    <s v="Master Card"/>
    <n v="252986.32"/>
    <n v="165"/>
    <x v="1"/>
  </r>
  <r>
    <s v="15-194144462012"/>
    <x v="70"/>
    <x v="70"/>
    <n v="2012"/>
    <s v="Pulse"/>
    <n v="331.43"/>
    <n v="13"/>
    <x v="1"/>
  </r>
  <r>
    <s v="15-194144462013"/>
    <x v="70"/>
    <x v="70"/>
    <n v="2013"/>
    <s v="Scan"/>
    <n v="1006429.29"/>
    <n v="275"/>
    <x v="1"/>
  </r>
  <r>
    <s v="15-194144462011"/>
    <x v="70"/>
    <x v="70"/>
    <n v="2011"/>
    <s v="Debit"/>
    <n v="18"/>
    <n v="1"/>
    <x v="1"/>
  </r>
  <r>
    <s v="15-194144462013"/>
    <x v="70"/>
    <x v="70"/>
    <n v="2013"/>
    <s v="eCheck"/>
    <n v="10497129.859999999"/>
    <n v="2590"/>
    <x v="1"/>
  </r>
  <r>
    <s v="15-194144462012"/>
    <x v="70"/>
    <x v="70"/>
    <n v="2012"/>
    <s v="Visa"/>
    <n v="384284.14"/>
    <n v="318"/>
    <x v="1"/>
  </r>
  <r>
    <s v="15-194144462013"/>
    <x v="70"/>
    <x v="70"/>
    <n v="2013"/>
    <s v="Visa"/>
    <n v="160428.47"/>
    <n v="200"/>
    <x v="1"/>
  </r>
  <r>
    <s v="15-194144462011"/>
    <x v="70"/>
    <x v="70"/>
    <n v="2011"/>
    <s v="Scan"/>
    <n v="117212032.36"/>
    <n v="36649"/>
    <x v="1"/>
  </r>
  <r>
    <s v="15-194144462011"/>
    <x v="70"/>
    <x v="70"/>
    <n v="2011"/>
    <s v="Discover"/>
    <n v="8488.4500000000007"/>
    <n v="11"/>
    <x v="1"/>
  </r>
  <r>
    <s v="15-194144462013"/>
    <x v="70"/>
    <x v="70"/>
    <n v="2013"/>
    <s v="Master Card"/>
    <n v="61634.58"/>
    <n v="87"/>
    <x v="1"/>
  </r>
  <r>
    <s v="15-194144462012"/>
    <x v="70"/>
    <x v="70"/>
    <n v="2012"/>
    <s v="Star"/>
    <n v="334.62"/>
    <n v="10"/>
    <x v="1"/>
  </r>
  <r>
    <s v="15-194144462011"/>
    <x v="70"/>
    <x v="70"/>
    <n v="2011"/>
    <s v="NYCE"/>
    <n v="255"/>
    <n v="1"/>
    <x v="1"/>
  </r>
  <r>
    <s v="15-194144462011"/>
    <x v="70"/>
    <x v="70"/>
    <n v="2011"/>
    <s v="Pulse"/>
    <n v="2078"/>
    <n v="8"/>
    <x v="1"/>
  </r>
  <r>
    <s v="15-194144462012"/>
    <x v="70"/>
    <x v="70"/>
    <n v="2012"/>
    <s v="eCheck"/>
    <n v="10642089.52"/>
    <n v="2724"/>
    <x v="1"/>
  </r>
  <r>
    <s v="15-229174462012"/>
    <x v="71"/>
    <x v="71"/>
    <n v="2012"/>
    <s v="Visa"/>
    <n v="950217.41"/>
    <n v="716"/>
    <x v="0"/>
  </r>
  <r>
    <s v="15-229174462011"/>
    <x v="71"/>
    <x v="71"/>
    <n v="2011"/>
    <s v="Star"/>
    <n v="13756.23"/>
    <n v="13"/>
    <x v="1"/>
  </r>
  <r>
    <s v="15-229174462011"/>
    <x v="71"/>
    <x v="71"/>
    <n v="2011"/>
    <s v="eCheck"/>
    <n v="79265.08"/>
    <n v="52"/>
    <x v="1"/>
  </r>
  <r>
    <s v="15-229174462012"/>
    <x v="71"/>
    <x v="71"/>
    <n v="2012"/>
    <s v="Master Card"/>
    <n v="522056.34"/>
    <n v="381"/>
    <x v="1"/>
  </r>
  <r>
    <s v="15-229174462011"/>
    <x v="71"/>
    <x v="71"/>
    <n v="2011"/>
    <s v="Master Card"/>
    <n v="252177.6"/>
    <n v="177"/>
    <x v="1"/>
  </r>
  <r>
    <s v="15-229174462011"/>
    <x v="71"/>
    <x v="71"/>
    <n v="2011"/>
    <s v="Pulse"/>
    <n v="19842.310000000001"/>
    <n v="15"/>
    <x v="1"/>
  </r>
  <r>
    <s v="15-229174462011"/>
    <x v="71"/>
    <x v="71"/>
    <n v="2011"/>
    <s v="Visa"/>
    <n v="749001.12"/>
    <n v="525"/>
    <x v="1"/>
  </r>
  <r>
    <s v="15-229174462012"/>
    <x v="71"/>
    <x v="71"/>
    <n v="2012"/>
    <s v="Discover"/>
    <n v="10998.87"/>
    <n v="14"/>
    <x v="1"/>
  </r>
  <r>
    <s v="15-229174462013"/>
    <x v="71"/>
    <x v="71"/>
    <n v="2013"/>
    <s v="Debit"/>
    <n v="470384.49"/>
    <n v="377"/>
    <x v="1"/>
  </r>
  <r>
    <s v="15-229174462012"/>
    <x v="71"/>
    <x v="71"/>
    <n v="2012"/>
    <s v="eCheck"/>
    <n v="125305.75"/>
    <n v="101"/>
    <x v="1"/>
  </r>
  <r>
    <s v="15-229174462012"/>
    <x v="71"/>
    <x v="71"/>
    <n v="2012"/>
    <s v="NYCE"/>
    <n v="3897.9"/>
    <n v="5"/>
    <x v="1"/>
  </r>
  <r>
    <s v="15-229174462013"/>
    <x v="71"/>
    <x v="71"/>
    <n v="2013"/>
    <s v="Master Card"/>
    <n v="420229.67"/>
    <n v="329"/>
    <x v="1"/>
  </r>
  <r>
    <s v="15-229174462012"/>
    <x v="71"/>
    <x v="71"/>
    <n v="2012"/>
    <s v="Debit"/>
    <n v="335523.24"/>
    <n v="326"/>
    <x v="1"/>
  </r>
  <r>
    <s v="15-229174462013"/>
    <x v="71"/>
    <x v="71"/>
    <n v="2013"/>
    <s v="Discover"/>
    <n v="29811.279999999999"/>
    <n v="26"/>
    <x v="1"/>
  </r>
  <r>
    <s v="15-229174462013"/>
    <x v="71"/>
    <x v="71"/>
    <n v="2013"/>
    <s v="Visa"/>
    <n v="813767.6"/>
    <n v="639"/>
    <x v="1"/>
  </r>
  <r>
    <s v="15-229174462012"/>
    <x v="71"/>
    <x v="71"/>
    <n v="2012"/>
    <s v="Star"/>
    <n v="23361.18"/>
    <n v="24"/>
    <x v="1"/>
  </r>
  <r>
    <s v="15-229174462013"/>
    <x v="71"/>
    <x v="71"/>
    <n v="2013"/>
    <s v="Cash"/>
    <n v="78198.080000000002"/>
    <n v="94"/>
    <x v="1"/>
  </r>
  <r>
    <s v="15-229174462013"/>
    <x v="71"/>
    <x v="71"/>
    <n v="2013"/>
    <s v="eCheck"/>
    <n v="51229.23"/>
    <n v="54"/>
    <x v="1"/>
  </r>
  <r>
    <s v="15-229174462011"/>
    <x v="71"/>
    <x v="71"/>
    <n v="2011"/>
    <s v="NYCE"/>
    <n v="865.9"/>
    <n v="2"/>
    <x v="1"/>
  </r>
  <r>
    <s v="15-229174462011"/>
    <x v="71"/>
    <x v="71"/>
    <n v="2011"/>
    <s v="Discover"/>
    <n v="17179.36"/>
    <n v="14"/>
    <x v="1"/>
  </r>
  <r>
    <s v="15-229174462012"/>
    <x v="71"/>
    <x v="71"/>
    <n v="2012"/>
    <s v="Pulse"/>
    <n v="8226.27"/>
    <n v="9"/>
    <x v="1"/>
  </r>
  <r>
    <s v="15-258387262012"/>
    <x v="72"/>
    <x v="72"/>
    <n v="2012"/>
    <s v="Discover"/>
    <n v="1100"/>
    <n v="1"/>
    <x v="0"/>
  </r>
  <r>
    <s v="15-258387262012"/>
    <x v="72"/>
    <x v="72"/>
    <n v="2012"/>
    <s v="Debit"/>
    <n v="29480"/>
    <n v="30"/>
    <x v="1"/>
  </r>
  <r>
    <s v="15-258387262013"/>
    <x v="72"/>
    <x v="72"/>
    <n v="2013"/>
    <s v="Master Card"/>
    <n v="2700"/>
    <n v="1"/>
    <x v="1"/>
  </r>
  <r>
    <s v="15-258387262013"/>
    <x v="72"/>
    <x v="72"/>
    <n v="2013"/>
    <s v="Visa"/>
    <n v="2100"/>
    <n v="1"/>
    <x v="1"/>
  </r>
  <r>
    <s v="15-258387262011"/>
    <x v="72"/>
    <x v="72"/>
    <n v="2011"/>
    <s v="Visa"/>
    <n v="577810.9"/>
    <n v="491"/>
    <x v="1"/>
  </r>
  <r>
    <s v="15-258387262011"/>
    <x v="72"/>
    <x v="72"/>
    <n v="2011"/>
    <s v="Master Card"/>
    <n v="247579.88"/>
    <n v="203"/>
    <x v="1"/>
  </r>
  <r>
    <s v="15-258387262012"/>
    <x v="72"/>
    <x v="72"/>
    <n v="2012"/>
    <s v="Master Card"/>
    <n v="185449.5"/>
    <n v="155"/>
    <x v="1"/>
  </r>
  <r>
    <s v="15-258387262012"/>
    <x v="72"/>
    <x v="72"/>
    <n v="2012"/>
    <s v="Visa"/>
    <n v="399458.73"/>
    <n v="313"/>
    <x v="1"/>
  </r>
  <r>
    <s v="15-301942402011"/>
    <x v="73"/>
    <x v="73"/>
    <n v="2011"/>
    <s v="Discover"/>
    <n v="168715.62"/>
    <n v="243"/>
    <x v="0"/>
  </r>
  <r>
    <s v="15-301942402011"/>
    <x v="73"/>
    <x v="73"/>
    <n v="2011"/>
    <s v="Debit"/>
    <n v="1314.88"/>
    <n v="4"/>
    <x v="1"/>
  </r>
  <r>
    <s v="15-301942402013"/>
    <x v="73"/>
    <x v="73"/>
    <n v="2013"/>
    <s v="Discover"/>
    <n v="214752.59"/>
    <n v="284"/>
    <x v="1"/>
  </r>
  <r>
    <s v="15-301942402011"/>
    <x v="73"/>
    <x v="73"/>
    <n v="2011"/>
    <s v="American Express"/>
    <n v="1191460.6000000001"/>
    <n v="1141"/>
    <x v="1"/>
  </r>
  <r>
    <s v="15-301942402012"/>
    <x v="73"/>
    <x v="73"/>
    <n v="2012"/>
    <s v="Visa"/>
    <n v="1790071.22"/>
    <n v="2609"/>
    <x v="1"/>
  </r>
  <r>
    <s v="15-301942402012"/>
    <x v="73"/>
    <x v="73"/>
    <n v="2012"/>
    <s v="Master Card"/>
    <n v="1009776.54"/>
    <n v="1305"/>
    <x v="1"/>
  </r>
  <r>
    <s v="15-301942402013"/>
    <x v="73"/>
    <x v="73"/>
    <n v="2013"/>
    <s v="Visa"/>
    <n v="2090061.87"/>
    <n v="2692"/>
    <x v="1"/>
  </r>
  <r>
    <s v="15-301942402013"/>
    <x v="73"/>
    <x v="73"/>
    <n v="2013"/>
    <s v="American Express"/>
    <n v="1311031.07"/>
    <n v="1248"/>
    <x v="1"/>
  </r>
  <r>
    <s v="15-301942402013"/>
    <x v="73"/>
    <x v="73"/>
    <n v="2013"/>
    <s v="Master Card"/>
    <n v="1044955.94"/>
    <n v="1227"/>
    <x v="1"/>
  </r>
  <r>
    <s v="15-301942402013"/>
    <x v="73"/>
    <x v="73"/>
    <n v="2013"/>
    <s v="Debit"/>
    <n v="526148.5"/>
    <n v="1021"/>
    <x v="1"/>
  </r>
  <r>
    <s v="15-301942402011"/>
    <x v="73"/>
    <x v="73"/>
    <n v="2011"/>
    <s v="Master Card"/>
    <n v="1127531.72"/>
    <n v="1350"/>
    <x v="1"/>
  </r>
  <r>
    <s v="15-301942402012"/>
    <x v="73"/>
    <x v="73"/>
    <n v="2012"/>
    <s v="Debit"/>
    <n v="434618.14"/>
    <n v="929"/>
    <x v="1"/>
  </r>
  <r>
    <s v="15-301942402011"/>
    <x v="73"/>
    <x v="73"/>
    <n v="2011"/>
    <s v="Visa"/>
    <n v="2114030.0299999998"/>
    <n v="3027"/>
    <x v="1"/>
  </r>
  <r>
    <s v="15-301942402012"/>
    <x v="73"/>
    <x v="73"/>
    <n v="2012"/>
    <s v="American Express"/>
    <n v="1114969.19"/>
    <n v="1111"/>
    <x v="1"/>
  </r>
  <r>
    <s v="15-301942402012"/>
    <x v="73"/>
    <x v="73"/>
    <n v="2012"/>
    <s v="Discover"/>
    <n v="219878.87"/>
    <n v="314"/>
    <x v="1"/>
  </r>
  <r>
    <s v="15-302003832013"/>
    <x v="74"/>
    <x v="74"/>
    <n v="2013"/>
    <s v="American Express"/>
    <n v="236038.82"/>
    <n v="239"/>
    <x v="0"/>
  </r>
  <r>
    <s v="15-302003832013"/>
    <x v="74"/>
    <x v="74"/>
    <n v="2013"/>
    <s v="Debit"/>
    <n v="309307.08"/>
    <n v="569"/>
    <x v="1"/>
  </r>
  <r>
    <s v="15-302003832013"/>
    <x v="74"/>
    <x v="74"/>
    <n v="2013"/>
    <s v="Discover"/>
    <n v="91569.42"/>
    <n v="121"/>
    <x v="1"/>
  </r>
  <r>
    <s v="15-302003832011"/>
    <x v="74"/>
    <x v="74"/>
    <n v="2011"/>
    <s v="Master Card"/>
    <n v="1116049.8600000001"/>
    <n v="1692"/>
    <x v="1"/>
  </r>
  <r>
    <s v="15-302003832012"/>
    <x v="74"/>
    <x v="74"/>
    <n v="2012"/>
    <s v="Discover"/>
    <n v="288188.13"/>
    <n v="419"/>
    <x v="1"/>
  </r>
  <r>
    <s v="15-302003832011"/>
    <x v="74"/>
    <x v="74"/>
    <n v="2011"/>
    <s v="Visa"/>
    <n v="3920976.49"/>
    <n v="4318"/>
    <x v="1"/>
  </r>
  <r>
    <s v="15-302003832012"/>
    <x v="74"/>
    <x v="74"/>
    <n v="2012"/>
    <s v="American Express"/>
    <n v="786916.75"/>
    <n v="904"/>
    <x v="1"/>
  </r>
  <r>
    <s v="15-302003832012"/>
    <x v="74"/>
    <x v="74"/>
    <n v="2012"/>
    <s v="Master Card"/>
    <n v="1085610.1299999999"/>
    <n v="1627"/>
    <x v="1"/>
  </r>
  <r>
    <s v="15-302003832012"/>
    <x v="74"/>
    <x v="74"/>
    <n v="2012"/>
    <s v="Visa"/>
    <n v="4371570.0999999996"/>
    <n v="4094"/>
    <x v="1"/>
  </r>
  <r>
    <s v="15-302003832012"/>
    <x v="74"/>
    <x v="74"/>
    <n v="2012"/>
    <s v="Debit"/>
    <n v="889922.96"/>
    <n v="1644"/>
    <x v="1"/>
  </r>
  <r>
    <s v="15-302003832011"/>
    <x v="74"/>
    <x v="74"/>
    <n v="2011"/>
    <s v="Discover"/>
    <n v="286484.31"/>
    <n v="417"/>
    <x v="1"/>
  </r>
  <r>
    <s v="15-302003832011"/>
    <x v="74"/>
    <x v="74"/>
    <n v="2011"/>
    <s v="American Express"/>
    <n v="643454.56999999995"/>
    <n v="771"/>
    <x v="1"/>
  </r>
  <r>
    <s v="15-302003832013"/>
    <x v="74"/>
    <x v="74"/>
    <n v="2013"/>
    <s v="Master Card"/>
    <n v="322745.88"/>
    <n v="437"/>
    <x v="1"/>
  </r>
  <r>
    <s v="15-302003832013"/>
    <x v="74"/>
    <x v="74"/>
    <n v="2013"/>
    <s v="Visa"/>
    <n v="1081819.07"/>
    <n v="1026"/>
    <x v="1"/>
  </r>
  <r>
    <s v="15-302003832011"/>
    <x v="74"/>
    <x v="74"/>
    <n v="2011"/>
    <s v="Debit"/>
    <n v="5775.91"/>
    <n v="7"/>
    <x v="1"/>
  </r>
  <r>
    <s v="15-302154312011"/>
    <x v="75"/>
    <x v="75"/>
    <n v="2011"/>
    <s v="Visa"/>
    <n v="496708.96"/>
    <n v="779"/>
    <x v="0"/>
  </r>
  <r>
    <s v="15-302154312012"/>
    <x v="75"/>
    <x v="75"/>
    <n v="2012"/>
    <s v="American Express"/>
    <n v="117781.49"/>
    <n v="162"/>
    <x v="1"/>
  </r>
  <r>
    <s v="15-302154312011"/>
    <x v="75"/>
    <x v="75"/>
    <n v="2011"/>
    <s v="Master Card"/>
    <n v="242064.44"/>
    <n v="331"/>
    <x v="1"/>
  </r>
  <r>
    <s v="15-302154312012"/>
    <x v="75"/>
    <x v="75"/>
    <n v="2012"/>
    <s v="Debit"/>
    <n v="76038.19"/>
    <n v="173"/>
    <x v="1"/>
  </r>
  <r>
    <s v="15-302154312012"/>
    <x v="75"/>
    <x v="75"/>
    <n v="2012"/>
    <s v="Discover"/>
    <n v="31614.61"/>
    <n v="53"/>
    <x v="1"/>
  </r>
  <r>
    <s v="15-302154312011"/>
    <x v="75"/>
    <x v="75"/>
    <n v="2011"/>
    <s v="American Express"/>
    <n v="115743.16"/>
    <n v="151"/>
    <x v="1"/>
  </r>
  <r>
    <s v="15-302154312013"/>
    <x v="75"/>
    <x v="75"/>
    <n v="2013"/>
    <s v="Discover"/>
    <n v="25114.959999999999"/>
    <n v="42"/>
    <x v="1"/>
  </r>
  <r>
    <s v="15-302154312011"/>
    <x v="75"/>
    <x v="75"/>
    <n v="2011"/>
    <s v="Debit"/>
    <n v="3650"/>
    <n v="2"/>
    <x v="1"/>
  </r>
  <r>
    <s v="15-302154312013"/>
    <x v="75"/>
    <x v="75"/>
    <n v="2013"/>
    <s v="American Express"/>
    <n v="84147.93"/>
    <n v="115"/>
    <x v="1"/>
  </r>
  <r>
    <s v="15-302154312013"/>
    <x v="75"/>
    <x v="75"/>
    <n v="2013"/>
    <s v="Master Card"/>
    <n v="100416.9"/>
    <n v="183"/>
    <x v="1"/>
  </r>
  <r>
    <s v="15-302154312013"/>
    <x v="75"/>
    <x v="75"/>
    <n v="2013"/>
    <s v="Visa"/>
    <n v="242168.04"/>
    <n v="418"/>
    <x v="1"/>
  </r>
  <r>
    <s v="15-302154312013"/>
    <x v="75"/>
    <x v="75"/>
    <n v="2013"/>
    <s v="Debit"/>
    <n v="92369.66"/>
    <n v="198"/>
    <x v="1"/>
  </r>
  <r>
    <s v="15-302154312011"/>
    <x v="75"/>
    <x v="75"/>
    <n v="2011"/>
    <s v="Discover"/>
    <n v="22231.13"/>
    <n v="45"/>
    <x v="1"/>
  </r>
  <r>
    <s v="15-302154312012"/>
    <x v="75"/>
    <x v="75"/>
    <n v="2012"/>
    <s v="Master Card"/>
    <n v="161958.6"/>
    <n v="286"/>
    <x v="1"/>
  </r>
  <r>
    <s v="15-302154312012"/>
    <x v="75"/>
    <x v="75"/>
    <n v="2012"/>
    <s v="Visa"/>
    <n v="326664.55"/>
    <n v="523"/>
    <x v="1"/>
  </r>
  <r>
    <s v="15-302164182011"/>
    <x v="76"/>
    <x v="76"/>
    <n v="2011"/>
    <s v="Master Card"/>
    <n v="403901.55"/>
    <n v="1138"/>
    <x v="0"/>
  </r>
  <r>
    <s v="15-302164182012"/>
    <x v="76"/>
    <x v="76"/>
    <n v="2012"/>
    <s v="Debit"/>
    <n v="103400.66"/>
    <n v="319"/>
    <x v="1"/>
  </r>
  <r>
    <s v="15-302164182012"/>
    <x v="76"/>
    <x v="76"/>
    <n v="2012"/>
    <s v="American Express"/>
    <n v="138931.82999999999"/>
    <n v="265"/>
    <x v="1"/>
  </r>
  <r>
    <s v="15-302164182012"/>
    <x v="76"/>
    <x v="76"/>
    <n v="2012"/>
    <s v="Discover"/>
    <n v="31220.63"/>
    <n v="85"/>
    <x v="1"/>
  </r>
  <r>
    <s v="15-302164182011"/>
    <x v="76"/>
    <x v="76"/>
    <n v="2011"/>
    <s v="Visa"/>
    <n v="370532.54"/>
    <n v="1047"/>
    <x v="1"/>
  </r>
  <r>
    <s v="15-302164182013"/>
    <x v="76"/>
    <x v="76"/>
    <n v="2013"/>
    <s v="Master Card"/>
    <n v="299885.43"/>
    <n v="794"/>
    <x v="1"/>
  </r>
  <r>
    <s v="15-302164182013"/>
    <x v="76"/>
    <x v="76"/>
    <n v="2013"/>
    <s v="Visa"/>
    <n v="230427.86"/>
    <n v="552"/>
    <x v="1"/>
  </r>
  <r>
    <s v="15-302164182013"/>
    <x v="76"/>
    <x v="76"/>
    <n v="2013"/>
    <s v="Debit"/>
    <n v="101855.25"/>
    <n v="302"/>
    <x v="1"/>
  </r>
  <r>
    <s v="15-302164182013"/>
    <x v="76"/>
    <x v="76"/>
    <n v="2013"/>
    <s v="American Express"/>
    <n v="125716.31"/>
    <n v="237"/>
    <x v="1"/>
  </r>
  <r>
    <s v="15-302164182012"/>
    <x v="76"/>
    <x v="76"/>
    <n v="2012"/>
    <s v="Master Card"/>
    <n v="339686.23"/>
    <n v="935"/>
    <x v="1"/>
  </r>
  <r>
    <s v="15-302164182012"/>
    <x v="76"/>
    <x v="76"/>
    <n v="2012"/>
    <s v="Visa"/>
    <n v="252801.56"/>
    <n v="587"/>
    <x v="1"/>
  </r>
  <r>
    <s v="15-302164182013"/>
    <x v="76"/>
    <x v="76"/>
    <n v="2013"/>
    <s v="Discover"/>
    <n v="32447.06"/>
    <n v="64"/>
    <x v="1"/>
  </r>
  <r>
    <s v="15-302164182011"/>
    <x v="76"/>
    <x v="76"/>
    <n v="2011"/>
    <s v="American Express"/>
    <n v="113846.98"/>
    <n v="239"/>
    <x v="1"/>
  </r>
  <r>
    <s v="15-302164182011"/>
    <x v="76"/>
    <x v="76"/>
    <n v="2011"/>
    <s v="Discover"/>
    <n v="37408.93"/>
    <n v="111"/>
    <x v="1"/>
  </r>
  <r>
    <s v="15-302164182011"/>
    <x v="76"/>
    <x v="76"/>
    <n v="2011"/>
    <s v="Debit"/>
    <n v="185"/>
    <n v="2"/>
    <x v="1"/>
  </r>
  <r>
    <s v="15-302275152012"/>
    <x v="77"/>
    <x v="77"/>
    <n v="2012"/>
    <s v="Master Card"/>
    <n v="42092.480000000003"/>
    <n v="45"/>
    <x v="0"/>
  </r>
  <r>
    <s v="15-302275152012"/>
    <x v="77"/>
    <x v="77"/>
    <n v="2012"/>
    <s v="Visa"/>
    <n v="111960"/>
    <n v="107"/>
    <x v="1"/>
  </r>
  <r>
    <s v="15-302275152012"/>
    <x v="77"/>
    <x v="77"/>
    <n v="2012"/>
    <s v="eCheck"/>
    <n v="1270"/>
    <n v="1"/>
    <x v="1"/>
  </r>
  <r>
    <s v="15-302275152013"/>
    <x v="77"/>
    <x v="77"/>
    <n v="2013"/>
    <s v="Visa"/>
    <n v="137317.44"/>
    <n v="139"/>
    <x v="1"/>
  </r>
  <r>
    <s v="15-302275152011"/>
    <x v="77"/>
    <x v="77"/>
    <n v="2011"/>
    <s v="eCheck"/>
    <n v="7708"/>
    <n v="3"/>
    <x v="1"/>
  </r>
  <r>
    <s v="15-302275152013"/>
    <x v="77"/>
    <x v="77"/>
    <n v="2013"/>
    <s v="Master Card"/>
    <n v="39418.050000000003"/>
    <n v="45"/>
    <x v="1"/>
  </r>
  <r>
    <s v="15-302275152013"/>
    <x v="77"/>
    <x v="77"/>
    <n v="2013"/>
    <s v="Debit"/>
    <n v="25604.31"/>
    <n v="39"/>
    <x v="1"/>
  </r>
  <r>
    <s v="15-302275152011"/>
    <x v="77"/>
    <x v="77"/>
    <n v="2011"/>
    <s v="Master Card"/>
    <n v="89618.75"/>
    <n v="68"/>
    <x v="1"/>
  </r>
  <r>
    <s v="15-302275152011"/>
    <x v="77"/>
    <x v="77"/>
    <n v="2011"/>
    <s v="Visa"/>
    <n v="178765.79"/>
    <n v="156"/>
    <x v="1"/>
  </r>
  <r>
    <s v="15-302275152012"/>
    <x v="77"/>
    <x v="77"/>
    <n v="2012"/>
    <s v="Debit"/>
    <n v="30430.36"/>
    <n v="29"/>
    <x v="1"/>
  </r>
  <r>
    <s v="15-302424592011"/>
    <x v="78"/>
    <x v="78"/>
    <n v="2011"/>
    <s v="American Express"/>
    <n v="473996.11"/>
    <n v="353"/>
    <x v="0"/>
  </r>
  <r>
    <s v="15-302424592012"/>
    <x v="78"/>
    <x v="78"/>
    <n v="2012"/>
    <s v="Debit"/>
    <n v="124.27"/>
    <n v="1"/>
    <x v="1"/>
  </r>
  <r>
    <s v="15-302424592011"/>
    <x v="78"/>
    <x v="78"/>
    <n v="2011"/>
    <s v="Visa"/>
    <n v="1634916.51"/>
    <n v="1499"/>
    <x v="1"/>
  </r>
  <r>
    <s v="15-302424592011"/>
    <x v="78"/>
    <x v="78"/>
    <n v="2011"/>
    <s v="Master Card"/>
    <n v="793644.89"/>
    <n v="701"/>
    <x v="1"/>
  </r>
  <r>
    <s v="15-302465292012"/>
    <x v="79"/>
    <x v="79"/>
    <n v="2012"/>
    <s v="American Express"/>
    <n v="49283.48"/>
    <n v="43"/>
    <x v="0"/>
  </r>
  <r>
    <s v="15-302465292013"/>
    <x v="79"/>
    <x v="79"/>
    <n v="2013"/>
    <s v="Visa"/>
    <n v="369961.05"/>
    <n v="316"/>
    <x v="1"/>
  </r>
  <r>
    <s v="15-302465292013"/>
    <x v="79"/>
    <x v="79"/>
    <n v="2013"/>
    <s v="Master Card"/>
    <n v="226148.79"/>
    <n v="196"/>
    <x v="1"/>
  </r>
  <r>
    <s v="15-302465292012"/>
    <x v="79"/>
    <x v="79"/>
    <n v="2012"/>
    <s v="Debit"/>
    <n v="214408.75"/>
    <n v="216"/>
    <x v="1"/>
  </r>
  <r>
    <s v="15-302465292011"/>
    <x v="79"/>
    <x v="79"/>
    <n v="2011"/>
    <s v="eCheck"/>
    <n v="223889.26"/>
    <n v="145"/>
    <x v="1"/>
  </r>
  <r>
    <s v="15-302465292013"/>
    <x v="79"/>
    <x v="79"/>
    <n v="2013"/>
    <s v="Debit"/>
    <n v="390408.2"/>
    <n v="400"/>
    <x v="1"/>
  </r>
  <r>
    <s v="15-302465292012"/>
    <x v="79"/>
    <x v="79"/>
    <n v="2012"/>
    <s v="Visa"/>
    <n v="417532.28"/>
    <n v="316"/>
    <x v="1"/>
  </r>
  <r>
    <s v="15-302465292012"/>
    <x v="79"/>
    <x v="79"/>
    <n v="2012"/>
    <s v="Master Card"/>
    <n v="242609.16"/>
    <n v="212"/>
    <x v="1"/>
  </r>
  <r>
    <s v="15-302465292013"/>
    <x v="79"/>
    <x v="79"/>
    <n v="2013"/>
    <s v="American Express"/>
    <n v="73941.279999999999"/>
    <n v="65"/>
    <x v="1"/>
  </r>
  <r>
    <s v="15-302465292012"/>
    <x v="79"/>
    <x v="79"/>
    <n v="2012"/>
    <s v="eCheck"/>
    <n v="106725.49"/>
    <n v="79"/>
    <x v="1"/>
  </r>
  <r>
    <s v="15-302465292011"/>
    <x v="79"/>
    <x v="79"/>
    <n v="2011"/>
    <s v="Visa"/>
    <n v="308127.34999999998"/>
    <n v="223"/>
    <x v="1"/>
  </r>
  <r>
    <s v="15-302465292013"/>
    <x v="79"/>
    <x v="79"/>
    <n v="2013"/>
    <s v="Discover"/>
    <n v="4580.57"/>
    <n v="8"/>
    <x v="1"/>
  </r>
  <r>
    <s v="15-302465292011"/>
    <x v="79"/>
    <x v="79"/>
    <n v="2011"/>
    <s v="Master Card"/>
    <n v="118471.67999999999"/>
    <n v="101"/>
    <x v="1"/>
  </r>
  <r>
    <s v="15-302465292012"/>
    <x v="79"/>
    <x v="79"/>
    <n v="2012"/>
    <s v="Discover"/>
    <n v="3685.44"/>
    <n v="3"/>
    <x v="1"/>
  </r>
  <r>
    <s v="15-302465292013"/>
    <x v="79"/>
    <x v="79"/>
    <n v="2013"/>
    <s v="eCheck"/>
    <n v="97836.49"/>
    <n v="69"/>
    <x v="1"/>
  </r>
  <r>
    <s v="15-302465292011"/>
    <x v="79"/>
    <x v="79"/>
    <n v="2011"/>
    <s v="Debit"/>
    <n v="75"/>
    <n v="1"/>
    <x v="1"/>
  </r>
  <r>
    <s v="15-302578192011"/>
    <x v="80"/>
    <x v="80"/>
    <n v="2011"/>
    <s v="American Express"/>
    <n v="521284.69"/>
    <n v="796"/>
    <x v="0"/>
  </r>
  <r>
    <s v="15-302578192011"/>
    <x v="80"/>
    <x v="80"/>
    <n v="2011"/>
    <s v="Master Card"/>
    <n v="476537.25"/>
    <n v="1053"/>
    <x v="1"/>
  </r>
  <r>
    <s v="15-302578192011"/>
    <x v="80"/>
    <x v="80"/>
    <n v="2011"/>
    <s v="Debit"/>
    <n v="4633.37"/>
    <n v="9"/>
    <x v="1"/>
  </r>
  <r>
    <s v="15-302578192011"/>
    <x v="80"/>
    <x v="80"/>
    <n v="2011"/>
    <s v="Visa"/>
    <n v="1013537.67"/>
    <n v="2636"/>
    <x v="1"/>
  </r>
  <r>
    <s v="15-302578192012"/>
    <x v="80"/>
    <x v="80"/>
    <n v="2012"/>
    <s v="Discover"/>
    <n v="102291.96"/>
    <n v="208"/>
    <x v="1"/>
  </r>
  <r>
    <s v="15-302578192011"/>
    <x v="80"/>
    <x v="80"/>
    <n v="2011"/>
    <s v="Discover"/>
    <n v="131007.34"/>
    <n v="248"/>
    <x v="1"/>
  </r>
  <r>
    <s v="15-302578192012"/>
    <x v="80"/>
    <x v="80"/>
    <n v="2012"/>
    <s v="Debit"/>
    <n v="202376.8"/>
    <n v="644"/>
    <x v="1"/>
  </r>
  <r>
    <s v="15-302578192013"/>
    <x v="80"/>
    <x v="80"/>
    <n v="2013"/>
    <s v="Master Card"/>
    <n v="826654.05"/>
    <n v="1883"/>
    <x v="1"/>
  </r>
  <r>
    <s v="15-302578192013"/>
    <x v="80"/>
    <x v="80"/>
    <n v="2013"/>
    <s v="Visa"/>
    <n v="963925.18"/>
    <n v="1873"/>
    <x v="1"/>
  </r>
  <r>
    <s v="15-302578192012"/>
    <x v="80"/>
    <x v="80"/>
    <n v="2012"/>
    <s v="American Express"/>
    <n v="578014.03"/>
    <n v="797"/>
    <x v="1"/>
  </r>
  <r>
    <s v="15-302578192013"/>
    <x v="80"/>
    <x v="80"/>
    <n v="2013"/>
    <s v="Debit"/>
    <n v="306119.51"/>
    <n v="654"/>
    <x v="1"/>
  </r>
  <r>
    <s v="15-302578192012"/>
    <x v="80"/>
    <x v="80"/>
    <n v="2012"/>
    <s v="Master Card"/>
    <n v="596948.06999999995"/>
    <n v="1661"/>
    <x v="1"/>
  </r>
  <r>
    <s v="15-302578192013"/>
    <x v="80"/>
    <x v="80"/>
    <n v="2013"/>
    <s v="American Express"/>
    <n v="657752.06999999995"/>
    <n v="972"/>
    <x v="1"/>
  </r>
  <r>
    <s v="15-302578192012"/>
    <x v="80"/>
    <x v="80"/>
    <n v="2012"/>
    <s v="Visa"/>
    <n v="688250.08"/>
    <n v="1521"/>
    <x v="1"/>
  </r>
  <r>
    <s v="15-302578192013"/>
    <x v="80"/>
    <x v="80"/>
    <n v="2013"/>
    <s v="Discover"/>
    <n v="108978.82"/>
    <n v="182"/>
    <x v="1"/>
  </r>
  <r>
    <s v="15-302654142013"/>
    <x v="81"/>
    <x v="81"/>
    <n v="2013"/>
    <s v="Discover"/>
    <n v="591533.21"/>
    <n v="634"/>
    <x v="0"/>
  </r>
  <r>
    <s v="15-302654142011"/>
    <x v="81"/>
    <x v="81"/>
    <n v="2011"/>
    <s v="American Express"/>
    <n v="986691.35"/>
    <n v="1163"/>
    <x v="1"/>
  </r>
  <r>
    <s v="15-302654142012"/>
    <x v="81"/>
    <x v="81"/>
    <n v="2012"/>
    <s v="Visa"/>
    <n v="2961833.99"/>
    <n v="3395"/>
    <x v="1"/>
  </r>
  <r>
    <s v="15-302654142012"/>
    <x v="81"/>
    <x v="81"/>
    <n v="2012"/>
    <s v="Master Card"/>
    <n v="1890471.18"/>
    <n v="2298"/>
    <x v="1"/>
  </r>
  <r>
    <s v="15-302654142011"/>
    <x v="81"/>
    <x v="81"/>
    <n v="2011"/>
    <s v="Debit"/>
    <n v="1833.49"/>
    <n v="5"/>
    <x v="1"/>
  </r>
  <r>
    <s v="15-302654142011"/>
    <x v="81"/>
    <x v="81"/>
    <n v="2011"/>
    <s v="Master Card"/>
    <n v="1811369.96"/>
    <n v="2298"/>
    <x v="1"/>
  </r>
  <r>
    <s v="15-302654142011"/>
    <x v="81"/>
    <x v="81"/>
    <n v="2011"/>
    <s v="Visa"/>
    <n v="3281342.13"/>
    <n v="4294"/>
    <x v="1"/>
  </r>
  <r>
    <s v="15-302654142012"/>
    <x v="81"/>
    <x v="81"/>
    <n v="2012"/>
    <s v="Discover"/>
    <n v="528397.12"/>
    <n v="626"/>
    <x v="1"/>
  </r>
  <r>
    <s v="15-302654142013"/>
    <x v="81"/>
    <x v="81"/>
    <n v="2013"/>
    <s v="eCheck"/>
    <n v="63213.34"/>
    <n v="49"/>
    <x v="1"/>
  </r>
  <r>
    <s v="15-302654142013"/>
    <x v="81"/>
    <x v="81"/>
    <n v="2013"/>
    <s v="Visa"/>
    <n v="3175704.44"/>
    <n v="3325"/>
    <x v="1"/>
  </r>
  <r>
    <s v="15-302654142012"/>
    <x v="81"/>
    <x v="81"/>
    <n v="2012"/>
    <s v="American Express"/>
    <n v="1342974.58"/>
    <n v="1461"/>
    <x v="1"/>
  </r>
  <r>
    <s v="15-302654142011"/>
    <x v="81"/>
    <x v="81"/>
    <n v="2011"/>
    <s v="eCheck"/>
    <n v="72716.179999999993"/>
    <n v="73"/>
    <x v="1"/>
  </r>
  <r>
    <s v="15-302654142013"/>
    <x v="81"/>
    <x v="81"/>
    <n v="2013"/>
    <s v="Master Card"/>
    <n v="1826381.15"/>
    <n v="1953"/>
    <x v="1"/>
  </r>
  <r>
    <s v="15-302654142012"/>
    <x v="81"/>
    <x v="81"/>
    <n v="2012"/>
    <s v="Debit"/>
    <n v="1232979.0900000001"/>
    <n v="1878"/>
    <x v="1"/>
  </r>
  <r>
    <s v="15-302654142013"/>
    <x v="81"/>
    <x v="81"/>
    <n v="2013"/>
    <s v="Debit"/>
    <n v="1587678.2"/>
    <n v="2358"/>
    <x v="1"/>
  </r>
  <r>
    <s v="15-302654142012"/>
    <x v="81"/>
    <x v="81"/>
    <n v="2012"/>
    <s v="eCheck"/>
    <n v="74995.100000000006"/>
    <n v="68"/>
    <x v="1"/>
  </r>
  <r>
    <s v="15-302654142013"/>
    <x v="81"/>
    <x v="81"/>
    <n v="2013"/>
    <s v="American Express"/>
    <n v="1244183.73"/>
    <n v="1264"/>
    <x v="1"/>
  </r>
  <r>
    <s v="15-302654142011"/>
    <x v="81"/>
    <x v="81"/>
    <n v="2011"/>
    <s v="Discover"/>
    <n v="473706.97"/>
    <n v="553"/>
    <x v="1"/>
  </r>
  <r>
    <s v="15-305061402011"/>
    <x v="82"/>
    <x v="82"/>
    <n v="2011"/>
    <s v="Visa"/>
    <n v="1249723.26"/>
    <n v="2071"/>
    <x v="0"/>
  </r>
  <r>
    <s v="15-305061402011"/>
    <x v="82"/>
    <x v="82"/>
    <n v="2011"/>
    <s v="Master Card"/>
    <n v="480041.31"/>
    <n v="755"/>
    <x v="1"/>
  </r>
  <r>
    <s v="15-305061402013"/>
    <x v="82"/>
    <x v="82"/>
    <n v="2013"/>
    <s v="Discover"/>
    <n v="78885.81"/>
    <n v="106"/>
    <x v="1"/>
  </r>
  <r>
    <s v="15-305061402012"/>
    <x v="82"/>
    <x v="82"/>
    <n v="2012"/>
    <s v="Debit"/>
    <n v="488109.93"/>
    <n v="932"/>
    <x v="1"/>
  </r>
  <r>
    <s v="15-305061402012"/>
    <x v="82"/>
    <x v="82"/>
    <n v="2012"/>
    <s v="American Express"/>
    <n v="373417.46"/>
    <n v="506"/>
    <x v="1"/>
  </r>
  <r>
    <s v="15-305061402011"/>
    <x v="82"/>
    <x v="82"/>
    <n v="2011"/>
    <s v="American Express"/>
    <n v="435381.04"/>
    <n v="522"/>
    <x v="1"/>
  </r>
  <r>
    <s v="15-305061402013"/>
    <x v="82"/>
    <x v="82"/>
    <n v="2013"/>
    <s v="eCheck"/>
    <n v="4445"/>
    <n v="3"/>
    <x v="1"/>
  </r>
  <r>
    <s v="15-305061402012"/>
    <x v="82"/>
    <x v="82"/>
    <n v="2012"/>
    <s v="Visa"/>
    <n v="933684.75"/>
    <n v="1375"/>
    <x v="1"/>
  </r>
  <r>
    <s v="15-305061402012"/>
    <x v="82"/>
    <x v="82"/>
    <n v="2012"/>
    <s v="Master Card"/>
    <n v="446416.2"/>
    <n v="665"/>
    <x v="1"/>
  </r>
  <r>
    <s v="15-305061402011"/>
    <x v="82"/>
    <x v="82"/>
    <n v="2011"/>
    <s v="Debit"/>
    <n v="5126.05"/>
    <n v="13"/>
    <x v="1"/>
  </r>
  <r>
    <s v="15-305061402013"/>
    <x v="82"/>
    <x v="82"/>
    <n v="2013"/>
    <s v="Master Card"/>
    <n v="421661.84"/>
    <n v="602"/>
    <x v="1"/>
  </r>
  <r>
    <s v="15-305061402012"/>
    <x v="82"/>
    <x v="82"/>
    <n v="2012"/>
    <s v="eCheck"/>
    <n v="4259"/>
    <n v="7"/>
    <x v="1"/>
  </r>
  <r>
    <s v="15-305061402013"/>
    <x v="82"/>
    <x v="82"/>
    <n v="2013"/>
    <s v="Visa"/>
    <n v="994802.87"/>
    <n v="1444"/>
    <x v="1"/>
  </r>
  <r>
    <s v="15-305061402011"/>
    <x v="82"/>
    <x v="82"/>
    <n v="2011"/>
    <s v="Discover"/>
    <n v="73987.399999999994"/>
    <n v="105"/>
    <x v="1"/>
  </r>
  <r>
    <s v="15-305061402013"/>
    <x v="82"/>
    <x v="82"/>
    <n v="2013"/>
    <s v="American Express"/>
    <n v="385680.24"/>
    <n v="475"/>
    <x v="1"/>
  </r>
  <r>
    <s v="15-305061402012"/>
    <x v="82"/>
    <x v="82"/>
    <n v="2012"/>
    <s v="Discover"/>
    <n v="69151.14"/>
    <n v="102"/>
    <x v="1"/>
  </r>
  <r>
    <s v="15-305061402013"/>
    <x v="82"/>
    <x v="82"/>
    <n v="2013"/>
    <s v="Debit"/>
    <n v="551848.92000000004"/>
    <n v="1042"/>
    <x v="1"/>
  </r>
  <r>
    <s v="15-305061402011"/>
    <x v="82"/>
    <x v="82"/>
    <n v="2011"/>
    <s v="eCheck"/>
    <n v="7267.5"/>
    <n v="5"/>
    <x v="1"/>
  </r>
  <r>
    <s v="15-305274082011"/>
    <x v="83"/>
    <x v="83"/>
    <n v="2011"/>
    <s v="Master Card"/>
    <n v="701833.31"/>
    <n v="733"/>
    <x v="0"/>
  </r>
  <r>
    <s v="15-305274082011"/>
    <x v="83"/>
    <x v="83"/>
    <n v="2011"/>
    <s v="Visa"/>
    <n v="1426839.45"/>
    <n v="1389"/>
    <x v="1"/>
  </r>
  <r>
    <s v="15-305274082012"/>
    <x v="83"/>
    <x v="83"/>
    <n v="2012"/>
    <s v="eCheck"/>
    <n v="50493.46"/>
    <n v="16"/>
    <x v="1"/>
  </r>
  <r>
    <s v="15-305274082012"/>
    <x v="83"/>
    <x v="83"/>
    <n v="2012"/>
    <s v="Discover"/>
    <n v="131783.89000000001"/>
    <n v="143"/>
    <x v="1"/>
  </r>
  <r>
    <s v="15-305274082011"/>
    <x v="83"/>
    <x v="83"/>
    <n v="2011"/>
    <s v="Discover"/>
    <n v="135781.76999999999"/>
    <n v="153"/>
    <x v="1"/>
  </r>
  <r>
    <s v="15-305274082011"/>
    <x v="83"/>
    <x v="83"/>
    <n v="2011"/>
    <s v="Debit"/>
    <n v="2064.29"/>
    <n v="4"/>
    <x v="1"/>
  </r>
  <r>
    <s v="15-305274082013"/>
    <x v="83"/>
    <x v="83"/>
    <n v="2013"/>
    <s v="eCheck"/>
    <n v="65990.05"/>
    <n v="56"/>
    <x v="1"/>
  </r>
  <r>
    <s v="15-305274082013"/>
    <x v="83"/>
    <x v="83"/>
    <n v="2013"/>
    <s v="Visa"/>
    <n v="1361430.24"/>
    <n v="1242"/>
    <x v="1"/>
  </r>
  <r>
    <s v="15-305274082013"/>
    <x v="83"/>
    <x v="83"/>
    <n v="2013"/>
    <s v="Master Card"/>
    <n v="744884.82"/>
    <n v="675"/>
    <x v="1"/>
  </r>
  <r>
    <s v="15-305274082012"/>
    <x v="83"/>
    <x v="83"/>
    <n v="2012"/>
    <s v="Debit"/>
    <n v="195371.65"/>
    <n v="277"/>
    <x v="1"/>
  </r>
  <r>
    <s v="15-305274082012"/>
    <x v="83"/>
    <x v="83"/>
    <n v="2012"/>
    <s v="Master Card"/>
    <n v="828651.3"/>
    <n v="774"/>
    <x v="1"/>
  </r>
  <r>
    <s v="15-305274082013"/>
    <x v="83"/>
    <x v="83"/>
    <n v="2013"/>
    <s v="Debit"/>
    <n v="212775.14"/>
    <n v="302"/>
    <x v="1"/>
  </r>
  <r>
    <s v="15-305274082011"/>
    <x v="83"/>
    <x v="83"/>
    <n v="2011"/>
    <s v="eCheck"/>
    <n v="2612.94"/>
    <n v="2"/>
    <x v="1"/>
  </r>
  <r>
    <s v="15-305274082013"/>
    <x v="83"/>
    <x v="83"/>
    <n v="2013"/>
    <s v="Discover"/>
    <n v="160824.9"/>
    <n v="168"/>
    <x v="1"/>
  </r>
  <r>
    <s v="15-305274082012"/>
    <x v="83"/>
    <x v="83"/>
    <n v="2012"/>
    <s v="Visa"/>
    <n v="1506364.92"/>
    <n v="1270"/>
    <x v="1"/>
  </r>
  <r>
    <s v="15-305946682011"/>
    <x v="84"/>
    <x v="84"/>
    <n v="2011"/>
    <s v="Discover"/>
    <n v="64698.65"/>
    <n v="114"/>
    <x v="0"/>
  </r>
  <r>
    <s v="15-305946682013"/>
    <x v="84"/>
    <x v="84"/>
    <n v="2013"/>
    <s v="Visa"/>
    <n v="589544.65"/>
    <n v="907"/>
    <x v="1"/>
  </r>
  <r>
    <s v="15-305946682011"/>
    <x v="84"/>
    <x v="84"/>
    <n v="2011"/>
    <s v="Debit"/>
    <n v="1294.1400000000001"/>
    <n v="5"/>
    <x v="1"/>
  </r>
  <r>
    <s v="15-305946682013"/>
    <x v="84"/>
    <x v="84"/>
    <n v="2013"/>
    <s v="Master Card"/>
    <n v="297872.23"/>
    <n v="475"/>
    <x v="1"/>
  </r>
  <r>
    <s v="15-305946682011"/>
    <x v="84"/>
    <x v="84"/>
    <n v="2011"/>
    <s v="American Express"/>
    <n v="131438.57"/>
    <n v="211"/>
    <x v="1"/>
  </r>
  <r>
    <s v="15-305946682011"/>
    <x v="84"/>
    <x v="84"/>
    <n v="2011"/>
    <s v="Visa"/>
    <n v="684243.29"/>
    <n v="1653"/>
    <x v="1"/>
  </r>
  <r>
    <s v="15-305946682012"/>
    <x v="84"/>
    <x v="84"/>
    <n v="2012"/>
    <s v="Discover"/>
    <n v="54014.73"/>
    <n v="107"/>
    <x v="1"/>
  </r>
  <r>
    <s v="15-305946682013"/>
    <x v="84"/>
    <x v="84"/>
    <n v="2013"/>
    <s v="Discover"/>
    <n v="80175.179999999993"/>
    <n v="119"/>
    <x v="1"/>
  </r>
  <r>
    <s v="15-305946682013"/>
    <x v="84"/>
    <x v="84"/>
    <n v="2013"/>
    <s v="American Express"/>
    <n v="254197.52"/>
    <n v="342"/>
    <x v="1"/>
  </r>
  <r>
    <s v="15-305946682013"/>
    <x v="84"/>
    <x v="84"/>
    <n v="2013"/>
    <s v="Debit"/>
    <n v="496047.96"/>
    <n v="1077"/>
    <x v="1"/>
  </r>
  <r>
    <s v="15-305946682011"/>
    <x v="84"/>
    <x v="84"/>
    <n v="2011"/>
    <s v="Master Card"/>
    <n v="284757.46000000002"/>
    <n v="654"/>
    <x v="1"/>
  </r>
  <r>
    <s v="15-305946682012"/>
    <x v="84"/>
    <x v="84"/>
    <n v="2012"/>
    <s v="Master Card"/>
    <n v="318925.52"/>
    <n v="632"/>
    <x v="1"/>
  </r>
  <r>
    <s v="15-305946682012"/>
    <x v="84"/>
    <x v="84"/>
    <n v="2012"/>
    <s v="Debit"/>
    <n v="373240.26"/>
    <n v="906"/>
    <x v="1"/>
  </r>
  <r>
    <s v="15-305946682012"/>
    <x v="84"/>
    <x v="84"/>
    <n v="2012"/>
    <s v="American Express"/>
    <n v="144538.43"/>
    <n v="242"/>
    <x v="1"/>
  </r>
  <r>
    <s v="15-305946682012"/>
    <x v="84"/>
    <x v="84"/>
    <n v="2012"/>
    <s v="Visa"/>
    <n v="443574.12"/>
    <n v="873"/>
    <x v="1"/>
  </r>
  <r>
    <s v="15-306034292012"/>
    <x v="85"/>
    <x v="85"/>
    <n v="2012"/>
    <s v="Debit"/>
    <n v="1314046.8500000001"/>
    <n v="2261"/>
    <x v="0"/>
  </r>
  <r>
    <s v="15-306034292013"/>
    <x v="85"/>
    <x v="85"/>
    <n v="2013"/>
    <s v="Visa"/>
    <n v="2345807.48"/>
    <n v="2647"/>
    <x v="1"/>
  </r>
  <r>
    <s v="15-306034292012"/>
    <x v="85"/>
    <x v="85"/>
    <n v="2012"/>
    <s v="Master Card"/>
    <n v="1572618.78"/>
    <n v="2264"/>
    <x v="1"/>
  </r>
  <r>
    <s v="15-306034292012"/>
    <x v="85"/>
    <x v="85"/>
    <n v="2012"/>
    <s v="American Express"/>
    <n v="1023375.98"/>
    <n v="1188"/>
    <x v="1"/>
  </r>
  <r>
    <s v="15-306034292011"/>
    <x v="85"/>
    <x v="85"/>
    <n v="2011"/>
    <s v="eCheck"/>
    <n v="40005.06"/>
    <n v="30"/>
    <x v="1"/>
  </r>
  <r>
    <s v="15-306034292011"/>
    <x v="85"/>
    <x v="85"/>
    <n v="2011"/>
    <s v="Master Card"/>
    <n v="1663094.7"/>
    <n v="2476"/>
    <x v="1"/>
  </r>
  <r>
    <s v="15-306034292012"/>
    <x v="85"/>
    <x v="85"/>
    <n v="2012"/>
    <s v="Visa"/>
    <n v="2167067.71"/>
    <n v="3081"/>
    <x v="1"/>
  </r>
  <r>
    <s v="15-306034292013"/>
    <x v="85"/>
    <x v="85"/>
    <n v="2013"/>
    <s v="Debit"/>
    <n v="1499139.37"/>
    <n v="2239"/>
    <x v="1"/>
  </r>
  <r>
    <s v="15-306034292013"/>
    <x v="85"/>
    <x v="85"/>
    <n v="2013"/>
    <s v="American Express"/>
    <n v="988216.67"/>
    <n v="968"/>
    <x v="1"/>
  </r>
  <r>
    <s v="15-306034292013"/>
    <x v="85"/>
    <x v="85"/>
    <n v="2013"/>
    <s v="Discover"/>
    <n v="520871.89"/>
    <n v="525"/>
    <x v="1"/>
  </r>
  <r>
    <s v="15-306034292012"/>
    <x v="85"/>
    <x v="85"/>
    <n v="2012"/>
    <s v="Discover"/>
    <n v="493603.21"/>
    <n v="672"/>
    <x v="1"/>
  </r>
  <r>
    <s v="15-306034292012"/>
    <x v="85"/>
    <x v="85"/>
    <n v="2012"/>
    <s v="eCheck"/>
    <n v="44506.03"/>
    <n v="53"/>
    <x v="1"/>
  </r>
  <r>
    <s v="15-306034292011"/>
    <x v="85"/>
    <x v="85"/>
    <n v="2011"/>
    <s v="Visa"/>
    <n v="3142200.95"/>
    <n v="4759"/>
    <x v="1"/>
  </r>
  <r>
    <s v="15-306034292011"/>
    <x v="85"/>
    <x v="85"/>
    <n v="2011"/>
    <s v="Debit"/>
    <n v="889.87"/>
    <n v="4"/>
    <x v="1"/>
  </r>
  <r>
    <s v="15-306034292011"/>
    <x v="85"/>
    <x v="85"/>
    <n v="2011"/>
    <s v="American Express"/>
    <n v="875989.02"/>
    <n v="1091"/>
    <x v="1"/>
  </r>
  <r>
    <s v="15-306034292011"/>
    <x v="85"/>
    <x v="85"/>
    <n v="2011"/>
    <s v="Discover"/>
    <n v="381909.11"/>
    <n v="544"/>
    <x v="1"/>
  </r>
  <r>
    <s v="15-306034292013"/>
    <x v="85"/>
    <x v="85"/>
    <n v="2013"/>
    <s v="eCheck"/>
    <n v="68036.17"/>
    <n v="74"/>
    <x v="1"/>
  </r>
  <r>
    <s v="15-306034292013"/>
    <x v="85"/>
    <x v="85"/>
    <n v="2013"/>
    <s v="Master Card"/>
    <n v="1372953.15"/>
    <n v="1600"/>
    <x v="1"/>
  </r>
  <r>
    <s v="15-306808512013"/>
    <x v="86"/>
    <x v="86"/>
    <n v="2013"/>
    <s v="Visa"/>
    <n v="276336.59000000003"/>
    <n v="1029"/>
    <x v="0"/>
  </r>
  <r>
    <s v="15-306808512011"/>
    <x v="86"/>
    <x v="86"/>
    <n v="2011"/>
    <s v="Debit"/>
    <n v="1451.01"/>
    <n v="1"/>
    <x v="1"/>
  </r>
  <r>
    <s v="15-306808512013"/>
    <x v="86"/>
    <x v="86"/>
    <n v="2013"/>
    <s v="Master Card"/>
    <n v="331437.21000000002"/>
    <n v="1654"/>
    <x v="1"/>
  </r>
  <r>
    <s v="15-306808512011"/>
    <x v="86"/>
    <x v="86"/>
    <n v="2011"/>
    <s v="American Express"/>
    <n v="134438.15"/>
    <n v="253"/>
    <x v="1"/>
  </r>
  <r>
    <s v="15-306808512011"/>
    <x v="86"/>
    <x v="86"/>
    <n v="2011"/>
    <s v="Discover"/>
    <n v="9072.26"/>
    <n v="29"/>
    <x v="1"/>
  </r>
  <r>
    <s v="15-306808512012"/>
    <x v="86"/>
    <x v="86"/>
    <n v="2012"/>
    <s v="Visa"/>
    <n v="299294.52"/>
    <n v="801"/>
    <x v="1"/>
  </r>
  <r>
    <s v="15-306808512013"/>
    <x v="86"/>
    <x v="86"/>
    <n v="2013"/>
    <s v="Discover"/>
    <n v="4146.2"/>
    <n v="15"/>
    <x v="1"/>
  </r>
  <r>
    <s v="15-306808512012"/>
    <x v="86"/>
    <x v="86"/>
    <n v="2012"/>
    <s v="American Express"/>
    <n v="134254.09"/>
    <n v="250"/>
    <x v="1"/>
  </r>
  <r>
    <s v="15-306808512012"/>
    <x v="86"/>
    <x v="86"/>
    <n v="2012"/>
    <s v="Debit"/>
    <n v="99140.05"/>
    <n v="259"/>
    <x v="1"/>
  </r>
  <r>
    <s v="15-306808512012"/>
    <x v="86"/>
    <x v="86"/>
    <n v="2012"/>
    <s v="Master Card"/>
    <n v="243626.4"/>
    <n v="988"/>
    <x v="1"/>
  </r>
  <r>
    <s v="15-306808512011"/>
    <x v="86"/>
    <x v="86"/>
    <n v="2011"/>
    <s v="Master Card"/>
    <n v="399411.25"/>
    <n v="1101"/>
    <x v="1"/>
  </r>
  <r>
    <s v="15-306808512011"/>
    <x v="86"/>
    <x v="86"/>
    <n v="2011"/>
    <s v="Visa"/>
    <n v="415516.08"/>
    <n v="1069"/>
    <x v="1"/>
  </r>
  <r>
    <s v="15-306808512013"/>
    <x v="86"/>
    <x v="86"/>
    <n v="2013"/>
    <s v="Debit"/>
    <n v="151669.38"/>
    <n v="429"/>
    <x v="1"/>
  </r>
  <r>
    <s v="15-306808512013"/>
    <x v="86"/>
    <x v="86"/>
    <n v="2013"/>
    <s v="American Express"/>
    <n v="152397.09"/>
    <n v="347"/>
    <x v="1"/>
  </r>
  <r>
    <s v="15-306808512012"/>
    <x v="86"/>
    <x v="86"/>
    <n v="2012"/>
    <s v="Discover"/>
    <n v="6907.46"/>
    <n v="17"/>
    <x v="1"/>
  </r>
  <r>
    <s v="15-307448382012"/>
    <x v="87"/>
    <x v="87"/>
    <n v="2012"/>
    <s v="Debit"/>
    <n v="23512.639999999999"/>
    <n v="70"/>
    <x v="0"/>
  </r>
  <r>
    <s v="15-307448382011"/>
    <x v="87"/>
    <x v="87"/>
    <n v="2011"/>
    <s v="Discover"/>
    <n v="133857.57999999999"/>
    <n v="330"/>
    <x v="1"/>
  </r>
  <r>
    <s v="15-307448382012"/>
    <x v="87"/>
    <x v="87"/>
    <n v="2012"/>
    <s v="Master Card"/>
    <n v="22550.1"/>
    <n v="61"/>
    <x v="1"/>
  </r>
  <r>
    <s v="15-307448382011"/>
    <x v="87"/>
    <x v="87"/>
    <n v="2011"/>
    <s v="Debit"/>
    <n v="2401.58"/>
    <n v="6"/>
    <x v="1"/>
  </r>
  <r>
    <s v="15-307448382012"/>
    <x v="87"/>
    <x v="87"/>
    <n v="2012"/>
    <s v="Visa"/>
    <n v="23912.45"/>
    <n v="67"/>
    <x v="1"/>
  </r>
  <r>
    <s v="15-307448382012"/>
    <x v="87"/>
    <x v="87"/>
    <n v="2012"/>
    <s v="Discover"/>
    <n v="4377.25"/>
    <n v="16"/>
    <x v="1"/>
  </r>
  <r>
    <s v="15-307448382011"/>
    <x v="87"/>
    <x v="87"/>
    <n v="2011"/>
    <s v="Visa"/>
    <n v="886252.69"/>
    <n v="2451"/>
    <x v="1"/>
  </r>
  <r>
    <s v="15-307448382011"/>
    <x v="87"/>
    <x v="87"/>
    <n v="2011"/>
    <s v="Master Card"/>
    <n v="407715.15"/>
    <n v="1167"/>
    <x v="1"/>
  </r>
  <r>
    <s v="15-307448382011"/>
    <x v="87"/>
    <x v="87"/>
    <n v="2011"/>
    <s v="American Express"/>
    <n v="27278.49"/>
    <n v="90"/>
    <x v="1"/>
  </r>
  <r>
    <s v="15-307626272013"/>
    <x v="88"/>
    <x v="88"/>
    <n v="2013"/>
    <s v="Visa"/>
    <n v="573011.81999999995"/>
    <n v="703"/>
    <x v="0"/>
  </r>
  <r>
    <s v="15-307626272013"/>
    <x v="88"/>
    <x v="88"/>
    <n v="2013"/>
    <s v="Master Card"/>
    <n v="275526.49"/>
    <n v="354"/>
    <x v="1"/>
  </r>
  <r>
    <s v="15-307626272011"/>
    <x v="88"/>
    <x v="88"/>
    <n v="2011"/>
    <s v="Discover"/>
    <n v="132406"/>
    <n v="158"/>
    <x v="1"/>
  </r>
  <r>
    <s v="15-307626272012"/>
    <x v="88"/>
    <x v="88"/>
    <n v="2012"/>
    <s v="Master Card"/>
    <n v="398539.52000000002"/>
    <n v="462"/>
    <x v="1"/>
  </r>
  <r>
    <s v="15-307626272011"/>
    <x v="88"/>
    <x v="88"/>
    <n v="2011"/>
    <s v="Debit"/>
    <n v="4048.09"/>
    <n v="4"/>
    <x v="1"/>
  </r>
  <r>
    <s v="15-307626272012"/>
    <x v="88"/>
    <x v="88"/>
    <n v="2012"/>
    <s v="Visa"/>
    <n v="555535.93000000005"/>
    <n v="666"/>
    <x v="1"/>
  </r>
  <r>
    <s v="15-307626272013"/>
    <x v="88"/>
    <x v="88"/>
    <n v="2013"/>
    <s v="Discover"/>
    <n v="87672.86"/>
    <n v="115"/>
    <x v="1"/>
  </r>
  <r>
    <s v="15-307626272011"/>
    <x v="88"/>
    <x v="88"/>
    <n v="2011"/>
    <s v="Master Card"/>
    <n v="418403.8"/>
    <n v="547"/>
    <x v="1"/>
  </r>
  <r>
    <s v="15-307626272012"/>
    <x v="88"/>
    <x v="88"/>
    <n v="2012"/>
    <s v="Debit"/>
    <n v="282117.44"/>
    <n v="360"/>
    <x v="1"/>
  </r>
  <r>
    <s v="15-307626272013"/>
    <x v="88"/>
    <x v="88"/>
    <n v="2013"/>
    <s v="Debit"/>
    <n v="304922.21999999997"/>
    <n v="494"/>
    <x v="1"/>
  </r>
  <r>
    <s v="15-307626272012"/>
    <x v="88"/>
    <x v="88"/>
    <n v="2012"/>
    <s v="Discover"/>
    <n v="129650.72"/>
    <n v="146"/>
    <x v="1"/>
  </r>
  <r>
    <s v="15-307626272011"/>
    <x v="88"/>
    <x v="88"/>
    <n v="2011"/>
    <s v="Visa"/>
    <n v="807204.55"/>
    <n v="1089"/>
    <x v="1"/>
  </r>
  <r>
    <s v="15-308440172012"/>
    <x v="89"/>
    <x v="89"/>
    <n v="2012"/>
    <s v="Visa"/>
    <n v="553177.78"/>
    <n v="474"/>
    <x v="0"/>
  </r>
  <r>
    <s v="15-308440172012"/>
    <x v="89"/>
    <x v="89"/>
    <n v="2012"/>
    <s v="Master Card"/>
    <n v="166797.06"/>
    <n v="150"/>
    <x v="1"/>
  </r>
  <r>
    <s v="15-308440172013"/>
    <x v="89"/>
    <x v="89"/>
    <n v="2013"/>
    <s v="Visa"/>
    <n v="28084.959999999999"/>
    <n v="17"/>
    <x v="1"/>
  </r>
  <r>
    <s v="15-308440172013"/>
    <x v="89"/>
    <x v="89"/>
    <n v="2013"/>
    <s v="Master Card"/>
    <n v="577.46"/>
    <n v="1"/>
    <x v="1"/>
  </r>
  <r>
    <s v="15-308440172012"/>
    <x v="89"/>
    <x v="89"/>
    <n v="2012"/>
    <s v="Debit"/>
    <n v="36446.89"/>
    <n v="42"/>
    <x v="1"/>
  </r>
  <r>
    <s v="15-308440172011"/>
    <x v="89"/>
    <x v="89"/>
    <n v="2011"/>
    <s v="eCheck"/>
    <n v="4110.37"/>
    <n v="3"/>
    <x v="1"/>
  </r>
  <r>
    <s v="15-308440172011"/>
    <x v="89"/>
    <x v="89"/>
    <n v="2011"/>
    <s v="Master Card"/>
    <n v="163140.69"/>
    <n v="154"/>
    <x v="1"/>
  </r>
  <r>
    <s v="15-308440172011"/>
    <x v="89"/>
    <x v="89"/>
    <n v="2011"/>
    <s v="Visa"/>
    <n v="512442.9"/>
    <n v="471"/>
    <x v="1"/>
  </r>
  <r>
    <s v="15-309223602012"/>
    <x v="90"/>
    <x v="90"/>
    <n v="2012"/>
    <s v="Debit"/>
    <n v="113860.88"/>
    <n v="107"/>
    <x v="0"/>
  </r>
  <r>
    <s v="15-309223602012"/>
    <x v="90"/>
    <x v="90"/>
    <n v="2012"/>
    <s v="Visa"/>
    <n v="333598.13"/>
    <n v="271"/>
    <x v="1"/>
  </r>
  <r>
    <s v="15-309223602011"/>
    <x v="90"/>
    <x v="90"/>
    <n v="2011"/>
    <s v="Debit"/>
    <n v="4818.7700000000004"/>
    <n v="4"/>
    <x v="1"/>
  </r>
  <r>
    <s v="15-309223602012"/>
    <x v="90"/>
    <x v="90"/>
    <n v="2012"/>
    <s v="Master Card"/>
    <n v="165131.46"/>
    <n v="121"/>
    <x v="1"/>
  </r>
  <r>
    <s v="15-309223602013"/>
    <x v="90"/>
    <x v="90"/>
    <n v="2013"/>
    <s v="Master Card"/>
    <n v="203551.55"/>
    <n v="171"/>
    <x v="1"/>
  </r>
  <r>
    <s v="15-309223602013"/>
    <x v="90"/>
    <x v="90"/>
    <n v="2013"/>
    <s v="Visa"/>
    <n v="304099.64"/>
    <n v="275"/>
    <x v="1"/>
  </r>
  <r>
    <s v="15-309223602011"/>
    <x v="90"/>
    <x v="90"/>
    <n v="2011"/>
    <s v="Visa"/>
    <n v="149159.20000000001"/>
    <n v="115"/>
    <x v="1"/>
  </r>
  <r>
    <s v="15-309223602013"/>
    <x v="90"/>
    <x v="90"/>
    <n v="2013"/>
    <s v="Debit"/>
    <n v="131190.32999999999"/>
    <n v="126"/>
    <x v="1"/>
  </r>
  <r>
    <s v="15-309223602011"/>
    <x v="90"/>
    <x v="90"/>
    <n v="2011"/>
    <s v="Master Card"/>
    <n v="73356.27"/>
    <n v="64"/>
    <x v="1"/>
  </r>
  <r>
    <s v="15-309807882012"/>
    <x v="91"/>
    <x v="91"/>
    <n v="2012"/>
    <s v="Star"/>
    <n v="16888.66"/>
    <n v="22"/>
    <x v="0"/>
  </r>
  <r>
    <s v="15-309807882012"/>
    <x v="91"/>
    <x v="91"/>
    <n v="2012"/>
    <s v="Visa"/>
    <n v="164391.51999999999"/>
    <n v="233"/>
    <x v="1"/>
  </r>
  <r>
    <s v="15-309807882012"/>
    <x v="91"/>
    <x v="91"/>
    <n v="2012"/>
    <s v="Master Card"/>
    <n v="124898.89"/>
    <n v="176"/>
    <x v="1"/>
  </r>
  <r>
    <s v="15-309807882012"/>
    <x v="91"/>
    <x v="91"/>
    <n v="2012"/>
    <s v="Debit"/>
    <n v="53577.81"/>
    <n v="77"/>
    <x v="1"/>
  </r>
  <r>
    <s v="15-309807882012"/>
    <x v="91"/>
    <x v="91"/>
    <n v="2012"/>
    <s v="American Express"/>
    <n v="245344.4"/>
    <n v="253"/>
    <x v="1"/>
  </r>
  <r>
    <s v="15-309807882012"/>
    <x v="91"/>
    <x v="91"/>
    <n v="2012"/>
    <s v="NYCE"/>
    <n v="6046.35"/>
    <n v="13"/>
    <x v="1"/>
  </r>
  <r>
    <s v="15-309807882012"/>
    <x v="91"/>
    <x v="91"/>
    <n v="2012"/>
    <s v="Pulse"/>
    <n v="38511.29"/>
    <n v="48"/>
    <x v="1"/>
  </r>
  <r>
    <s v="15-309865882013"/>
    <x v="92"/>
    <x v="92"/>
    <n v="2013"/>
    <s v="eCheck"/>
    <n v="1445"/>
    <n v="1"/>
    <x v="0"/>
  </r>
  <r>
    <s v="15-309865882012"/>
    <x v="92"/>
    <x v="92"/>
    <n v="2012"/>
    <s v="Discover"/>
    <n v="2266.1999999999998"/>
    <n v="4"/>
    <x v="1"/>
  </r>
  <r>
    <s v="15-309865882013"/>
    <x v="92"/>
    <x v="92"/>
    <n v="2013"/>
    <s v="Discover"/>
    <n v="4351.47"/>
    <n v="15"/>
    <x v="1"/>
  </r>
  <r>
    <s v="15-309865882013"/>
    <x v="92"/>
    <x v="92"/>
    <n v="2013"/>
    <s v="American Express"/>
    <n v="24763.13"/>
    <n v="44"/>
    <x v="1"/>
  </r>
  <r>
    <s v="15-309865882013"/>
    <x v="92"/>
    <x v="92"/>
    <n v="2013"/>
    <s v="Debit"/>
    <n v="38353.22"/>
    <n v="119"/>
    <x v="1"/>
  </r>
  <r>
    <s v="15-309865882012"/>
    <x v="92"/>
    <x v="92"/>
    <n v="2012"/>
    <s v="Master Card"/>
    <n v="33393.99"/>
    <n v="74"/>
    <x v="1"/>
  </r>
  <r>
    <s v="15-309865882012"/>
    <x v="92"/>
    <x v="92"/>
    <n v="2012"/>
    <s v="Visa"/>
    <n v="34842.82"/>
    <n v="96"/>
    <x v="1"/>
  </r>
  <r>
    <s v="15-309865882013"/>
    <x v="92"/>
    <x v="92"/>
    <n v="2013"/>
    <s v="Master Card"/>
    <n v="66873.02"/>
    <n v="149"/>
    <x v="1"/>
  </r>
  <r>
    <s v="15-309865882013"/>
    <x v="92"/>
    <x v="92"/>
    <n v="2013"/>
    <s v="Visa"/>
    <n v="60878.97"/>
    <n v="142"/>
    <x v="1"/>
  </r>
  <r>
    <s v="15-309865882012"/>
    <x v="92"/>
    <x v="92"/>
    <n v="2012"/>
    <s v="Debit"/>
    <n v="14705.12"/>
    <n v="43"/>
    <x v="1"/>
  </r>
  <r>
    <s v="15-309865882012"/>
    <x v="92"/>
    <x v="92"/>
    <n v="2012"/>
    <s v="Debit Card"/>
    <n v="6534.95"/>
    <n v="17"/>
    <x v="1"/>
  </r>
  <r>
    <s v="15-309865882012"/>
    <x v="92"/>
    <x v="92"/>
    <n v="2012"/>
    <s v="American Express"/>
    <n v="10014.030000000001"/>
    <n v="31"/>
    <x v="1"/>
  </r>
  <r>
    <s v="15-421809072011"/>
    <x v="93"/>
    <x v="93"/>
    <n v="2011"/>
    <s v="Discover"/>
    <n v="3651.5"/>
    <n v="4"/>
    <x v="0"/>
  </r>
  <r>
    <s v="15-421809072013"/>
    <x v="93"/>
    <x v="93"/>
    <n v="2013"/>
    <s v="Master Card"/>
    <n v="222272.56"/>
    <n v="348"/>
    <x v="1"/>
  </r>
  <r>
    <s v="15-421809072013"/>
    <x v="93"/>
    <x v="93"/>
    <n v="2013"/>
    <s v="American Express"/>
    <n v="93776.22"/>
    <n v="127"/>
    <x v="1"/>
  </r>
  <r>
    <s v="15-421809072013"/>
    <x v="93"/>
    <x v="93"/>
    <n v="2013"/>
    <s v="Visa"/>
    <n v="328391.02"/>
    <n v="480"/>
    <x v="1"/>
  </r>
  <r>
    <s v="15-421809072013"/>
    <x v="93"/>
    <x v="93"/>
    <n v="2013"/>
    <s v="Debit"/>
    <n v="287750.92"/>
    <n v="486"/>
    <x v="1"/>
  </r>
  <r>
    <s v="15-421809072012"/>
    <x v="93"/>
    <x v="93"/>
    <n v="2012"/>
    <s v="American Express"/>
    <n v="90088.12"/>
    <n v="146"/>
    <x v="1"/>
  </r>
  <r>
    <s v="15-421809072012"/>
    <x v="93"/>
    <x v="93"/>
    <n v="2012"/>
    <s v="NYCE"/>
    <n v="17754.88"/>
    <n v="31"/>
    <x v="1"/>
  </r>
  <r>
    <s v="15-421809072012"/>
    <x v="93"/>
    <x v="93"/>
    <n v="2012"/>
    <s v="Pulse"/>
    <n v="36768.239999999998"/>
    <n v="74"/>
    <x v="1"/>
  </r>
  <r>
    <s v="15-421809072012"/>
    <x v="93"/>
    <x v="93"/>
    <n v="2012"/>
    <s v="Discover"/>
    <n v="69626.850000000006"/>
    <n v="111"/>
    <x v="1"/>
  </r>
  <r>
    <s v="15-421809072012"/>
    <x v="93"/>
    <x v="93"/>
    <n v="2012"/>
    <s v="Debit"/>
    <n v="225323.71"/>
    <n v="394"/>
    <x v="1"/>
  </r>
  <r>
    <s v="15-421809072011"/>
    <x v="93"/>
    <x v="93"/>
    <n v="2011"/>
    <s v="Pulse"/>
    <n v="909"/>
    <n v="2"/>
    <x v="1"/>
  </r>
  <r>
    <s v="15-421809072011"/>
    <x v="93"/>
    <x v="93"/>
    <n v="2011"/>
    <s v="Master Card"/>
    <n v="4361.42"/>
    <n v="8"/>
    <x v="1"/>
  </r>
  <r>
    <s v="15-421809072011"/>
    <x v="93"/>
    <x v="93"/>
    <n v="2011"/>
    <s v="Star"/>
    <n v="511.1"/>
    <n v="1"/>
    <x v="1"/>
  </r>
  <r>
    <s v="15-421809072011"/>
    <x v="93"/>
    <x v="93"/>
    <n v="2011"/>
    <s v="American Express"/>
    <n v="240.21"/>
    <n v="1"/>
    <x v="1"/>
  </r>
  <r>
    <s v="15-421809072012"/>
    <x v="93"/>
    <x v="93"/>
    <n v="2012"/>
    <s v="eCheck"/>
    <n v="5296.02"/>
    <n v="6"/>
    <x v="1"/>
  </r>
  <r>
    <s v="15-421809072011"/>
    <x v="93"/>
    <x v="93"/>
    <n v="2011"/>
    <s v="Visa"/>
    <n v="7289.32"/>
    <n v="14"/>
    <x v="1"/>
  </r>
  <r>
    <s v="15-421809072013"/>
    <x v="93"/>
    <x v="93"/>
    <n v="2013"/>
    <s v="Discover"/>
    <n v="72656.39"/>
    <n v="96"/>
    <x v="1"/>
  </r>
  <r>
    <s v="15-421809072012"/>
    <x v="93"/>
    <x v="93"/>
    <n v="2012"/>
    <s v="Master Card"/>
    <n v="221124.13"/>
    <n v="376"/>
    <x v="1"/>
  </r>
  <r>
    <s v="15-421809072011"/>
    <x v="93"/>
    <x v="93"/>
    <n v="2011"/>
    <s v="NYCE"/>
    <n v="1643"/>
    <n v="2"/>
    <x v="1"/>
  </r>
  <r>
    <s v="15-421809072012"/>
    <x v="93"/>
    <x v="93"/>
    <n v="2012"/>
    <s v="Star"/>
    <n v="30464.080000000002"/>
    <n v="50"/>
    <x v="1"/>
  </r>
  <r>
    <s v="15-421809072012"/>
    <x v="93"/>
    <x v="93"/>
    <n v="2012"/>
    <s v="Visa"/>
    <n v="367048.83"/>
    <n v="623"/>
    <x v="1"/>
  </r>
  <r>
    <s v="15-422034532012"/>
    <x v="94"/>
    <x v="94"/>
    <n v="2012"/>
    <s v="Master Card"/>
    <n v="1822310.57"/>
    <n v="2362"/>
    <x v="0"/>
  </r>
  <r>
    <s v="15-422034532013"/>
    <x v="94"/>
    <x v="94"/>
    <n v="2013"/>
    <s v="Debit"/>
    <n v="1409219.67"/>
    <n v="3076"/>
    <x v="1"/>
  </r>
  <r>
    <s v="15-422034532012"/>
    <x v="94"/>
    <x v="94"/>
    <n v="2012"/>
    <s v="Visa"/>
    <n v="2837617"/>
    <n v="3688"/>
    <x v="1"/>
  </r>
  <r>
    <s v="15-422034532011"/>
    <x v="94"/>
    <x v="94"/>
    <n v="2011"/>
    <s v="eCheck"/>
    <n v="43646.73"/>
    <n v="57"/>
    <x v="1"/>
  </r>
  <r>
    <s v="15-422034532013"/>
    <x v="94"/>
    <x v="94"/>
    <n v="2013"/>
    <s v="American Express"/>
    <n v="876784.37"/>
    <n v="1189"/>
    <x v="1"/>
  </r>
  <r>
    <s v="15-422034532011"/>
    <x v="94"/>
    <x v="94"/>
    <n v="2011"/>
    <s v="American Express"/>
    <n v="219355.77"/>
    <n v="261"/>
    <x v="1"/>
  </r>
  <r>
    <s v="15-422034532011"/>
    <x v="94"/>
    <x v="94"/>
    <n v="2011"/>
    <s v="Master Card"/>
    <n v="1587343.64"/>
    <n v="2130"/>
    <x v="1"/>
  </r>
  <r>
    <s v="15-422034532011"/>
    <x v="94"/>
    <x v="94"/>
    <n v="2011"/>
    <s v="Visa"/>
    <n v="3132801.15"/>
    <n v="4340"/>
    <x v="1"/>
  </r>
  <r>
    <s v="15-422034532013"/>
    <x v="94"/>
    <x v="94"/>
    <n v="2013"/>
    <s v="Discover"/>
    <n v="452074.82"/>
    <n v="824"/>
    <x v="1"/>
  </r>
  <r>
    <s v="15-422034532012"/>
    <x v="94"/>
    <x v="94"/>
    <n v="2012"/>
    <s v="eCheck"/>
    <n v="62756.09"/>
    <n v="60"/>
    <x v="1"/>
  </r>
  <r>
    <s v="15-422034532011"/>
    <x v="94"/>
    <x v="94"/>
    <n v="2011"/>
    <s v="Debit"/>
    <n v="7433.78"/>
    <n v="8"/>
    <x v="1"/>
  </r>
  <r>
    <s v="15-422034532013"/>
    <x v="94"/>
    <x v="94"/>
    <n v="2013"/>
    <s v="eCheck"/>
    <n v="646131.80000000005"/>
    <n v="910"/>
    <x v="1"/>
  </r>
  <r>
    <s v="15-422034532012"/>
    <x v="94"/>
    <x v="94"/>
    <n v="2012"/>
    <s v="Debit"/>
    <n v="1222931.28"/>
    <n v="1979"/>
    <x v="1"/>
  </r>
  <r>
    <s v="15-422034532012"/>
    <x v="94"/>
    <x v="94"/>
    <n v="2012"/>
    <s v="Discover"/>
    <n v="440581.21"/>
    <n v="570"/>
    <x v="1"/>
  </r>
  <r>
    <s v="15-422034532012"/>
    <x v="94"/>
    <x v="94"/>
    <n v="2012"/>
    <s v="American Express"/>
    <n v="671816.49"/>
    <n v="764"/>
    <x v="1"/>
  </r>
  <r>
    <s v="15-422034532013"/>
    <x v="94"/>
    <x v="94"/>
    <n v="2013"/>
    <s v="Master Card"/>
    <n v="1532697.34"/>
    <n v="2566"/>
    <x v="1"/>
  </r>
  <r>
    <s v="15-422034532011"/>
    <x v="94"/>
    <x v="94"/>
    <n v="2011"/>
    <s v="Discover"/>
    <n v="323886.38"/>
    <n v="457"/>
    <x v="1"/>
  </r>
  <r>
    <s v="15-422034532013"/>
    <x v="94"/>
    <x v="94"/>
    <n v="2013"/>
    <s v="Visa"/>
    <n v="2903241.54"/>
    <n v="4862"/>
    <x v="1"/>
  </r>
  <r>
    <s v="15-422102192011"/>
    <x v="95"/>
    <x v="95"/>
    <n v="2011"/>
    <s v="Debit"/>
    <n v="1300.19"/>
    <n v="2"/>
    <x v="0"/>
  </r>
  <r>
    <s v="15-422102192012"/>
    <x v="95"/>
    <x v="95"/>
    <n v="2012"/>
    <s v="Discover"/>
    <n v="21617.01"/>
    <n v="15"/>
    <x v="1"/>
  </r>
  <r>
    <s v="15-422102192012"/>
    <x v="95"/>
    <x v="95"/>
    <n v="2012"/>
    <s v="Visa"/>
    <n v="527647.14"/>
    <n v="413"/>
    <x v="1"/>
  </r>
  <r>
    <s v="15-422102192011"/>
    <x v="95"/>
    <x v="95"/>
    <n v="2011"/>
    <s v="Master Card"/>
    <n v="341669.8"/>
    <n v="271"/>
    <x v="1"/>
  </r>
  <r>
    <s v="15-422102192013"/>
    <x v="95"/>
    <x v="95"/>
    <n v="2013"/>
    <s v="Discover"/>
    <n v="17852.28"/>
    <n v="13"/>
    <x v="1"/>
  </r>
  <r>
    <s v="15-422102192013"/>
    <x v="95"/>
    <x v="95"/>
    <n v="2013"/>
    <s v="Debit"/>
    <n v="232385.04"/>
    <n v="255"/>
    <x v="1"/>
  </r>
  <r>
    <s v="15-422102192012"/>
    <x v="95"/>
    <x v="95"/>
    <n v="2012"/>
    <s v="Master Card"/>
    <n v="385131.2"/>
    <n v="287"/>
    <x v="1"/>
  </r>
  <r>
    <s v="15-422102192013"/>
    <x v="95"/>
    <x v="95"/>
    <n v="2013"/>
    <s v="Visa"/>
    <n v="459875.03"/>
    <n v="363"/>
    <x v="1"/>
  </r>
  <r>
    <s v="15-422102192012"/>
    <x v="95"/>
    <x v="95"/>
    <n v="2012"/>
    <s v="Debit"/>
    <n v="170091.84"/>
    <n v="189"/>
    <x v="1"/>
  </r>
  <r>
    <s v="15-422102192011"/>
    <x v="95"/>
    <x v="95"/>
    <n v="2011"/>
    <s v="Discover"/>
    <n v="36605.39"/>
    <n v="23"/>
    <x v="1"/>
  </r>
  <r>
    <s v="15-422102192013"/>
    <x v="95"/>
    <x v="95"/>
    <n v="2013"/>
    <s v="Master Card"/>
    <n v="297381.56"/>
    <n v="213"/>
    <x v="1"/>
  </r>
  <r>
    <s v="15-422102192011"/>
    <x v="95"/>
    <x v="95"/>
    <n v="2011"/>
    <s v="Visa"/>
    <n v="625303.15"/>
    <n v="515"/>
    <x v="1"/>
  </r>
  <r>
    <s v="15-423027522012"/>
    <x v="96"/>
    <x v="96"/>
    <n v="2012"/>
    <s v="Pulse"/>
    <n v="21165.119999999999"/>
    <n v="26"/>
    <x v="0"/>
  </r>
  <r>
    <s v="15-423027522012"/>
    <x v="96"/>
    <x v="96"/>
    <n v="2012"/>
    <s v="Debit"/>
    <n v="209785.97"/>
    <n v="248"/>
    <x v="1"/>
  </r>
  <r>
    <s v="15-423027522012"/>
    <x v="96"/>
    <x v="96"/>
    <n v="2012"/>
    <s v="NYCE"/>
    <n v="11001.47"/>
    <n v="12"/>
    <x v="1"/>
  </r>
  <r>
    <s v="15-423027522011"/>
    <x v="96"/>
    <x v="96"/>
    <n v="2011"/>
    <s v="Master Card"/>
    <n v="449252.62"/>
    <n v="438"/>
    <x v="1"/>
  </r>
  <r>
    <s v="15-423027522013"/>
    <x v="96"/>
    <x v="96"/>
    <n v="2013"/>
    <s v="eCheck"/>
    <n v="200286.73"/>
    <n v="137"/>
    <x v="1"/>
  </r>
  <r>
    <s v="15-423027522011"/>
    <x v="96"/>
    <x v="96"/>
    <n v="2011"/>
    <s v="American Express"/>
    <n v="170906.33"/>
    <n v="172"/>
    <x v="1"/>
  </r>
  <r>
    <s v="15-423027522011"/>
    <x v="96"/>
    <x v="96"/>
    <n v="2011"/>
    <s v="Debit"/>
    <n v="3425"/>
    <n v="2"/>
    <x v="1"/>
  </r>
  <r>
    <s v="15-423027522011"/>
    <x v="96"/>
    <x v="96"/>
    <n v="2011"/>
    <s v="Star"/>
    <n v="38140.550000000003"/>
    <n v="52"/>
    <x v="1"/>
  </r>
  <r>
    <s v="15-423027522011"/>
    <x v="96"/>
    <x v="96"/>
    <n v="2011"/>
    <s v="Visa"/>
    <n v="809101.03"/>
    <n v="793"/>
    <x v="1"/>
  </r>
  <r>
    <s v="15-423027522013"/>
    <x v="96"/>
    <x v="96"/>
    <n v="2013"/>
    <s v="American Express"/>
    <n v="154485.84"/>
    <n v="128"/>
    <x v="1"/>
  </r>
  <r>
    <s v="15-423027522012"/>
    <x v="96"/>
    <x v="96"/>
    <n v="2012"/>
    <s v="Star"/>
    <n v="30244.400000000001"/>
    <n v="34"/>
    <x v="1"/>
  </r>
  <r>
    <s v="15-423027522012"/>
    <x v="96"/>
    <x v="96"/>
    <n v="2012"/>
    <s v="Master Card"/>
    <n v="437844.72"/>
    <n v="386"/>
    <x v="1"/>
  </r>
  <r>
    <s v="15-423027522013"/>
    <x v="96"/>
    <x v="96"/>
    <n v="2013"/>
    <s v="Debit"/>
    <n v="256931.73"/>
    <n v="369"/>
    <x v="1"/>
  </r>
  <r>
    <s v="15-423027522012"/>
    <x v="96"/>
    <x v="96"/>
    <n v="2012"/>
    <s v="eCheck"/>
    <n v="71062.63"/>
    <n v="51"/>
    <x v="1"/>
  </r>
  <r>
    <s v="15-423027522012"/>
    <x v="96"/>
    <x v="96"/>
    <n v="2012"/>
    <s v="Visa"/>
    <n v="744923.1"/>
    <n v="686"/>
    <x v="1"/>
  </r>
  <r>
    <s v="15-423027522011"/>
    <x v="96"/>
    <x v="96"/>
    <n v="2011"/>
    <s v="Pulse"/>
    <n v="27253.119999999999"/>
    <n v="42"/>
    <x v="1"/>
  </r>
  <r>
    <s v="15-423027522011"/>
    <x v="96"/>
    <x v="96"/>
    <n v="2011"/>
    <s v="eCheck"/>
    <n v="69681.73"/>
    <n v="36"/>
    <x v="1"/>
  </r>
  <r>
    <s v="15-423027522011"/>
    <x v="96"/>
    <x v="96"/>
    <n v="2011"/>
    <s v="NYCE"/>
    <n v="9396.06"/>
    <n v="16"/>
    <x v="1"/>
  </r>
  <r>
    <s v="15-423027522013"/>
    <x v="96"/>
    <x v="96"/>
    <n v="2013"/>
    <s v="Visa"/>
    <n v="672338.91"/>
    <n v="600"/>
    <x v="1"/>
  </r>
  <r>
    <s v="15-423027522012"/>
    <x v="96"/>
    <x v="96"/>
    <n v="2012"/>
    <s v="American Express"/>
    <n v="200064.54"/>
    <n v="160"/>
    <x v="1"/>
  </r>
  <r>
    <s v="15-423027522013"/>
    <x v="96"/>
    <x v="96"/>
    <n v="2013"/>
    <s v="Master Card"/>
    <n v="301272.52"/>
    <n v="265"/>
    <x v="1"/>
  </r>
  <r>
    <s v="15-520011622013"/>
    <x v="97"/>
    <x v="97"/>
    <n v="2013"/>
    <s v="Discover"/>
    <n v="21546.38"/>
    <n v="13"/>
    <x v="0"/>
  </r>
  <r>
    <s v="15-520011622012"/>
    <x v="97"/>
    <x v="97"/>
    <n v="2012"/>
    <s v="Visa"/>
    <n v="203887.42"/>
    <n v="236"/>
    <x v="1"/>
  </r>
  <r>
    <s v="15-520011622012"/>
    <x v="97"/>
    <x v="97"/>
    <n v="2012"/>
    <s v="Master Card"/>
    <n v="103454.03"/>
    <n v="130"/>
    <x v="1"/>
  </r>
  <r>
    <s v="15-520011622011"/>
    <x v="97"/>
    <x v="97"/>
    <n v="2011"/>
    <s v="Master Card"/>
    <n v="131273.56"/>
    <n v="182"/>
    <x v="1"/>
  </r>
  <r>
    <s v="15-520011622012"/>
    <x v="97"/>
    <x v="97"/>
    <n v="2012"/>
    <s v="Debit"/>
    <n v="73569.34"/>
    <n v="160"/>
    <x v="1"/>
  </r>
  <r>
    <s v="15-520011622011"/>
    <x v="97"/>
    <x v="97"/>
    <n v="2011"/>
    <s v="Visa"/>
    <n v="236976.05"/>
    <n v="367"/>
    <x v="1"/>
  </r>
  <r>
    <s v="15-520011622012"/>
    <x v="97"/>
    <x v="97"/>
    <n v="2012"/>
    <s v="Discover"/>
    <n v="11684.67"/>
    <n v="11"/>
    <x v="1"/>
  </r>
  <r>
    <s v="15-520011622013"/>
    <x v="97"/>
    <x v="97"/>
    <n v="2013"/>
    <s v="Debit"/>
    <n v="60745.75"/>
    <n v="125"/>
    <x v="1"/>
  </r>
  <r>
    <s v="15-520011622013"/>
    <x v="97"/>
    <x v="97"/>
    <n v="2013"/>
    <s v="Visa"/>
    <n v="155088.62"/>
    <n v="160"/>
    <x v="1"/>
  </r>
  <r>
    <s v="15-520011622011"/>
    <x v="97"/>
    <x v="97"/>
    <n v="2011"/>
    <s v="Discover"/>
    <n v="32058.080000000002"/>
    <n v="31"/>
    <x v="1"/>
  </r>
  <r>
    <s v="15-520011622013"/>
    <x v="97"/>
    <x v="97"/>
    <n v="2013"/>
    <s v="Master Card"/>
    <n v="75219.38"/>
    <n v="91"/>
    <x v="1"/>
  </r>
  <r>
    <s v="15-663352882013"/>
    <x v="98"/>
    <x v="98"/>
    <n v="2013"/>
    <s v="Debit"/>
    <n v="76281.63"/>
    <n v="54"/>
    <x v="0"/>
  </r>
  <r>
    <s v="15-663352882013"/>
    <x v="98"/>
    <x v="98"/>
    <n v="2013"/>
    <s v="Discover"/>
    <n v="29469.040000000001"/>
    <n v="14"/>
    <x v="1"/>
  </r>
  <r>
    <s v="15-663352882011"/>
    <x v="98"/>
    <x v="98"/>
    <n v="2011"/>
    <s v="Visa"/>
    <n v="693520.83"/>
    <n v="438"/>
    <x v="1"/>
  </r>
  <r>
    <s v="15-663352882011"/>
    <x v="98"/>
    <x v="98"/>
    <n v="2011"/>
    <s v="Master Card"/>
    <n v="209829.59"/>
    <n v="143"/>
    <x v="1"/>
  </r>
  <r>
    <s v="15-663352882012"/>
    <x v="98"/>
    <x v="98"/>
    <n v="2012"/>
    <s v="Discover"/>
    <n v="15119.3"/>
    <n v="9"/>
    <x v="1"/>
  </r>
  <r>
    <s v="15-663352882011"/>
    <x v="98"/>
    <x v="98"/>
    <n v="2011"/>
    <s v="Discover"/>
    <n v="16509.669999999998"/>
    <n v="11"/>
    <x v="1"/>
  </r>
  <r>
    <s v="15-663352882013"/>
    <x v="98"/>
    <x v="98"/>
    <n v="2013"/>
    <s v="Visa"/>
    <n v="767722.49"/>
    <n v="435"/>
    <x v="1"/>
  </r>
  <r>
    <s v="15-663352882013"/>
    <x v="98"/>
    <x v="98"/>
    <n v="2013"/>
    <s v="Master Card"/>
    <n v="309801.53000000003"/>
    <n v="160"/>
    <x v="1"/>
  </r>
  <r>
    <s v="15-663352882012"/>
    <x v="98"/>
    <x v="98"/>
    <n v="2012"/>
    <s v="Debit"/>
    <n v="77064.33"/>
    <n v="41"/>
    <x v="1"/>
  </r>
  <r>
    <s v="15-663352882012"/>
    <x v="98"/>
    <x v="98"/>
    <n v="2012"/>
    <s v="Master Card"/>
    <n v="275571"/>
    <n v="156"/>
    <x v="1"/>
  </r>
  <r>
    <s v="15-663352882012"/>
    <x v="98"/>
    <x v="98"/>
    <n v="2012"/>
    <s v="Visa"/>
    <n v="824528.97"/>
    <n v="421"/>
    <x v="1"/>
  </r>
  <r>
    <s v="15-666866692012"/>
    <x v="99"/>
    <x v="99"/>
    <n v="2012"/>
    <s v="Discover"/>
    <n v="107981.78"/>
    <n v="62"/>
    <x v="0"/>
  </r>
  <r>
    <s v="15-666866692013"/>
    <x v="99"/>
    <x v="99"/>
    <n v="2013"/>
    <s v="Master Card"/>
    <n v="308938.87"/>
    <n v="186"/>
    <x v="1"/>
  </r>
  <r>
    <s v="15-666866692011"/>
    <x v="99"/>
    <x v="99"/>
    <n v="2011"/>
    <s v="Discover"/>
    <n v="124237.59"/>
    <n v="77"/>
    <x v="1"/>
  </r>
  <r>
    <s v="15-666866692013"/>
    <x v="99"/>
    <x v="99"/>
    <n v="2013"/>
    <s v="Visa"/>
    <n v="507103.88"/>
    <n v="302"/>
    <x v="1"/>
  </r>
  <r>
    <s v="15-666866692012"/>
    <x v="99"/>
    <x v="99"/>
    <n v="2012"/>
    <s v="Master Card"/>
    <n v="420760.65"/>
    <n v="247"/>
    <x v="1"/>
  </r>
  <r>
    <s v="15-666866692012"/>
    <x v="99"/>
    <x v="99"/>
    <n v="2012"/>
    <s v="Debit"/>
    <n v="285651.19"/>
    <n v="183"/>
    <x v="1"/>
  </r>
  <r>
    <s v="15-666866692012"/>
    <x v="99"/>
    <x v="99"/>
    <n v="2012"/>
    <s v="Visa"/>
    <n v="503185.34"/>
    <n v="315"/>
    <x v="1"/>
  </r>
  <r>
    <s v="15-666866692013"/>
    <x v="99"/>
    <x v="99"/>
    <n v="2013"/>
    <s v="Discover"/>
    <n v="115607.83"/>
    <n v="72"/>
    <x v="1"/>
  </r>
  <r>
    <s v="15-666866692011"/>
    <x v="99"/>
    <x v="99"/>
    <n v="2011"/>
    <s v="Master Card"/>
    <n v="276446.48"/>
    <n v="183"/>
    <x v="1"/>
  </r>
  <r>
    <s v="15-666866692011"/>
    <x v="99"/>
    <x v="99"/>
    <n v="2011"/>
    <s v="Visa"/>
    <n v="490865.65"/>
    <n v="339"/>
    <x v="1"/>
  </r>
  <r>
    <s v="15-666866692013"/>
    <x v="99"/>
    <x v="99"/>
    <n v="2013"/>
    <s v="Debit"/>
    <n v="298051.08"/>
    <n v="195"/>
    <x v="1"/>
  </r>
  <r>
    <s v="15-675810642012"/>
    <x v="100"/>
    <x v="100"/>
    <n v="2012"/>
    <s v="Discover"/>
    <n v="68733.72"/>
    <n v="56"/>
    <x v="0"/>
  </r>
  <r>
    <s v="15-675810642011"/>
    <x v="100"/>
    <x v="100"/>
    <n v="2011"/>
    <s v="Debit"/>
    <n v="350"/>
    <n v="1"/>
    <x v="1"/>
  </r>
  <r>
    <s v="15-675810642012"/>
    <x v="100"/>
    <x v="100"/>
    <n v="2012"/>
    <s v="Debit"/>
    <n v="262651.63"/>
    <n v="211"/>
    <x v="1"/>
  </r>
  <r>
    <s v="15-675810642011"/>
    <x v="100"/>
    <x v="100"/>
    <n v="2011"/>
    <s v="Discover"/>
    <n v="84793.93"/>
    <n v="60"/>
    <x v="1"/>
  </r>
  <r>
    <s v="15-675810642013"/>
    <x v="100"/>
    <x v="100"/>
    <n v="2013"/>
    <s v="Master Card"/>
    <n v="740852.21"/>
    <n v="404"/>
    <x v="1"/>
  </r>
  <r>
    <s v="15-675810642013"/>
    <x v="100"/>
    <x v="100"/>
    <n v="2013"/>
    <s v="Visa"/>
    <n v="1287586.83"/>
    <n v="844"/>
    <x v="1"/>
  </r>
  <r>
    <s v="15-675810642012"/>
    <x v="100"/>
    <x v="100"/>
    <n v="2012"/>
    <s v="Master Card"/>
    <n v="724836.84"/>
    <n v="454"/>
    <x v="1"/>
  </r>
  <r>
    <s v="15-675810642013"/>
    <x v="100"/>
    <x v="100"/>
    <n v="2013"/>
    <s v="Debit"/>
    <n v="316770.15999999997"/>
    <n v="224"/>
    <x v="1"/>
  </r>
  <r>
    <s v="15-675810642012"/>
    <x v="100"/>
    <x v="100"/>
    <n v="2012"/>
    <s v="Visa"/>
    <n v="1301551.22"/>
    <n v="906"/>
    <x v="1"/>
  </r>
  <r>
    <s v="15-675810642011"/>
    <x v="100"/>
    <x v="100"/>
    <n v="2011"/>
    <s v="Visa"/>
    <n v="1458969.6000000001"/>
    <n v="970"/>
    <x v="1"/>
  </r>
  <r>
    <s v="15-675810642012"/>
    <x v="100"/>
    <x v="100"/>
    <n v="2012"/>
    <s v="eCheck"/>
    <n v="27420.27"/>
    <n v="4"/>
    <x v="1"/>
  </r>
  <r>
    <s v="15-675810642013"/>
    <x v="100"/>
    <x v="100"/>
    <n v="2013"/>
    <s v="American Express"/>
    <n v="163252.67000000001"/>
    <n v="75"/>
    <x v="1"/>
  </r>
  <r>
    <s v="15-675810642013"/>
    <x v="100"/>
    <x v="100"/>
    <n v="2013"/>
    <s v="Discover"/>
    <n v="77649.72"/>
    <n v="50"/>
    <x v="1"/>
  </r>
  <r>
    <s v="15-675810642011"/>
    <x v="100"/>
    <x v="100"/>
    <n v="2011"/>
    <s v="Master Card"/>
    <n v="682918.88"/>
    <n v="458"/>
    <x v="1"/>
  </r>
  <r>
    <s v="15-731390242011"/>
    <x v="101"/>
    <x v="101"/>
    <n v="2011"/>
    <s v="American Express"/>
    <n v="556413.43000000005"/>
    <n v="105"/>
    <x v="0"/>
  </r>
  <r>
    <s v="15-731390242011"/>
    <x v="101"/>
    <x v="101"/>
    <n v="2011"/>
    <s v="Visa"/>
    <n v="7674226.4900000002"/>
    <n v="14598"/>
    <x v="1"/>
  </r>
  <r>
    <s v="15-731390242011"/>
    <x v="101"/>
    <x v="101"/>
    <n v="2011"/>
    <s v="Master Card"/>
    <n v="2303336.42"/>
    <n v="4331"/>
    <x v="1"/>
  </r>
  <r>
    <s v="15-731390242012"/>
    <x v="101"/>
    <x v="101"/>
    <n v="2012"/>
    <s v="eCheck"/>
    <n v="2743208.13"/>
    <n v="3493"/>
    <x v="1"/>
  </r>
  <r>
    <s v="15-731390242011"/>
    <x v="101"/>
    <x v="101"/>
    <n v="2011"/>
    <s v="Debit"/>
    <n v="10794.32"/>
    <n v="21"/>
    <x v="1"/>
  </r>
  <r>
    <s v="15-731390242011"/>
    <x v="101"/>
    <x v="101"/>
    <n v="2011"/>
    <s v="Star"/>
    <n v="254519.3"/>
    <n v="424"/>
    <x v="1"/>
  </r>
  <r>
    <s v="15-731390242013"/>
    <x v="101"/>
    <x v="101"/>
    <n v="2013"/>
    <s v="eCheck"/>
    <n v="851953.24"/>
    <n v="945"/>
    <x v="1"/>
  </r>
  <r>
    <s v="15-731390242012"/>
    <x v="101"/>
    <x v="101"/>
    <n v="2012"/>
    <s v="Debit"/>
    <n v="1416326.15"/>
    <n v="2445"/>
    <x v="1"/>
  </r>
  <r>
    <s v="15-731390242013"/>
    <x v="101"/>
    <x v="101"/>
    <n v="2013"/>
    <s v="Master Card"/>
    <n v="156822.1"/>
    <n v="177"/>
    <x v="1"/>
  </r>
  <r>
    <s v="15-731390242012"/>
    <x v="101"/>
    <x v="101"/>
    <n v="2012"/>
    <s v="Pulse"/>
    <n v="89420.7"/>
    <n v="141"/>
    <x v="1"/>
  </r>
  <r>
    <s v="15-731390242012"/>
    <x v="101"/>
    <x v="101"/>
    <n v="2012"/>
    <s v="NYCE"/>
    <n v="27637.66"/>
    <n v="52"/>
    <x v="1"/>
  </r>
  <r>
    <s v="15-731390242012"/>
    <x v="101"/>
    <x v="101"/>
    <n v="2012"/>
    <s v="Discover"/>
    <n v="49046.46"/>
    <n v="76"/>
    <x v="1"/>
  </r>
  <r>
    <s v="15-731390242012"/>
    <x v="101"/>
    <x v="101"/>
    <n v="2012"/>
    <s v="American Express"/>
    <n v="624577.14"/>
    <n v="27"/>
    <x v="1"/>
  </r>
  <r>
    <s v="15-731390242013"/>
    <x v="101"/>
    <x v="101"/>
    <n v="2013"/>
    <s v="Visa"/>
    <n v="258863.2"/>
    <n v="303"/>
    <x v="1"/>
  </r>
  <r>
    <s v="15-731390242011"/>
    <x v="101"/>
    <x v="101"/>
    <n v="2011"/>
    <s v="NYCE"/>
    <n v="217648.07"/>
    <n v="372"/>
    <x v="1"/>
  </r>
  <r>
    <s v="15-731390242011"/>
    <x v="101"/>
    <x v="101"/>
    <n v="2011"/>
    <s v="Discover"/>
    <n v="208683.02"/>
    <n v="327"/>
    <x v="1"/>
  </r>
  <r>
    <s v="15-731390242011"/>
    <x v="101"/>
    <x v="101"/>
    <n v="2011"/>
    <s v="Pulse"/>
    <n v="675888.03"/>
    <n v="1250"/>
    <x v="1"/>
  </r>
  <r>
    <s v="15-731390242012"/>
    <x v="101"/>
    <x v="101"/>
    <n v="2012"/>
    <s v="Master Card"/>
    <n v="582215.38"/>
    <n v="908"/>
    <x v="1"/>
  </r>
  <r>
    <s v="15-731390242013"/>
    <x v="101"/>
    <x v="101"/>
    <n v="2013"/>
    <s v="Debit"/>
    <n v="481591.39"/>
    <n v="651"/>
    <x v="1"/>
  </r>
  <r>
    <s v="15-731390242011"/>
    <x v="101"/>
    <x v="101"/>
    <n v="2011"/>
    <s v="eCheck"/>
    <n v="4687214.46"/>
    <n v="7251"/>
    <x v="1"/>
  </r>
  <r>
    <s v="15-731390242013"/>
    <x v="101"/>
    <x v="101"/>
    <n v="2013"/>
    <s v="American Express"/>
    <n v="665207.78"/>
    <n v="40"/>
    <x v="1"/>
  </r>
  <r>
    <s v="15-731390242012"/>
    <x v="101"/>
    <x v="101"/>
    <n v="2012"/>
    <s v="Visa"/>
    <n v="723178.28"/>
    <n v="1145"/>
    <x v="1"/>
  </r>
  <r>
    <s v="15-731390242012"/>
    <x v="101"/>
    <x v="101"/>
    <n v="2012"/>
    <s v="Star"/>
    <n v="20683.46"/>
    <n v="40"/>
    <x v="1"/>
  </r>
  <r>
    <s v="15-731390242013"/>
    <x v="101"/>
    <x v="101"/>
    <n v="2013"/>
    <s v="Discover"/>
    <n v="24781.439999999999"/>
    <n v="27"/>
    <x v="1"/>
  </r>
  <r>
    <s v="15-754271982012"/>
    <x v="102"/>
    <x v="102"/>
    <n v="2012"/>
    <s v="Star"/>
    <n v="17789.05"/>
    <n v="39"/>
    <x v="0"/>
  </r>
  <r>
    <s v="15-754271982013"/>
    <x v="102"/>
    <x v="102"/>
    <n v="2013"/>
    <s v="Debit"/>
    <n v="298683.05"/>
    <n v="530"/>
    <x v="1"/>
  </r>
  <r>
    <s v="15-754271982012"/>
    <x v="102"/>
    <x v="102"/>
    <n v="2012"/>
    <s v="eCheck"/>
    <n v="15795.02"/>
    <n v="19"/>
    <x v="1"/>
  </r>
  <r>
    <s v="15-754271982011"/>
    <x v="102"/>
    <x v="102"/>
    <n v="2011"/>
    <s v="Discover"/>
    <n v="50839.21"/>
    <n v="80"/>
    <x v="1"/>
  </r>
  <r>
    <s v="15-754271982012"/>
    <x v="102"/>
    <x v="102"/>
    <n v="2012"/>
    <s v="Master Card"/>
    <n v="377280.99"/>
    <n v="456"/>
    <x v="1"/>
  </r>
  <r>
    <s v="15-754271982013"/>
    <x v="102"/>
    <x v="102"/>
    <n v="2013"/>
    <s v="American Express"/>
    <n v="124701.23"/>
    <n v="142"/>
    <x v="1"/>
  </r>
  <r>
    <s v="15-754271982012"/>
    <x v="102"/>
    <x v="102"/>
    <n v="2012"/>
    <s v="Visa"/>
    <n v="505586.96"/>
    <n v="657"/>
    <x v="1"/>
  </r>
  <r>
    <s v="15-754271982011"/>
    <x v="102"/>
    <x v="102"/>
    <n v="2011"/>
    <s v="Pulse"/>
    <n v="37606.449999999997"/>
    <n v="79"/>
    <x v="1"/>
  </r>
  <r>
    <s v="15-754271982011"/>
    <x v="102"/>
    <x v="102"/>
    <n v="2011"/>
    <s v="Star"/>
    <n v="26099.32"/>
    <n v="62"/>
    <x v="1"/>
  </r>
  <r>
    <s v="15-754271982013"/>
    <x v="102"/>
    <x v="102"/>
    <n v="2013"/>
    <s v="Discover"/>
    <n v="58239.48"/>
    <n v="76"/>
    <x v="1"/>
  </r>
  <r>
    <s v="15-754271982011"/>
    <x v="102"/>
    <x v="102"/>
    <n v="2011"/>
    <s v="Debit"/>
    <n v="200"/>
    <n v="1"/>
    <x v="1"/>
  </r>
  <r>
    <s v="15-754271982011"/>
    <x v="102"/>
    <x v="102"/>
    <n v="2011"/>
    <s v="Visa"/>
    <n v="635942.43000000005"/>
    <n v="928"/>
    <x v="1"/>
  </r>
  <r>
    <s v="15-754271982012"/>
    <x v="102"/>
    <x v="102"/>
    <n v="2012"/>
    <s v="Discover"/>
    <n v="64313.41"/>
    <n v="79"/>
    <x v="1"/>
  </r>
  <r>
    <s v="15-754271982012"/>
    <x v="102"/>
    <x v="102"/>
    <n v="2012"/>
    <s v="Pulse"/>
    <n v="42536.160000000003"/>
    <n v="77"/>
    <x v="1"/>
  </r>
  <r>
    <s v="15-754271982011"/>
    <x v="102"/>
    <x v="102"/>
    <n v="2011"/>
    <s v="American Express"/>
    <n v="171965"/>
    <n v="181"/>
    <x v="1"/>
  </r>
  <r>
    <s v="15-754271982013"/>
    <x v="102"/>
    <x v="102"/>
    <n v="2013"/>
    <s v="eCheck"/>
    <n v="6025.05"/>
    <n v="8"/>
    <x v="1"/>
  </r>
  <r>
    <s v="15-754271982011"/>
    <x v="102"/>
    <x v="102"/>
    <n v="2011"/>
    <s v="Master Card"/>
    <n v="328131.02"/>
    <n v="478"/>
    <x v="1"/>
  </r>
  <r>
    <s v="15-754271982012"/>
    <x v="102"/>
    <x v="102"/>
    <n v="2012"/>
    <s v="NYCE"/>
    <n v="16655.78"/>
    <n v="36"/>
    <x v="1"/>
  </r>
  <r>
    <s v="15-754271982012"/>
    <x v="102"/>
    <x v="102"/>
    <n v="2012"/>
    <s v="Debit"/>
    <n v="262596.88"/>
    <n v="419"/>
    <x v="1"/>
  </r>
  <r>
    <s v="15-754271982013"/>
    <x v="102"/>
    <x v="102"/>
    <n v="2013"/>
    <s v="Master Card"/>
    <n v="299824.98"/>
    <n v="364"/>
    <x v="1"/>
  </r>
  <r>
    <s v="15-754271982013"/>
    <x v="102"/>
    <x v="102"/>
    <n v="2013"/>
    <s v="Visa"/>
    <n v="402777.69"/>
    <n v="561"/>
    <x v="1"/>
  </r>
  <r>
    <s v="15-754271982011"/>
    <x v="102"/>
    <x v="102"/>
    <n v="2011"/>
    <s v="eCheck"/>
    <n v="40649.9"/>
    <n v="45"/>
    <x v="1"/>
  </r>
  <r>
    <s v="15-754271982012"/>
    <x v="102"/>
    <x v="102"/>
    <n v="2012"/>
    <s v="American Express"/>
    <n v="154600.84"/>
    <n v="187"/>
    <x v="1"/>
  </r>
  <r>
    <s v="15-754271982011"/>
    <x v="102"/>
    <x v="102"/>
    <n v="2011"/>
    <s v="NYCE"/>
    <n v="31080.240000000002"/>
    <n v="67"/>
    <x v="1"/>
  </r>
  <r>
    <s v="15-778188682011"/>
    <x v="103"/>
    <x v="103"/>
    <n v="2011"/>
    <s v="Debit"/>
    <n v="1327.64"/>
    <n v="2"/>
    <x v="0"/>
  </r>
  <r>
    <s v="15-778188682011"/>
    <x v="103"/>
    <x v="103"/>
    <n v="2011"/>
    <s v="Visa"/>
    <n v="821338.41"/>
    <n v="1101"/>
    <x v="1"/>
  </r>
  <r>
    <s v="15-778188682011"/>
    <x v="103"/>
    <x v="103"/>
    <n v="2011"/>
    <s v="Star"/>
    <n v="14968.37"/>
    <n v="22"/>
    <x v="1"/>
  </r>
  <r>
    <s v="15-778188682011"/>
    <x v="103"/>
    <x v="103"/>
    <n v="2011"/>
    <s v="American Express"/>
    <n v="268768.99"/>
    <n v="319"/>
    <x v="1"/>
  </r>
  <r>
    <s v="15-778188682011"/>
    <x v="103"/>
    <x v="103"/>
    <n v="2011"/>
    <s v="Master Card"/>
    <n v="488842.25"/>
    <n v="658"/>
    <x v="1"/>
  </r>
  <r>
    <s v="15-778188682012"/>
    <x v="103"/>
    <x v="103"/>
    <n v="2012"/>
    <s v="Discover"/>
    <n v="139661.10999999999"/>
    <n v="168"/>
    <x v="1"/>
  </r>
  <r>
    <s v="15-778188682012"/>
    <x v="103"/>
    <x v="103"/>
    <n v="2012"/>
    <s v="NYCE"/>
    <n v="3922.09"/>
    <n v="8"/>
    <x v="1"/>
  </r>
  <r>
    <s v="15-778188682012"/>
    <x v="103"/>
    <x v="103"/>
    <n v="2012"/>
    <s v="Pulse"/>
    <n v="207282.26"/>
    <n v="346"/>
    <x v="1"/>
  </r>
  <r>
    <s v="15-778188682013"/>
    <x v="103"/>
    <x v="103"/>
    <n v="2013"/>
    <s v="Master Card"/>
    <n v="557680.75"/>
    <n v="768"/>
    <x v="1"/>
  </r>
  <r>
    <s v="15-778188682012"/>
    <x v="103"/>
    <x v="103"/>
    <n v="2012"/>
    <s v="Debit"/>
    <n v="435822.09"/>
    <n v="650"/>
    <x v="1"/>
  </r>
  <r>
    <s v="15-778188682011"/>
    <x v="103"/>
    <x v="103"/>
    <n v="2011"/>
    <s v="Discover"/>
    <n v="127702.78"/>
    <n v="159"/>
    <x v="1"/>
  </r>
  <r>
    <s v="15-778188682011"/>
    <x v="103"/>
    <x v="103"/>
    <n v="2011"/>
    <s v="NYCE"/>
    <n v="825"/>
    <n v="1"/>
    <x v="1"/>
  </r>
  <r>
    <s v="15-778188682013"/>
    <x v="103"/>
    <x v="103"/>
    <n v="2013"/>
    <s v="Visa"/>
    <n v="854665.04"/>
    <n v="1034"/>
    <x v="1"/>
  </r>
  <r>
    <s v="15-778188682012"/>
    <x v="103"/>
    <x v="103"/>
    <n v="2012"/>
    <s v="American Express"/>
    <n v="336818.2"/>
    <n v="388"/>
    <x v="1"/>
  </r>
  <r>
    <s v="15-778188682013"/>
    <x v="103"/>
    <x v="103"/>
    <n v="2013"/>
    <s v="Discover"/>
    <n v="148722.74"/>
    <n v="197"/>
    <x v="1"/>
  </r>
  <r>
    <s v="15-778188682012"/>
    <x v="103"/>
    <x v="103"/>
    <n v="2012"/>
    <s v="Star"/>
    <n v="30485.85"/>
    <n v="45"/>
    <x v="1"/>
  </r>
  <r>
    <s v="15-778188682011"/>
    <x v="103"/>
    <x v="103"/>
    <n v="2011"/>
    <s v="Pulse"/>
    <n v="211337.03"/>
    <n v="331"/>
    <x v="1"/>
  </r>
  <r>
    <s v="15-778188682012"/>
    <x v="103"/>
    <x v="103"/>
    <n v="2012"/>
    <s v="Visa"/>
    <n v="693816.64"/>
    <n v="847"/>
    <x v="1"/>
  </r>
  <r>
    <s v="15-778188682013"/>
    <x v="103"/>
    <x v="103"/>
    <n v="2013"/>
    <s v="American Express"/>
    <n v="358590.57"/>
    <n v="396"/>
    <x v="1"/>
  </r>
  <r>
    <s v="15-778188682012"/>
    <x v="103"/>
    <x v="103"/>
    <n v="2012"/>
    <s v="Master Card"/>
    <n v="569846.71"/>
    <n v="766"/>
    <x v="1"/>
  </r>
  <r>
    <s v="15-778188682013"/>
    <x v="103"/>
    <x v="103"/>
    <n v="2013"/>
    <s v="Debit"/>
    <n v="768984.77"/>
    <n v="1174"/>
    <x v="1"/>
  </r>
  <r>
    <s v="15-791965882011"/>
    <x v="104"/>
    <x v="104"/>
    <n v="2011"/>
    <s v="Discover"/>
    <n v="32921.410000000003"/>
    <n v="53"/>
    <x v="0"/>
  </r>
  <r>
    <s v="15-791965882011"/>
    <x v="104"/>
    <x v="104"/>
    <n v="2011"/>
    <s v="American Express"/>
    <n v="141123.51999999999"/>
    <n v="171"/>
    <x v="1"/>
  </r>
  <r>
    <s v="15-791965882013"/>
    <x v="104"/>
    <x v="104"/>
    <n v="2013"/>
    <s v="eCheck"/>
    <n v="12503.46"/>
    <n v="24"/>
    <x v="1"/>
  </r>
  <r>
    <s v="15-791965882013"/>
    <x v="104"/>
    <x v="104"/>
    <n v="2013"/>
    <s v="Master Card"/>
    <n v="138612.5"/>
    <n v="238"/>
    <x v="1"/>
  </r>
  <r>
    <s v="15-791965882013"/>
    <x v="104"/>
    <x v="104"/>
    <n v="2013"/>
    <s v="Visa"/>
    <n v="148749.53"/>
    <n v="277"/>
    <x v="1"/>
  </r>
  <r>
    <s v="15-791965882011"/>
    <x v="104"/>
    <x v="104"/>
    <n v="2011"/>
    <s v="Debit"/>
    <n v="1141.25"/>
    <n v="2"/>
    <x v="1"/>
  </r>
  <r>
    <s v="15-791965882013"/>
    <x v="104"/>
    <x v="104"/>
    <n v="2013"/>
    <s v="American Express"/>
    <n v="79146.34"/>
    <n v="137"/>
    <x v="1"/>
  </r>
  <r>
    <s v="15-791965882012"/>
    <x v="104"/>
    <x v="104"/>
    <n v="2012"/>
    <s v="eCheck"/>
    <n v="23087.41"/>
    <n v="31"/>
    <x v="1"/>
  </r>
  <r>
    <s v="15-791965882013"/>
    <x v="104"/>
    <x v="104"/>
    <n v="2013"/>
    <s v="Debit"/>
    <n v="53262.6"/>
    <n v="128"/>
    <x v="1"/>
  </r>
  <r>
    <s v="15-791965882012"/>
    <x v="104"/>
    <x v="104"/>
    <n v="2012"/>
    <s v="Discover"/>
    <n v="16950.73"/>
    <n v="36"/>
    <x v="1"/>
  </r>
  <r>
    <s v="15-791965882011"/>
    <x v="104"/>
    <x v="104"/>
    <n v="2011"/>
    <s v="Master Card"/>
    <n v="144080.44"/>
    <n v="238"/>
    <x v="1"/>
  </r>
  <r>
    <s v="15-791965882011"/>
    <x v="104"/>
    <x v="104"/>
    <n v="2011"/>
    <s v="eCheck"/>
    <n v="1650"/>
    <n v="3"/>
    <x v="1"/>
  </r>
  <r>
    <s v="15-791965882011"/>
    <x v="104"/>
    <x v="104"/>
    <n v="2011"/>
    <s v="Visa"/>
    <n v="297566.87"/>
    <n v="457"/>
    <x v="1"/>
  </r>
  <r>
    <s v="15-791965882012"/>
    <x v="104"/>
    <x v="104"/>
    <n v="2012"/>
    <s v="American Express"/>
    <n v="106719.15"/>
    <n v="146"/>
    <x v="1"/>
  </r>
  <r>
    <s v="15-791965882012"/>
    <x v="104"/>
    <x v="104"/>
    <n v="2012"/>
    <s v="Master Card"/>
    <n v="173041.49"/>
    <n v="396"/>
    <x v="1"/>
  </r>
  <r>
    <s v="15-791965882012"/>
    <x v="104"/>
    <x v="104"/>
    <n v="2012"/>
    <s v="Visa"/>
    <n v="215125.79"/>
    <n v="347"/>
    <x v="1"/>
  </r>
  <r>
    <s v="15-791965882012"/>
    <x v="104"/>
    <x v="104"/>
    <n v="2012"/>
    <s v="Star"/>
    <n v="658.89"/>
    <n v="2"/>
    <x v="1"/>
  </r>
  <r>
    <s v="15-791965882012"/>
    <x v="104"/>
    <x v="104"/>
    <n v="2012"/>
    <s v="Pulse"/>
    <n v="0"/>
    <n v="0"/>
    <x v="1"/>
  </r>
  <r>
    <s v="15-791965882013"/>
    <x v="104"/>
    <x v="104"/>
    <n v="2013"/>
    <s v="Discover"/>
    <n v="23360.44"/>
    <n v="36"/>
    <x v="1"/>
  </r>
  <r>
    <s v="15-791965882012"/>
    <x v="104"/>
    <x v="104"/>
    <n v="2012"/>
    <s v="Debit"/>
    <n v="58076.72"/>
    <n v="90"/>
    <x v="1"/>
  </r>
  <r>
    <s v="15-799059512013"/>
    <x v="105"/>
    <x v="105"/>
    <n v="2013"/>
    <s v="Debit"/>
    <n v="46129.66"/>
    <n v="54"/>
    <x v="0"/>
  </r>
  <r>
    <s v="15-799059512013"/>
    <x v="105"/>
    <x v="105"/>
    <n v="2013"/>
    <s v="American Express"/>
    <n v="71609.08"/>
    <n v="60"/>
    <x v="1"/>
  </r>
  <r>
    <s v="15-799059512013"/>
    <x v="105"/>
    <x v="105"/>
    <n v="2013"/>
    <s v="Master Card"/>
    <n v="146583.53"/>
    <n v="116"/>
    <x v="1"/>
  </r>
  <r>
    <s v="15-799059512012"/>
    <x v="105"/>
    <x v="105"/>
    <n v="2012"/>
    <s v="Debit"/>
    <n v="45434.61"/>
    <n v="69"/>
    <x v="1"/>
  </r>
  <r>
    <s v="15-799059512011"/>
    <x v="105"/>
    <x v="105"/>
    <n v="2011"/>
    <s v="Visa"/>
    <n v="259600.17"/>
    <n v="278"/>
    <x v="1"/>
  </r>
  <r>
    <s v="15-799059512011"/>
    <x v="105"/>
    <x v="105"/>
    <n v="2011"/>
    <s v="Master Card"/>
    <n v="143330.15"/>
    <n v="125"/>
    <x v="1"/>
  </r>
  <r>
    <s v="15-799059512012"/>
    <x v="105"/>
    <x v="105"/>
    <n v="2012"/>
    <s v="American Express"/>
    <n v="101690.66"/>
    <n v="89"/>
    <x v="1"/>
  </r>
  <r>
    <s v="15-799059512012"/>
    <x v="105"/>
    <x v="105"/>
    <n v="2012"/>
    <s v="Discover"/>
    <n v="16903.62"/>
    <n v="17"/>
    <x v="1"/>
  </r>
  <r>
    <s v="15-799059512012"/>
    <x v="105"/>
    <x v="105"/>
    <n v="2012"/>
    <s v="Visa"/>
    <n v="216220.25"/>
    <n v="193"/>
    <x v="1"/>
  </r>
  <r>
    <s v="15-799059512013"/>
    <x v="105"/>
    <x v="105"/>
    <n v="2013"/>
    <s v="Discover"/>
    <n v="18213.060000000001"/>
    <n v="18"/>
    <x v="1"/>
  </r>
  <r>
    <s v="15-799059512012"/>
    <x v="105"/>
    <x v="105"/>
    <n v="2012"/>
    <s v="Master Card"/>
    <n v="136810.41"/>
    <n v="128"/>
    <x v="1"/>
  </r>
  <r>
    <s v="15-799059512011"/>
    <x v="105"/>
    <x v="105"/>
    <n v="2011"/>
    <s v="Discover"/>
    <n v="15294.38"/>
    <n v="17"/>
    <x v="1"/>
  </r>
  <r>
    <s v="15-799059512011"/>
    <x v="105"/>
    <x v="105"/>
    <n v="2011"/>
    <s v="American Express"/>
    <n v="22618.560000000001"/>
    <n v="33"/>
    <x v="1"/>
  </r>
  <r>
    <s v="15-799059512013"/>
    <x v="105"/>
    <x v="105"/>
    <n v="2013"/>
    <s v="Visa"/>
    <n v="205593.93"/>
    <n v="195"/>
    <x v="1"/>
  </r>
  <r>
    <s v="15-799151782011"/>
    <x v="106"/>
    <x v="106"/>
    <n v="2011"/>
    <s v="Master Card"/>
    <n v="377311.1"/>
    <n v="634"/>
    <x v="0"/>
  </r>
  <r>
    <s v="15-799151782012"/>
    <x v="106"/>
    <x v="106"/>
    <n v="2012"/>
    <s v="Debit"/>
    <n v="295314.57"/>
    <n v="406"/>
    <x v="1"/>
  </r>
  <r>
    <s v="15-799151782012"/>
    <x v="106"/>
    <x v="106"/>
    <n v="2012"/>
    <s v="American Express"/>
    <n v="609879.9"/>
    <n v="574"/>
    <x v="1"/>
  </r>
  <r>
    <s v="15-799151782011"/>
    <x v="106"/>
    <x v="106"/>
    <n v="2011"/>
    <s v="Visa"/>
    <n v="1467302.48"/>
    <n v="2342"/>
    <x v="1"/>
  </r>
  <r>
    <s v="15-799151782011"/>
    <x v="106"/>
    <x v="106"/>
    <n v="2011"/>
    <s v="Star"/>
    <n v="36522.82"/>
    <n v="89"/>
    <x v="1"/>
  </r>
  <r>
    <s v="15-799151782012"/>
    <x v="106"/>
    <x v="106"/>
    <n v="2012"/>
    <s v="Discover"/>
    <n v="47770.89"/>
    <n v="51"/>
    <x v="1"/>
  </r>
  <r>
    <s v="15-799151782012"/>
    <x v="106"/>
    <x v="106"/>
    <n v="2012"/>
    <s v="Star"/>
    <n v="30541.21"/>
    <n v="49"/>
    <x v="1"/>
  </r>
  <r>
    <s v="15-799151782013"/>
    <x v="106"/>
    <x v="106"/>
    <n v="2013"/>
    <s v="Discover"/>
    <n v="62007.01"/>
    <n v="66"/>
    <x v="1"/>
  </r>
  <r>
    <s v="15-799151782011"/>
    <x v="106"/>
    <x v="106"/>
    <n v="2011"/>
    <s v="American Express"/>
    <n v="328901.86"/>
    <n v="507"/>
    <x v="1"/>
  </r>
  <r>
    <s v="15-799151782011"/>
    <x v="106"/>
    <x v="106"/>
    <n v="2011"/>
    <s v="Debit"/>
    <n v="1610"/>
    <n v="2"/>
    <x v="1"/>
  </r>
  <r>
    <s v="15-799151782012"/>
    <x v="106"/>
    <x v="106"/>
    <n v="2012"/>
    <s v="Pulse"/>
    <n v="28065.03"/>
    <n v="47"/>
    <x v="1"/>
  </r>
  <r>
    <s v="15-799151782012"/>
    <x v="106"/>
    <x v="106"/>
    <n v="2012"/>
    <s v="Master Card"/>
    <n v="492848.53"/>
    <n v="587"/>
    <x v="1"/>
  </r>
  <r>
    <s v="15-799151782011"/>
    <x v="106"/>
    <x v="106"/>
    <n v="2011"/>
    <s v="NYCE"/>
    <n v="5074.6099999999997"/>
    <n v="13"/>
    <x v="1"/>
  </r>
  <r>
    <s v="15-799151782011"/>
    <x v="106"/>
    <x v="106"/>
    <n v="2011"/>
    <s v="Pulse"/>
    <n v="9958.67"/>
    <n v="26"/>
    <x v="1"/>
  </r>
  <r>
    <s v="15-799151782012"/>
    <x v="106"/>
    <x v="106"/>
    <n v="2012"/>
    <s v="Visa"/>
    <n v="2620491.84"/>
    <n v="2495"/>
    <x v="1"/>
  </r>
  <r>
    <s v="15-799151782013"/>
    <x v="106"/>
    <x v="106"/>
    <n v="2013"/>
    <s v="American Express"/>
    <n v="273471.5"/>
    <n v="235"/>
    <x v="1"/>
  </r>
  <r>
    <s v="15-799151782013"/>
    <x v="106"/>
    <x v="106"/>
    <n v="2013"/>
    <s v="Visa"/>
    <n v="2889541.31"/>
    <n v="2770"/>
    <x v="1"/>
  </r>
  <r>
    <s v="15-799151782013"/>
    <x v="106"/>
    <x v="106"/>
    <n v="2013"/>
    <s v="Debit"/>
    <n v="502318.18"/>
    <n v="632"/>
    <x v="1"/>
  </r>
  <r>
    <s v="15-799151782012"/>
    <x v="106"/>
    <x v="106"/>
    <n v="2012"/>
    <s v="NYCE"/>
    <n v="77610.710000000006"/>
    <n v="91"/>
    <x v="1"/>
  </r>
  <r>
    <s v="15-799151782011"/>
    <x v="106"/>
    <x v="106"/>
    <n v="2011"/>
    <s v="Discover"/>
    <n v="30500.54"/>
    <n v="59"/>
    <x v="1"/>
  </r>
  <r>
    <s v="15-799151782013"/>
    <x v="106"/>
    <x v="106"/>
    <n v="2013"/>
    <s v="Master Card"/>
    <n v="601850.06000000006"/>
    <n v="622"/>
    <x v="1"/>
  </r>
  <r>
    <s v="15-799374572013"/>
    <x v="107"/>
    <x v="107"/>
    <n v="2013"/>
    <s v="American Express"/>
    <n v="736502.67"/>
    <n v="187"/>
    <x v="0"/>
  </r>
  <r>
    <s v="15-799374572013"/>
    <x v="107"/>
    <x v="107"/>
    <n v="2013"/>
    <s v="Debit"/>
    <n v="18783.580000000002"/>
    <n v="8"/>
    <x v="1"/>
  </r>
  <r>
    <s v="15-799374572011"/>
    <x v="107"/>
    <x v="107"/>
    <n v="2011"/>
    <s v="Visa"/>
    <n v="223316.93"/>
    <n v="63"/>
    <x v="1"/>
  </r>
  <r>
    <s v="15-799374572011"/>
    <x v="107"/>
    <x v="107"/>
    <n v="2011"/>
    <s v="Master Card"/>
    <n v="149980.29999999999"/>
    <n v="45"/>
    <x v="1"/>
  </r>
  <r>
    <s v="15-799374572012"/>
    <x v="107"/>
    <x v="107"/>
    <n v="2012"/>
    <s v="Master Card"/>
    <n v="133198.9"/>
    <n v="35"/>
    <x v="1"/>
  </r>
  <r>
    <s v="15-799374572012"/>
    <x v="107"/>
    <x v="107"/>
    <n v="2012"/>
    <s v="Visa"/>
    <n v="133272.01999999999"/>
    <n v="45"/>
    <x v="1"/>
  </r>
  <r>
    <s v="15-799374572012"/>
    <x v="107"/>
    <x v="107"/>
    <n v="2012"/>
    <s v="American Express"/>
    <n v="548881.64"/>
    <n v="144"/>
    <x v="1"/>
  </r>
  <r>
    <s v="15-799374572012"/>
    <x v="107"/>
    <x v="107"/>
    <n v="2012"/>
    <s v="Debit"/>
    <n v="11556.75"/>
    <n v="3"/>
    <x v="1"/>
  </r>
  <r>
    <s v="15-799374572013"/>
    <x v="107"/>
    <x v="107"/>
    <n v="2013"/>
    <s v="Visa"/>
    <n v="153392.54999999999"/>
    <n v="41"/>
    <x v="1"/>
  </r>
  <r>
    <s v="15-799374572013"/>
    <x v="107"/>
    <x v="107"/>
    <n v="2013"/>
    <s v="Master Card"/>
    <n v="159882.19"/>
    <n v="43"/>
    <x v="1"/>
  </r>
  <r>
    <s v="15-799374572011"/>
    <x v="107"/>
    <x v="107"/>
    <n v="2011"/>
    <s v="American Express"/>
    <n v="375633.69"/>
    <n v="115"/>
    <x v="1"/>
  </r>
  <r>
    <s v="15-799397122012"/>
    <x v="108"/>
    <x v="108"/>
    <n v="2012"/>
    <s v="Visa"/>
    <n v="596619.27"/>
    <n v="1050"/>
    <x v="0"/>
  </r>
  <r>
    <s v="15-799397122012"/>
    <x v="108"/>
    <x v="108"/>
    <n v="2012"/>
    <s v="Master Card"/>
    <n v="308575.12"/>
    <n v="580"/>
    <x v="1"/>
  </r>
  <r>
    <s v="15-799397122011"/>
    <x v="108"/>
    <x v="108"/>
    <n v="2011"/>
    <s v="Master Card"/>
    <n v="350613.53"/>
    <n v="704"/>
    <x v="1"/>
  </r>
  <r>
    <s v="15-799397122011"/>
    <x v="108"/>
    <x v="108"/>
    <n v="2011"/>
    <s v="American Express"/>
    <n v="195801.12"/>
    <n v="469"/>
    <x v="1"/>
  </r>
  <r>
    <s v="15-799397122013"/>
    <x v="108"/>
    <x v="108"/>
    <n v="2013"/>
    <s v="Discover"/>
    <n v="63486.2"/>
    <n v="131"/>
    <x v="1"/>
  </r>
  <r>
    <s v="15-799397122011"/>
    <x v="108"/>
    <x v="108"/>
    <n v="2011"/>
    <s v="Debit"/>
    <n v="1401.12"/>
    <n v="3"/>
    <x v="1"/>
  </r>
  <r>
    <s v="15-799397122011"/>
    <x v="108"/>
    <x v="108"/>
    <n v="2011"/>
    <s v="Visa"/>
    <n v="714805.13"/>
    <n v="1588"/>
    <x v="1"/>
  </r>
  <r>
    <s v="15-799397122012"/>
    <x v="108"/>
    <x v="108"/>
    <n v="2012"/>
    <s v="Discover"/>
    <n v="69206.19"/>
    <n v="130"/>
    <x v="1"/>
  </r>
  <r>
    <s v="15-799397122012"/>
    <x v="108"/>
    <x v="108"/>
    <n v="2012"/>
    <s v="Debit"/>
    <n v="121879.38"/>
    <n v="298"/>
    <x v="1"/>
  </r>
  <r>
    <s v="15-799397122012"/>
    <x v="108"/>
    <x v="108"/>
    <n v="2012"/>
    <s v="American Express"/>
    <n v="206208.86"/>
    <n v="426"/>
    <x v="1"/>
  </r>
  <r>
    <s v="15-799397122013"/>
    <x v="108"/>
    <x v="108"/>
    <n v="2013"/>
    <s v="American Express"/>
    <n v="211667.82"/>
    <n v="459"/>
    <x v="1"/>
  </r>
  <r>
    <s v="15-799397122013"/>
    <x v="108"/>
    <x v="108"/>
    <n v="2013"/>
    <s v="Visa"/>
    <n v="610427.42000000004"/>
    <n v="1171"/>
    <x v="1"/>
  </r>
  <r>
    <s v="15-799397122013"/>
    <x v="108"/>
    <x v="108"/>
    <n v="2013"/>
    <s v="Debit"/>
    <n v="142848.79"/>
    <n v="415"/>
    <x v="1"/>
  </r>
  <r>
    <s v="15-799397122011"/>
    <x v="108"/>
    <x v="108"/>
    <n v="2011"/>
    <s v="Discover"/>
    <n v="75883.75"/>
    <n v="154"/>
    <x v="1"/>
  </r>
  <r>
    <s v="15-799397122013"/>
    <x v="108"/>
    <x v="108"/>
    <n v="2013"/>
    <s v="Master Card"/>
    <n v="312021.34000000003"/>
    <n v="612"/>
    <x v="1"/>
  </r>
  <r>
    <s v="15-799822862012"/>
    <x v="109"/>
    <x v="109"/>
    <n v="2012"/>
    <s v="Visa"/>
    <n v="227965.64"/>
    <n v="1513"/>
    <x v="0"/>
  </r>
  <r>
    <s v="15-799822862012"/>
    <x v="109"/>
    <x v="109"/>
    <n v="2012"/>
    <s v="Master Card"/>
    <n v="149137.65"/>
    <n v="1170"/>
    <x v="1"/>
  </r>
  <r>
    <s v="15-799822862012"/>
    <x v="109"/>
    <x v="109"/>
    <n v="2012"/>
    <s v="Debit"/>
    <n v="146620.82"/>
    <n v="1268"/>
    <x v="1"/>
  </r>
  <r>
    <s v="15-799822862011"/>
    <x v="109"/>
    <x v="109"/>
    <n v="2011"/>
    <s v="Discover"/>
    <n v="1980"/>
    <n v="4"/>
    <x v="1"/>
  </r>
  <r>
    <s v="15-799822862011"/>
    <x v="109"/>
    <x v="109"/>
    <n v="2011"/>
    <s v="Debit"/>
    <n v="548.48"/>
    <n v="8"/>
    <x v="1"/>
  </r>
  <r>
    <s v="15-799822862011"/>
    <x v="109"/>
    <x v="109"/>
    <n v="2011"/>
    <s v="Visa"/>
    <n v="536794.84"/>
    <n v="3824"/>
    <x v="1"/>
  </r>
  <r>
    <s v="15-799822862011"/>
    <x v="109"/>
    <x v="109"/>
    <n v="2011"/>
    <s v="Master Card"/>
    <n v="250715.86"/>
    <n v="1912"/>
    <x v="1"/>
  </r>
  <r>
    <s v="15-799822862012"/>
    <x v="109"/>
    <x v="109"/>
    <n v="2012"/>
    <s v="Discover"/>
    <n v="3960"/>
    <n v="6"/>
    <x v="1"/>
  </r>
  <r>
    <s v="15-800181942012"/>
    <x v="110"/>
    <x v="110"/>
    <n v="2012"/>
    <s v="American Express"/>
    <n v="988471.63"/>
    <n v="1033"/>
    <x v="0"/>
  </r>
  <r>
    <s v="15-800181942012"/>
    <x v="110"/>
    <x v="110"/>
    <n v="2012"/>
    <s v="Visa"/>
    <n v="996461.76"/>
    <n v="1175"/>
    <x v="1"/>
  </r>
  <r>
    <s v="15-800181942011"/>
    <x v="110"/>
    <x v="110"/>
    <n v="2011"/>
    <s v="eCheck"/>
    <n v="1156.22"/>
    <n v="2"/>
    <x v="1"/>
  </r>
  <r>
    <s v="15-800181942013"/>
    <x v="110"/>
    <x v="110"/>
    <n v="2013"/>
    <s v="Discover"/>
    <n v="50335.58"/>
    <n v="78"/>
    <x v="1"/>
  </r>
  <r>
    <s v="15-800181942012"/>
    <x v="110"/>
    <x v="110"/>
    <n v="2012"/>
    <s v="Master Card"/>
    <n v="564052.47999999998"/>
    <n v="662"/>
    <x v="1"/>
  </r>
  <r>
    <s v="15-800181942011"/>
    <x v="110"/>
    <x v="110"/>
    <n v="2011"/>
    <s v="Discover"/>
    <n v="90468.08"/>
    <n v="104"/>
    <x v="1"/>
  </r>
  <r>
    <s v="15-800181942012"/>
    <x v="110"/>
    <x v="110"/>
    <n v="2012"/>
    <s v="Debit"/>
    <n v="210222.55"/>
    <n v="279"/>
    <x v="1"/>
  </r>
  <r>
    <s v="15-800181942013"/>
    <x v="110"/>
    <x v="110"/>
    <n v="2013"/>
    <s v="Master Card"/>
    <n v="502940.8"/>
    <n v="578"/>
    <x v="1"/>
  </r>
  <r>
    <s v="15-800181942013"/>
    <x v="110"/>
    <x v="110"/>
    <n v="2013"/>
    <s v="Visa"/>
    <n v="925852.88"/>
    <n v="1126"/>
    <x v="1"/>
  </r>
  <r>
    <s v="15-800181942011"/>
    <x v="110"/>
    <x v="110"/>
    <n v="2011"/>
    <s v="Debit"/>
    <n v="35"/>
    <n v="2"/>
    <x v="1"/>
  </r>
  <r>
    <s v="15-800181942013"/>
    <x v="110"/>
    <x v="110"/>
    <n v="2013"/>
    <s v="eCheck"/>
    <n v="552.29"/>
    <n v="1"/>
    <x v="1"/>
  </r>
  <r>
    <s v="15-800181942012"/>
    <x v="110"/>
    <x v="110"/>
    <n v="2012"/>
    <s v="Discover"/>
    <n v="70279.360000000001"/>
    <n v="108"/>
    <x v="1"/>
  </r>
  <r>
    <s v="15-800181942011"/>
    <x v="110"/>
    <x v="110"/>
    <n v="2011"/>
    <s v="American Express"/>
    <n v="1119001.1100000001"/>
    <n v="1070"/>
    <x v="1"/>
  </r>
  <r>
    <s v="15-800181942011"/>
    <x v="110"/>
    <x v="110"/>
    <n v="2011"/>
    <s v="Master Card"/>
    <n v="708921.32"/>
    <n v="746"/>
    <x v="1"/>
  </r>
  <r>
    <s v="15-800181942013"/>
    <x v="110"/>
    <x v="110"/>
    <n v="2013"/>
    <s v="Debit"/>
    <n v="227073.88"/>
    <n v="332"/>
    <x v="1"/>
  </r>
  <r>
    <s v="15-800181942012"/>
    <x v="110"/>
    <x v="110"/>
    <n v="2012"/>
    <s v="eCheck"/>
    <n v="3812.36"/>
    <n v="2"/>
    <x v="1"/>
  </r>
  <r>
    <s v="15-800181942011"/>
    <x v="110"/>
    <x v="110"/>
    <n v="2011"/>
    <s v="Visa"/>
    <n v="1291158.3600000001"/>
    <n v="1569"/>
    <x v="1"/>
  </r>
  <r>
    <s v="15-800181942013"/>
    <x v="110"/>
    <x v="110"/>
    <n v="2013"/>
    <s v="American Express"/>
    <n v="1000986.36"/>
    <n v="1061"/>
    <x v="1"/>
  </r>
  <r>
    <s v="15-800587342013"/>
    <x v="111"/>
    <x v="111"/>
    <n v="2013"/>
    <s v="Visa"/>
    <n v="639273.69999999995"/>
    <n v="1356"/>
    <x v="0"/>
  </r>
  <r>
    <s v="15-800587342013"/>
    <x v="111"/>
    <x v="111"/>
    <n v="2013"/>
    <s v="Master Card"/>
    <n v="283578.5"/>
    <n v="606"/>
    <x v="1"/>
  </r>
  <r>
    <s v="15-800587342013"/>
    <x v="111"/>
    <x v="111"/>
    <n v="2013"/>
    <s v="American Express"/>
    <n v="186310.34"/>
    <n v="399"/>
    <x v="1"/>
  </r>
  <r>
    <s v="15-800587342013"/>
    <x v="111"/>
    <x v="111"/>
    <n v="2013"/>
    <s v="Debit"/>
    <n v="158422.10999999999"/>
    <n v="424"/>
    <x v="1"/>
  </r>
  <r>
    <s v="15-800587342011"/>
    <x v="111"/>
    <x v="111"/>
    <n v="2011"/>
    <s v="Debit"/>
    <n v="3385.04"/>
    <n v="6"/>
    <x v="1"/>
  </r>
  <r>
    <s v="15-800587342011"/>
    <x v="111"/>
    <x v="111"/>
    <n v="2011"/>
    <s v="American Express"/>
    <n v="168234.66"/>
    <n v="322"/>
    <x v="1"/>
  </r>
  <r>
    <s v="15-800587342011"/>
    <x v="111"/>
    <x v="111"/>
    <n v="2011"/>
    <s v="Discover"/>
    <n v="50094.77"/>
    <n v="117"/>
    <x v="1"/>
  </r>
  <r>
    <s v="15-800587342012"/>
    <x v="111"/>
    <x v="111"/>
    <n v="2012"/>
    <s v="Master Card"/>
    <n v="335892.63"/>
    <n v="697"/>
    <x v="1"/>
  </r>
  <r>
    <s v="15-800587342013"/>
    <x v="111"/>
    <x v="111"/>
    <n v="2013"/>
    <s v="Discover"/>
    <n v="71195.520000000004"/>
    <n v="175"/>
    <x v="1"/>
  </r>
  <r>
    <s v="15-800587342012"/>
    <x v="111"/>
    <x v="111"/>
    <n v="2012"/>
    <s v="Visa"/>
    <n v="586833.07999999996"/>
    <n v="1250"/>
    <x v="1"/>
  </r>
  <r>
    <s v="15-800587342012"/>
    <x v="111"/>
    <x v="111"/>
    <n v="2012"/>
    <s v="Discover"/>
    <n v="60241.38"/>
    <n v="147"/>
    <x v="1"/>
  </r>
  <r>
    <s v="15-800587342012"/>
    <x v="111"/>
    <x v="111"/>
    <n v="2012"/>
    <s v="American Express"/>
    <n v="175216.42"/>
    <n v="359"/>
    <x v="1"/>
  </r>
  <r>
    <s v="15-800587342012"/>
    <x v="111"/>
    <x v="111"/>
    <n v="2012"/>
    <s v="Debit"/>
    <n v="144358.10999999999"/>
    <n v="409"/>
    <x v="1"/>
  </r>
  <r>
    <s v="15-800587342011"/>
    <x v="111"/>
    <x v="111"/>
    <n v="2011"/>
    <s v="Master Card"/>
    <n v="301071.14"/>
    <n v="602"/>
    <x v="1"/>
  </r>
  <r>
    <s v="15-800587342011"/>
    <x v="111"/>
    <x v="111"/>
    <n v="2011"/>
    <s v="Visa"/>
    <n v="595069.23"/>
    <n v="1396"/>
    <x v="1"/>
  </r>
  <r>
    <s v="15-800649112013"/>
    <x v="112"/>
    <x v="112"/>
    <n v="2013"/>
    <s v="Discover"/>
    <n v="390138.37"/>
    <n v="472"/>
    <x v="0"/>
  </r>
  <r>
    <s v="15-800649112012"/>
    <x v="112"/>
    <x v="112"/>
    <n v="2012"/>
    <s v="American Express"/>
    <n v="730161.22"/>
    <n v="1043"/>
    <x v="1"/>
  </r>
  <r>
    <s v="15-800649112012"/>
    <x v="112"/>
    <x v="112"/>
    <n v="2012"/>
    <s v="Debit"/>
    <n v="1406201.09"/>
    <n v="2224"/>
    <x v="1"/>
  </r>
  <r>
    <s v="15-800649112011"/>
    <x v="112"/>
    <x v="112"/>
    <n v="2011"/>
    <s v="eCheck"/>
    <n v="16859.439999999999"/>
    <n v="25"/>
    <x v="1"/>
  </r>
  <r>
    <s v="15-800649112012"/>
    <x v="112"/>
    <x v="112"/>
    <n v="2012"/>
    <s v="Master Card"/>
    <n v="1363381.65"/>
    <n v="1921"/>
    <x v="1"/>
  </r>
  <r>
    <s v="15-800649112011"/>
    <x v="112"/>
    <x v="112"/>
    <n v="2011"/>
    <s v="American Express"/>
    <n v="668438.86"/>
    <n v="973"/>
    <x v="1"/>
  </r>
  <r>
    <s v="15-800649112011"/>
    <x v="112"/>
    <x v="112"/>
    <n v="2011"/>
    <s v="Debit"/>
    <n v="488.4"/>
    <n v="1"/>
    <x v="1"/>
  </r>
  <r>
    <s v="15-800649112012"/>
    <x v="112"/>
    <x v="112"/>
    <n v="2012"/>
    <s v="Visa"/>
    <n v="2076652.1"/>
    <n v="2791"/>
    <x v="1"/>
  </r>
  <r>
    <s v="15-800649112013"/>
    <x v="112"/>
    <x v="112"/>
    <n v="2013"/>
    <s v="Master Card"/>
    <n v="1220068.73"/>
    <n v="1481"/>
    <x v="1"/>
  </r>
  <r>
    <s v="15-800649112013"/>
    <x v="112"/>
    <x v="112"/>
    <n v="2013"/>
    <s v="Visa"/>
    <n v="2094347.94"/>
    <n v="2585"/>
    <x v="1"/>
  </r>
  <r>
    <s v="15-800649112011"/>
    <x v="112"/>
    <x v="112"/>
    <n v="2011"/>
    <s v="Discover"/>
    <n v="364167.36"/>
    <n v="479"/>
    <x v="1"/>
  </r>
  <r>
    <s v="15-800649112011"/>
    <x v="112"/>
    <x v="112"/>
    <n v="2011"/>
    <s v="Visa"/>
    <n v="2699089.81"/>
    <n v="4152"/>
    <x v="1"/>
  </r>
  <r>
    <s v="15-800649112012"/>
    <x v="112"/>
    <x v="112"/>
    <n v="2012"/>
    <s v="Discover"/>
    <n v="394330.03"/>
    <n v="505"/>
    <x v="1"/>
  </r>
  <r>
    <s v="15-800649112013"/>
    <x v="112"/>
    <x v="112"/>
    <n v="2013"/>
    <s v="American Express"/>
    <n v="744241.12"/>
    <n v="956"/>
    <x v="1"/>
  </r>
  <r>
    <s v="15-800649112011"/>
    <x v="112"/>
    <x v="112"/>
    <n v="2011"/>
    <s v="Master Card"/>
    <n v="1407924.94"/>
    <n v="2157"/>
    <x v="1"/>
  </r>
  <r>
    <s v="15-800649112013"/>
    <x v="112"/>
    <x v="112"/>
    <n v="2013"/>
    <s v="Debit"/>
    <n v="1710495.53"/>
    <n v="2580"/>
    <x v="1"/>
  </r>
  <r>
    <s v="15-801448752012"/>
    <x v="113"/>
    <x v="113"/>
    <n v="2012"/>
    <s v="American Express"/>
    <n v="138927.9"/>
    <n v="216"/>
    <x v="0"/>
  </r>
  <r>
    <s v="15-801448752012"/>
    <x v="113"/>
    <x v="113"/>
    <n v="2012"/>
    <s v="Master Card"/>
    <n v="285310.73"/>
    <n v="408"/>
    <x v="1"/>
  </r>
  <r>
    <s v="15-801448752012"/>
    <x v="113"/>
    <x v="113"/>
    <n v="2012"/>
    <s v="Visa"/>
    <n v="457690.81"/>
    <n v="608"/>
    <x v="1"/>
  </r>
  <r>
    <s v="15-801448752012"/>
    <x v="113"/>
    <x v="113"/>
    <n v="2012"/>
    <s v="Debit"/>
    <n v="129803.15"/>
    <n v="219"/>
    <x v="1"/>
  </r>
  <r>
    <s v="15-801448752011"/>
    <x v="113"/>
    <x v="113"/>
    <n v="2011"/>
    <s v="eCheck"/>
    <n v="191171.81"/>
    <n v="251"/>
    <x v="1"/>
  </r>
  <r>
    <s v="15-801448752012"/>
    <x v="113"/>
    <x v="113"/>
    <n v="2012"/>
    <s v="eCheck"/>
    <n v="50209.07"/>
    <n v="60"/>
    <x v="1"/>
  </r>
  <r>
    <s v="15-801448752012"/>
    <x v="113"/>
    <x v="113"/>
    <n v="2012"/>
    <s v="Discover"/>
    <n v="74180.479999999996"/>
    <n v="96"/>
    <x v="1"/>
  </r>
  <r>
    <s v="15-801448752011"/>
    <x v="113"/>
    <x v="113"/>
    <n v="2011"/>
    <s v="Visa"/>
    <n v="3615683.72"/>
    <n v="5338"/>
    <x v="1"/>
  </r>
  <r>
    <s v="15-801448752011"/>
    <x v="113"/>
    <x v="113"/>
    <n v="2011"/>
    <s v="Master Card"/>
    <n v="2022298.98"/>
    <n v="2903"/>
    <x v="1"/>
  </r>
  <r>
    <s v="15-801448752011"/>
    <x v="113"/>
    <x v="113"/>
    <n v="2011"/>
    <s v="Debit"/>
    <n v="55.5"/>
    <n v="1"/>
    <x v="1"/>
  </r>
  <r>
    <s v="15-801448752011"/>
    <x v="113"/>
    <x v="113"/>
    <n v="2011"/>
    <s v="Discover"/>
    <n v="626164.29"/>
    <n v="834"/>
    <x v="1"/>
  </r>
  <r>
    <s v="15-801448752011"/>
    <x v="113"/>
    <x v="113"/>
    <n v="2011"/>
    <s v="American Express"/>
    <n v="996820.52"/>
    <n v="1286"/>
    <x v="1"/>
  </r>
  <r>
    <s v="15-802560192011"/>
    <x v="114"/>
    <x v="114"/>
    <n v="2011"/>
    <s v="Discover"/>
    <n v="75856.11"/>
    <n v="105"/>
    <x v="0"/>
  </r>
  <r>
    <s v="15-802560192011"/>
    <x v="114"/>
    <x v="114"/>
    <n v="2011"/>
    <s v="American Express"/>
    <n v="267250.90999999997"/>
    <n v="256"/>
    <x v="1"/>
  </r>
  <r>
    <s v="15-802560192013"/>
    <x v="114"/>
    <x v="114"/>
    <n v="2013"/>
    <s v="Master Card"/>
    <n v="401128.01"/>
    <n v="498"/>
    <x v="1"/>
  </r>
  <r>
    <s v="15-802560192013"/>
    <x v="114"/>
    <x v="114"/>
    <n v="2013"/>
    <s v="Visa"/>
    <n v="835899.03"/>
    <n v="1022"/>
    <x v="1"/>
  </r>
  <r>
    <s v="15-802560192012"/>
    <x v="114"/>
    <x v="114"/>
    <n v="2012"/>
    <s v="Discover"/>
    <n v="107846.18"/>
    <n v="127"/>
    <x v="1"/>
  </r>
  <r>
    <s v="15-802560192012"/>
    <x v="114"/>
    <x v="114"/>
    <n v="2012"/>
    <s v="Master Card"/>
    <n v="495588.91"/>
    <n v="604"/>
    <x v="1"/>
  </r>
  <r>
    <s v="15-802560192012"/>
    <x v="114"/>
    <x v="114"/>
    <n v="2012"/>
    <s v="Debit"/>
    <n v="109897.09"/>
    <n v="172"/>
    <x v="1"/>
  </r>
  <r>
    <s v="15-802560192012"/>
    <x v="114"/>
    <x v="114"/>
    <n v="2012"/>
    <s v="American Express"/>
    <n v="330366.92"/>
    <n v="365"/>
    <x v="1"/>
  </r>
  <r>
    <s v="15-802560192012"/>
    <x v="114"/>
    <x v="114"/>
    <n v="2012"/>
    <s v="Visa"/>
    <n v="875318.39"/>
    <n v="969"/>
    <x v="1"/>
  </r>
  <r>
    <s v="15-802560192011"/>
    <x v="114"/>
    <x v="114"/>
    <n v="2011"/>
    <s v="Visa"/>
    <n v="826961.89"/>
    <n v="1028"/>
    <x v="1"/>
  </r>
  <r>
    <s v="15-802560192011"/>
    <x v="114"/>
    <x v="114"/>
    <n v="2011"/>
    <s v="Master Card"/>
    <n v="473478.6"/>
    <n v="537"/>
    <x v="1"/>
  </r>
  <r>
    <s v="15-802560192013"/>
    <x v="114"/>
    <x v="114"/>
    <n v="2013"/>
    <s v="Debit"/>
    <n v="130720.2"/>
    <n v="226"/>
    <x v="1"/>
  </r>
  <r>
    <s v="15-802560192013"/>
    <x v="114"/>
    <x v="114"/>
    <n v="2013"/>
    <s v="Discover"/>
    <n v="107929.68"/>
    <n v="137"/>
    <x v="1"/>
  </r>
  <r>
    <s v="15-802560192013"/>
    <x v="114"/>
    <x v="114"/>
    <n v="2013"/>
    <s v="American Express"/>
    <n v="291340.77"/>
    <n v="348"/>
    <x v="1"/>
  </r>
  <r>
    <s v="15-825092472012"/>
    <x v="115"/>
    <x v="115"/>
    <n v="2012"/>
    <s v="Visa"/>
    <n v="380747.42"/>
    <n v="526"/>
    <x v="0"/>
  </r>
  <r>
    <s v="15-825092472013"/>
    <x v="115"/>
    <x v="115"/>
    <n v="2013"/>
    <s v="Debit"/>
    <n v="273546.75"/>
    <n v="343"/>
    <x v="1"/>
  </r>
  <r>
    <s v="15-825092472013"/>
    <x v="115"/>
    <x v="115"/>
    <n v="2013"/>
    <s v="Discover"/>
    <n v="82900.61"/>
    <n v="87"/>
    <x v="1"/>
  </r>
  <r>
    <s v="15-825092472011"/>
    <x v="115"/>
    <x v="115"/>
    <n v="2011"/>
    <s v="Star"/>
    <n v="2894.59"/>
    <n v="6"/>
    <x v="1"/>
  </r>
  <r>
    <s v="15-825092472011"/>
    <x v="115"/>
    <x v="115"/>
    <n v="2011"/>
    <s v="Visa"/>
    <n v="394091.58"/>
    <n v="588"/>
    <x v="1"/>
  </r>
  <r>
    <s v="15-825092472012"/>
    <x v="115"/>
    <x v="115"/>
    <n v="2012"/>
    <s v="Discover"/>
    <n v="108215.1"/>
    <n v="135"/>
    <x v="1"/>
  </r>
  <r>
    <s v="15-825092472011"/>
    <x v="115"/>
    <x v="115"/>
    <n v="2011"/>
    <s v="Master Card"/>
    <n v="236540.74"/>
    <n v="325"/>
    <x v="1"/>
  </r>
  <r>
    <s v="15-825092472012"/>
    <x v="115"/>
    <x v="115"/>
    <n v="2012"/>
    <s v="Master Card"/>
    <n v="231360.11"/>
    <n v="306"/>
    <x v="1"/>
  </r>
  <r>
    <s v="15-825092472011"/>
    <x v="115"/>
    <x v="115"/>
    <n v="2011"/>
    <s v="NYCE"/>
    <n v="1125.8699999999999"/>
    <n v="3"/>
    <x v="1"/>
  </r>
  <r>
    <s v="15-825092472012"/>
    <x v="115"/>
    <x v="115"/>
    <n v="2012"/>
    <s v="Debit"/>
    <n v="188922.62"/>
    <n v="303"/>
    <x v="1"/>
  </r>
  <r>
    <s v="15-825092472011"/>
    <x v="115"/>
    <x v="115"/>
    <n v="2011"/>
    <s v="Pulse"/>
    <n v="3083.75"/>
    <n v="11"/>
    <x v="1"/>
  </r>
  <r>
    <s v="15-825092472011"/>
    <x v="115"/>
    <x v="115"/>
    <n v="2011"/>
    <s v="Discover"/>
    <n v="60232.81"/>
    <n v="74"/>
    <x v="1"/>
  </r>
  <r>
    <s v="15-825092472013"/>
    <x v="115"/>
    <x v="115"/>
    <n v="2013"/>
    <s v="Master Card"/>
    <n v="208895.49"/>
    <n v="230"/>
    <x v="1"/>
  </r>
  <r>
    <s v="15-825092472013"/>
    <x v="115"/>
    <x v="115"/>
    <n v="2013"/>
    <s v="Visa"/>
    <n v="317031.81"/>
    <n v="356"/>
    <x v="1"/>
  </r>
  <r>
    <s v="15-825528742011"/>
    <x v="116"/>
    <x v="116"/>
    <n v="2011"/>
    <s v="Visa"/>
    <n v="191769.29"/>
    <n v="328"/>
    <x v="0"/>
  </r>
  <r>
    <s v="15-825528742011"/>
    <x v="116"/>
    <x v="116"/>
    <n v="2011"/>
    <s v="Master Card"/>
    <n v="97849.35"/>
    <n v="145"/>
    <x v="1"/>
  </r>
  <r>
    <s v="15-825528742012"/>
    <x v="116"/>
    <x v="116"/>
    <n v="2012"/>
    <s v="Pulse"/>
    <n v="1717.38"/>
    <n v="2"/>
    <x v="1"/>
  </r>
  <r>
    <s v="15-825528742011"/>
    <x v="116"/>
    <x v="116"/>
    <n v="2011"/>
    <s v="Star"/>
    <n v="4706.74"/>
    <n v="12"/>
    <x v="1"/>
  </r>
  <r>
    <s v="15-825528742012"/>
    <x v="116"/>
    <x v="116"/>
    <n v="2012"/>
    <s v="American Express"/>
    <n v="120353.65"/>
    <n v="223"/>
    <x v="1"/>
  </r>
  <r>
    <s v="15-825528742013"/>
    <x v="116"/>
    <x v="116"/>
    <n v="2013"/>
    <s v="American Express"/>
    <n v="181627.84"/>
    <n v="270"/>
    <x v="1"/>
  </r>
  <r>
    <s v="15-825528742012"/>
    <x v="116"/>
    <x v="116"/>
    <n v="2012"/>
    <s v="Discover"/>
    <n v="17288.509999999998"/>
    <n v="39"/>
    <x v="1"/>
  </r>
  <r>
    <s v="15-825528742013"/>
    <x v="116"/>
    <x v="116"/>
    <n v="2013"/>
    <s v="Debit"/>
    <n v="93651.76"/>
    <n v="187"/>
    <x v="1"/>
  </r>
  <r>
    <s v="15-825528742012"/>
    <x v="116"/>
    <x v="116"/>
    <n v="2012"/>
    <s v="NYCE"/>
    <n v="977.29"/>
    <n v="2"/>
    <x v="1"/>
  </r>
  <r>
    <s v="15-825528742013"/>
    <x v="116"/>
    <x v="116"/>
    <n v="2013"/>
    <s v="Discover"/>
    <n v="19671.22"/>
    <n v="39"/>
    <x v="1"/>
  </r>
  <r>
    <s v="15-825528742012"/>
    <x v="116"/>
    <x v="116"/>
    <n v="2012"/>
    <s v="Master Card"/>
    <n v="154925.31"/>
    <n v="294"/>
    <x v="1"/>
  </r>
  <r>
    <s v="15-825528742012"/>
    <x v="116"/>
    <x v="116"/>
    <n v="2012"/>
    <s v="Debit"/>
    <n v="47824.89"/>
    <n v="90"/>
    <x v="1"/>
  </r>
  <r>
    <s v="15-825528742012"/>
    <x v="116"/>
    <x v="116"/>
    <n v="2012"/>
    <s v="Star"/>
    <n v="4694.4799999999996"/>
    <n v="8"/>
    <x v="1"/>
  </r>
  <r>
    <s v="15-825528742012"/>
    <x v="116"/>
    <x v="116"/>
    <n v="2012"/>
    <s v="Visa"/>
    <n v="322785.57"/>
    <n v="637"/>
    <x v="1"/>
  </r>
  <r>
    <s v="15-825528742013"/>
    <x v="116"/>
    <x v="116"/>
    <n v="2013"/>
    <s v="Master Card"/>
    <n v="254872.06"/>
    <n v="398"/>
    <x v="1"/>
  </r>
  <r>
    <s v="15-825528742011"/>
    <x v="116"/>
    <x v="116"/>
    <n v="2011"/>
    <s v="Discover"/>
    <n v="12107.83"/>
    <n v="19"/>
    <x v="1"/>
  </r>
  <r>
    <s v="15-825528742011"/>
    <x v="116"/>
    <x v="116"/>
    <n v="2011"/>
    <s v="NYCE"/>
    <n v="3237.28"/>
    <n v="5"/>
    <x v="1"/>
  </r>
  <r>
    <s v="15-825528742011"/>
    <x v="116"/>
    <x v="116"/>
    <n v="2011"/>
    <s v="American Express"/>
    <n v="62403.77"/>
    <n v="102"/>
    <x v="1"/>
  </r>
  <r>
    <s v="15-825528742013"/>
    <x v="116"/>
    <x v="116"/>
    <n v="2013"/>
    <s v="Visa"/>
    <n v="404166.15"/>
    <n v="792"/>
    <x v="1"/>
  </r>
  <r>
    <s v="15-825528742012"/>
    <x v="116"/>
    <x v="116"/>
    <n v="2012"/>
    <s v="eCheck"/>
    <n v="1001.93"/>
    <n v="1"/>
    <x v="1"/>
  </r>
  <r>
    <s v="15-825528742011"/>
    <x v="116"/>
    <x v="116"/>
    <n v="2011"/>
    <s v="Pulse"/>
    <n v="5096.2299999999996"/>
    <n v="9"/>
    <x v="1"/>
  </r>
  <r>
    <s v="15-839044212012"/>
    <x v="117"/>
    <x v="117"/>
    <n v="2012"/>
    <s v="NYCE"/>
    <n v="13590.27"/>
    <n v="10"/>
    <x v="0"/>
  </r>
  <r>
    <s v="15-839044212012"/>
    <x v="117"/>
    <x v="117"/>
    <n v="2012"/>
    <s v="eCheck"/>
    <n v="25051128.07"/>
    <n v="20088"/>
    <x v="1"/>
  </r>
  <r>
    <s v="15-839044212013"/>
    <x v="117"/>
    <x v="117"/>
    <n v="2013"/>
    <s v="Visa"/>
    <n v="762096.59"/>
    <n v="630"/>
    <x v="1"/>
  </r>
  <r>
    <s v="15-839044212013"/>
    <x v="117"/>
    <x v="117"/>
    <n v="2013"/>
    <s v="Master Card"/>
    <n v="631253.69999999995"/>
    <n v="502"/>
    <x v="1"/>
  </r>
  <r>
    <s v="15-839044212011"/>
    <x v="117"/>
    <x v="117"/>
    <n v="2011"/>
    <s v="Pulse"/>
    <n v="3103.95"/>
    <n v="2"/>
    <x v="1"/>
  </r>
  <r>
    <s v="15-839044212012"/>
    <x v="117"/>
    <x v="117"/>
    <n v="2012"/>
    <s v="Scan"/>
    <n v="19510875.48"/>
    <n v="18794"/>
    <x v="1"/>
  </r>
  <r>
    <s v="15-839044212011"/>
    <x v="117"/>
    <x v="117"/>
    <n v="2011"/>
    <s v="Discover"/>
    <n v="11422.91"/>
    <n v="7"/>
    <x v="1"/>
  </r>
  <r>
    <s v="15-839044212012"/>
    <x v="117"/>
    <x v="117"/>
    <n v="2012"/>
    <s v="Debit"/>
    <n v="688906.09"/>
    <n v="581"/>
    <x v="1"/>
  </r>
  <r>
    <s v="15-839044212011"/>
    <x v="117"/>
    <x v="117"/>
    <n v="2011"/>
    <s v="NYCE"/>
    <n v="60"/>
    <n v="1"/>
    <x v="1"/>
  </r>
  <r>
    <s v="15-839044212013"/>
    <x v="117"/>
    <x v="117"/>
    <n v="2013"/>
    <s v="eCheck"/>
    <n v="24487535.34"/>
    <n v="19927"/>
    <x v="1"/>
  </r>
  <r>
    <s v="15-839044212012"/>
    <x v="117"/>
    <x v="117"/>
    <n v="2012"/>
    <s v="Star"/>
    <n v="34823.14"/>
    <n v="29"/>
    <x v="1"/>
  </r>
  <r>
    <s v="15-839044212012"/>
    <x v="117"/>
    <x v="117"/>
    <n v="2012"/>
    <s v="Pulse"/>
    <n v="74072.56"/>
    <n v="70"/>
    <x v="1"/>
  </r>
  <r>
    <s v="15-839044212012"/>
    <x v="117"/>
    <x v="117"/>
    <n v="2012"/>
    <s v="Visa"/>
    <n v="957518.51"/>
    <n v="662"/>
    <x v="1"/>
  </r>
  <r>
    <s v="15-839044212011"/>
    <x v="117"/>
    <x v="117"/>
    <n v="2011"/>
    <s v="Scan"/>
    <n v="4353938.8499999996"/>
    <n v="3939"/>
    <x v="1"/>
  </r>
  <r>
    <s v="15-839044212012"/>
    <x v="117"/>
    <x v="117"/>
    <n v="2012"/>
    <s v="Master Card"/>
    <n v="546989.44999999995"/>
    <n v="423"/>
    <x v="1"/>
  </r>
  <r>
    <s v="15-839044212011"/>
    <x v="117"/>
    <x v="117"/>
    <n v="2011"/>
    <s v="Star"/>
    <n v="2520.9499999999998"/>
    <n v="3"/>
    <x v="1"/>
  </r>
  <r>
    <s v="15-839044212012"/>
    <x v="117"/>
    <x v="117"/>
    <n v="2012"/>
    <s v="Discover"/>
    <n v="75412.31"/>
    <n v="56"/>
    <x v="1"/>
  </r>
  <r>
    <s v="15-839044212011"/>
    <x v="117"/>
    <x v="117"/>
    <n v="2011"/>
    <s v="Visa"/>
    <n v="155801.82"/>
    <n v="121"/>
    <x v="1"/>
  </r>
  <r>
    <s v="15-839044212011"/>
    <x v="117"/>
    <x v="117"/>
    <n v="2011"/>
    <s v="Master Card"/>
    <n v="80542.789999999994"/>
    <n v="56"/>
    <x v="1"/>
  </r>
  <r>
    <s v="15-839044212013"/>
    <x v="117"/>
    <x v="117"/>
    <n v="2013"/>
    <s v="Scan"/>
    <n v="12011301.84"/>
    <n v="12256"/>
    <x v="1"/>
  </r>
  <r>
    <s v="15-839044212013"/>
    <x v="117"/>
    <x v="117"/>
    <n v="2013"/>
    <s v="Discover"/>
    <n v="64694.25"/>
    <n v="51"/>
    <x v="1"/>
  </r>
  <r>
    <s v="15-839044212013"/>
    <x v="117"/>
    <x v="117"/>
    <n v="2013"/>
    <s v="Debit"/>
    <n v="1287810.53"/>
    <n v="1226"/>
    <x v="1"/>
  </r>
  <r>
    <s v="15-839044212011"/>
    <x v="117"/>
    <x v="117"/>
    <n v="2011"/>
    <s v="eCheck"/>
    <n v="4339928.05"/>
    <n v="3191"/>
    <x v="1"/>
  </r>
  <r>
    <s v="15-844168332012"/>
    <x v="118"/>
    <x v="118"/>
    <n v="2012"/>
    <s v="Master Card"/>
    <n v="225932.25"/>
    <n v="501"/>
    <x v="0"/>
  </r>
  <r>
    <s v="15-844168332013"/>
    <x v="118"/>
    <x v="118"/>
    <n v="2013"/>
    <s v="Debit"/>
    <n v="300009.51"/>
    <n v="711"/>
    <x v="1"/>
  </r>
  <r>
    <s v="15-844168332013"/>
    <x v="118"/>
    <x v="118"/>
    <n v="2013"/>
    <s v="Visa"/>
    <n v="357265.97"/>
    <n v="804"/>
    <x v="1"/>
  </r>
  <r>
    <s v="15-844168332011"/>
    <x v="118"/>
    <x v="118"/>
    <n v="2011"/>
    <s v="eCheck"/>
    <n v="2112.62"/>
    <n v="4"/>
    <x v="1"/>
  </r>
  <r>
    <s v="15-844168332013"/>
    <x v="118"/>
    <x v="118"/>
    <n v="2013"/>
    <s v="Master Card"/>
    <n v="192023.95"/>
    <n v="445"/>
    <x v="1"/>
  </r>
  <r>
    <s v="15-844168332012"/>
    <x v="118"/>
    <x v="118"/>
    <n v="2012"/>
    <s v="Debit"/>
    <n v="217120.23"/>
    <n v="515"/>
    <x v="1"/>
  </r>
  <r>
    <s v="15-844168332011"/>
    <x v="118"/>
    <x v="118"/>
    <n v="2011"/>
    <s v="Discover"/>
    <n v="30492.85"/>
    <n v="66"/>
    <x v="1"/>
  </r>
  <r>
    <s v="15-844168332013"/>
    <x v="118"/>
    <x v="118"/>
    <n v="2013"/>
    <s v="Discover"/>
    <n v="51605.09"/>
    <n v="117"/>
    <x v="1"/>
  </r>
  <r>
    <s v="15-844168332012"/>
    <x v="118"/>
    <x v="118"/>
    <n v="2012"/>
    <s v="eCheck"/>
    <n v="5900.33"/>
    <n v="15"/>
    <x v="1"/>
  </r>
  <r>
    <s v="15-844168332012"/>
    <x v="118"/>
    <x v="118"/>
    <n v="2012"/>
    <s v="Visa"/>
    <n v="364011.41"/>
    <n v="797"/>
    <x v="1"/>
  </r>
  <r>
    <s v="15-844168332012"/>
    <x v="118"/>
    <x v="118"/>
    <n v="2012"/>
    <s v="Discover"/>
    <n v="66142.91"/>
    <n v="148"/>
    <x v="1"/>
  </r>
  <r>
    <s v="15-844168332011"/>
    <x v="118"/>
    <x v="118"/>
    <n v="2011"/>
    <s v="Master Card"/>
    <n v="172584.19"/>
    <n v="366"/>
    <x v="1"/>
  </r>
  <r>
    <s v="15-844168332013"/>
    <x v="118"/>
    <x v="118"/>
    <n v="2013"/>
    <s v="eCheck"/>
    <n v="6786.82"/>
    <n v="16"/>
    <x v="1"/>
  </r>
  <r>
    <s v="15-844168332011"/>
    <x v="118"/>
    <x v="118"/>
    <n v="2011"/>
    <s v="Visa"/>
    <n v="349258.74"/>
    <n v="741"/>
    <x v="1"/>
  </r>
  <r>
    <s v="15-844168332011"/>
    <x v="118"/>
    <x v="118"/>
    <n v="2011"/>
    <s v="Debit"/>
    <n v="596.25"/>
    <n v="1"/>
    <x v="1"/>
  </r>
  <r>
    <s v="15-852926702013"/>
    <x v="119"/>
    <x v="119"/>
    <n v="2013"/>
    <s v="Debit"/>
    <n v="170276.8"/>
    <n v="709"/>
    <x v="0"/>
  </r>
  <r>
    <s v="15-852926702012"/>
    <x v="119"/>
    <x v="119"/>
    <n v="2012"/>
    <s v="Debit"/>
    <n v="84910.23"/>
    <n v="380"/>
    <x v="1"/>
  </r>
  <r>
    <s v="15-852926702013"/>
    <x v="119"/>
    <x v="119"/>
    <n v="2013"/>
    <s v="Master Card"/>
    <n v="50868.51"/>
    <n v="220"/>
    <x v="1"/>
  </r>
  <r>
    <s v="15-852926702013"/>
    <x v="119"/>
    <x v="119"/>
    <n v="2013"/>
    <s v="Visa"/>
    <n v="51352.51"/>
    <n v="260"/>
    <x v="1"/>
  </r>
  <r>
    <s v="15-852926702011"/>
    <x v="119"/>
    <x v="119"/>
    <n v="2011"/>
    <s v="Debit"/>
    <n v="190.75"/>
    <n v="1"/>
    <x v="1"/>
  </r>
  <r>
    <s v="15-852926702012"/>
    <x v="119"/>
    <x v="119"/>
    <n v="2012"/>
    <s v="Visa"/>
    <n v="66155.94"/>
    <n v="254"/>
    <x v="1"/>
  </r>
  <r>
    <s v="15-852926702012"/>
    <x v="119"/>
    <x v="119"/>
    <n v="2012"/>
    <s v="Master Card"/>
    <n v="48318.37"/>
    <n v="160"/>
    <x v="1"/>
  </r>
  <r>
    <s v="15-852926702011"/>
    <x v="119"/>
    <x v="119"/>
    <n v="2011"/>
    <s v="Master Card"/>
    <n v="13113.45"/>
    <n v="47"/>
    <x v="1"/>
  </r>
  <r>
    <s v="15-852926702011"/>
    <x v="119"/>
    <x v="119"/>
    <n v="2011"/>
    <s v="Visa"/>
    <n v="35441.879999999997"/>
    <n v="165"/>
    <x v="1"/>
  </r>
  <r>
    <s v="15-862530492013"/>
    <x v="120"/>
    <x v="120"/>
    <n v="2013"/>
    <s v="eCheck"/>
    <n v="1766715.09"/>
    <n v="4202"/>
    <x v="0"/>
  </r>
  <r>
    <s v="15-862530492011"/>
    <x v="120"/>
    <x v="120"/>
    <n v="2011"/>
    <s v="eCheck"/>
    <n v="1908575.9"/>
    <n v="4662"/>
    <x v="1"/>
  </r>
  <r>
    <s v="15-862530492012"/>
    <x v="120"/>
    <x v="120"/>
    <n v="2012"/>
    <s v="eCheck"/>
    <n v="1907889.75"/>
    <n v="4595"/>
    <x v="1"/>
  </r>
  <r>
    <s v="15-866071452012"/>
    <x v="121"/>
    <x v="121"/>
    <n v="2012"/>
    <s v="Debit"/>
    <n v="83877.710000000006"/>
    <n v="100"/>
    <x v="0"/>
  </r>
  <r>
    <s v="15-866071452012"/>
    <x v="121"/>
    <x v="121"/>
    <n v="2012"/>
    <s v="Discover"/>
    <n v="2360.0300000000002"/>
    <n v="2"/>
    <x v="1"/>
  </r>
  <r>
    <s v="15-866071452012"/>
    <x v="121"/>
    <x v="121"/>
    <n v="2012"/>
    <s v="NYCE"/>
    <n v="1301.96"/>
    <n v="1"/>
    <x v="1"/>
  </r>
  <r>
    <s v="15-866071452012"/>
    <x v="121"/>
    <x v="121"/>
    <n v="2012"/>
    <s v="Pulse"/>
    <n v="7621.12"/>
    <n v="9"/>
    <x v="1"/>
  </r>
  <r>
    <s v="15-866071452013"/>
    <x v="121"/>
    <x v="121"/>
    <n v="2013"/>
    <s v="Visa"/>
    <n v="175232.26"/>
    <n v="160"/>
    <x v="1"/>
  </r>
  <r>
    <s v="15-866071452011"/>
    <x v="121"/>
    <x v="121"/>
    <n v="2011"/>
    <s v="NYCE"/>
    <n v="5912.49"/>
    <n v="7"/>
    <x v="1"/>
  </r>
  <r>
    <s v="15-866071452011"/>
    <x v="121"/>
    <x v="121"/>
    <n v="2011"/>
    <s v="Discover"/>
    <n v="970.76"/>
    <n v="1"/>
    <x v="1"/>
  </r>
  <r>
    <s v="15-866071452013"/>
    <x v="121"/>
    <x v="121"/>
    <n v="2013"/>
    <s v="Master Card"/>
    <n v="96067.78"/>
    <n v="99"/>
    <x v="1"/>
  </r>
  <r>
    <s v="15-866071452011"/>
    <x v="121"/>
    <x v="121"/>
    <n v="2011"/>
    <s v="eCheck"/>
    <n v="241745.63"/>
    <n v="329"/>
    <x v="1"/>
  </r>
  <r>
    <s v="15-866071452011"/>
    <x v="121"/>
    <x v="121"/>
    <n v="2011"/>
    <s v="Visa"/>
    <n v="39749.480000000003"/>
    <n v="64"/>
    <x v="1"/>
  </r>
  <r>
    <s v="15-866071452011"/>
    <x v="121"/>
    <x v="121"/>
    <n v="2011"/>
    <s v="Debit"/>
    <n v="975"/>
    <n v="1"/>
    <x v="1"/>
  </r>
  <r>
    <s v="15-866071452011"/>
    <x v="121"/>
    <x v="121"/>
    <n v="2011"/>
    <s v="Star"/>
    <n v="1625.62"/>
    <n v="3"/>
    <x v="1"/>
  </r>
  <r>
    <s v="15-866071452013"/>
    <x v="121"/>
    <x v="121"/>
    <n v="2013"/>
    <s v="eCheck"/>
    <n v="2577932.63"/>
    <n v="2717"/>
    <x v="1"/>
  </r>
  <r>
    <s v="15-866071452011"/>
    <x v="121"/>
    <x v="121"/>
    <n v="2011"/>
    <s v="Master Card"/>
    <n v="21075.32"/>
    <n v="26"/>
    <x v="1"/>
  </r>
  <r>
    <s v="15-866071452013"/>
    <x v="121"/>
    <x v="121"/>
    <n v="2013"/>
    <s v="Debit"/>
    <n v="318503.82"/>
    <n v="320"/>
    <x v="1"/>
  </r>
  <r>
    <s v="15-866071452012"/>
    <x v="121"/>
    <x v="121"/>
    <n v="2012"/>
    <s v="Star"/>
    <n v="861.07"/>
    <n v="1"/>
    <x v="1"/>
  </r>
  <r>
    <s v="15-866071452012"/>
    <x v="121"/>
    <x v="121"/>
    <n v="2012"/>
    <s v="Master Card"/>
    <n v="49053.59"/>
    <n v="58"/>
    <x v="1"/>
  </r>
  <r>
    <s v="15-866071452011"/>
    <x v="121"/>
    <x v="121"/>
    <n v="2011"/>
    <s v="Pulse"/>
    <n v="939.93"/>
    <n v="2"/>
    <x v="1"/>
  </r>
  <r>
    <s v="15-866071452013"/>
    <x v="121"/>
    <x v="121"/>
    <n v="2013"/>
    <s v="Discover"/>
    <n v="13854.25"/>
    <n v="13"/>
    <x v="1"/>
  </r>
  <r>
    <s v="15-866071452012"/>
    <x v="121"/>
    <x v="121"/>
    <n v="2012"/>
    <s v="Visa"/>
    <n v="90113.62"/>
    <n v="112"/>
    <x v="1"/>
  </r>
  <r>
    <s v="15-866071452012"/>
    <x v="121"/>
    <x v="121"/>
    <n v="2012"/>
    <s v="eCheck"/>
    <n v="1650925.31"/>
    <n v="2055"/>
    <x v="1"/>
  </r>
  <r>
    <s v="15-870128692013"/>
    <x v="122"/>
    <x v="122"/>
    <n v="2013"/>
    <s v="Master Card"/>
    <n v="4258168.26"/>
    <n v="2793"/>
    <x v="0"/>
  </r>
  <r>
    <s v="15-870128692013"/>
    <x v="122"/>
    <x v="122"/>
    <n v="2013"/>
    <s v="Visa"/>
    <n v="7296331.9699999997"/>
    <n v="4720"/>
    <x v="1"/>
  </r>
  <r>
    <s v="15-870128692011"/>
    <x v="122"/>
    <x v="122"/>
    <n v="2011"/>
    <s v="Discover"/>
    <n v="138452.99"/>
    <n v="88"/>
    <x v="1"/>
  </r>
  <r>
    <s v="15-870128692011"/>
    <x v="122"/>
    <x v="122"/>
    <n v="2011"/>
    <s v="NYCE"/>
    <n v="16759.75"/>
    <n v="11"/>
    <x v="1"/>
  </r>
  <r>
    <s v="15-870128692011"/>
    <x v="122"/>
    <x v="122"/>
    <n v="2011"/>
    <s v="Pulse"/>
    <n v="6594.89"/>
    <n v="5"/>
    <x v="1"/>
  </r>
  <r>
    <s v="15-870128692012"/>
    <x v="122"/>
    <x v="122"/>
    <n v="2012"/>
    <s v="eCheck"/>
    <n v="1719153.32"/>
    <n v="1352"/>
    <x v="1"/>
  </r>
  <r>
    <s v="15-870128692011"/>
    <x v="122"/>
    <x v="122"/>
    <n v="2011"/>
    <s v="Visa"/>
    <n v="1275501.25"/>
    <n v="709"/>
    <x v="1"/>
  </r>
  <r>
    <s v="15-870128692012"/>
    <x v="122"/>
    <x v="122"/>
    <n v="2012"/>
    <s v="Discover"/>
    <n v="1160824.25"/>
    <n v="752"/>
    <x v="1"/>
  </r>
  <r>
    <s v="15-870128692013"/>
    <x v="122"/>
    <x v="122"/>
    <n v="2013"/>
    <s v="Debit"/>
    <n v="2464338.85"/>
    <n v="2298"/>
    <x v="1"/>
  </r>
  <r>
    <s v="15-870128692012"/>
    <x v="122"/>
    <x v="122"/>
    <n v="2012"/>
    <s v="NYCE"/>
    <n v="2446.42"/>
    <n v="1"/>
    <x v="1"/>
  </r>
  <r>
    <s v="15-870128692011"/>
    <x v="122"/>
    <x v="122"/>
    <n v="2011"/>
    <s v="Master Card"/>
    <n v="611396.62"/>
    <n v="347"/>
    <x v="1"/>
  </r>
  <r>
    <s v="15-870128692013"/>
    <x v="122"/>
    <x v="122"/>
    <n v="2013"/>
    <s v="eCheck"/>
    <n v="1327372.83"/>
    <n v="984"/>
    <x v="1"/>
  </r>
  <r>
    <s v="15-870128692012"/>
    <x v="122"/>
    <x v="122"/>
    <n v="2012"/>
    <s v="Pulse"/>
    <n v="1754.04"/>
    <n v="2"/>
    <x v="1"/>
  </r>
  <r>
    <s v="15-870128692011"/>
    <x v="122"/>
    <x v="122"/>
    <n v="2011"/>
    <s v="Debit"/>
    <n v="14595.82"/>
    <n v="7"/>
    <x v="1"/>
  </r>
  <r>
    <s v="15-870128692012"/>
    <x v="122"/>
    <x v="122"/>
    <n v="2012"/>
    <s v="Visa"/>
    <n v="6997529.46"/>
    <n v="4553"/>
    <x v="1"/>
  </r>
  <r>
    <s v="15-870128692012"/>
    <x v="122"/>
    <x v="122"/>
    <n v="2012"/>
    <s v="Master Card"/>
    <n v="4193505.17"/>
    <n v="2822"/>
    <x v="1"/>
  </r>
  <r>
    <s v="15-870128692012"/>
    <x v="122"/>
    <x v="122"/>
    <n v="2012"/>
    <s v="Debit"/>
    <n v="1889646.7"/>
    <n v="1798"/>
    <x v="1"/>
  </r>
  <r>
    <s v="15-870128692011"/>
    <x v="122"/>
    <x v="122"/>
    <n v="2011"/>
    <s v="eCheck"/>
    <n v="224631.95"/>
    <n v="148"/>
    <x v="1"/>
  </r>
  <r>
    <s v="15-870128692013"/>
    <x v="122"/>
    <x v="122"/>
    <n v="2013"/>
    <s v="Discover"/>
    <n v="1235843.21"/>
    <n v="790"/>
    <x v="1"/>
  </r>
  <r>
    <s v="15-870128692011"/>
    <x v="122"/>
    <x v="122"/>
    <n v="2011"/>
    <s v="Star"/>
    <n v="18698.09"/>
    <n v="10"/>
    <x v="1"/>
  </r>
  <r>
    <s v="15-871538362013"/>
    <x v="123"/>
    <x v="123"/>
    <n v="2013"/>
    <s v="Visa"/>
    <n v="7662.65"/>
    <n v="10"/>
    <x v="0"/>
  </r>
  <r>
    <s v="15-871538362013"/>
    <x v="123"/>
    <x v="123"/>
    <n v="2013"/>
    <s v="Master Card"/>
    <n v="9525.0300000000007"/>
    <n v="5"/>
    <x v="1"/>
  </r>
  <r>
    <s v="15-871538362012"/>
    <x v="123"/>
    <x v="123"/>
    <n v="2012"/>
    <s v="Visa"/>
    <n v="3415.78"/>
    <n v="14"/>
    <x v="1"/>
  </r>
  <r>
    <s v="15-871538362012"/>
    <x v="123"/>
    <x v="123"/>
    <n v="2012"/>
    <s v="Debit"/>
    <n v="1107.8"/>
    <n v="6"/>
    <x v="1"/>
  </r>
  <r>
    <s v="15-871538362012"/>
    <x v="123"/>
    <x v="123"/>
    <n v="2012"/>
    <s v="Master Card"/>
    <n v="6385.11"/>
    <n v="18"/>
    <x v="1"/>
  </r>
  <r>
    <s v="15-871538362011"/>
    <x v="123"/>
    <x v="123"/>
    <n v="2011"/>
    <s v="Master Card"/>
    <n v="2063.25"/>
    <n v="5"/>
    <x v="1"/>
  </r>
  <r>
    <s v="15-871538362011"/>
    <x v="123"/>
    <x v="123"/>
    <n v="2011"/>
    <s v="Visa"/>
    <n v="2980.23"/>
    <n v="3"/>
    <x v="1"/>
  </r>
  <r>
    <s v="15-892281232011"/>
    <x v="124"/>
    <x v="124"/>
    <n v="2011"/>
    <s v="NYCE"/>
    <n v="3310"/>
    <n v="39"/>
    <x v="0"/>
  </r>
  <r>
    <s v="15-892281232011"/>
    <x v="124"/>
    <x v="124"/>
    <n v="2011"/>
    <s v="Discover"/>
    <n v="267"/>
    <n v="3"/>
    <x v="1"/>
  </r>
  <r>
    <s v="15-892281232013"/>
    <x v="124"/>
    <x v="124"/>
    <n v="2013"/>
    <s v="Master Card"/>
    <n v="32705"/>
    <n v="393"/>
    <x v="1"/>
  </r>
  <r>
    <s v="15-892281232013"/>
    <x v="124"/>
    <x v="124"/>
    <n v="2013"/>
    <s v="Visa"/>
    <n v="29270.67"/>
    <n v="326"/>
    <x v="1"/>
  </r>
  <r>
    <s v="15-892281232012"/>
    <x v="124"/>
    <x v="124"/>
    <n v="2012"/>
    <s v="Discover"/>
    <n v="1760"/>
    <n v="16"/>
    <x v="1"/>
  </r>
  <r>
    <s v="15-892281232012"/>
    <x v="124"/>
    <x v="124"/>
    <n v="2012"/>
    <s v="NYCE"/>
    <n v="8908"/>
    <n v="126"/>
    <x v="1"/>
  </r>
  <r>
    <s v="15-892281232012"/>
    <x v="124"/>
    <x v="124"/>
    <n v="2012"/>
    <s v="Pulse"/>
    <n v="11952.5"/>
    <n v="158"/>
    <x v="1"/>
  </r>
  <r>
    <s v="15-892281232012"/>
    <x v="124"/>
    <x v="124"/>
    <n v="2012"/>
    <s v="Debit"/>
    <n v="115186"/>
    <n v="1380"/>
    <x v="1"/>
  </r>
  <r>
    <s v="15-892281232013"/>
    <x v="124"/>
    <x v="124"/>
    <n v="2013"/>
    <s v="eCheck"/>
    <n v="8930"/>
    <n v="127"/>
    <x v="1"/>
  </r>
  <r>
    <s v="15-892281232011"/>
    <x v="124"/>
    <x v="124"/>
    <n v="2011"/>
    <s v="Master Card"/>
    <n v="2711"/>
    <n v="30"/>
    <x v="1"/>
  </r>
  <r>
    <s v="15-892281232011"/>
    <x v="124"/>
    <x v="124"/>
    <n v="2011"/>
    <s v="Visa"/>
    <n v="5581"/>
    <n v="77"/>
    <x v="1"/>
  </r>
  <r>
    <s v="15-892281232011"/>
    <x v="124"/>
    <x v="124"/>
    <n v="2011"/>
    <s v="Debit"/>
    <n v="385"/>
    <n v="5"/>
    <x v="1"/>
  </r>
  <r>
    <s v="15-892281232012"/>
    <x v="124"/>
    <x v="124"/>
    <n v="2012"/>
    <s v="eCheck"/>
    <n v="5923"/>
    <n v="89"/>
    <x v="1"/>
  </r>
  <r>
    <s v="15-892281232011"/>
    <x v="124"/>
    <x v="124"/>
    <n v="2011"/>
    <s v="Star"/>
    <n v="2296"/>
    <n v="27"/>
    <x v="1"/>
  </r>
  <r>
    <s v="15-892281232012"/>
    <x v="124"/>
    <x v="124"/>
    <n v="2012"/>
    <s v="Master Card"/>
    <n v="33162"/>
    <n v="387"/>
    <x v="1"/>
  </r>
  <r>
    <s v="15-892281232013"/>
    <x v="124"/>
    <x v="124"/>
    <n v="2013"/>
    <s v="Discover"/>
    <n v="740"/>
    <n v="7"/>
    <x v="1"/>
  </r>
  <r>
    <s v="15-892281232012"/>
    <x v="124"/>
    <x v="124"/>
    <n v="2012"/>
    <s v="Star"/>
    <n v="7050"/>
    <n v="88"/>
    <x v="1"/>
  </r>
  <r>
    <s v="15-892281232011"/>
    <x v="124"/>
    <x v="124"/>
    <n v="2011"/>
    <s v="eCheck"/>
    <n v="425"/>
    <n v="2"/>
    <x v="1"/>
  </r>
  <r>
    <s v="15-892281232012"/>
    <x v="124"/>
    <x v="124"/>
    <n v="2012"/>
    <s v="Visa"/>
    <n v="22506"/>
    <n v="281"/>
    <x v="1"/>
  </r>
  <r>
    <s v="15-892281232011"/>
    <x v="124"/>
    <x v="124"/>
    <n v="2011"/>
    <s v="Pulse"/>
    <n v="2878"/>
    <n v="37"/>
    <x v="1"/>
  </r>
  <r>
    <s v="15-892281232013"/>
    <x v="124"/>
    <x v="124"/>
    <n v="2013"/>
    <s v="Debit"/>
    <n v="171258"/>
    <n v="1997"/>
    <x v="1"/>
  </r>
  <r>
    <s v="15-899295522013"/>
    <x v="125"/>
    <x v="125"/>
    <n v="2013"/>
    <s v="Visa"/>
    <n v="3258491.32"/>
    <n v="2013"/>
    <x v="0"/>
  </r>
  <r>
    <s v="15-899295522013"/>
    <x v="125"/>
    <x v="125"/>
    <n v="2013"/>
    <s v="Master Card"/>
    <n v="1852688.04"/>
    <n v="1170"/>
    <x v="1"/>
  </r>
  <r>
    <s v="15-899295522011"/>
    <x v="125"/>
    <x v="125"/>
    <n v="2011"/>
    <s v="Debit"/>
    <n v="5059.18"/>
    <n v="4"/>
    <x v="1"/>
  </r>
  <r>
    <s v="15-899295522011"/>
    <x v="125"/>
    <x v="125"/>
    <n v="2011"/>
    <s v="Discover"/>
    <n v="71984.289999999994"/>
    <n v="46"/>
    <x v="1"/>
  </r>
  <r>
    <s v="15-899295522012"/>
    <x v="125"/>
    <x v="125"/>
    <n v="2012"/>
    <s v="Master Card"/>
    <n v="2045994.56"/>
    <n v="1341"/>
    <x v="1"/>
  </r>
  <r>
    <s v="15-899295522012"/>
    <x v="125"/>
    <x v="125"/>
    <n v="2012"/>
    <s v="Debit"/>
    <n v="963187.78"/>
    <n v="768"/>
    <x v="1"/>
  </r>
  <r>
    <s v="15-899295522012"/>
    <x v="125"/>
    <x v="125"/>
    <n v="2012"/>
    <s v="Visa"/>
    <n v="3304898.69"/>
    <n v="2124"/>
    <x v="1"/>
  </r>
  <r>
    <s v="15-899295522013"/>
    <x v="125"/>
    <x v="125"/>
    <n v="2013"/>
    <s v="Discover"/>
    <n v="592758.06000000006"/>
    <n v="388"/>
    <x v="1"/>
  </r>
  <r>
    <s v="15-899295522011"/>
    <x v="125"/>
    <x v="125"/>
    <n v="2011"/>
    <s v="Master Card"/>
    <n v="267205.92"/>
    <n v="166"/>
    <x v="1"/>
  </r>
  <r>
    <s v="15-899295522011"/>
    <x v="125"/>
    <x v="125"/>
    <n v="2011"/>
    <s v="Visa"/>
    <n v="455317.15"/>
    <n v="264"/>
    <x v="1"/>
  </r>
  <r>
    <s v="15-899295522013"/>
    <x v="125"/>
    <x v="125"/>
    <n v="2013"/>
    <s v="Debit"/>
    <n v="1106270.58"/>
    <n v="807"/>
    <x v="1"/>
  </r>
  <r>
    <s v="15-899295522012"/>
    <x v="125"/>
    <x v="125"/>
    <n v="2012"/>
    <s v="Discover"/>
    <n v="588985.31000000006"/>
    <n v="401"/>
    <x v="1"/>
  </r>
  <r>
    <s v="15-912249222012"/>
    <x v="126"/>
    <x v="126"/>
    <n v="2012"/>
    <s v="eCheck"/>
    <n v="595087.37"/>
    <n v="429"/>
    <x v="0"/>
  </r>
  <r>
    <s v="15-912249222012"/>
    <x v="126"/>
    <x v="126"/>
    <n v="2012"/>
    <s v="Discover"/>
    <n v="16614.509999999998"/>
    <n v="19"/>
    <x v="1"/>
  </r>
  <r>
    <s v="15-912249222013"/>
    <x v="126"/>
    <x v="126"/>
    <n v="2013"/>
    <s v="American Express"/>
    <n v="384163.15"/>
    <n v="250"/>
    <x v="1"/>
  </r>
  <r>
    <s v="15-912249222013"/>
    <x v="126"/>
    <x v="126"/>
    <n v="2013"/>
    <s v="Discover"/>
    <n v="39635.97"/>
    <n v="28"/>
    <x v="1"/>
  </r>
  <r>
    <s v="15-912249222012"/>
    <x v="126"/>
    <x v="126"/>
    <n v="2012"/>
    <s v="Star"/>
    <n v="983.89"/>
    <n v="1"/>
    <x v="1"/>
  </r>
  <r>
    <s v="15-912249222012"/>
    <x v="126"/>
    <x v="126"/>
    <n v="2012"/>
    <s v="Visa"/>
    <n v="485564.01"/>
    <n v="483"/>
    <x v="1"/>
  </r>
  <r>
    <s v="15-912249222013"/>
    <x v="126"/>
    <x v="126"/>
    <n v="2013"/>
    <s v="Debit"/>
    <n v="107831.95"/>
    <n v="137"/>
    <x v="1"/>
  </r>
  <r>
    <s v="15-912249222012"/>
    <x v="126"/>
    <x v="126"/>
    <n v="2012"/>
    <s v="Master Card"/>
    <n v="223017.45"/>
    <n v="215"/>
    <x v="1"/>
  </r>
  <r>
    <s v="15-912249222012"/>
    <x v="126"/>
    <x v="126"/>
    <n v="2012"/>
    <s v="American Express"/>
    <n v="211589.4"/>
    <n v="145"/>
    <x v="1"/>
  </r>
  <r>
    <s v="15-912249222012"/>
    <x v="126"/>
    <x v="126"/>
    <n v="2012"/>
    <s v="Debit"/>
    <n v="82309.850000000006"/>
    <n v="93"/>
    <x v="1"/>
  </r>
  <r>
    <s v="15-912249222013"/>
    <x v="126"/>
    <x v="126"/>
    <n v="2013"/>
    <s v="Visa"/>
    <n v="590393.67000000004"/>
    <n v="564"/>
    <x v="1"/>
  </r>
  <r>
    <s v="15-912249222011"/>
    <x v="126"/>
    <x v="126"/>
    <n v="2011"/>
    <s v="Debit"/>
    <n v="1"/>
    <n v="1"/>
    <x v="1"/>
  </r>
  <r>
    <s v="15-912249222013"/>
    <x v="126"/>
    <x v="126"/>
    <n v="2013"/>
    <s v="eCheck"/>
    <n v="812655.21"/>
    <n v="530"/>
    <x v="1"/>
  </r>
  <r>
    <s v="15-912249222013"/>
    <x v="126"/>
    <x v="126"/>
    <n v="2013"/>
    <s v="Master Card"/>
    <n v="262790.8"/>
    <n v="233"/>
    <x v="1"/>
  </r>
  <r>
    <s v="15-916511972012"/>
    <x v="127"/>
    <x v="127"/>
    <n v="2012"/>
    <s v="Visa"/>
    <n v="430779.1"/>
    <n v="448"/>
    <x v="0"/>
  </r>
  <r>
    <s v="15-916511972013"/>
    <x v="127"/>
    <x v="127"/>
    <n v="2013"/>
    <s v="American Express"/>
    <n v="533979.01"/>
    <n v="272"/>
    <x v="1"/>
  </r>
  <r>
    <s v="15-916511972013"/>
    <x v="127"/>
    <x v="127"/>
    <n v="2013"/>
    <s v="Debit"/>
    <n v="25137.119999999999"/>
    <n v="45"/>
    <x v="1"/>
  </r>
  <r>
    <s v="15-916511972012"/>
    <x v="127"/>
    <x v="127"/>
    <n v="2012"/>
    <s v="Master Card"/>
    <n v="297407.74"/>
    <n v="192"/>
    <x v="1"/>
  </r>
  <r>
    <s v="15-916511972012"/>
    <x v="127"/>
    <x v="127"/>
    <n v="2012"/>
    <s v="American Express"/>
    <n v="383959.23"/>
    <n v="297"/>
    <x v="1"/>
  </r>
  <r>
    <s v="15-916511972012"/>
    <x v="127"/>
    <x v="127"/>
    <n v="2012"/>
    <s v="Debit"/>
    <n v="19934.57"/>
    <n v="64"/>
    <x v="1"/>
  </r>
  <r>
    <s v="15-916511972013"/>
    <x v="127"/>
    <x v="127"/>
    <n v="2013"/>
    <s v="Master Card"/>
    <n v="332372.88"/>
    <n v="168"/>
    <x v="1"/>
  </r>
  <r>
    <s v="15-916511972013"/>
    <x v="127"/>
    <x v="127"/>
    <n v="2013"/>
    <s v="Visa"/>
    <n v="571515.23"/>
    <n v="355"/>
    <x v="1"/>
  </r>
  <r>
    <s v="15-923115332012"/>
    <x v="128"/>
    <x v="128"/>
    <n v="2012"/>
    <s v="Discover"/>
    <n v="9639.75"/>
    <n v="7"/>
    <x v="0"/>
  </r>
  <r>
    <s v="15-923115332012"/>
    <x v="128"/>
    <x v="128"/>
    <n v="2012"/>
    <s v="Debit"/>
    <n v="42140.46"/>
    <n v="48"/>
    <x v="1"/>
  </r>
  <r>
    <s v="15-923115332013"/>
    <x v="128"/>
    <x v="128"/>
    <n v="2013"/>
    <s v="Visa"/>
    <n v="252263.49"/>
    <n v="305"/>
    <x v="1"/>
  </r>
  <r>
    <s v="15-923115332013"/>
    <x v="128"/>
    <x v="128"/>
    <n v="2013"/>
    <s v="Debit"/>
    <n v="131238.72"/>
    <n v="180"/>
    <x v="1"/>
  </r>
  <r>
    <s v="15-923115332013"/>
    <x v="128"/>
    <x v="128"/>
    <n v="2013"/>
    <s v="Master Card"/>
    <n v="139391.89000000001"/>
    <n v="163"/>
    <x v="1"/>
  </r>
  <r>
    <s v="15-923115332013"/>
    <x v="128"/>
    <x v="128"/>
    <n v="2013"/>
    <s v="eCheck"/>
    <n v="2926.24"/>
    <n v="2"/>
    <x v="1"/>
  </r>
  <r>
    <s v="15-923115332013"/>
    <x v="128"/>
    <x v="128"/>
    <n v="2013"/>
    <s v="Discover"/>
    <n v="20104.07"/>
    <n v="23"/>
    <x v="1"/>
  </r>
  <r>
    <s v="15-923115332012"/>
    <x v="128"/>
    <x v="128"/>
    <n v="2012"/>
    <s v="Master Card"/>
    <n v="62481.72"/>
    <n v="69"/>
    <x v="1"/>
  </r>
  <r>
    <s v="15-923115332012"/>
    <x v="128"/>
    <x v="128"/>
    <n v="2012"/>
    <s v="Visa"/>
    <n v="80107.69"/>
    <n v="83"/>
    <x v="1"/>
  </r>
  <r>
    <s v="15-924145592013"/>
    <x v="129"/>
    <x v="129"/>
    <n v="2013"/>
    <s v="American Express"/>
    <n v="383433.71"/>
    <n v="939"/>
    <x v="0"/>
  </r>
  <r>
    <s v="15-924145592012"/>
    <x v="129"/>
    <x v="129"/>
    <n v="2012"/>
    <s v="Discover"/>
    <n v="48180.71"/>
    <n v="113"/>
    <x v="1"/>
  </r>
  <r>
    <s v="15-924145592013"/>
    <x v="129"/>
    <x v="129"/>
    <n v="2013"/>
    <s v="Debit"/>
    <n v="36307.480000000003"/>
    <n v="72"/>
    <x v="1"/>
  </r>
  <r>
    <s v="15-924145592012"/>
    <x v="129"/>
    <x v="129"/>
    <n v="2012"/>
    <s v="Visa"/>
    <n v="989238.94"/>
    <n v="2349"/>
    <x v="1"/>
  </r>
  <r>
    <s v="15-924145592012"/>
    <x v="129"/>
    <x v="129"/>
    <n v="2012"/>
    <s v="Debit"/>
    <n v="48477.64"/>
    <n v="129"/>
    <x v="1"/>
  </r>
  <r>
    <s v="15-924145592012"/>
    <x v="129"/>
    <x v="129"/>
    <n v="2012"/>
    <s v="Master Card"/>
    <n v="530696.91"/>
    <n v="1268"/>
    <x v="1"/>
  </r>
  <r>
    <s v="15-924145592013"/>
    <x v="129"/>
    <x v="129"/>
    <n v="2013"/>
    <s v="Discover"/>
    <n v="62349.9"/>
    <n v="132"/>
    <x v="1"/>
  </r>
  <r>
    <s v="15-924145592012"/>
    <x v="129"/>
    <x v="129"/>
    <n v="2012"/>
    <s v="American Express"/>
    <n v="358464.28"/>
    <n v="901"/>
    <x v="1"/>
  </r>
  <r>
    <s v="15-924145592013"/>
    <x v="129"/>
    <x v="129"/>
    <n v="2013"/>
    <s v="Visa"/>
    <n v="1068340.45"/>
    <n v="2525"/>
    <x v="1"/>
  </r>
  <r>
    <s v="15-924145592013"/>
    <x v="129"/>
    <x v="129"/>
    <n v="2013"/>
    <s v="Master Card"/>
    <n v="547220.4"/>
    <n v="1336"/>
    <x v="1"/>
  </r>
  <r>
    <s v="15-925089262012"/>
    <x v="130"/>
    <x v="130"/>
    <n v="2012"/>
    <s v="Debit"/>
    <n v="113391.72"/>
    <n v="106"/>
    <x v="0"/>
  </r>
  <r>
    <s v="15-925089262012"/>
    <x v="130"/>
    <x v="130"/>
    <n v="2012"/>
    <s v="Visa"/>
    <n v="617079.89"/>
    <n v="653"/>
    <x v="1"/>
  </r>
  <r>
    <s v="15-925089262013"/>
    <x v="130"/>
    <x v="130"/>
    <n v="2013"/>
    <s v="Discover"/>
    <n v="41107.89"/>
    <n v="41"/>
    <x v="1"/>
  </r>
  <r>
    <s v="15-925089262012"/>
    <x v="130"/>
    <x v="130"/>
    <n v="2012"/>
    <s v="Master Card"/>
    <n v="202746.32"/>
    <n v="230"/>
    <x v="1"/>
  </r>
  <r>
    <s v="15-925089262013"/>
    <x v="130"/>
    <x v="130"/>
    <n v="2013"/>
    <s v="Visa"/>
    <n v="773279.69"/>
    <n v="803"/>
    <x v="1"/>
  </r>
  <r>
    <s v="15-925089262013"/>
    <x v="130"/>
    <x v="130"/>
    <n v="2013"/>
    <s v="Master Card"/>
    <n v="296793.13"/>
    <n v="301"/>
    <x v="1"/>
  </r>
  <r>
    <s v="15-925089262013"/>
    <x v="130"/>
    <x v="130"/>
    <n v="2013"/>
    <s v="Debit"/>
    <n v="178747.72"/>
    <n v="202"/>
    <x v="1"/>
  </r>
  <r>
    <s v="15-925089262012"/>
    <x v="130"/>
    <x v="130"/>
    <n v="2012"/>
    <s v="Discover"/>
    <n v="27297.86"/>
    <n v="32"/>
    <x v="1"/>
  </r>
  <r>
    <s v="15-926622712013"/>
    <x v="131"/>
    <x v="131"/>
    <n v="2013"/>
    <s v="Master Card"/>
    <n v="205879.51"/>
    <n v="105"/>
    <x v="0"/>
  </r>
  <r>
    <s v="15-926622712012"/>
    <x v="131"/>
    <x v="131"/>
    <n v="2012"/>
    <s v="Debit"/>
    <n v="44531"/>
    <n v="26"/>
    <x v="1"/>
  </r>
  <r>
    <s v="15-926622712012"/>
    <x v="131"/>
    <x v="131"/>
    <n v="2012"/>
    <s v="American Express"/>
    <n v="64838.6"/>
    <n v="30"/>
    <x v="1"/>
  </r>
  <r>
    <s v="15-926622712013"/>
    <x v="131"/>
    <x v="131"/>
    <n v="2013"/>
    <s v="Visa"/>
    <n v="451030.51"/>
    <n v="265"/>
    <x v="1"/>
  </r>
  <r>
    <s v="15-926622712013"/>
    <x v="131"/>
    <x v="131"/>
    <n v="2013"/>
    <s v="American Express"/>
    <n v="85021.89"/>
    <n v="54"/>
    <x v="1"/>
  </r>
  <r>
    <s v="15-926622712012"/>
    <x v="131"/>
    <x v="131"/>
    <n v="2012"/>
    <s v="Master Card"/>
    <n v="143062.14000000001"/>
    <n v="80"/>
    <x v="1"/>
  </r>
  <r>
    <s v="15-926622712013"/>
    <x v="131"/>
    <x v="131"/>
    <n v="2013"/>
    <s v="Debit"/>
    <n v="80318.320000000007"/>
    <n v="57"/>
    <x v="1"/>
  </r>
  <r>
    <s v="15-926622712012"/>
    <x v="131"/>
    <x v="131"/>
    <n v="2012"/>
    <s v="Visa"/>
    <n v="474141.9"/>
    <n v="239"/>
    <x v="1"/>
  </r>
  <r>
    <s v="15-926622712013"/>
    <x v="131"/>
    <x v="131"/>
    <n v="2013"/>
    <s v="Discover"/>
    <n v="7910.55"/>
    <n v="5"/>
    <x v="1"/>
  </r>
  <r>
    <s v="15-926622712012"/>
    <x v="131"/>
    <x v="131"/>
    <n v="2012"/>
    <s v="Discover"/>
    <n v="4360.3999999999996"/>
    <n v="3"/>
    <x v="1"/>
  </r>
  <r>
    <s v="15-926665782013"/>
    <x v="132"/>
    <x v="132"/>
    <n v="2013"/>
    <s v="Visa"/>
    <n v="728014.83"/>
    <n v="934"/>
    <x v="0"/>
  </r>
  <r>
    <s v="15-926665782013"/>
    <x v="132"/>
    <x v="132"/>
    <n v="2013"/>
    <s v="Master Card"/>
    <n v="379176.89"/>
    <n v="426"/>
    <x v="1"/>
  </r>
  <r>
    <s v="15-926665782012"/>
    <x v="132"/>
    <x v="132"/>
    <n v="2012"/>
    <s v="Master Card"/>
    <n v="571591.22"/>
    <n v="659"/>
    <x v="1"/>
  </r>
  <r>
    <s v="15-926665782012"/>
    <x v="132"/>
    <x v="132"/>
    <n v="2012"/>
    <s v="Visa"/>
    <n v="1011511.98"/>
    <n v="1401"/>
    <x v="1"/>
  </r>
  <r>
    <s v="15-926665782013"/>
    <x v="132"/>
    <x v="132"/>
    <n v="2013"/>
    <s v="Discover"/>
    <n v="39106.43"/>
    <n v="68"/>
    <x v="1"/>
  </r>
  <r>
    <s v="15-926665782012"/>
    <x v="132"/>
    <x v="132"/>
    <n v="2012"/>
    <s v="American Express"/>
    <n v="1133125.82"/>
    <n v="855"/>
    <x v="1"/>
  </r>
  <r>
    <s v="15-926665782012"/>
    <x v="132"/>
    <x v="132"/>
    <n v="2012"/>
    <s v="Discover"/>
    <n v="80126.789999999994"/>
    <n v="100"/>
    <x v="1"/>
  </r>
  <r>
    <s v="15-926665782012"/>
    <x v="132"/>
    <x v="132"/>
    <n v="2012"/>
    <s v="Debit"/>
    <n v="144698.12"/>
    <n v="328"/>
    <x v="1"/>
  </r>
  <r>
    <s v="15-926665782013"/>
    <x v="132"/>
    <x v="132"/>
    <n v="2013"/>
    <s v="American Express"/>
    <n v="752483.91"/>
    <n v="582"/>
    <x v="1"/>
  </r>
  <r>
    <s v="15-926665782013"/>
    <x v="132"/>
    <x v="132"/>
    <n v="2013"/>
    <s v="Debit"/>
    <n v="65764.02"/>
    <n v="185"/>
    <x v="1"/>
  </r>
  <r>
    <s v="15-952197402011"/>
    <x v="133"/>
    <x v="133"/>
    <n v="2011"/>
    <s v="Cash"/>
    <n v="172443.64"/>
    <n v="271"/>
    <x v="0"/>
  </r>
  <r>
    <s v="15-952197402013"/>
    <x v="133"/>
    <x v="133"/>
    <n v="2013"/>
    <s v="Visa"/>
    <n v="719786.14"/>
    <n v="1446"/>
    <x v="1"/>
  </r>
  <r>
    <s v="15-952197402012"/>
    <x v="133"/>
    <x v="133"/>
    <n v="2012"/>
    <s v="Debit"/>
    <n v="7958532.8700000001"/>
    <n v="14282"/>
    <x v="1"/>
  </r>
  <r>
    <s v="15-952197402012"/>
    <x v="133"/>
    <x v="133"/>
    <n v="2012"/>
    <s v="Star"/>
    <n v="834378.76"/>
    <n v="1596"/>
    <x v="1"/>
  </r>
  <r>
    <s v="15-952197402013"/>
    <x v="133"/>
    <x v="133"/>
    <n v="2013"/>
    <s v="Master Card"/>
    <n v="700844.7"/>
    <n v="1431"/>
    <x v="1"/>
  </r>
  <r>
    <s v="15-952197402012"/>
    <x v="133"/>
    <x v="133"/>
    <n v="2012"/>
    <s v="American Express"/>
    <n v="27900.86"/>
    <n v="52"/>
    <x v="1"/>
  </r>
  <r>
    <s v="15-952197402011"/>
    <x v="133"/>
    <x v="133"/>
    <n v="2011"/>
    <s v="eCheck"/>
    <n v="686598.69"/>
    <n v="992"/>
    <x v="1"/>
  </r>
  <r>
    <s v="15-952197402012"/>
    <x v="133"/>
    <x v="133"/>
    <n v="2012"/>
    <s v="Cash"/>
    <n v="695007.06"/>
    <n v="1195"/>
    <x v="1"/>
  </r>
  <r>
    <s v="15-952197402013"/>
    <x v="133"/>
    <x v="133"/>
    <n v="2013"/>
    <s v="Discover"/>
    <n v="81276.160000000003"/>
    <n v="169"/>
    <x v="1"/>
  </r>
  <r>
    <s v="15-952197402012"/>
    <x v="133"/>
    <x v="133"/>
    <n v="2012"/>
    <s v="Visa"/>
    <n v="3313054.5"/>
    <n v="5950"/>
    <x v="1"/>
  </r>
  <r>
    <s v="15-952197402013"/>
    <x v="133"/>
    <x v="133"/>
    <n v="2013"/>
    <s v="Scan"/>
    <n v="11897425.890000001"/>
    <n v="21914"/>
    <x v="1"/>
  </r>
  <r>
    <s v="15-952197402012"/>
    <x v="133"/>
    <x v="133"/>
    <n v="2012"/>
    <s v="Master Card"/>
    <n v="1825094.01"/>
    <n v="3272"/>
    <x v="1"/>
  </r>
  <r>
    <s v="15-952197402011"/>
    <x v="133"/>
    <x v="133"/>
    <n v="2011"/>
    <s v="Star"/>
    <n v="761342.01"/>
    <n v="1502"/>
    <x v="1"/>
  </r>
  <r>
    <s v="15-952197402013"/>
    <x v="133"/>
    <x v="133"/>
    <n v="2013"/>
    <s v="Debit"/>
    <n v="15665913.98"/>
    <n v="27146"/>
    <x v="1"/>
  </r>
  <r>
    <s v="15-952197402011"/>
    <x v="133"/>
    <x v="133"/>
    <n v="2011"/>
    <s v="Master Card"/>
    <n v="825874.51"/>
    <n v="1347"/>
    <x v="1"/>
  </r>
  <r>
    <s v="15-952197402011"/>
    <x v="133"/>
    <x v="133"/>
    <n v="2011"/>
    <s v="Visa"/>
    <n v="2997591.74"/>
    <n v="5252"/>
    <x v="1"/>
  </r>
  <r>
    <s v="15-952197402012"/>
    <x v="133"/>
    <x v="133"/>
    <n v="2012"/>
    <s v="Discover"/>
    <n v="78376.11"/>
    <n v="148"/>
    <x v="1"/>
  </r>
  <r>
    <s v="15-952197402012"/>
    <x v="133"/>
    <x v="133"/>
    <n v="2012"/>
    <s v="eCheck"/>
    <n v="3685701.78"/>
    <n v="5525"/>
    <x v="1"/>
  </r>
  <r>
    <s v="15-952197402012"/>
    <x v="133"/>
    <x v="133"/>
    <n v="2012"/>
    <s v="Scan"/>
    <n v="10033214.65"/>
    <n v="18711"/>
    <x v="1"/>
  </r>
  <r>
    <s v="15-952197402012"/>
    <x v="133"/>
    <x v="133"/>
    <n v="2012"/>
    <s v="NYCE"/>
    <n v="22873.31"/>
    <n v="42"/>
    <x v="1"/>
  </r>
  <r>
    <s v="15-952197402013"/>
    <x v="133"/>
    <x v="133"/>
    <n v="2013"/>
    <s v="eCheck"/>
    <n v="4142591.87"/>
    <n v="6037"/>
    <x v="1"/>
  </r>
  <r>
    <s v="15-952197402011"/>
    <x v="133"/>
    <x v="133"/>
    <n v="2011"/>
    <s v="American Express"/>
    <n v="54247.28"/>
    <n v="92"/>
    <x v="1"/>
  </r>
  <r>
    <s v="15-952197402012"/>
    <x v="133"/>
    <x v="133"/>
    <n v="2012"/>
    <s v="Pulse"/>
    <n v="1832324.29"/>
    <n v="3329"/>
    <x v="1"/>
  </r>
  <r>
    <s v="15-952197402011"/>
    <x v="133"/>
    <x v="133"/>
    <n v="2011"/>
    <s v="Scan"/>
    <n v="2341930.5"/>
    <n v="4525"/>
    <x v="1"/>
  </r>
  <r>
    <s v="15-952197402013"/>
    <x v="133"/>
    <x v="133"/>
    <n v="2013"/>
    <s v="Cash"/>
    <n v="459955.45"/>
    <n v="769"/>
    <x v="1"/>
  </r>
  <r>
    <s v="15-952277872012"/>
    <x v="134"/>
    <x v="134"/>
    <n v="2012"/>
    <s v="Visa"/>
    <n v="3703669.78"/>
    <n v="9182"/>
    <x v="0"/>
  </r>
  <r>
    <s v="15-952277872012"/>
    <x v="134"/>
    <x v="134"/>
    <n v="2012"/>
    <s v="Master Card"/>
    <n v="1069113.27"/>
    <n v="2779"/>
    <x v="1"/>
  </r>
  <r>
    <s v="15-952277872013"/>
    <x v="134"/>
    <x v="134"/>
    <n v="2013"/>
    <s v="Discover"/>
    <n v="464105.98"/>
    <n v="1104"/>
    <x v="1"/>
  </r>
  <r>
    <s v="15-952277872012"/>
    <x v="134"/>
    <x v="134"/>
    <n v="2012"/>
    <s v="Discover"/>
    <n v="396463.65"/>
    <n v="981"/>
    <x v="1"/>
  </r>
  <r>
    <s v="15-952277872012"/>
    <x v="134"/>
    <x v="134"/>
    <n v="2012"/>
    <s v="Debit Card"/>
    <n v="79789.53"/>
    <n v="259"/>
    <x v="1"/>
  </r>
  <r>
    <s v="15-952277872012"/>
    <x v="134"/>
    <x v="134"/>
    <n v="2012"/>
    <s v="Debit"/>
    <n v="915462.78"/>
    <n v="2936"/>
    <x v="1"/>
  </r>
  <r>
    <s v="15-952277872013"/>
    <x v="134"/>
    <x v="134"/>
    <n v="2013"/>
    <s v="Master Card"/>
    <n v="1154903.94"/>
    <n v="2805"/>
    <x v="1"/>
  </r>
  <r>
    <s v="15-952277872013"/>
    <x v="134"/>
    <x v="134"/>
    <n v="2013"/>
    <s v="Visa"/>
    <n v="3975086.73"/>
    <n v="9553"/>
    <x v="1"/>
  </r>
  <r>
    <s v="15-952277872013"/>
    <x v="134"/>
    <x v="134"/>
    <n v="2013"/>
    <s v="Debit"/>
    <n v="1233592.1200000001"/>
    <n v="3682"/>
    <x v="1"/>
  </r>
  <r>
    <s v="15-960598912012"/>
    <x v="135"/>
    <x v="135"/>
    <n v="2012"/>
    <s v="Star"/>
    <n v="6392.38"/>
    <n v="7"/>
    <x v="0"/>
  </r>
  <r>
    <s v="15-960598912013"/>
    <x v="135"/>
    <x v="135"/>
    <n v="2013"/>
    <s v="Discover"/>
    <n v="6004.47"/>
    <n v="8"/>
    <x v="1"/>
  </r>
  <r>
    <s v="15-960598912012"/>
    <x v="135"/>
    <x v="135"/>
    <n v="2012"/>
    <s v="Pulse"/>
    <n v="1699.71"/>
    <n v="3"/>
    <x v="1"/>
  </r>
  <r>
    <s v="15-960598912013"/>
    <x v="135"/>
    <x v="135"/>
    <n v="2013"/>
    <s v="eCheck"/>
    <n v="1215833.8799999999"/>
    <n v="1567"/>
    <x v="1"/>
  </r>
  <r>
    <s v="15-960598912012"/>
    <x v="135"/>
    <x v="135"/>
    <n v="2012"/>
    <s v="Discover"/>
    <n v="8665.08"/>
    <n v="11"/>
    <x v="1"/>
  </r>
  <r>
    <s v="15-960598912012"/>
    <x v="135"/>
    <x v="135"/>
    <n v="2012"/>
    <s v="Master Card"/>
    <n v="29057.3"/>
    <n v="43"/>
    <x v="1"/>
  </r>
  <r>
    <s v="15-960598912012"/>
    <x v="135"/>
    <x v="135"/>
    <n v="2012"/>
    <s v="Visa"/>
    <n v="37193.519999999997"/>
    <n v="37"/>
    <x v="1"/>
  </r>
  <r>
    <s v="15-960598912012"/>
    <x v="135"/>
    <x v="135"/>
    <n v="2012"/>
    <s v="Debit"/>
    <n v="61230.85"/>
    <n v="78"/>
    <x v="1"/>
  </r>
  <r>
    <s v="15-960598912012"/>
    <x v="135"/>
    <x v="135"/>
    <n v="2012"/>
    <s v="eCheck"/>
    <n v="824025.39"/>
    <n v="1067"/>
    <x v="1"/>
  </r>
  <r>
    <s v="15-960598912013"/>
    <x v="135"/>
    <x v="135"/>
    <n v="2013"/>
    <s v="Debit"/>
    <n v="224782.14"/>
    <n v="325"/>
    <x v="1"/>
  </r>
  <r>
    <s v="15-960598912013"/>
    <x v="135"/>
    <x v="135"/>
    <n v="2013"/>
    <s v="Master Card"/>
    <n v="62847.6"/>
    <n v="81"/>
    <x v="1"/>
  </r>
  <r>
    <s v="15-960598912013"/>
    <x v="135"/>
    <x v="135"/>
    <n v="2013"/>
    <s v="Visa"/>
    <n v="69557"/>
    <n v="81"/>
    <x v="1"/>
  </r>
  <r>
    <s v="15-966362692013"/>
    <x v="136"/>
    <x v="136"/>
    <n v="2013"/>
    <s v="Master Card"/>
    <n v="6806.3"/>
    <n v="74"/>
    <x v="0"/>
  </r>
  <r>
    <s v="15-966362692013"/>
    <x v="136"/>
    <x v="136"/>
    <n v="2013"/>
    <s v="Visa"/>
    <n v="20619.419999999998"/>
    <n v="265"/>
    <x v="1"/>
  </r>
  <r>
    <s v="15-966362692013"/>
    <x v="136"/>
    <x v="136"/>
    <n v="2013"/>
    <s v="Discover"/>
    <n v="1007.5"/>
    <n v="16"/>
    <x v="1"/>
  </r>
  <r>
    <s v="15-966362692012"/>
    <x v="136"/>
    <x v="136"/>
    <n v="2012"/>
    <s v="Master Card"/>
    <n v="5291.89"/>
    <n v="52"/>
    <x v="1"/>
  </r>
  <r>
    <s v="15-966362692012"/>
    <x v="136"/>
    <x v="136"/>
    <n v="2012"/>
    <s v="Visa"/>
    <n v="12903.44"/>
    <n v="132"/>
    <x v="1"/>
  </r>
  <r>
    <s v="15-966362692012"/>
    <x v="136"/>
    <x v="136"/>
    <n v="2012"/>
    <s v="Discover"/>
    <n v="1128.27"/>
    <n v="14"/>
    <x v="1"/>
  </r>
  <r>
    <s v="15-966362692012"/>
    <x v="136"/>
    <x v="136"/>
    <n v="2012"/>
    <s v="Debit"/>
    <n v="10654.2"/>
    <n v="102"/>
    <x v="1"/>
  </r>
  <r>
    <s v="15-966362692013"/>
    <x v="136"/>
    <x v="136"/>
    <n v="2013"/>
    <s v="Debit"/>
    <n v="10815.2"/>
    <n v="130"/>
    <x v="1"/>
  </r>
  <r>
    <s v="15-966362692012"/>
    <x v="136"/>
    <x v="136"/>
    <n v="2012"/>
    <s v="Debit Card"/>
    <n v="539.45000000000005"/>
    <n v="11"/>
    <x v="1"/>
  </r>
  <r>
    <s v="15-985797772012"/>
    <x v="137"/>
    <x v="137"/>
    <n v="2012"/>
    <s v="Pulse"/>
    <n v="4006.66"/>
    <n v="3"/>
    <x v="0"/>
  </r>
  <r>
    <s v="15-985797772012"/>
    <x v="137"/>
    <x v="137"/>
    <n v="2012"/>
    <s v="Master Card"/>
    <n v="27235.33"/>
    <n v="32"/>
    <x v="1"/>
  </r>
  <r>
    <s v="15-985797772012"/>
    <x v="137"/>
    <x v="137"/>
    <n v="2012"/>
    <s v="Visa"/>
    <n v="43348.56"/>
    <n v="68"/>
    <x v="1"/>
  </r>
  <r>
    <s v="15-985797772013"/>
    <x v="137"/>
    <x v="137"/>
    <n v="2013"/>
    <s v="Master Card"/>
    <n v="34827.56"/>
    <n v="48"/>
    <x v="1"/>
  </r>
  <r>
    <s v="15-985797772012"/>
    <x v="137"/>
    <x v="137"/>
    <n v="2012"/>
    <s v="Star"/>
    <n v="271.61"/>
    <n v="1"/>
    <x v="1"/>
  </r>
  <r>
    <s v="15-985797772013"/>
    <x v="137"/>
    <x v="137"/>
    <n v="2013"/>
    <s v="Visa"/>
    <n v="71675.47"/>
    <n v="86"/>
    <x v="1"/>
  </r>
  <r>
    <s v="15-985797772012"/>
    <x v="137"/>
    <x v="137"/>
    <n v="2012"/>
    <s v="eCheck"/>
    <n v="0.13"/>
    <n v="1"/>
    <x v="1"/>
  </r>
  <r>
    <s v="15-985797772013"/>
    <x v="137"/>
    <x v="137"/>
    <n v="2013"/>
    <s v="American Express"/>
    <n v="21144.32"/>
    <n v="29"/>
    <x v="1"/>
  </r>
  <r>
    <s v="15-985797772013"/>
    <x v="137"/>
    <x v="137"/>
    <n v="2013"/>
    <s v="Debit"/>
    <n v="27084.97"/>
    <n v="33"/>
    <x v="1"/>
  </r>
  <r>
    <s v="15-985797772012"/>
    <x v="137"/>
    <x v="137"/>
    <n v="2012"/>
    <s v="Discover"/>
    <n v="5489.53"/>
    <n v="8"/>
    <x v="1"/>
  </r>
  <r>
    <s v="15-985797772013"/>
    <x v="137"/>
    <x v="137"/>
    <n v="2013"/>
    <s v="Discover"/>
    <n v="4659.45"/>
    <n v="8"/>
    <x v="1"/>
  </r>
  <r>
    <s v="15-985797772012"/>
    <x v="137"/>
    <x v="137"/>
    <n v="2012"/>
    <s v="Debit"/>
    <n v="22250.93"/>
    <n v="16"/>
    <x v="1"/>
  </r>
  <r>
    <s v="15-985797772012"/>
    <x v="137"/>
    <x v="137"/>
    <n v="2012"/>
    <s v="American Express"/>
    <n v="17033.650000000001"/>
    <n v="7"/>
    <x v="1"/>
  </r>
  <r>
    <s v="16-100973012013"/>
    <x v="138"/>
    <x v="138"/>
    <n v="2013"/>
    <s v="Discover"/>
    <n v="7947.07"/>
    <n v="29"/>
    <x v="0"/>
  </r>
  <r>
    <s v="16-100973012013"/>
    <x v="138"/>
    <x v="138"/>
    <n v="2013"/>
    <s v="Debit"/>
    <n v="61641.81"/>
    <n v="282"/>
    <x v="1"/>
  </r>
  <r>
    <s v="16-100973012012"/>
    <x v="138"/>
    <x v="138"/>
    <n v="2012"/>
    <s v="Visa"/>
    <n v="18547.400000000001"/>
    <n v="69"/>
    <x v="1"/>
  </r>
  <r>
    <s v="16-100973012012"/>
    <x v="138"/>
    <x v="138"/>
    <n v="2012"/>
    <s v="Master Card"/>
    <n v="8572.5499999999993"/>
    <n v="37"/>
    <x v="1"/>
  </r>
  <r>
    <s v="16-100973012012"/>
    <x v="138"/>
    <x v="138"/>
    <n v="2012"/>
    <s v="Discover"/>
    <n v="483.57"/>
    <n v="3"/>
    <x v="1"/>
  </r>
  <r>
    <s v="16-100973012013"/>
    <x v="138"/>
    <x v="138"/>
    <n v="2013"/>
    <s v="Visa"/>
    <n v="105353.05"/>
    <n v="289"/>
    <x v="1"/>
  </r>
  <r>
    <s v="16-100973012013"/>
    <x v="138"/>
    <x v="138"/>
    <n v="2013"/>
    <s v="Master Card"/>
    <n v="111442.24000000001"/>
    <n v="260"/>
    <x v="1"/>
  </r>
  <r>
    <s v="16-100973012012"/>
    <x v="138"/>
    <x v="138"/>
    <n v="2012"/>
    <s v="Debit"/>
    <n v="17901.240000000002"/>
    <n v="85"/>
    <x v="1"/>
  </r>
  <r>
    <s v="16-100973012012"/>
    <x v="138"/>
    <x v="138"/>
    <n v="2012"/>
    <s v="Debit Card"/>
    <n v="2700.93"/>
    <n v="10"/>
    <x v="1"/>
  </r>
  <r>
    <s v="16-103474372012"/>
    <x v="139"/>
    <x v="7"/>
    <n v="2012"/>
    <s v="Discover"/>
    <n v="30084.73"/>
    <n v="61"/>
    <x v="0"/>
  </r>
  <r>
    <s v="16-103474372012"/>
    <x v="139"/>
    <x v="7"/>
    <n v="2012"/>
    <s v="Visa"/>
    <n v="146458.35"/>
    <n v="355"/>
    <x v="1"/>
  </r>
  <r>
    <s v="16-103474372013"/>
    <x v="139"/>
    <x v="7"/>
    <n v="2013"/>
    <s v="Discover"/>
    <n v="131877.94"/>
    <n v="234"/>
    <x v="1"/>
  </r>
  <r>
    <s v="16-103474372013"/>
    <x v="139"/>
    <x v="7"/>
    <n v="2013"/>
    <s v="Debit"/>
    <n v="501963.49"/>
    <n v="1258"/>
    <x v="1"/>
  </r>
  <r>
    <s v="16-103474372012"/>
    <x v="139"/>
    <x v="7"/>
    <n v="2012"/>
    <s v="Master Card"/>
    <n v="80440.77"/>
    <n v="220"/>
    <x v="1"/>
  </r>
  <r>
    <s v="16-103474372013"/>
    <x v="139"/>
    <x v="7"/>
    <n v="2013"/>
    <s v="American Express"/>
    <n v="297590.77"/>
    <n v="564"/>
    <x v="1"/>
  </r>
  <r>
    <s v="16-103474372012"/>
    <x v="139"/>
    <x v="7"/>
    <n v="2012"/>
    <s v="American Express"/>
    <n v="59274.83"/>
    <n v="142"/>
    <x v="1"/>
  </r>
  <r>
    <s v="16-103474372012"/>
    <x v="139"/>
    <x v="7"/>
    <n v="2012"/>
    <s v="Debit"/>
    <n v="87441.61"/>
    <n v="264"/>
    <x v="1"/>
  </r>
  <r>
    <s v="16-103474372013"/>
    <x v="139"/>
    <x v="7"/>
    <n v="2013"/>
    <s v="Visa"/>
    <n v="828185.04"/>
    <n v="1637"/>
    <x v="1"/>
  </r>
  <r>
    <s v="16-103474372013"/>
    <x v="139"/>
    <x v="7"/>
    <n v="2013"/>
    <s v="Master Card"/>
    <n v="405744.27"/>
    <n v="850"/>
    <x v="1"/>
  </r>
  <r>
    <s v="16-104225562013"/>
    <x v="140"/>
    <x v="139"/>
    <n v="2013"/>
    <s v="Discover"/>
    <n v="906211.11"/>
    <n v="718"/>
    <x v="0"/>
  </r>
  <r>
    <s v="16-104225562013"/>
    <x v="140"/>
    <x v="139"/>
    <n v="2013"/>
    <s v="Master Card"/>
    <n v="3733429.05"/>
    <n v="2739"/>
    <x v="1"/>
  </r>
  <r>
    <s v="16-104225562013"/>
    <x v="140"/>
    <x v="139"/>
    <n v="2013"/>
    <s v="Debit"/>
    <n v="1188248.49"/>
    <n v="1141"/>
    <x v="1"/>
  </r>
  <r>
    <s v="16-104225562013"/>
    <x v="140"/>
    <x v="139"/>
    <n v="2013"/>
    <s v="American Express"/>
    <n v="4353329.4000000004"/>
    <n v="2795"/>
    <x v="1"/>
  </r>
  <r>
    <s v="16-104225562013"/>
    <x v="140"/>
    <x v="139"/>
    <n v="2013"/>
    <s v="Visa"/>
    <n v="7146601.9400000004"/>
    <n v="5163"/>
    <x v="1"/>
  </r>
  <r>
    <s v="16-104225562012"/>
    <x v="140"/>
    <x v="139"/>
    <n v="2012"/>
    <s v="Visa"/>
    <n v="299913.75"/>
    <n v="210"/>
    <x v="1"/>
  </r>
  <r>
    <s v="16-104225562013"/>
    <x v="140"/>
    <x v="139"/>
    <n v="2013"/>
    <s v="eCheck"/>
    <n v="56783.38"/>
    <n v="27"/>
    <x v="1"/>
  </r>
  <r>
    <s v="16-104225562012"/>
    <x v="140"/>
    <x v="139"/>
    <n v="2012"/>
    <s v="Master Card"/>
    <n v="133398.98000000001"/>
    <n v="104"/>
    <x v="1"/>
  </r>
  <r>
    <s v="16-104225562012"/>
    <x v="140"/>
    <x v="139"/>
    <n v="2012"/>
    <s v="Discover"/>
    <n v="31763.26"/>
    <n v="24"/>
    <x v="1"/>
  </r>
  <r>
    <s v="16-104225562012"/>
    <x v="140"/>
    <x v="139"/>
    <n v="2012"/>
    <s v="Debit"/>
    <n v="25836.62"/>
    <n v="30"/>
    <x v="1"/>
  </r>
  <r>
    <s v="16-104225562012"/>
    <x v="140"/>
    <x v="139"/>
    <n v="2012"/>
    <s v="American Express"/>
    <n v="131086.26"/>
    <n v="95"/>
    <x v="1"/>
  </r>
  <r>
    <s v="16-104974392012"/>
    <x v="141"/>
    <x v="140"/>
    <n v="2012"/>
    <s v="Discover"/>
    <n v="45682.38"/>
    <n v="157"/>
    <x v="0"/>
  </r>
  <r>
    <s v="16-104974392013"/>
    <x v="141"/>
    <x v="140"/>
    <n v="2013"/>
    <s v="Master Card"/>
    <n v="961687.4"/>
    <n v="3424"/>
    <x v="1"/>
  </r>
  <r>
    <s v="16-104974392013"/>
    <x v="141"/>
    <x v="140"/>
    <n v="2013"/>
    <s v="Visa"/>
    <n v="2972129.73"/>
    <n v="10826"/>
    <x v="1"/>
  </r>
  <r>
    <s v="16-104974392012"/>
    <x v="141"/>
    <x v="140"/>
    <n v="2012"/>
    <s v="Master Card"/>
    <n v="133047.29"/>
    <n v="476"/>
    <x v="1"/>
  </r>
  <r>
    <s v="16-104974392012"/>
    <x v="141"/>
    <x v="140"/>
    <n v="2012"/>
    <s v="Visa"/>
    <n v="407186.27"/>
    <n v="1463"/>
    <x v="1"/>
  </r>
  <r>
    <s v="16-104974392012"/>
    <x v="141"/>
    <x v="140"/>
    <n v="2012"/>
    <s v="American Express"/>
    <n v="126877.01"/>
    <n v="349"/>
    <x v="1"/>
  </r>
  <r>
    <s v="16-104974392012"/>
    <x v="141"/>
    <x v="140"/>
    <n v="2012"/>
    <s v="Debit"/>
    <n v="107925.42"/>
    <n v="524"/>
    <x v="1"/>
  </r>
  <r>
    <s v="16-104974392013"/>
    <x v="141"/>
    <x v="140"/>
    <n v="2013"/>
    <s v="Debit"/>
    <n v="882078.17"/>
    <n v="4320"/>
    <x v="1"/>
  </r>
  <r>
    <s v="16-104974392013"/>
    <x v="141"/>
    <x v="140"/>
    <n v="2013"/>
    <s v="Discover"/>
    <n v="305714.33"/>
    <n v="1069"/>
    <x v="1"/>
  </r>
  <r>
    <s v="16-104974392013"/>
    <x v="141"/>
    <x v="140"/>
    <n v="2013"/>
    <s v="American Express"/>
    <n v="1038926.61"/>
    <n v="3345"/>
    <x v="1"/>
  </r>
  <r>
    <s v="16-106265012012"/>
    <x v="142"/>
    <x v="141"/>
    <n v="2012"/>
    <s v="Master Card"/>
    <n v="2.57"/>
    <n v="1"/>
    <x v="0"/>
  </r>
  <r>
    <s v="16-106265012013"/>
    <x v="142"/>
    <x v="141"/>
    <n v="2013"/>
    <s v="Master Card"/>
    <n v="120448.11"/>
    <n v="173"/>
    <x v="1"/>
  </r>
  <r>
    <s v="16-106265012013"/>
    <x v="142"/>
    <x v="141"/>
    <n v="2013"/>
    <s v="American Express"/>
    <n v="198196.18"/>
    <n v="185"/>
    <x v="1"/>
  </r>
  <r>
    <s v="16-106265012013"/>
    <x v="142"/>
    <x v="141"/>
    <n v="2013"/>
    <s v="Visa"/>
    <n v="263156.46000000002"/>
    <n v="382"/>
    <x v="1"/>
  </r>
  <r>
    <s v="16-106265012013"/>
    <x v="142"/>
    <x v="141"/>
    <n v="2013"/>
    <s v="Debit"/>
    <n v="117092.86"/>
    <n v="200"/>
    <x v="1"/>
  </r>
  <r>
    <s v="16-106265012013"/>
    <x v="142"/>
    <x v="141"/>
    <n v="2013"/>
    <s v="Discover"/>
    <n v="18472.12"/>
    <n v="26"/>
    <x v="1"/>
  </r>
  <r>
    <s v="25-270604362012"/>
    <x v="143"/>
    <x v="142"/>
    <n v="2012"/>
    <s v="Master Card"/>
    <n v="1313907.6399999999"/>
    <n v="1072"/>
    <x v="0"/>
  </r>
  <r>
    <s v="25-270604362012"/>
    <x v="143"/>
    <x v="142"/>
    <n v="2012"/>
    <s v="Visa"/>
    <n v="1758617.05"/>
    <n v="1535"/>
    <x v="1"/>
  </r>
  <r>
    <s v="25-270604362012"/>
    <x v="143"/>
    <x v="142"/>
    <n v="2012"/>
    <s v="Star"/>
    <n v="39532.910000000003"/>
    <n v="58"/>
    <x v="1"/>
  </r>
  <r>
    <s v="25-270604362012"/>
    <x v="143"/>
    <x v="142"/>
    <n v="2012"/>
    <s v="Debit"/>
    <n v="975948.59"/>
    <n v="1383"/>
    <x v="1"/>
  </r>
  <r>
    <s v="25-270604362012"/>
    <x v="143"/>
    <x v="142"/>
    <n v="2012"/>
    <s v="Pulse"/>
    <n v="59715.199999999997"/>
    <n v="121"/>
    <x v="1"/>
  </r>
  <r>
    <s v="25-270604362013"/>
    <x v="143"/>
    <x v="142"/>
    <n v="2013"/>
    <s v="Visa"/>
    <n v="1367639.53"/>
    <n v="1323"/>
    <x v="1"/>
  </r>
  <r>
    <s v="25-270604362011"/>
    <x v="143"/>
    <x v="142"/>
    <n v="2011"/>
    <s v="Debit"/>
    <n v="2309.9499999999998"/>
    <n v="4"/>
    <x v="1"/>
  </r>
  <r>
    <s v="25-270604362013"/>
    <x v="143"/>
    <x v="142"/>
    <n v="2013"/>
    <s v="eCheck"/>
    <n v="39529003.659999996"/>
    <n v="23688"/>
    <x v="1"/>
  </r>
  <r>
    <s v="25-270604362011"/>
    <x v="143"/>
    <x v="142"/>
    <n v="2011"/>
    <s v="Discover"/>
    <n v="45033.26"/>
    <n v="57"/>
    <x v="1"/>
  </r>
  <r>
    <s v="25-270604362013"/>
    <x v="143"/>
    <x v="142"/>
    <n v="2013"/>
    <s v="Master Card"/>
    <n v="924707.7"/>
    <n v="835"/>
    <x v="1"/>
  </r>
  <r>
    <s v="25-270604362011"/>
    <x v="143"/>
    <x v="142"/>
    <n v="2011"/>
    <s v="NYCE"/>
    <n v="33426.5"/>
    <n v="47"/>
    <x v="1"/>
  </r>
  <r>
    <s v="25-270604362011"/>
    <x v="143"/>
    <x v="142"/>
    <n v="2011"/>
    <s v="Pulse"/>
    <n v="54513.27"/>
    <n v="59"/>
    <x v="1"/>
  </r>
  <r>
    <s v="25-270604362012"/>
    <x v="143"/>
    <x v="142"/>
    <n v="2012"/>
    <s v="NYCE"/>
    <n v="35000.949999999997"/>
    <n v="34"/>
    <x v="1"/>
  </r>
  <r>
    <s v="25-270604362012"/>
    <x v="143"/>
    <x v="142"/>
    <n v="2012"/>
    <s v="eCheck"/>
    <n v="40439703.469999999"/>
    <n v="24309"/>
    <x v="1"/>
  </r>
  <r>
    <s v="25-270604362012"/>
    <x v="143"/>
    <x v="142"/>
    <n v="2012"/>
    <s v="Discover"/>
    <n v="71370.149999999994"/>
    <n v="85"/>
    <x v="1"/>
  </r>
  <r>
    <s v="25-270604362011"/>
    <x v="143"/>
    <x v="142"/>
    <n v="2011"/>
    <s v="Master Card"/>
    <n v="1074156.07"/>
    <n v="887"/>
    <x v="1"/>
  </r>
  <r>
    <s v="25-270604362011"/>
    <x v="143"/>
    <x v="142"/>
    <n v="2011"/>
    <s v="eCheck"/>
    <n v="16242266.810000001"/>
    <n v="9925"/>
    <x v="1"/>
  </r>
  <r>
    <s v="25-270604362013"/>
    <x v="143"/>
    <x v="142"/>
    <n v="2013"/>
    <s v="Discover"/>
    <n v="89348.05"/>
    <n v="106"/>
    <x v="1"/>
  </r>
  <r>
    <s v="25-270604362011"/>
    <x v="143"/>
    <x v="142"/>
    <n v="2011"/>
    <s v="Visa"/>
    <n v="1855957.36"/>
    <n v="1860"/>
    <x v="1"/>
  </r>
  <r>
    <s v="25-270604362011"/>
    <x v="143"/>
    <x v="142"/>
    <n v="2011"/>
    <s v="Star"/>
    <n v="52896.78"/>
    <n v="70"/>
    <x v="1"/>
  </r>
  <r>
    <s v="25-270604362013"/>
    <x v="143"/>
    <x v="142"/>
    <n v="2013"/>
    <s v="Debit"/>
    <n v="1219531.24"/>
    <n v="1788"/>
    <x v="1"/>
  </r>
  <r>
    <s v="25-281888902013"/>
    <x v="144"/>
    <x v="143"/>
    <n v="2013"/>
    <s v="American Express"/>
    <n v="720697.14"/>
    <n v="189"/>
    <x v="0"/>
  </r>
  <r>
    <s v="25-281888902012"/>
    <x v="144"/>
    <x v="143"/>
    <n v="2012"/>
    <s v="Visa"/>
    <n v="756698.62"/>
    <n v="240"/>
    <x v="1"/>
  </r>
  <r>
    <s v="25-281888902013"/>
    <x v="144"/>
    <x v="143"/>
    <n v="2013"/>
    <s v="Debit"/>
    <n v="80235.5"/>
    <n v="39"/>
    <x v="1"/>
  </r>
  <r>
    <s v="25-281888902012"/>
    <x v="144"/>
    <x v="143"/>
    <n v="2012"/>
    <s v="Debit"/>
    <n v="49319.61"/>
    <n v="23"/>
    <x v="1"/>
  </r>
  <r>
    <s v="25-281888902012"/>
    <x v="144"/>
    <x v="143"/>
    <n v="2012"/>
    <s v="American Express"/>
    <n v="618374.67000000004"/>
    <n v="173"/>
    <x v="1"/>
  </r>
  <r>
    <s v="25-281888902012"/>
    <x v="144"/>
    <x v="143"/>
    <n v="2012"/>
    <s v="Master Card"/>
    <n v="376672.85"/>
    <n v="135"/>
    <x v="1"/>
  </r>
  <r>
    <s v="25-281888902013"/>
    <x v="144"/>
    <x v="143"/>
    <n v="2013"/>
    <s v="Visa"/>
    <n v="955075.56"/>
    <n v="280"/>
    <x v="1"/>
  </r>
  <r>
    <s v="25-281888902011"/>
    <x v="144"/>
    <x v="143"/>
    <n v="2011"/>
    <s v="American Express"/>
    <n v="395702.06"/>
    <n v="105"/>
    <x v="1"/>
  </r>
  <r>
    <s v="25-281888902013"/>
    <x v="144"/>
    <x v="143"/>
    <n v="2013"/>
    <s v="eCheck"/>
    <n v="238838.91"/>
    <n v="59"/>
    <x v="1"/>
  </r>
  <r>
    <s v="25-281888902013"/>
    <x v="144"/>
    <x v="143"/>
    <n v="2013"/>
    <s v="Master Card"/>
    <n v="442584.18"/>
    <n v="134"/>
    <x v="1"/>
  </r>
  <r>
    <s v="25-281888902011"/>
    <x v="144"/>
    <x v="143"/>
    <n v="2011"/>
    <s v="Master Card"/>
    <n v="276306.21999999997"/>
    <n v="80"/>
    <x v="1"/>
  </r>
  <r>
    <s v="25-281888902012"/>
    <x v="144"/>
    <x v="143"/>
    <n v="2012"/>
    <s v="eCheck"/>
    <n v="77761.7"/>
    <n v="32"/>
    <x v="1"/>
  </r>
  <r>
    <s v="25-281888902011"/>
    <x v="144"/>
    <x v="143"/>
    <n v="2011"/>
    <s v="Visa"/>
    <n v="590690.72"/>
    <n v="178"/>
    <x v="1"/>
  </r>
  <r>
    <s v="25-302536502013"/>
    <x v="145"/>
    <x v="144"/>
    <n v="2013"/>
    <s v="Master Card"/>
    <n v="2129872.21"/>
    <n v="2118"/>
    <x v="0"/>
  </r>
  <r>
    <s v="25-302536502012"/>
    <x v="145"/>
    <x v="144"/>
    <n v="2012"/>
    <s v="American Express"/>
    <n v="1743158.29"/>
    <n v="1745"/>
    <x v="1"/>
  </r>
  <r>
    <s v="25-302536502011"/>
    <x v="145"/>
    <x v="144"/>
    <n v="2011"/>
    <s v="eCheck"/>
    <n v="3456.34"/>
    <n v="4"/>
    <x v="1"/>
  </r>
  <r>
    <s v="25-302536502013"/>
    <x v="145"/>
    <x v="144"/>
    <n v="2013"/>
    <s v="Visa"/>
    <n v="4289632.07"/>
    <n v="4218"/>
    <x v="1"/>
  </r>
  <r>
    <s v="25-302536502011"/>
    <x v="145"/>
    <x v="144"/>
    <n v="2011"/>
    <s v="Discover"/>
    <n v="855175.63"/>
    <n v="862"/>
    <x v="1"/>
  </r>
  <r>
    <s v="25-302536502012"/>
    <x v="145"/>
    <x v="144"/>
    <n v="2012"/>
    <s v="Debit"/>
    <n v="1448926.47"/>
    <n v="1816"/>
    <x v="1"/>
  </r>
  <r>
    <s v="25-302536502012"/>
    <x v="145"/>
    <x v="144"/>
    <n v="2012"/>
    <s v="Discover"/>
    <n v="832760.73"/>
    <n v="868"/>
    <x v="1"/>
  </r>
  <r>
    <s v="25-302536502011"/>
    <x v="145"/>
    <x v="144"/>
    <n v="2011"/>
    <s v="Master Card"/>
    <n v="2716892.65"/>
    <n v="2955"/>
    <x v="1"/>
  </r>
  <r>
    <s v="25-302536502013"/>
    <x v="145"/>
    <x v="144"/>
    <n v="2013"/>
    <s v="eCheck"/>
    <n v="12393.93"/>
    <n v="14"/>
    <x v="1"/>
  </r>
  <r>
    <s v="25-302536502011"/>
    <x v="145"/>
    <x v="144"/>
    <n v="2011"/>
    <s v="Debit"/>
    <n v="3988.4"/>
    <n v="7"/>
    <x v="1"/>
  </r>
  <r>
    <s v="25-302536502011"/>
    <x v="145"/>
    <x v="144"/>
    <n v="2011"/>
    <s v="American Express"/>
    <n v="447210.84"/>
    <n v="513"/>
    <x v="1"/>
  </r>
  <r>
    <s v="25-302536502011"/>
    <x v="145"/>
    <x v="144"/>
    <n v="2011"/>
    <s v="Visa"/>
    <n v="5640293.5"/>
    <n v="6148"/>
    <x v="1"/>
  </r>
  <r>
    <s v="25-302536502012"/>
    <x v="145"/>
    <x v="144"/>
    <n v="2012"/>
    <s v="Visa"/>
    <n v="4411472.84"/>
    <n v="4588"/>
    <x v="1"/>
  </r>
  <r>
    <s v="25-302536502013"/>
    <x v="145"/>
    <x v="144"/>
    <n v="2013"/>
    <s v="Debit"/>
    <n v="1739992.16"/>
    <n v="1973"/>
    <x v="1"/>
  </r>
  <r>
    <s v="25-302536502012"/>
    <x v="145"/>
    <x v="144"/>
    <n v="2012"/>
    <s v="eCheck"/>
    <n v="4642.25"/>
    <n v="5"/>
    <x v="1"/>
  </r>
  <r>
    <s v="25-302536502012"/>
    <x v="145"/>
    <x v="144"/>
    <n v="2012"/>
    <s v="Master Card"/>
    <n v="2499833.52"/>
    <n v="2719"/>
    <x v="1"/>
  </r>
  <r>
    <s v="25-302536502013"/>
    <x v="145"/>
    <x v="144"/>
    <n v="2013"/>
    <s v="American Express"/>
    <n v="1902487.87"/>
    <n v="1682"/>
    <x v="1"/>
  </r>
  <r>
    <s v="25-302536502013"/>
    <x v="145"/>
    <x v="144"/>
    <n v="2013"/>
    <s v="Discover"/>
    <n v="751089.15"/>
    <n v="700"/>
    <x v="1"/>
  </r>
  <r>
    <s v="25-302553352013"/>
    <x v="146"/>
    <x v="145"/>
    <n v="2013"/>
    <s v="Visa"/>
    <n v="1964845.32"/>
    <n v="2283"/>
    <x v="0"/>
  </r>
  <r>
    <s v="25-302553352011"/>
    <x v="146"/>
    <x v="145"/>
    <n v="2011"/>
    <s v="Debit"/>
    <n v="3800.76"/>
    <n v="9"/>
    <x v="1"/>
  </r>
  <r>
    <s v="25-302553352011"/>
    <x v="146"/>
    <x v="145"/>
    <n v="2011"/>
    <s v="Discover"/>
    <n v="362179.71"/>
    <n v="447"/>
    <x v="1"/>
  </r>
  <r>
    <s v="25-302553352013"/>
    <x v="146"/>
    <x v="145"/>
    <n v="2013"/>
    <s v="Master Card"/>
    <n v="1110380.3999999999"/>
    <n v="1303"/>
    <x v="1"/>
  </r>
  <r>
    <s v="25-302553352011"/>
    <x v="146"/>
    <x v="145"/>
    <n v="2011"/>
    <s v="American Express"/>
    <n v="767819.13"/>
    <n v="865"/>
    <x v="1"/>
  </r>
  <r>
    <s v="25-302553352012"/>
    <x v="146"/>
    <x v="145"/>
    <n v="2012"/>
    <s v="Master Card"/>
    <n v="1123403.3600000001"/>
    <n v="1306"/>
    <x v="1"/>
  </r>
  <r>
    <s v="25-302553352012"/>
    <x v="146"/>
    <x v="145"/>
    <n v="2012"/>
    <s v="Debit"/>
    <n v="571439.98"/>
    <n v="790"/>
    <x v="1"/>
  </r>
  <r>
    <s v="25-302553352013"/>
    <x v="146"/>
    <x v="145"/>
    <n v="2013"/>
    <s v="Discover"/>
    <n v="412321.01"/>
    <n v="426"/>
    <x v="1"/>
  </r>
  <r>
    <s v="25-302553352012"/>
    <x v="146"/>
    <x v="145"/>
    <n v="2012"/>
    <s v="Visa"/>
    <n v="1831468.44"/>
    <n v="2183"/>
    <x v="1"/>
  </r>
  <r>
    <s v="25-302553352011"/>
    <x v="146"/>
    <x v="145"/>
    <n v="2011"/>
    <s v="Master Card"/>
    <n v="1097034.78"/>
    <n v="1391"/>
    <x v="1"/>
  </r>
  <r>
    <s v="25-302553352011"/>
    <x v="146"/>
    <x v="145"/>
    <n v="2011"/>
    <s v="Visa"/>
    <n v="2100709.56"/>
    <n v="2708"/>
    <x v="1"/>
  </r>
  <r>
    <s v="25-302553352012"/>
    <x v="146"/>
    <x v="145"/>
    <n v="2012"/>
    <s v="American Express"/>
    <n v="761369.8"/>
    <n v="807"/>
    <x v="1"/>
  </r>
  <r>
    <s v="25-302553352013"/>
    <x v="146"/>
    <x v="145"/>
    <n v="2013"/>
    <s v="American Express"/>
    <n v="822286.89"/>
    <n v="905"/>
    <x v="1"/>
  </r>
  <r>
    <s v="25-302553352011"/>
    <x v="146"/>
    <x v="145"/>
    <n v="2011"/>
    <s v="eCheck"/>
    <n v="33392.480000000003"/>
    <n v="25"/>
    <x v="1"/>
  </r>
  <r>
    <s v="25-302553352013"/>
    <x v="146"/>
    <x v="145"/>
    <n v="2013"/>
    <s v="Debit"/>
    <n v="774542.43"/>
    <n v="1060"/>
    <x v="1"/>
  </r>
  <r>
    <s v="25-302553352012"/>
    <x v="146"/>
    <x v="145"/>
    <n v="2012"/>
    <s v="Discover"/>
    <n v="330965.74"/>
    <n v="397"/>
    <x v="1"/>
  </r>
  <r>
    <s v="25-302596102012"/>
    <x v="147"/>
    <x v="146"/>
    <n v="2012"/>
    <s v="Discover"/>
    <n v="152192.22"/>
    <n v="183"/>
    <x v="0"/>
  </r>
  <r>
    <s v="25-302596102011"/>
    <x v="147"/>
    <x v="146"/>
    <n v="2011"/>
    <s v="Debit"/>
    <n v="1999.26"/>
    <n v="5"/>
    <x v="1"/>
  </r>
  <r>
    <s v="25-302596102011"/>
    <x v="147"/>
    <x v="146"/>
    <n v="2011"/>
    <s v="Visa"/>
    <n v="1634901.53"/>
    <n v="2077"/>
    <x v="1"/>
  </r>
  <r>
    <s v="25-302596102011"/>
    <x v="147"/>
    <x v="146"/>
    <n v="2011"/>
    <s v="Master Card"/>
    <n v="819532.47"/>
    <n v="925"/>
    <x v="1"/>
  </r>
  <r>
    <s v="25-302596102011"/>
    <x v="147"/>
    <x v="146"/>
    <n v="2011"/>
    <s v="American Express"/>
    <n v="838342.77"/>
    <n v="687"/>
    <x v="1"/>
  </r>
  <r>
    <s v="25-302596102013"/>
    <x v="147"/>
    <x v="146"/>
    <n v="2013"/>
    <s v="Visa"/>
    <n v="1618564.45"/>
    <n v="1843"/>
    <x v="1"/>
  </r>
  <r>
    <s v="25-302596102013"/>
    <x v="147"/>
    <x v="146"/>
    <n v="2013"/>
    <s v="Master Card"/>
    <n v="636563.31000000006"/>
    <n v="744"/>
    <x v="1"/>
  </r>
  <r>
    <s v="25-302596102011"/>
    <x v="147"/>
    <x v="146"/>
    <n v="2011"/>
    <s v="Discover"/>
    <n v="142409.32999999999"/>
    <n v="167"/>
    <x v="1"/>
  </r>
  <r>
    <s v="25-302596102012"/>
    <x v="147"/>
    <x v="146"/>
    <n v="2012"/>
    <s v="Debit"/>
    <n v="316567.93"/>
    <n v="520"/>
    <x v="1"/>
  </r>
  <r>
    <s v="25-302596102012"/>
    <x v="147"/>
    <x v="146"/>
    <n v="2012"/>
    <s v="American Express"/>
    <n v="910614.48"/>
    <n v="767"/>
    <x v="1"/>
  </r>
  <r>
    <s v="25-302596102012"/>
    <x v="147"/>
    <x v="146"/>
    <n v="2012"/>
    <s v="Master Card"/>
    <n v="877094.84"/>
    <n v="943"/>
    <x v="1"/>
  </r>
  <r>
    <s v="25-302596102013"/>
    <x v="147"/>
    <x v="146"/>
    <n v="2013"/>
    <s v="Debit"/>
    <n v="380077.96"/>
    <n v="631"/>
    <x v="1"/>
  </r>
  <r>
    <s v="25-302596102013"/>
    <x v="147"/>
    <x v="146"/>
    <n v="2013"/>
    <s v="American Express"/>
    <n v="824443.54"/>
    <n v="712"/>
    <x v="1"/>
  </r>
  <r>
    <s v="25-302596102013"/>
    <x v="147"/>
    <x v="146"/>
    <n v="2013"/>
    <s v="Discover"/>
    <n v="111070.47"/>
    <n v="145"/>
    <x v="1"/>
  </r>
  <r>
    <s v="25-302596102012"/>
    <x v="147"/>
    <x v="146"/>
    <n v="2012"/>
    <s v="Visa"/>
    <n v="1450100.63"/>
    <n v="1884"/>
    <x v="1"/>
  </r>
  <r>
    <s v="25-302722992011"/>
    <x v="148"/>
    <x v="147"/>
    <n v="2011"/>
    <s v="Visa"/>
    <n v="1962103.05"/>
    <n v="2644"/>
    <x v="0"/>
  </r>
  <r>
    <s v="25-302722992012"/>
    <x v="148"/>
    <x v="147"/>
    <n v="2012"/>
    <s v="American Express"/>
    <n v="528800.5"/>
    <n v="609"/>
    <x v="1"/>
  </r>
  <r>
    <s v="25-302722992011"/>
    <x v="148"/>
    <x v="147"/>
    <n v="2011"/>
    <s v="Master Card"/>
    <n v="428473.01"/>
    <n v="594"/>
    <x v="1"/>
  </r>
  <r>
    <s v="25-302722992012"/>
    <x v="148"/>
    <x v="147"/>
    <n v="2012"/>
    <s v="Debit"/>
    <n v="275918.40999999997"/>
    <n v="480"/>
    <x v="1"/>
  </r>
  <r>
    <s v="25-302722992013"/>
    <x v="148"/>
    <x v="147"/>
    <n v="2013"/>
    <s v="Discover"/>
    <n v="54715.97"/>
    <n v="69"/>
    <x v="1"/>
  </r>
  <r>
    <s v="25-302722992011"/>
    <x v="148"/>
    <x v="147"/>
    <n v="2011"/>
    <s v="Debit"/>
    <n v="1245.93"/>
    <n v="2"/>
    <x v="1"/>
  </r>
  <r>
    <s v="25-302722992012"/>
    <x v="148"/>
    <x v="147"/>
    <n v="2012"/>
    <s v="Master Card"/>
    <n v="422600.66"/>
    <n v="573"/>
    <x v="1"/>
  </r>
  <r>
    <s v="25-302722992011"/>
    <x v="148"/>
    <x v="147"/>
    <n v="2011"/>
    <s v="American Express"/>
    <n v="494098.62"/>
    <n v="597"/>
    <x v="1"/>
  </r>
  <r>
    <s v="25-302722992012"/>
    <x v="148"/>
    <x v="147"/>
    <n v="2012"/>
    <s v="Visa"/>
    <n v="1649547.42"/>
    <n v="2184"/>
    <x v="1"/>
  </r>
  <r>
    <s v="25-302722992011"/>
    <x v="148"/>
    <x v="147"/>
    <n v="2011"/>
    <s v="Discover"/>
    <n v="92078.61"/>
    <n v="111"/>
    <x v="1"/>
  </r>
  <r>
    <s v="25-302722992013"/>
    <x v="148"/>
    <x v="147"/>
    <n v="2013"/>
    <s v="Master Card"/>
    <n v="379793.03"/>
    <n v="446"/>
    <x v="1"/>
  </r>
  <r>
    <s v="25-302722992013"/>
    <x v="148"/>
    <x v="147"/>
    <n v="2013"/>
    <s v="Visa"/>
    <n v="1550777.61"/>
    <n v="1930"/>
    <x v="1"/>
  </r>
  <r>
    <s v="25-302722992013"/>
    <x v="148"/>
    <x v="147"/>
    <n v="2013"/>
    <s v="American Express"/>
    <n v="395870.34"/>
    <n v="473"/>
    <x v="1"/>
  </r>
  <r>
    <s v="25-302722992012"/>
    <x v="148"/>
    <x v="147"/>
    <n v="2012"/>
    <s v="Discover"/>
    <n v="70343.039999999994"/>
    <n v="94"/>
    <x v="1"/>
  </r>
  <r>
    <s v="25-302722992013"/>
    <x v="148"/>
    <x v="147"/>
    <n v="2013"/>
    <s v="Debit"/>
    <n v="289653"/>
    <n v="436"/>
    <x v="1"/>
  </r>
  <r>
    <s v="25-302765962011"/>
    <x v="149"/>
    <x v="148"/>
    <n v="2011"/>
    <s v="Discover"/>
    <n v="107518.72"/>
    <n v="151"/>
    <x v="0"/>
  </r>
  <r>
    <s v="25-302765962013"/>
    <x v="149"/>
    <x v="148"/>
    <n v="2013"/>
    <s v="Visa"/>
    <n v="608377.48"/>
    <n v="761"/>
    <x v="1"/>
  </r>
  <r>
    <s v="25-302765962013"/>
    <x v="149"/>
    <x v="148"/>
    <n v="2013"/>
    <s v="Master Card"/>
    <n v="313356.23"/>
    <n v="410"/>
    <x v="1"/>
  </r>
  <r>
    <s v="25-302765962012"/>
    <x v="149"/>
    <x v="148"/>
    <n v="2012"/>
    <s v="Master Card"/>
    <n v="337053.54"/>
    <n v="462"/>
    <x v="1"/>
  </r>
  <r>
    <s v="25-302765962013"/>
    <x v="149"/>
    <x v="148"/>
    <n v="2013"/>
    <s v="Debit"/>
    <n v="368303.66"/>
    <n v="575"/>
    <x v="1"/>
  </r>
  <r>
    <s v="25-302765962012"/>
    <x v="149"/>
    <x v="148"/>
    <n v="2012"/>
    <s v="Visa"/>
    <n v="609872.51"/>
    <n v="827"/>
    <x v="1"/>
  </r>
  <r>
    <s v="25-302765962013"/>
    <x v="149"/>
    <x v="148"/>
    <n v="2013"/>
    <s v="Discover"/>
    <n v="111626.97"/>
    <n v="151"/>
    <x v="1"/>
  </r>
  <r>
    <s v="25-302765962011"/>
    <x v="149"/>
    <x v="148"/>
    <n v="2011"/>
    <s v="Visa"/>
    <n v="780808.06"/>
    <n v="1094"/>
    <x v="1"/>
  </r>
  <r>
    <s v="25-302765962011"/>
    <x v="149"/>
    <x v="148"/>
    <n v="2011"/>
    <s v="Master Card"/>
    <n v="286203.87"/>
    <n v="431"/>
    <x v="1"/>
  </r>
  <r>
    <s v="25-302765962012"/>
    <x v="149"/>
    <x v="148"/>
    <n v="2012"/>
    <s v="Discover"/>
    <n v="126821.24"/>
    <n v="150"/>
    <x v="1"/>
  </r>
  <r>
    <s v="25-302765962012"/>
    <x v="149"/>
    <x v="148"/>
    <n v="2012"/>
    <s v="Debit"/>
    <n v="298864.84000000003"/>
    <n v="431"/>
    <x v="1"/>
  </r>
  <r>
    <s v="25-302971882011"/>
    <x v="150"/>
    <x v="149"/>
    <n v="2011"/>
    <s v="Master Card"/>
    <n v="3141469.44"/>
    <n v="8429"/>
    <x v="0"/>
  </r>
  <r>
    <s v="25-302971882013"/>
    <x v="150"/>
    <x v="149"/>
    <n v="2013"/>
    <s v="Discover"/>
    <n v="197510.99"/>
    <n v="547"/>
    <x v="1"/>
  </r>
  <r>
    <s v="25-302971882013"/>
    <x v="150"/>
    <x v="149"/>
    <n v="2013"/>
    <s v="Debit"/>
    <n v="1652775.74"/>
    <n v="5319"/>
    <x v="1"/>
  </r>
  <r>
    <s v="25-302971882011"/>
    <x v="150"/>
    <x v="149"/>
    <n v="2011"/>
    <s v="Visa"/>
    <n v="8321323.3200000003"/>
    <n v="22996"/>
    <x v="1"/>
  </r>
  <r>
    <s v="25-302971882013"/>
    <x v="150"/>
    <x v="149"/>
    <n v="2013"/>
    <s v="American Express"/>
    <n v="4162319.27"/>
    <n v="7798"/>
    <x v="1"/>
  </r>
  <r>
    <s v="25-302971882012"/>
    <x v="150"/>
    <x v="149"/>
    <n v="2012"/>
    <s v="Discover"/>
    <n v="209952.86"/>
    <n v="637"/>
    <x v="1"/>
  </r>
  <r>
    <s v="25-302971882011"/>
    <x v="150"/>
    <x v="149"/>
    <n v="2011"/>
    <s v="American Express"/>
    <n v="4776243.9400000004"/>
    <n v="9364"/>
    <x v="1"/>
  </r>
  <r>
    <s v="25-302971882013"/>
    <x v="150"/>
    <x v="149"/>
    <n v="2013"/>
    <s v="Master Card"/>
    <n v="3134296.93"/>
    <n v="5921"/>
    <x v="1"/>
  </r>
  <r>
    <s v="25-302971882011"/>
    <x v="150"/>
    <x v="149"/>
    <n v="2011"/>
    <s v="Discover"/>
    <n v="226448.3"/>
    <n v="712"/>
    <x v="1"/>
  </r>
  <r>
    <s v="25-302971882013"/>
    <x v="150"/>
    <x v="149"/>
    <n v="2013"/>
    <s v="Visa"/>
    <n v="6602617.79"/>
    <n v="16143"/>
    <x v="1"/>
  </r>
  <r>
    <s v="25-302971882011"/>
    <x v="150"/>
    <x v="149"/>
    <n v="2011"/>
    <s v="Debit"/>
    <n v="15256.45"/>
    <n v="59"/>
    <x v="1"/>
  </r>
  <r>
    <s v="25-302971882012"/>
    <x v="150"/>
    <x v="149"/>
    <n v="2012"/>
    <s v="Master Card"/>
    <n v="2979685.7"/>
    <n v="6847"/>
    <x v="1"/>
  </r>
  <r>
    <s v="25-302971882012"/>
    <x v="150"/>
    <x v="149"/>
    <n v="2012"/>
    <s v="American Express"/>
    <n v="4471290.6100000003"/>
    <n v="8816"/>
    <x v="1"/>
  </r>
  <r>
    <s v="25-302971882012"/>
    <x v="150"/>
    <x v="149"/>
    <n v="2012"/>
    <s v="Visa"/>
    <n v="6770626.6699999999"/>
    <n v="16695"/>
    <x v="1"/>
  </r>
  <r>
    <s v="25-302971882012"/>
    <x v="150"/>
    <x v="149"/>
    <n v="2012"/>
    <s v="Debit"/>
    <n v="1394809.22"/>
    <n v="4772"/>
    <x v="1"/>
  </r>
  <r>
    <s v="25-303854872013"/>
    <x v="151"/>
    <x v="150"/>
    <n v="2013"/>
    <s v="Discover"/>
    <n v="196440.93"/>
    <n v="153"/>
    <x v="0"/>
  </r>
  <r>
    <s v="25-303854872012"/>
    <x v="151"/>
    <x v="150"/>
    <n v="2012"/>
    <s v="Debit"/>
    <n v="393835.35"/>
    <n v="436"/>
    <x v="1"/>
  </r>
  <r>
    <s v="25-303854872012"/>
    <x v="151"/>
    <x v="150"/>
    <n v="2012"/>
    <s v="Visa"/>
    <n v="1795833.39"/>
    <n v="1323"/>
    <x v="1"/>
  </r>
  <r>
    <s v="25-303854872012"/>
    <x v="151"/>
    <x v="150"/>
    <n v="2012"/>
    <s v="Master Card"/>
    <n v="958768.7"/>
    <n v="755"/>
    <x v="1"/>
  </r>
  <r>
    <s v="25-303854872013"/>
    <x v="151"/>
    <x v="150"/>
    <n v="2013"/>
    <s v="Visa"/>
    <n v="1547815.84"/>
    <n v="1151"/>
    <x v="1"/>
  </r>
  <r>
    <s v="25-303854872011"/>
    <x v="151"/>
    <x v="150"/>
    <n v="2011"/>
    <s v="Debit"/>
    <n v="2399.14"/>
    <n v="3"/>
    <x v="1"/>
  </r>
  <r>
    <s v="25-303854872013"/>
    <x v="151"/>
    <x v="150"/>
    <n v="2013"/>
    <s v="Master Card"/>
    <n v="841547.12"/>
    <n v="665"/>
    <x v="1"/>
  </r>
  <r>
    <s v="25-303854872013"/>
    <x v="151"/>
    <x v="150"/>
    <n v="2013"/>
    <s v="Debit"/>
    <n v="432506.64"/>
    <n v="455"/>
    <x v="1"/>
  </r>
  <r>
    <s v="25-303854872012"/>
    <x v="151"/>
    <x v="150"/>
    <n v="2012"/>
    <s v="Discover"/>
    <n v="83601.850000000006"/>
    <n v="74"/>
    <x v="1"/>
  </r>
  <r>
    <s v="25-303854872011"/>
    <x v="151"/>
    <x v="150"/>
    <n v="2011"/>
    <s v="Visa"/>
    <n v="1871171.49"/>
    <n v="1427"/>
    <x v="1"/>
  </r>
  <r>
    <s v="25-303854872011"/>
    <x v="151"/>
    <x v="150"/>
    <n v="2011"/>
    <s v="Master Card"/>
    <n v="889742.59"/>
    <n v="669"/>
    <x v="1"/>
  </r>
  <r>
    <s v="25-305624932011"/>
    <x v="152"/>
    <x v="151"/>
    <n v="2011"/>
    <s v="Master Card"/>
    <n v="93850.35"/>
    <n v="139"/>
    <x v="0"/>
  </r>
  <r>
    <s v="25-305624932012"/>
    <x v="152"/>
    <x v="151"/>
    <n v="2012"/>
    <s v="American Express"/>
    <n v="31077.8"/>
    <n v="42"/>
    <x v="1"/>
  </r>
  <r>
    <s v="25-305624932012"/>
    <x v="152"/>
    <x v="151"/>
    <n v="2012"/>
    <s v="Debit"/>
    <n v="37440.89"/>
    <n v="61"/>
    <x v="1"/>
  </r>
  <r>
    <s v="25-305624932013"/>
    <x v="152"/>
    <x v="151"/>
    <n v="2013"/>
    <s v="Discover"/>
    <n v="27595.200000000001"/>
    <n v="33"/>
    <x v="1"/>
  </r>
  <r>
    <s v="25-305624932011"/>
    <x v="152"/>
    <x v="151"/>
    <n v="2011"/>
    <s v="Visa"/>
    <n v="164952.18"/>
    <n v="247"/>
    <x v="1"/>
  </r>
  <r>
    <s v="25-305624932013"/>
    <x v="152"/>
    <x v="151"/>
    <n v="2013"/>
    <s v="Debit"/>
    <n v="64458.17"/>
    <n v="92"/>
    <x v="1"/>
  </r>
  <r>
    <s v="25-305624932012"/>
    <x v="152"/>
    <x v="151"/>
    <n v="2012"/>
    <s v="Discover"/>
    <n v="13460.14"/>
    <n v="21"/>
    <x v="1"/>
  </r>
  <r>
    <s v="25-305624932013"/>
    <x v="152"/>
    <x v="151"/>
    <n v="2013"/>
    <s v="Visa"/>
    <n v="196692.96"/>
    <n v="227"/>
    <x v="1"/>
  </r>
  <r>
    <s v="25-305624932013"/>
    <x v="152"/>
    <x v="151"/>
    <n v="2013"/>
    <s v="Master Card"/>
    <n v="100343.9"/>
    <n v="95"/>
    <x v="1"/>
  </r>
  <r>
    <s v="25-305624932011"/>
    <x v="152"/>
    <x v="151"/>
    <n v="2011"/>
    <s v="Discover"/>
    <n v="21182.7"/>
    <n v="36"/>
    <x v="1"/>
  </r>
  <r>
    <s v="25-305624932013"/>
    <x v="152"/>
    <x v="151"/>
    <n v="2013"/>
    <s v="American Express"/>
    <n v="38412.589999999997"/>
    <n v="37"/>
    <x v="1"/>
  </r>
  <r>
    <s v="25-305624932011"/>
    <x v="152"/>
    <x v="151"/>
    <n v="2011"/>
    <s v="American Express"/>
    <n v="58341.99"/>
    <n v="70"/>
    <x v="1"/>
  </r>
  <r>
    <s v="25-305624932012"/>
    <x v="152"/>
    <x v="151"/>
    <n v="2012"/>
    <s v="Visa"/>
    <n v="135451"/>
    <n v="184"/>
    <x v="1"/>
  </r>
  <r>
    <s v="25-305624932012"/>
    <x v="152"/>
    <x v="151"/>
    <n v="2012"/>
    <s v="Master Card"/>
    <n v="78424.11"/>
    <n v="110"/>
    <x v="1"/>
  </r>
  <r>
    <s v="25-306063372013"/>
    <x v="153"/>
    <x v="152"/>
    <n v="2013"/>
    <s v="Visa"/>
    <n v="498241.5"/>
    <n v="894"/>
    <x v="0"/>
  </r>
  <r>
    <s v="25-306063372013"/>
    <x v="153"/>
    <x v="152"/>
    <n v="2013"/>
    <s v="Master Card"/>
    <n v="416165.84"/>
    <n v="842"/>
    <x v="1"/>
  </r>
  <r>
    <s v="25-306063372012"/>
    <x v="153"/>
    <x v="152"/>
    <n v="2012"/>
    <s v="American Express"/>
    <n v="189666.5"/>
    <n v="331"/>
    <x v="1"/>
  </r>
  <r>
    <s v="25-306063372012"/>
    <x v="153"/>
    <x v="152"/>
    <n v="2012"/>
    <s v="Debit"/>
    <n v="316597.8"/>
    <n v="615"/>
    <x v="1"/>
  </r>
  <r>
    <s v="25-306063372011"/>
    <x v="153"/>
    <x v="152"/>
    <n v="2011"/>
    <s v="Discover"/>
    <n v="30740.42"/>
    <n v="73"/>
    <x v="1"/>
  </r>
  <r>
    <s v="25-306063372013"/>
    <x v="153"/>
    <x v="152"/>
    <n v="2013"/>
    <s v="Debit"/>
    <n v="289331.09000000003"/>
    <n v="580"/>
    <x v="1"/>
  </r>
  <r>
    <s v="25-306063372013"/>
    <x v="153"/>
    <x v="152"/>
    <n v="2013"/>
    <s v="American Express"/>
    <n v="146421.47"/>
    <n v="234"/>
    <x v="1"/>
  </r>
  <r>
    <s v="25-306063372011"/>
    <x v="153"/>
    <x v="152"/>
    <n v="2011"/>
    <s v="Debit"/>
    <n v="3646.64"/>
    <n v="7"/>
    <x v="1"/>
  </r>
  <r>
    <s v="25-306063372012"/>
    <x v="153"/>
    <x v="152"/>
    <n v="2012"/>
    <s v="Master Card"/>
    <n v="565012.86"/>
    <n v="1132"/>
    <x v="1"/>
  </r>
  <r>
    <s v="25-306063372013"/>
    <x v="153"/>
    <x v="152"/>
    <n v="2013"/>
    <s v="Discover"/>
    <n v="29822.240000000002"/>
    <n v="40"/>
    <x v="1"/>
  </r>
  <r>
    <s v="25-306063372012"/>
    <x v="153"/>
    <x v="152"/>
    <n v="2012"/>
    <s v="Visa"/>
    <n v="567424.06999999995"/>
    <n v="975"/>
    <x v="1"/>
  </r>
  <r>
    <s v="25-306063372011"/>
    <x v="153"/>
    <x v="152"/>
    <n v="2011"/>
    <s v="American Express"/>
    <n v="376572.23"/>
    <n v="366"/>
    <x v="1"/>
  </r>
  <r>
    <s v="25-306063372011"/>
    <x v="153"/>
    <x v="152"/>
    <n v="2011"/>
    <s v="Master Card"/>
    <n v="666681.78"/>
    <n v="1280"/>
    <x v="1"/>
  </r>
  <r>
    <s v="25-306063372011"/>
    <x v="153"/>
    <x v="152"/>
    <n v="2011"/>
    <s v="Visa"/>
    <n v="881311.31"/>
    <n v="1675"/>
    <x v="1"/>
  </r>
  <r>
    <s v="25-306063372012"/>
    <x v="153"/>
    <x v="152"/>
    <n v="2012"/>
    <s v="Discover"/>
    <n v="43415.44"/>
    <n v="68"/>
    <x v="1"/>
  </r>
  <r>
    <s v="25-306573532011"/>
    <x v="154"/>
    <x v="153"/>
    <n v="2011"/>
    <s v="Discover"/>
    <n v="7927.1"/>
    <n v="20"/>
    <x v="0"/>
  </r>
  <r>
    <s v="25-306573532013"/>
    <x v="154"/>
    <x v="153"/>
    <n v="2013"/>
    <s v="American Express"/>
    <n v="91545.62"/>
    <n v="176"/>
    <x v="1"/>
  </r>
  <r>
    <s v="25-306573532013"/>
    <x v="154"/>
    <x v="153"/>
    <n v="2013"/>
    <s v="Master Card"/>
    <n v="108028.89"/>
    <n v="206"/>
    <x v="1"/>
  </r>
  <r>
    <s v="25-306573532013"/>
    <x v="154"/>
    <x v="153"/>
    <n v="2013"/>
    <s v="Visa"/>
    <n v="113535.28"/>
    <n v="234"/>
    <x v="1"/>
  </r>
  <r>
    <s v="25-306573532013"/>
    <x v="154"/>
    <x v="153"/>
    <n v="2013"/>
    <s v="Debit"/>
    <n v="49110.65"/>
    <n v="106"/>
    <x v="1"/>
  </r>
  <r>
    <s v="25-306573532012"/>
    <x v="154"/>
    <x v="153"/>
    <n v="2012"/>
    <s v="Discover"/>
    <n v="7264.27"/>
    <n v="18"/>
    <x v="1"/>
  </r>
  <r>
    <s v="25-306573532012"/>
    <x v="154"/>
    <x v="153"/>
    <n v="2012"/>
    <s v="American Express"/>
    <n v="108231.78"/>
    <n v="215"/>
    <x v="1"/>
  </r>
  <r>
    <s v="25-306573532012"/>
    <x v="154"/>
    <x v="153"/>
    <n v="2012"/>
    <s v="Debit"/>
    <n v="42920.51"/>
    <n v="96"/>
    <x v="1"/>
  </r>
  <r>
    <s v="25-306573532011"/>
    <x v="154"/>
    <x v="153"/>
    <n v="2011"/>
    <s v="Master Card"/>
    <n v="164817.66"/>
    <n v="340"/>
    <x v="1"/>
  </r>
  <r>
    <s v="25-306573532011"/>
    <x v="154"/>
    <x v="153"/>
    <n v="2011"/>
    <s v="Visa"/>
    <n v="221414.04"/>
    <n v="539"/>
    <x v="1"/>
  </r>
  <r>
    <s v="25-306573532012"/>
    <x v="154"/>
    <x v="153"/>
    <n v="2012"/>
    <s v="Master Card"/>
    <n v="128701.44"/>
    <n v="225"/>
    <x v="1"/>
  </r>
  <r>
    <s v="25-306573532011"/>
    <x v="154"/>
    <x v="153"/>
    <n v="2011"/>
    <s v="American Express"/>
    <n v="192737.17"/>
    <n v="387"/>
    <x v="1"/>
  </r>
  <r>
    <s v="25-306573532013"/>
    <x v="154"/>
    <x v="153"/>
    <n v="2013"/>
    <s v="Discover"/>
    <n v="10937.91"/>
    <n v="20"/>
    <x v="1"/>
  </r>
  <r>
    <s v="25-306573532012"/>
    <x v="154"/>
    <x v="153"/>
    <n v="2012"/>
    <s v="Visa"/>
    <n v="124166.24"/>
    <n v="271"/>
    <x v="1"/>
  </r>
  <r>
    <s v="25-307958952011"/>
    <x v="155"/>
    <x v="154"/>
    <n v="2011"/>
    <s v="Discover"/>
    <n v="35277.040000000001"/>
    <n v="52"/>
    <x v="0"/>
  </r>
  <r>
    <s v="25-307958952013"/>
    <x v="155"/>
    <x v="154"/>
    <n v="2013"/>
    <s v="eCheck"/>
    <n v="926269.51"/>
    <n v="1201"/>
    <x v="1"/>
  </r>
  <r>
    <s v="25-307958952012"/>
    <x v="155"/>
    <x v="154"/>
    <n v="2012"/>
    <s v="Master Card"/>
    <n v="273854.09000000003"/>
    <n v="399"/>
    <x v="1"/>
  </r>
  <r>
    <s v="25-307958952012"/>
    <x v="155"/>
    <x v="154"/>
    <n v="2012"/>
    <s v="American Express"/>
    <n v="219415.6"/>
    <n v="293"/>
    <x v="1"/>
  </r>
  <r>
    <s v="25-307958952011"/>
    <x v="155"/>
    <x v="154"/>
    <n v="2011"/>
    <s v="eCheck"/>
    <n v="3372.49"/>
    <n v="6"/>
    <x v="1"/>
  </r>
  <r>
    <s v="25-307958952012"/>
    <x v="155"/>
    <x v="154"/>
    <n v="2012"/>
    <s v="Visa"/>
    <n v="425752.82"/>
    <n v="617"/>
    <x v="1"/>
  </r>
  <r>
    <s v="25-307958952012"/>
    <x v="155"/>
    <x v="154"/>
    <n v="2012"/>
    <s v="Debit"/>
    <n v="139637.10999999999"/>
    <n v="231"/>
    <x v="1"/>
  </r>
  <r>
    <s v="25-307958952013"/>
    <x v="155"/>
    <x v="154"/>
    <n v="2013"/>
    <s v="Discover"/>
    <n v="55550.84"/>
    <n v="77"/>
    <x v="1"/>
  </r>
  <r>
    <s v="25-307958952011"/>
    <x v="155"/>
    <x v="154"/>
    <n v="2011"/>
    <s v="Master Card"/>
    <n v="206949.82"/>
    <n v="302"/>
    <x v="1"/>
  </r>
  <r>
    <s v="25-307958952011"/>
    <x v="155"/>
    <x v="154"/>
    <n v="2011"/>
    <s v="Visa"/>
    <n v="440656.96"/>
    <n v="630"/>
    <x v="1"/>
  </r>
  <r>
    <s v="25-307958952012"/>
    <x v="155"/>
    <x v="154"/>
    <n v="2012"/>
    <s v="Discover"/>
    <n v="57438.29"/>
    <n v="79"/>
    <x v="1"/>
  </r>
  <r>
    <s v="25-307958952013"/>
    <x v="155"/>
    <x v="154"/>
    <n v="2013"/>
    <s v="Debit"/>
    <n v="175267.19"/>
    <n v="267"/>
    <x v="1"/>
  </r>
  <r>
    <s v="25-307958952012"/>
    <x v="155"/>
    <x v="154"/>
    <n v="2012"/>
    <s v="eCheck"/>
    <n v="589627.12"/>
    <n v="780"/>
    <x v="1"/>
  </r>
  <r>
    <s v="25-307958952013"/>
    <x v="155"/>
    <x v="154"/>
    <n v="2013"/>
    <s v="American Express"/>
    <n v="216127.7"/>
    <n v="251"/>
    <x v="1"/>
  </r>
  <r>
    <s v="25-307958952011"/>
    <x v="155"/>
    <x v="154"/>
    <n v="2011"/>
    <s v="Debit"/>
    <n v="1511.53"/>
    <n v="4"/>
    <x v="1"/>
  </r>
  <r>
    <s v="25-307958952013"/>
    <x v="155"/>
    <x v="154"/>
    <n v="2013"/>
    <s v="Visa"/>
    <n v="465669.97"/>
    <n v="641"/>
    <x v="1"/>
  </r>
  <r>
    <s v="25-307958952011"/>
    <x v="155"/>
    <x v="154"/>
    <n v="2011"/>
    <s v="American Express"/>
    <n v="125102.44"/>
    <n v="170"/>
    <x v="1"/>
  </r>
  <r>
    <s v="25-307958952013"/>
    <x v="155"/>
    <x v="154"/>
    <n v="2013"/>
    <s v="Master Card"/>
    <n v="244885.06"/>
    <n v="331"/>
    <x v="1"/>
  </r>
  <r>
    <s v="25-308267312011"/>
    <x v="156"/>
    <x v="155"/>
    <n v="2011"/>
    <s v="Discover"/>
    <n v="52955.35"/>
    <n v="55"/>
    <x v="0"/>
  </r>
  <r>
    <s v="25-308267312011"/>
    <x v="156"/>
    <x v="155"/>
    <n v="2011"/>
    <s v="eCheck"/>
    <n v="887"/>
    <n v="2"/>
    <x v="1"/>
  </r>
  <r>
    <s v="25-308267312011"/>
    <x v="156"/>
    <x v="155"/>
    <n v="2011"/>
    <s v="Master Card"/>
    <n v="362144.15"/>
    <n v="333"/>
    <x v="1"/>
  </r>
  <r>
    <s v="25-308267312011"/>
    <x v="156"/>
    <x v="155"/>
    <n v="2011"/>
    <s v="Visa"/>
    <n v="577327.68999999994"/>
    <n v="612"/>
    <x v="1"/>
  </r>
  <r>
    <s v="25-308360772012"/>
    <x v="157"/>
    <x v="156"/>
    <n v="2012"/>
    <s v="Debit"/>
    <n v="560579.54"/>
    <n v="863"/>
    <x v="0"/>
  </r>
  <r>
    <s v="25-308360772011"/>
    <x v="157"/>
    <x v="156"/>
    <n v="2011"/>
    <s v="eCheck"/>
    <n v="14990.24"/>
    <n v="19"/>
    <x v="1"/>
  </r>
  <r>
    <s v="25-308360772012"/>
    <x v="157"/>
    <x v="156"/>
    <n v="2012"/>
    <s v="Visa"/>
    <n v="975329.39"/>
    <n v="1212"/>
    <x v="1"/>
  </r>
  <r>
    <s v="25-308360772012"/>
    <x v="157"/>
    <x v="156"/>
    <n v="2012"/>
    <s v="Master Card"/>
    <n v="597686.91"/>
    <n v="777"/>
    <x v="1"/>
  </r>
  <r>
    <s v="25-308360772012"/>
    <x v="157"/>
    <x v="156"/>
    <n v="2012"/>
    <s v="Discover"/>
    <n v="160187.82"/>
    <n v="181"/>
    <x v="1"/>
  </r>
  <r>
    <s v="25-308360772013"/>
    <x v="157"/>
    <x v="156"/>
    <n v="2013"/>
    <s v="Discover"/>
    <n v="41337.269999999997"/>
    <n v="41"/>
    <x v="1"/>
  </r>
  <r>
    <s v="25-308360772013"/>
    <x v="157"/>
    <x v="156"/>
    <n v="2013"/>
    <s v="Master Card"/>
    <n v="108671.11"/>
    <n v="138"/>
    <x v="1"/>
  </r>
  <r>
    <s v="25-308360772011"/>
    <x v="157"/>
    <x v="156"/>
    <n v="2011"/>
    <s v="Debit"/>
    <n v="100"/>
    <n v="1"/>
    <x v="1"/>
  </r>
  <r>
    <s v="25-308360772013"/>
    <x v="157"/>
    <x v="156"/>
    <n v="2013"/>
    <s v="Visa"/>
    <n v="201664.76"/>
    <n v="232"/>
    <x v="1"/>
  </r>
  <r>
    <s v="25-308360772011"/>
    <x v="157"/>
    <x v="156"/>
    <n v="2011"/>
    <s v="Discover"/>
    <n v="153285.1"/>
    <n v="228"/>
    <x v="1"/>
  </r>
  <r>
    <s v="25-308360772011"/>
    <x v="157"/>
    <x v="156"/>
    <n v="2011"/>
    <s v="Master Card"/>
    <n v="526598.43000000005"/>
    <n v="779"/>
    <x v="1"/>
  </r>
  <r>
    <s v="25-308360772013"/>
    <x v="157"/>
    <x v="156"/>
    <n v="2013"/>
    <s v="Debit"/>
    <n v="133762.35"/>
    <n v="176"/>
    <x v="1"/>
  </r>
  <r>
    <s v="25-308360772011"/>
    <x v="157"/>
    <x v="156"/>
    <n v="2011"/>
    <s v="Visa"/>
    <n v="1238553.82"/>
    <n v="1864"/>
    <x v="1"/>
  </r>
  <r>
    <s v="25-309080682013"/>
    <x v="158"/>
    <x v="157"/>
    <n v="2013"/>
    <s v="Visa"/>
    <n v="901391.08"/>
    <n v="682"/>
    <x v="0"/>
  </r>
  <r>
    <s v="25-309080682012"/>
    <x v="158"/>
    <x v="157"/>
    <n v="2012"/>
    <s v="American Express"/>
    <n v="604149.30000000005"/>
    <n v="453"/>
    <x v="1"/>
  </r>
  <r>
    <s v="25-309080682012"/>
    <x v="158"/>
    <x v="157"/>
    <n v="2012"/>
    <s v="Debit"/>
    <n v="231781.06"/>
    <n v="214"/>
    <x v="1"/>
  </r>
  <r>
    <s v="25-309080682013"/>
    <x v="158"/>
    <x v="157"/>
    <n v="2013"/>
    <s v="Master Card"/>
    <n v="478787.89"/>
    <n v="364"/>
    <x v="1"/>
  </r>
  <r>
    <s v="25-309080682011"/>
    <x v="158"/>
    <x v="157"/>
    <n v="2011"/>
    <s v="Master Card"/>
    <n v="275212.87"/>
    <n v="250"/>
    <x v="1"/>
  </r>
  <r>
    <s v="25-309080682011"/>
    <x v="158"/>
    <x v="157"/>
    <n v="2011"/>
    <s v="American Express"/>
    <n v="239646"/>
    <n v="213"/>
    <x v="1"/>
  </r>
  <r>
    <s v="25-309080682013"/>
    <x v="158"/>
    <x v="157"/>
    <n v="2013"/>
    <s v="eCheck"/>
    <n v="19414.099999999999"/>
    <n v="17"/>
    <x v="1"/>
  </r>
  <r>
    <s v="25-309080682011"/>
    <x v="158"/>
    <x v="157"/>
    <n v="2011"/>
    <s v="Visa"/>
    <n v="509570.48"/>
    <n v="467"/>
    <x v="1"/>
  </r>
  <r>
    <s v="25-309080682012"/>
    <x v="158"/>
    <x v="157"/>
    <n v="2012"/>
    <s v="Discover"/>
    <n v="6404.28"/>
    <n v="3"/>
    <x v="1"/>
  </r>
  <r>
    <s v="25-309080682012"/>
    <x v="158"/>
    <x v="157"/>
    <n v="2012"/>
    <s v="eCheck"/>
    <n v="22395.61"/>
    <n v="14"/>
    <x v="1"/>
  </r>
  <r>
    <s v="25-309080682013"/>
    <x v="158"/>
    <x v="157"/>
    <n v="2013"/>
    <s v="Discover"/>
    <n v="34176.660000000003"/>
    <n v="27"/>
    <x v="1"/>
  </r>
  <r>
    <s v="25-309080682013"/>
    <x v="158"/>
    <x v="157"/>
    <n v="2013"/>
    <s v="American Express"/>
    <n v="557215.52"/>
    <n v="411"/>
    <x v="1"/>
  </r>
  <r>
    <s v="25-309080682013"/>
    <x v="158"/>
    <x v="157"/>
    <n v="2013"/>
    <s v="Debit"/>
    <n v="310267.58"/>
    <n v="270"/>
    <x v="1"/>
  </r>
  <r>
    <s v="25-309080682012"/>
    <x v="158"/>
    <x v="157"/>
    <n v="2012"/>
    <s v="Visa"/>
    <n v="912012.34"/>
    <n v="744"/>
    <x v="1"/>
  </r>
  <r>
    <s v="25-309080682012"/>
    <x v="158"/>
    <x v="157"/>
    <n v="2012"/>
    <s v="Master Card"/>
    <n v="513037.54"/>
    <n v="439"/>
    <x v="1"/>
  </r>
  <r>
    <s v="25-416489312011"/>
    <x v="159"/>
    <x v="158"/>
    <n v="2011"/>
    <s v="Discover"/>
    <n v="2451.75"/>
    <n v="5"/>
    <x v="0"/>
  </r>
  <r>
    <s v="25-416489312011"/>
    <x v="159"/>
    <x v="158"/>
    <n v="2011"/>
    <s v="Debit"/>
    <n v="888.95"/>
    <n v="1"/>
    <x v="1"/>
  </r>
  <r>
    <s v="25-416489312012"/>
    <x v="159"/>
    <x v="158"/>
    <n v="2012"/>
    <s v="Visa"/>
    <n v="7898.48"/>
    <n v="7"/>
    <x v="1"/>
  </r>
  <r>
    <s v="25-416489312012"/>
    <x v="159"/>
    <x v="158"/>
    <n v="2012"/>
    <s v="Master Card"/>
    <n v="862.95"/>
    <n v="1"/>
    <x v="1"/>
  </r>
  <r>
    <s v="25-416489312011"/>
    <x v="159"/>
    <x v="158"/>
    <n v="2011"/>
    <s v="Visa"/>
    <n v="65414.34"/>
    <n v="69"/>
    <x v="1"/>
  </r>
  <r>
    <s v="25-416489312011"/>
    <x v="159"/>
    <x v="158"/>
    <n v="2011"/>
    <s v="Master Card"/>
    <n v="23249.01"/>
    <n v="32"/>
    <x v="1"/>
  </r>
  <r>
    <s v="25-416489312011"/>
    <x v="159"/>
    <x v="158"/>
    <n v="2011"/>
    <s v="Star"/>
    <n v="888.9"/>
    <n v="2"/>
    <x v="1"/>
  </r>
  <r>
    <s v="25-416489312011"/>
    <x v="159"/>
    <x v="158"/>
    <n v="2011"/>
    <s v="eCheck"/>
    <n v="2402345.94"/>
    <n v="3209"/>
    <x v="1"/>
  </r>
  <r>
    <s v="25-416489312012"/>
    <x v="159"/>
    <x v="158"/>
    <n v="2012"/>
    <s v="eCheck"/>
    <n v="126284.76"/>
    <n v="166"/>
    <x v="1"/>
  </r>
  <r>
    <s v="25-416489312011"/>
    <x v="159"/>
    <x v="158"/>
    <n v="2011"/>
    <s v="Pulse"/>
    <n v="1079.8"/>
    <n v="4"/>
    <x v="1"/>
  </r>
  <r>
    <s v="25-421889172011"/>
    <x v="160"/>
    <x v="159"/>
    <n v="2011"/>
    <s v="Discover"/>
    <n v="10273.700000000001"/>
    <n v="12"/>
    <x v="0"/>
  </r>
  <r>
    <s v="25-421889172012"/>
    <x v="160"/>
    <x v="159"/>
    <n v="2012"/>
    <s v="Debit"/>
    <n v="69258.75"/>
    <n v="98"/>
    <x v="1"/>
  </r>
  <r>
    <s v="25-421889172013"/>
    <x v="160"/>
    <x v="159"/>
    <n v="2013"/>
    <s v="Master Card"/>
    <n v="128417.39"/>
    <n v="167"/>
    <x v="1"/>
  </r>
  <r>
    <s v="25-421889172013"/>
    <x v="160"/>
    <x v="159"/>
    <n v="2013"/>
    <s v="Visa"/>
    <n v="384761.38"/>
    <n v="440"/>
    <x v="1"/>
  </r>
  <r>
    <s v="25-421889172012"/>
    <x v="160"/>
    <x v="159"/>
    <n v="2012"/>
    <s v="Discover"/>
    <n v="13242.9"/>
    <n v="18"/>
    <x v="1"/>
  </r>
  <r>
    <s v="25-421889172011"/>
    <x v="160"/>
    <x v="159"/>
    <n v="2011"/>
    <s v="Master Card"/>
    <n v="91592.47"/>
    <n v="118"/>
    <x v="1"/>
  </r>
  <r>
    <s v="25-421889172011"/>
    <x v="160"/>
    <x v="159"/>
    <n v="2011"/>
    <s v="Visa"/>
    <n v="312241.19"/>
    <n v="391"/>
    <x v="1"/>
  </r>
  <r>
    <s v="25-421889172013"/>
    <x v="160"/>
    <x v="159"/>
    <n v="2013"/>
    <s v="Debit"/>
    <n v="99290.11"/>
    <n v="153"/>
    <x v="1"/>
  </r>
  <r>
    <s v="25-421889172012"/>
    <x v="160"/>
    <x v="159"/>
    <n v="2012"/>
    <s v="Visa"/>
    <n v="394392.32000000001"/>
    <n v="457"/>
    <x v="1"/>
  </r>
  <r>
    <s v="25-421889172013"/>
    <x v="160"/>
    <x v="159"/>
    <n v="2013"/>
    <s v="Discover"/>
    <n v="22079.8"/>
    <n v="29"/>
    <x v="1"/>
  </r>
  <r>
    <s v="25-421889172012"/>
    <x v="160"/>
    <x v="159"/>
    <n v="2012"/>
    <s v="Master Card"/>
    <n v="112071.31"/>
    <n v="128"/>
    <x v="1"/>
  </r>
  <r>
    <s v="25-421912492013"/>
    <x v="161"/>
    <x v="160"/>
    <n v="2013"/>
    <s v="Discover"/>
    <n v="6053.81"/>
    <n v="12"/>
    <x v="0"/>
  </r>
  <r>
    <s v="25-421912492013"/>
    <x v="161"/>
    <x v="160"/>
    <n v="2013"/>
    <s v="Debit"/>
    <n v="35076.639999999999"/>
    <n v="72"/>
    <x v="1"/>
  </r>
  <r>
    <s v="25-421912492011"/>
    <x v="161"/>
    <x v="160"/>
    <n v="2011"/>
    <s v="Star"/>
    <n v="6987.25"/>
    <n v="16"/>
    <x v="1"/>
  </r>
  <r>
    <s v="25-421912492012"/>
    <x v="161"/>
    <x v="160"/>
    <n v="2012"/>
    <s v="Discover"/>
    <n v="3105.73"/>
    <n v="8"/>
    <x v="1"/>
  </r>
  <r>
    <s v="25-421912492012"/>
    <x v="161"/>
    <x v="160"/>
    <n v="2012"/>
    <s v="NYCE"/>
    <n v="987.1"/>
    <n v="5"/>
    <x v="1"/>
  </r>
  <r>
    <s v="25-421912492011"/>
    <x v="161"/>
    <x v="160"/>
    <n v="2011"/>
    <s v="Visa"/>
    <n v="177863.89"/>
    <n v="354"/>
    <x v="1"/>
  </r>
  <r>
    <s v="25-421912492011"/>
    <x v="161"/>
    <x v="160"/>
    <n v="2011"/>
    <s v="Master Card"/>
    <n v="39236.82"/>
    <n v="86"/>
    <x v="1"/>
  </r>
  <r>
    <s v="25-421912492011"/>
    <x v="161"/>
    <x v="160"/>
    <n v="2011"/>
    <s v="Pulse"/>
    <n v="4963.32"/>
    <n v="8"/>
    <x v="1"/>
  </r>
  <r>
    <s v="25-421912492012"/>
    <x v="161"/>
    <x v="160"/>
    <n v="2012"/>
    <s v="eCheck"/>
    <n v="345.8"/>
    <n v="1"/>
    <x v="1"/>
  </r>
  <r>
    <s v="25-421912492013"/>
    <x v="161"/>
    <x v="160"/>
    <n v="2013"/>
    <s v="Visa"/>
    <n v="139003.67000000001"/>
    <n v="296"/>
    <x v="1"/>
  </r>
  <r>
    <s v="25-421912492013"/>
    <x v="161"/>
    <x v="160"/>
    <n v="2013"/>
    <s v="Master Card"/>
    <n v="26433.17"/>
    <n v="49"/>
    <x v="1"/>
  </r>
  <r>
    <s v="25-421912492011"/>
    <x v="161"/>
    <x v="160"/>
    <n v="2011"/>
    <s v="Discover"/>
    <n v="3174.8"/>
    <n v="7"/>
    <x v="1"/>
  </r>
  <r>
    <s v="25-421912492012"/>
    <x v="161"/>
    <x v="160"/>
    <n v="2012"/>
    <s v="Debit"/>
    <n v="37525.199999999997"/>
    <n v="94"/>
    <x v="1"/>
  </r>
  <r>
    <s v="25-421912492011"/>
    <x v="161"/>
    <x v="160"/>
    <n v="2011"/>
    <s v="NYCE"/>
    <n v="2221.7800000000002"/>
    <n v="9"/>
    <x v="1"/>
  </r>
  <r>
    <s v="25-421912492012"/>
    <x v="161"/>
    <x v="160"/>
    <n v="2012"/>
    <s v="Star"/>
    <n v="4598.7299999999996"/>
    <n v="10"/>
    <x v="1"/>
  </r>
  <r>
    <s v="25-421912492012"/>
    <x v="161"/>
    <x v="160"/>
    <n v="2012"/>
    <s v="Master Card"/>
    <n v="56920.92"/>
    <n v="116"/>
    <x v="1"/>
  </r>
  <r>
    <s v="25-421912492012"/>
    <x v="161"/>
    <x v="160"/>
    <n v="2012"/>
    <s v="Pulse"/>
    <n v="1550.95"/>
    <n v="2"/>
    <x v="1"/>
  </r>
  <r>
    <s v="25-421912492013"/>
    <x v="161"/>
    <x v="160"/>
    <n v="2013"/>
    <s v="eCheck"/>
    <n v="150"/>
    <n v="1"/>
    <x v="1"/>
  </r>
  <r>
    <s v="25-421912492012"/>
    <x v="161"/>
    <x v="160"/>
    <n v="2012"/>
    <s v="Visa"/>
    <n v="160799.67999999999"/>
    <n v="355"/>
    <x v="1"/>
  </r>
  <r>
    <s v="25-442211062011"/>
    <x v="162"/>
    <x v="161"/>
    <n v="2011"/>
    <s v="NYCE"/>
    <n v="308357.82"/>
    <n v="809"/>
    <x v="0"/>
  </r>
  <r>
    <s v="25-442211062012"/>
    <x v="162"/>
    <x v="161"/>
    <n v="2012"/>
    <s v="Master Card"/>
    <n v="453343.36"/>
    <n v="1332"/>
    <x v="1"/>
  </r>
  <r>
    <s v="25-442211062013"/>
    <x v="162"/>
    <x v="161"/>
    <n v="2013"/>
    <s v="eCheck"/>
    <n v="1334646.79"/>
    <n v="3577"/>
    <x v="1"/>
  </r>
  <r>
    <s v="25-442211062012"/>
    <x v="162"/>
    <x v="161"/>
    <n v="2012"/>
    <s v="Pulse"/>
    <n v="1110"/>
    <n v="4"/>
    <x v="1"/>
  </r>
  <r>
    <s v="25-442211062011"/>
    <x v="162"/>
    <x v="161"/>
    <n v="2011"/>
    <s v="Discover"/>
    <n v="3037"/>
    <n v="18"/>
    <x v="1"/>
  </r>
  <r>
    <s v="25-442211062012"/>
    <x v="162"/>
    <x v="161"/>
    <n v="2012"/>
    <s v="Debit"/>
    <n v="875617.93"/>
    <n v="2579"/>
    <x v="1"/>
  </r>
  <r>
    <s v="25-442211062013"/>
    <x v="162"/>
    <x v="161"/>
    <n v="2013"/>
    <s v="Discover"/>
    <n v="13621.5"/>
    <n v="37"/>
    <x v="1"/>
  </r>
  <r>
    <s v="25-442211062011"/>
    <x v="162"/>
    <x v="161"/>
    <n v="2011"/>
    <s v="eCheck"/>
    <n v="870059.4"/>
    <n v="2602"/>
    <x v="1"/>
  </r>
  <r>
    <s v="25-442211062012"/>
    <x v="162"/>
    <x v="161"/>
    <n v="2012"/>
    <s v="Visa"/>
    <n v="208509.5"/>
    <n v="647"/>
    <x v="1"/>
  </r>
  <r>
    <s v="25-442211062013"/>
    <x v="162"/>
    <x v="161"/>
    <n v="2013"/>
    <s v="Debit"/>
    <n v="1394157.69"/>
    <n v="4284"/>
    <x v="1"/>
  </r>
  <r>
    <s v="25-442211062012"/>
    <x v="162"/>
    <x v="161"/>
    <n v="2012"/>
    <s v="Discover"/>
    <n v="8875.5"/>
    <n v="19"/>
    <x v="1"/>
  </r>
  <r>
    <s v="25-442211062011"/>
    <x v="162"/>
    <x v="161"/>
    <n v="2011"/>
    <s v="Visa"/>
    <n v="518419.37"/>
    <n v="1507"/>
    <x v="1"/>
  </r>
  <r>
    <s v="25-442211062011"/>
    <x v="162"/>
    <x v="161"/>
    <n v="2011"/>
    <s v="Star"/>
    <n v="74052.28"/>
    <n v="270"/>
    <x v="1"/>
  </r>
  <r>
    <s v="25-442211062012"/>
    <x v="162"/>
    <x v="161"/>
    <n v="2012"/>
    <s v="eCheck"/>
    <n v="1128835.1000000001"/>
    <n v="3194"/>
    <x v="1"/>
  </r>
  <r>
    <s v="25-442211062011"/>
    <x v="162"/>
    <x v="161"/>
    <n v="2011"/>
    <s v="Master Card"/>
    <n v="223270.06"/>
    <n v="636"/>
    <x v="1"/>
  </r>
  <r>
    <s v="25-442211062011"/>
    <x v="162"/>
    <x v="161"/>
    <n v="2011"/>
    <s v="Debit"/>
    <n v="5860"/>
    <n v="17"/>
    <x v="1"/>
  </r>
  <r>
    <s v="25-442211062011"/>
    <x v="162"/>
    <x v="161"/>
    <n v="2011"/>
    <s v="Pulse"/>
    <n v="107665.75"/>
    <n v="312"/>
    <x v="1"/>
  </r>
  <r>
    <s v="25-442211062013"/>
    <x v="162"/>
    <x v="161"/>
    <n v="2013"/>
    <s v="Visa"/>
    <n v="171054.52"/>
    <n v="559"/>
    <x v="1"/>
  </r>
  <r>
    <s v="25-442211062013"/>
    <x v="162"/>
    <x v="161"/>
    <n v="2013"/>
    <s v="Master Card"/>
    <n v="289881.5"/>
    <n v="897"/>
    <x v="1"/>
  </r>
  <r>
    <s v="25-442211062012"/>
    <x v="162"/>
    <x v="161"/>
    <n v="2012"/>
    <s v="NYCE"/>
    <n v="5911"/>
    <n v="29"/>
    <x v="1"/>
  </r>
  <r>
    <s v="25-452605752013"/>
    <x v="163"/>
    <x v="162"/>
    <n v="2013"/>
    <s v="Visa"/>
    <n v="762588.99"/>
    <n v="774"/>
    <x v="0"/>
  </r>
  <r>
    <s v="25-452605752013"/>
    <x v="163"/>
    <x v="162"/>
    <n v="2013"/>
    <s v="Master Card"/>
    <n v="235180.39"/>
    <n v="242"/>
    <x v="1"/>
  </r>
  <r>
    <s v="25-452605752011"/>
    <x v="163"/>
    <x v="162"/>
    <n v="2011"/>
    <s v="Debit"/>
    <n v="1843.4"/>
    <n v="4"/>
    <x v="1"/>
  </r>
  <r>
    <s v="25-452605752011"/>
    <x v="163"/>
    <x v="162"/>
    <n v="2011"/>
    <s v="Visa"/>
    <n v="169024.67"/>
    <n v="198"/>
    <x v="1"/>
  </r>
  <r>
    <s v="25-452605752011"/>
    <x v="163"/>
    <x v="162"/>
    <n v="2011"/>
    <s v="Master Card"/>
    <n v="57522.400000000001"/>
    <n v="90"/>
    <x v="1"/>
  </r>
  <r>
    <s v="25-452605752013"/>
    <x v="163"/>
    <x v="162"/>
    <n v="2013"/>
    <s v="Debit"/>
    <n v="197945.59"/>
    <n v="234"/>
    <x v="1"/>
  </r>
  <r>
    <s v="25-452605752012"/>
    <x v="163"/>
    <x v="162"/>
    <n v="2012"/>
    <s v="Master Card"/>
    <n v="215768.18"/>
    <n v="296"/>
    <x v="1"/>
  </r>
  <r>
    <s v="25-452605752012"/>
    <x v="163"/>
    <x v="162"/>
    <n v="2012"/>
    <s v="Visa"/>
    <n v="614563.37"/>
    <n v="748"/>
    <x v="1"/>
  </r>
  <r>
    <s v="25-452605752012"/>
    <x v="163"/>
    <x v="162"/>
    <n v="2012"/>
    <s v="Debit"/>
    <n v="151186.06"/>
    <n v="240"/>
    <x v="1"/>
  </r>
  <r>
    <s v="25-452839722013"/>
    <x v="164"/>
    <x v="163"/>
    <n v="2013"/>
    <s v="Debit"/>
    <n v="206712.17"/>
    <n v="210"/>
    <x v="0"/>
  </r>
  <r>
    <s v="25-452839722011"/>
    <x v="164"/>
    <x v="163"/>
    <n v="2011"/>
    <s v="Visa"/>
    <n v="210319.7"/>
    <n v="158"/>
    <x v="1"/>
  </r>
  <r>
    <s v="25-452839722011"/>
    <x v="164"/>
    <x v="163"/>
    <n v="2011"/>
    <s v="Master Card"/>
    <n v="87494.96"/>
    <n v="59"/>
    <x v="1"/>
  </r>
  <r>
    <s v="25-452839722012"/>
    <x v="164"/>
    <x v="163"/>
    <n v="2012"/>
    <s v="Debit"/>
    <n v="153072.65"/>
    <n v="156"/>
    <x v="1"/>
  </r>
  <r>
    <s v="25-452839722012"/>
    <x v="164"/>
    <x v="163"/>
    <n v="2012"/>
    <s v="Visa"/>
    <n v="1062237.8"/>
    <n v="858"/>
    <x v="1"/>
  </r>
  <r>
    <s v="25-452839722012"/>
    <x v="164"/>
    <x v="163"/>
    <n v="2012"/>
    <s v="Master Card"/>
    <n v="458670.56"/>
    <n v="397"/>
    <x v="1"/>
  </r>
  <r>
    <s v="25-452839722013"/>
    <x v="164"/>
    <x v="163"/>
    <n v="2013"/>
    <s v="American Express"/>
    <n v="34744.03"/>
    <n v="31"/>
    <x v="1"/>
  </r>
  <r>
    <s v="25-452839722011"/>
    <x v="164"/>
    <x v="163"/>
    <n v="2011"/>
    <s v="Debit"/>
    <n v="444.34"/>
    <n v="1"/>
    <x v="1"/>
  </r>
  <r>
    <s v="25-452839722013"/>
    <x v="164"/>
    <x v="163"/>
    <n v="2013"/>
    <s v="Master Card"/>
    <n v="490645.95"/>
    <n v="447"/>
    <x v="1"/>
  </r>
  <r>
    <s v="25-452839722013"/>
    <x v="164"/>
    <x v="163"/>
    <n v="2013"/>
    <s v="Visa"/>
    <n v="984485.88"/>
    <n v="974"/>
    <x v="1"/>
  </r>
  <r>
    <s v="25-666282932013"/>
    <x v="165"/>
    <x v="164"/>
    <n v="2013"/>
    <s v="Master Card"/>
    <n v="213194.78"/>
    <n v="288"/>
    <x v="0"/>
  </r>
  <r>
    <s v="25-666282932013"/>
    <x v="165"/>
    <x v="164"/>
    <n v="2013"/>
    <s v="Visa"/>
    <n v="286067.06"/>
    <n v="402"/>
    <x v="1"/>
  </r>
  <r>
    <s v="25-666282932011"/>
    <x v="165"/>
    <x v="164"/>
    <n v="2011"/>
    <s v="Discover"/>
    <n v="52095.83"/>
    <n v="66"/>
    <x v="1"/>
  </r>
  <r>
    <s v="25-666282932012"/>
    <x v="165"/>
    <x v="164"/>
    <n v="2012"/>
    <s v="Visa"/>
    <n v="335375.02"/>
    <n v="523"/>
    <x v="1"/>
  </r>
  <r>
    <s v="25-666282932012"/>
    <x v="165"/>
    <x v="164"/>
    <n v="2012"/>
    <s v="Master Card"/>
    <n v="247053.96"/>
    <n v="371"/>
    <x v="1"/>
  </r>
  <r>
    <s v="25-666282932011"/>
    <x v="165"/>
    <x v="164"/>
    <n v="2011"/>
    <s v="Debit"/>
    <n v="390.4"/>
    <n v="2"/>
    <x v="1"/>
  </r>
  <r>
    <s v="25-666282932013"/>
    <x v="165"/>
    <x v="164"/>
    <n v="2013"/>
    <s v="Discover"/>
    <n v="27564.15"/>
    <n v="38"/>
    <x v="1"/>
  </r>
  <r>
    <s v="25-666282932012"/>
    <x v="165"/>
    <x v="164"/>
    <n v="2012"/>
    <s v="Debit"/>
    <n v="235209.13"/>
    <n v="468"/>
    <x v="1"/>
  </r>
  <r>
    <s v="25-666282932012"/>
    <x v="165"/>
    <x v="164"/>
    <n v="2012"/>
    <s v="Discover"/>
    <n v="50518.27"/>
    <n v="65"/>
    <x v="1"/>
  </r>
  <r>
    <s v="25-666282932011"/>
    <x v="165"/>
    <x v="164"/>
    <n v="2011"/>
    <s v="Visa"/>
    <n v="567111.48"/>
    <n v="773"/>
    <x v="1"/>
  </r>
  <r>
    <s v="25-666282932013"/>
    <x v="165"/>
    <x v="164"/>
    <n v="2013"/>
    <s v="Debit"/>
    <n v="271166.90000000002"/>
    <n v="531"/>
    <x v="1"/>
  </r>
  <r>
    <s v="25-666282932011"/>
    <x v="165"/>
    <x v="164"/>
    <n v="2011"/>
    <s v="Master Card"/>
    <n v="255500.67"/>
    <n v="361"/>
    <x v="1"/>
  </r>
  <r>
    <s v="25-669333532013"/>
    <x v="166"/>
    <x v="165"/>
    <n v="2013"/>
    <s v="Visa"/>
    <n v="62953.84"/>
    <n v="325"/>
    <x v="0"/>
  </r>
  <r>
    <s v="25-669333532013"/>
    <x v="166"/>
    <x v="165"/>
    <n v="2013"/>
    <s v="Debit"/>
    <n v="133540.99"/>
    <n v="666"/>
    <x v="1"/>
  </r>
  <r>
    <s v="25-669333532011"/>
    <x v="166"/>
    <x v="165"/>
    <n v="2011"/>
    <s v="Discover"/>
    <n v="1318.5"/>
    <n v="2"/>
    <x v="1"/>
  </r>
  <r>
    <s v="25-669333532013"/>
    <x v="166"/>
    <x v="165"/>
    <n v="2013"/>
    <s v="Master Card"/>
    <n v="46142.5"/>
    <n v="171"/>
    <x v="1"/>
  </r>
  <r>
    <s v="25-669333532012"/>
    <x v="166"/>
    <x v="165"/>
    <n v="2012"/>
    <s v="eCheck"/>
    <n v="3262.5"/>
    <n v="43"/>
    <x v="1"/>
  </r>
  <r>
    <s v="25-669333532011"/>
    <x v="166"/>
    <x v="165"/>
    <n v="2011"/>
    <s v="Pulse"/>
    <n v="3740"/>
    <n v="15"/>
    <x v="1"/>
  </r>
  <r>
    <s v="25-669333532012"/>
    <x v="166"/>
    <x v="165"/>
    <n v="2012"/>
    <s v="Visa"/>
    <n v="72135.990000000005"/>
    <n v="351"/>
    <x v="1"/>
  </r>
  <r>
    <s v="25-669333532011"/>
    <x v="166"/>
    <x v="165"/>
    <n v="2011"/>
    <s v="NYCE"/>
    <n v="250"/>
    <n v="1"/>
    <x v="1"/>
  </r>
  <r>
    <s v="25-669333532012"/>
    <x v="166"/>
    <x v="165"/>
    <n v="2012"/>
    <s v="Star"/>
    <n v="9135.5"/>
    <n v="48"/>
    <x v="1"/>
  </r>
  <r>
    <s v="25-669333532012"/>
    <x v="166"/>
    <x v="165"/>
    <n v="2012"/>
    <s v="Master Card"/>
    <n v="42886.48"/>
    <n v="169"/>
    <x v="1"/>
  </r>
  <r>
    <s v="25-669333532013"/>
    <x v="166"/>
    <x v="165"/>
    <n v="2013"/>
    <s v="Discover"/>
    <n v="2042.5"/>
    <n v="12"/>
    <x v="1"/>
  </r>
  <r>
    <s v="25-669333532013"/>
    <x v="166"/>
    <x v="165"/>
    <n v="2013"/>
    <s v="eCheck"/>
    <n v="12045"/>
    <n v="84"/>
    <x v="1"/>
  </r>
  <r>
    <s v="25-669333532011"/>
    <x v="166"/>
    <x v="165"/>
    <n v="2011"/>
    <s v="Debit"/>
    <n v="165"/>
    <n v="1"/>
    <x v="1"/>
  </r>
  <r>
    <s v="25-669333532012"/>
    <x v="166"/>
    <x v="165"/>
    <n v="2012"/>
    <s v="Pulse"/>
    <n v="2214.67"/>
    <n v="15"/>
    <x v="1"/>
  </r>
  <r>
    <s v="25-669333532012"/>
    <x v="166"/>
    <x v="165"/>
    <n v="2012"/>
    <s v="Discover"/>
    <n v="1545.49"/>
    <n v="6"/>
    <x v="1"/>
  </r>
  <r>
    <s v="25-669333532011"/>
    <x v="166"/>
    <x v="165"/>
    <n v="2011"/>
    <s v="Master Card"/>
    <n v="23076.83"/>
    <n v="94"/>
    <x v="1"/>
  </r>
  <r>
    <s v="25-669333532012"/>
    <x v="166"/>
    <x v="165"/>
    <n v="2012"/>
    <s v="Debit"/>
    <n v="99949.55"/>
    <n v="475"/>
    <x v="1"/>
  </r>
  <r>
    <s v="25-669333532011"/>
    <x v="166"/>
    <x v="165"/>
    <n v="2011"/>
    <s v="eCheck"/>
    <n v="2400"/>
    <n v="32"/>
    <x v="1"/>
  </r>
  <r>
    <s v="25-669333532012"/>
    <x v="166"/>
    <x v="165"/>
    <n v="2012"/>
    <s v="NYCE"/>
    <n v="425"/>
    <n v="2"/>
    <x v="1"/>
  </r>
  <r>
    <s v="25-669333532011"/>
    <x v="166"/>
    <x v="165"/>
    <n v="2011"/>
    <s v="Visa"/>
    <n v="96094.19"/>
    <n v="418"/>
    <x v="1"/>
  </r>
  <r>
    <s v="25-669333532011"/>
    <x v="166"/>
    <x v="165"/>
    <n v="2011"/>
    <s v="Star"/>
    <n v="17794.830000000002"/>
    <n v="101"/>
    <x v="1"/>
  </r>
  <r>
    <s v="25-725074052013"/>
    <x v="167"/>
    <x v="166"/>
    <n v="2013"/>
    <s v="American Express"/>
    <n v="6298373.3300000001"/>
    <n v="2087"/>
    <x v="0"/>
  </r>
  <r>
    <s v="25-725074052013"/>
    <x v="167"/>
    <x v="166"/>
    <n v="2013"/>
    <s v="Discover"/>
    <n v="510054.71"/>
    <n v="190"/>
    <x v="1"/>
  </r>
  <r>
    <s v="25-725074052013"/>
    <x v="167"/>
    <x v="166"/>
    <n v="2013"/>
    <s v="Debit"/>
    <n v="5451310.6799999997"/>
    <n v="2275"/>
    <x v="1"/>
  </r>
  <r>
    <s v="25-725074052012"/>
    <x v="167"/>
    <x v="166"/>
    <n v="2012"/>
    <s v="Star"/>
    <n v="86930.74"/>
    <n v="44"/>
    <x v="1"/>
  </r>
  <r>
    <s v="25-725074052012"/>
    <x v="167"/>
    <x v="166"/>
    <n v="2012"/>
    <s v="American Express"/>
    <n v="8423947.7799999993"/>
    <n v="2908"/>
    <x v="1"/>
  </r>
  <r>
    <s v="25-725074052012"/>
    <x v="167"/>
    <x v="166"/>
    <n v="2012"/>
    <s v="Debit"/>
    <n v="4477295.4000000004"/>
    <n v="2004"/>
    <x v="1"/>
  </r>
  <r>
    <s v="25-725074052012"/>
    <x v="167"/>
    <x v="166"/>
    <n v="2012"/>
    <s v="Master Card"/>
    <n v="13142984.18"/>
    <n v="4385"/>
    <x v="1"/>
  </r>
  <r>
    <s v="25-725074052011"/>
    <x v="167"/>
    <x v="166"/>
    <n v="2011"/>
    <s v="NYCE"/>
    <n v="121914.45"/>
    <n v="42"/>
    <x v="1"/>
  </r>
  <r>
    <s v="25-725074052011"/>
    <x v="167"/>
    <x v="166"/>
    <n v="2011"/>
    <s v="eCheck"/>
    <n v="3806826.59"/>
    <n v="1505"/>
    <x v="1"/>
  </r>
  <r>
    <s v="25-725074052012"/>
    <x v="167"/>
    <x v="166"/>
    <n v="2012"/>
    <s v="Visa"/>
    <n v="13872639.9"/>
    <n v="5137"/>
    <x v="1"/>
  </r>
  <r>
    <s v="25-725074052012"/>
    <x v="167"/>
    <x v="166"/>
    <n v="2012"/>
    <s v="NYCE"/>
    <n v="33735.339999999997"/>
    <n v="26"/>
    <x v="1"/>
  </r>
  <r>
    <s v="25-725074052013"/>
    <x v="167"/>
    <x v="166"/>
    <n v="2013"/>
    <s v="Visa"/>
    <n v="13430629.33"/>
    <n v="4683"/>
    <x v="1"/>
  </r>
  <r>
    <s v="25-725074052013"/>
    <x v="167"/>
    <x v="166"/>
    <n v="2013"/>
    <s v="Master Card"/>
    <n v="11452757.35"/>
    <n v="3447"/>
    <x v="1"/>
  </r>
  <r>
    <s v="25-725074052011"/>
    <x v="167"/>
    <x v="166"/>
    <n v="2011"/>
    <s v="Discover"/>
    <n v="289828.46000000002"/>
    <n v="142"/>
    <x v="1"/>
  </r>
  <r>
    <s v="25-725074052012"/>
    <x v="167"/>
    <x v="166"/>
    <n v="2012"/>
    <s v="Pulse"/>
    <n v="95687.87"/>
    <n v="40"/>
    <x v="1"/>
  </r>
  <r>
    <s v="25-725074052011"/>
    <x v="167"/>
    <x v="166"/>
    <n v="2011"/>
    <s v="American Express"/>
    <n v="8401840.3000000007"/>
    <n v="2898"/>
    <x v="1"/>
  </r>
  <r>
    <s v="25-725074052011"/>
    <x v="167"/>
    <x v="166"/>
    <n v="2011"/>
    <s v="Debit"/>
    <n v="17748.61"/>
    <n v="11"/>
    <x v="1"/>
  </r>
  <r>
    <s v="25-725074052013"/>
    <x v="167"/>
    <x v="166"/>
    <n v="2013"/>
    <s v="eCheck"/>
    <n v="6288699.1299999999"/>
    <n v="2283"/>
    <x v="1"/>
  </r>
  <r>
    <s v="25-725074052012"/>
    <x v="167"/>
    <x v="166"/>
    <n v="2012"/>
    <s v="Discover"/>
    <n v="454703.81"/>
    <n v="204"/>
    <x v="1"/>
  </r>
  <r>
    <s v="25-725074052011"/>
    <x v="167"/>
    <x v="166"/>
    <n v="2011"/>
    <s v="Pulse"/>
    <n v="27657.54"/>
    <n v="14"/>
    <x v="1"/>
  </r>
  <r>
    <s v="25-725074052011"/>
    <x v="167"/>
    <x v="166"/>
    <n v="2011"/>
    <s v="Master Card"/>
    <n v="10472366.02"/>
    <n v="3507"/>
    <x v="1"/>
  </r>
  <r>
    <s v="25-725074052012"/>
    <x v="167"/>
    <x v="166"/>
    <n v="2012"/>
    <s v="eCheck"/>
    <n v="5482047.4100000001"/>
    <n v="2047"/>
    <x v="1"/>
  </r>
  <r>
    <s v="25-725074052011"/>
    <x v="167"/>
    <x v="166"/>
    <n v="2011"/>
    <s v="Star"/>
    <n v="93942.21"/>
    <n v="33"/>
    <x v="1"/>
  </r>
  <r>
    <s v="25-725074052011"/>
    <x v="167"/>
    <x v="166"/>
    <n v="2011"/>
    <s v="Visa"/>
    <n v="11347090.48"/>
    <n v="4528"/>
    <x v="1"/>
  </r>
  <r>
    <s v="25-736206482012"/>
    <x v="168"/>
    <x v="167"/>
    <n v="2012"/>
    <s v="American Express"/>
    <n v="236150.58"/>
    <n v="221"/>
    <x v="0"/>
  </r>
  <r>
    <s v="25-736206482011"/>
    <x v="168"/>
    <x v="167"/>
    <n v="2011"/>
    <s v="Discover"/>
    <n v="65512.98"/>
    <n v="78"/>
    <x v="1"/>
  </r>
  <r>
    <s v="25-736206482013"/>
    <x v="168"/>
    <x v="167"/>
    <n v="2013"/>
    <s v="Master Card"/>
    <n v="353747.52"/>
    <n v="384"/>
    <x v="1"/>
  </r>
  <r>
    <s v="25-736206482013"/>
    <x v="168"/>
    <x v="167"/>
    <n v="2013"/>
    <s v="Visa"/>
    <n v="684171.42"/>
    <n v="737"/>
    <x v="1"/>
  </r>
  <r>
    <s v="25-736206482013"/>
    <x v="168"/>
    <x v="167"/>
    <n v="2013"/>
    <s v="Debit"/>
    <n v="386091.04"/>
    <n v="435"/>
    <x v="1"/>
  </r>
  <r>
    <s v="25-736206482012"/>
    <x v="168"/>
    <x v="167"/>
    <n v="2012"/>
    <s v="Master Card"/>
    <n v="329543.11"/>
    <n v="372"/>
    <x v="1"/>
  </r>
  <r>
    <s v="25-736206482012"/>
    <x v="168"/>
    <x v="167"/>
    <n v="2012"/>
    <s v="Visa"/>
    <n v="591172.23"/>
    <n v="642"/>
    <x v="1"/>
  </r>
  <r>
    <s v="25-736206482011"/>
    <x v="168"/>
    <x v="167"/>
    <n v="2011"/>
    <s v="eCheck"/>
    <n v="6199.01"/>
    <n v="5"/>
    <x v="1"/>
  </r>
  <r>
    <s v="25-736206482011"/>
    <x v="168"/>
    <x v="167"/>
    <n v="2011"/>
    <s v="Master Card"/>
    <n v="362471.62"/>
    <n v="406"/>
    <x v="1"/>
  </r>
  <r>
    <s v="25-736206482013"/>
    <x v="168"/>
    <x v="167"/>
    <n v="2013"/>
    <s v="American Express"/>
    <n v="290309.71999999997"/>
    <n v="287"/>
    <x v="1"/>
  </r>
  <r>
    <s v="25-736206482011"/>
    <x v="168"/>
    <x v="167"/>
    <n v="2011"/>
    <s v="Visa"/>
    <n v="571423.54"/>
    <n v="684"/>
    <x v="1"/>
  </r>
  <r>
    <s v="25-736206482013"/>
    <x v="168"/>
    <x v="167"/>
    <n v="2013"/>
    <s v="Discover"/>
    <n v="129985.45"/>
    <n v="137"/>
    <x v="1"/>
  </r>
  <r>
    <s v="25-736206482012"/>
    <x v="168"/>
    <x v="167"/>
    <n v="2012"/>
    <s v="eCheck"/>
    <n v="60301.31"/>
    <n v="57"/>
    <x v="1"/>
  </r>
  <r>
    <s v="25-736206482011"/>
    <x v="168"/>
    <x v="167"/>
    <n v="2011"/>
    <s v="Debit"/>
    <n v="350"/>
    <n v="2"/>
    <x v="1"/>
  </r>
  <r>
    <s v="25-736206482012"/>
    <x v="168"/>
    <x v="167"/>
    <n v="2012"/>
    <s v="Discover"/>
    <n v="130275.05"/>
    <n v="135"/>
    <x v="1"/>
  </r>
  <r>
    <s v="25-736206482012"/>
    <x v="168"/>
    <x v="167"/>
    <n v="2012"/>
    <s v="Debit"/>
    <n v="256232.78"/>
    <n v="288"/>
    <x v="1"/>
  </r>
  <r>
    <s v="25-736206482013"/>
    <x v="168"/>
    <x v="167"/>
    <n v="2013"/>
    <s v="eCheck"/>
    <n v="57106.23"/>
    <n v="57"/>
    <x v="1"/>
  </r>
  <r>
    <s v="25-736206482011"/>
    <x v="168"/>
    <x v="167"/>
    <n v="2011"/>
    <s v="American Express"/>
    <n v="241010.13"/>
    <n v="208"/>
    <x v="1"/>
  </r>
  <r>
    <s v="25-750072812012"/>
    <x v="169"/>
    <x v="168"/>
    <n v="2012"/>
    <s v="American Express"/>
    <n v="174628.97"/>
    <n v="51"/>
    <x v="0"/>
  </r>
  <r>
    <s v="25-750072812012"/>
    <x v="169"/>
    <x v="168"/>
    <n v="2012"/>
    <s v="Debit"/>
    <n v="60271.65"/>
    <n v="32"/>
    <x v="1"/>
  </r>
  <r>
    <s v="25-750072812013"/>
    <x v="169"/>
    <x v="168"/>
    <n v="2013"/>
    <s v="Discover"/>
    <n v="16476.72"/>
    <n v="6"/>
    <x v="1"/>
  </r>
  <r>
    <s v="25-750072812011"/>
    <x v="169"/>
    <x v="168"/>
    <n v="2011"/>
    <s v="American Express"/>
    <n v="177986.28"/>
    <n v="46"/>
    <x v="1"/>
  </r>
  <r>
    <s v="25-750072812012"/>
    <x v="169"/>
    <x v="168"/>
    <n v="2012"/>
    <s v="Visa"/>
    <n v="408741.38"/>
    <n v="108"/>
    <x v="1"/>
  </r>
  <r>
    <s v="25-750072812012"/>
    <x v="169"/>
    <x v="168"/>
    <n v="2012"/>
    <s v="Master Card"/>
    <n v="159951.54"/>
    <n v="57"/>
    <x v="1"/>
  </r>
  <r>
    <s v="25-750072812013"/>
    <x v="169"/>
    <x v="168"/>
    <n v="2013"/>
    <s v="Master Card"/>
    <n v="185678.05"/>
    <n v="52"/>
    <x v="1"/>
  </r>
  <r>
    <s v="25-750072812011"/>
    <x v="169"/>
    <x v="168"/>
    <n v="2011"/>
    <s v="Discover"/>
    <n v="2750"/>
    <n v="1"/>
    <x v="1"/>
  </r>
  <r>
    <s v="25-750072812012"/>
    <x v="169"/>
    <x v="168"/>
    <n v="2012"/>
    <s v="eCheck"/>
    <n v="7660"/>
    <n v="1"/>
    <x v="1"/>
  </r>
  <r>
    <s v="25-750072812013"/>
    <x v="169"/>
    <x v="168"/>
    <n v="2013"/>
    <s v="Visa"/>
    <n v="325622.67"/>
    <n v="98"/>
    <x v="1"/>
  </r>
  <r>
    <s v="25-750072812011"/>
    <x v="169"/>
    <x v="168"/>
    <n v="2011"/>
    <s v="Master Card"/>
    <n v="58053.599999999999"/>
    <n v="18"/>
    <x v="1"/>
  </r>
  <r>
    <s v="25-750072812013"/>
    <x v="169"/>
    <x v="168"/>
    <n v="2013"/>
    <s v="American Express"/>
    <n v="107636.58"/>
    <n v="21"/>
    <x v="1"/>
  </r>
  <r>
    <s v="25-750072812012"/>
    <x v="169"/>
    <x v="168"/>
    <n v="2012"/>
    <s v="Discover"/>
    <n v="18174.96"/>
    <n v="5"/>
    <x v="1"/>
  </r>
  <r>
    <s v="25-750072812011"/>
    <x v="169"/>
    <x v="168"/>
    <n v="2011"/>
    <s v="Visa"/>
    <n v="258808.02"/>
    <n v="76"/>
    <x v="1"/>
  </r>
  <r>
    <s v="25-750072812013"/>
    <x v="169"/>
    <x v="168"/>
    <n v="2013"/>
    <s v="Debit"/>
    <n v="23299.45"/>
    <n v="19"/>
    <x v="1"/>
  </r>
  <r>
    <s v="25-756583282012"/>
    <x v="170"/>
    <x v="169"/>
    <n v="2012"/>
    <s v="Visa"/>
    <n v="77708.05"/>
    <n v="470"/>
    <x v="0"/>
  </r>
  <r>
    <s v="25-756583282013"/>
    <x v="170"/>
    <x v="169"/>
    <n v="2013"/>
    <s v="Discover"/>
    <n v="2661.55"/>
    <n v="10"/>
    <x v="1"/>
  </r>
  <r>
    <s v="25-756583282012"/>
    <x v="170"/>
    <x v="169"/>
    <n v="2012"/>
    <s v="Debit"/>
    <n v="122377.22"/>
    <n v="759"/>
    <x v="1"/>
  </r>
  <r>
    <s v="25-756583282012"/>
    <x v="170"/>
    <x v="169"/>
    <n v="2012"/>
    <s v="Master Card"/>
    <n v="39539.910000000003"/>
    <n v="254"/>
    <x v="1"/>
  </r>
  <r>
    <s v="25-756583282011"/>
    <x v="170"/>
    <x v="169"/>
    <n v="2011"/>
    <s v="Master Card"/>
    <n v="43118.48"/>
    <n v="309"/>
    <x v="1"/>
  </r>
  <r>
    <s v="25-756583282011"/>
    <x v="170"/>
    <x v="169"/>
    <n v="2011"/>
    <s v="Visa"/>
    <n v="153852.48000000001"/>
    <n v="1002"/>
    <x v="1"/>
  </r>
  <r>
    <s v="25-756583282013"/>
    <x v="170"/>
    <x v="169"/>
    <n v="2013"/>
    <s v="Debit"/>
    <n v="132199.91"/>
    <n v="789"/>
    <x v="1"/>
  </r>
  <r>
    <s v="25-756583282012"/>
    <x v="170"/>
    <x v="169"/>
    <n v="2012"/>
    <s v="Discover"/>
    <n v="4052.5"/>
    <n v="14"/>
    <x v="1"/>
  </r>
  <r>
    <s v="25-756583282013"/>
    <x v="170"/>
    <x v="169"/>
    <n v="2013"/>
    <s v="Visa"/>
    <n v="76093.48"/>
    <n v="414"/>
    <x v="1"/>
  </r>
  <r>
    <s v="25-756583282011"/>
    <x v="170"/>
    <x v="169"/>
    <n v="2011"/>
    <s v="Debit"/>
    <n v="245"/>
    <n v="1"/>
    <x v="1"/>
  </r>
  <r>
    <s v="25-756583282013"/>
    <x v="170"/>
    <x v="169"/>
    <n v="2013"/>
    <s v="Master Card"/>
    <n v="33116.01"/>
    <n v="165"/>
    <x v="1"/>
  </r>
  <r>
    <s v="25-756583282011"/>
    <x v="170"/>
    <x v="169"/>
    <n v="2011"/>
    <s v="Discover"/>
    <n v="7133.5"/>
    <n v="21"/>
    <x v="1"/>
  </r>
  <r>
    <s v="25-774596772011"/>
    <x v="171"/>
    <x v="170"/>
    <n v="2011"/>
    <s v="Master Card"/>
    <n v="280826.31"/>
    <n v="165"/>
    <x v="0"/>
  </r>
  <r>
    <s v="25-774596772011"/>
    <x v="171"/>
    <x v="170"/>
    <n v="2011"/>
    <s v="Visa"/>
    <n v="493129.49"/>
    <n v="347"/>
    <x v="1"/>
  </r>
  <r>
    <s v="25-774596772011"/>
    <x v="171"/>
    <x v="170"/>
    <n v="2011"/>
    <s v="Star"/>
    <n v="11014.2"/>
    <n v="10"/>
    <x v="1"/>
  </r>
  <r>
    <s v="25-774596772012"/>
    <x v="171"/>
    <x v="170"/>
    <n v="2012"/>
    <s v="Discover"/>
    <n v="4069.8"/>
    <n v="2"/>
    <x v="1"/>
  </r>
  <r>
    <s v="25-774596772011"/>
    <x v="171"/>
    <x v="170"/>
    <n v="2011"/>
    <s v="Pulse"/>
    <n v="8122.79"/>
    <n v="14"/>
    <x v="1"/>
  </r>
  <r>
    <s v="25-774596772011"/>
    <x v="171"/>
    <x v="170"/>
    <n v="2011"/>
    <s v="American Express"/>
    <n v="324269.81"/>
    <n v="134"/>
    <x v="1"/>
  </r>
  <r>
    <s v="25-774596772011"/>
    <x v="171"/>
    <x v="170"/>
    <n v="2011"/>
    <s v="Discover"/>
    <n v="74735.179999999993"/>
    <n v="61"/>
    <x v="1"/>
  </r>
  <r>
    <s v="25-774596772012"/>
    <x v="171"/>
    <x v="170"/>
    <n v="2012"/>
    <s v="American Express"/>
    <n v="185735.51"/>
    <n v="49"/>
    <x v="1"/>
  </r>
  <r>
    <s v="25-774596772012"/>
    <x v="171"/>
    <x v="170"/>
    <n v="2012"/>
    <s v="Master Card"/>
    <n v="75965.240000000005"/>
    <n v="25"/>
    <x v="1"/>
  </r>
  <r>
    <s v="25-774596772011"/>
    <x v="171"/>
    <x v="170"/>
    <n v="2011"/>
    <s v="NYCE"/>
    <n v="7856.16"/>
    <n v="7"/>
    <x v="1"/>
  </r>
  <r>
    <s v="25-774596772012"/>
    <x v="171"/>
    <x v="170"/>
    <n v="2012"/>
    <s v="Visa"/>
    <n v="77940.149999999994"/>
    <n v="25"/>
    <x v="1"/>
  </r>
  <r>
    <s v="25-774596772012"/>
    <x v="171"/>
    <x v="170"/>
    <n v="2012"/>
    <s v="Debit"/>
    <n v="7528"/>
    <n v="4"/>
    <x v="1"/>
  </r>
  <r>
    <s v="25-794267272011"/>
    <x v="172"/>
    <x v="171"/>
    <n v="2011"/>
    <s v="Visa"/>
    <n v="869676.4"/>
    <n v="752"/>
    <x v="0"/>
  </r>
  <r>
    <s v="25-794267272011"/>
    <x v="172"/>
    <x v="171"/>
    <n v="2011"/>
    <s v="Master Card"/>
    <n v="618696.31999999995"/>
    <n v="499"/>
    <x v="1"/>
  </r>
  <r>
    <s v="25-794267272012"/>
    <x v="172"/>
    <x v="171"/>
    <n v="2012"/>
    <s v="eCheck"/>
    <n v="44868.9"/>
    <n v="7"/>
    <x v="1"/>
  </r>
  <r>
    <s v="25-794267272013"/>
    <x v="172"/>
    <x v="171"/>
    <n v="2013"/>
    <s v="Master Card"/>
    <n v="477510.76"/>
    <n v="396"/>
    <x v="1"/>
  </r>
  <r>
    <s v="25-794267272013"/>
    <x v="172"/>
    <x v="171"/>
    <n v="2013"/>
    <s v="Visa"/>
    <n v="707524.79"/>
    <n v="575"/>
    <x v="1"/>
  </r>
  <r>
    <s v="25-794267272012"/>
    <x v="172"/>
    <x v="171"/>
    <n v="2012"/>
    <s v="Debit"/>
    <n v="178474.25"/>
    <n v="170"/>
    <x v="1"/>
  </r>
  <r>
    <s v="25-794267272012"/>
    <x v="172"/>
    <x v="171"/>
    <n v="2012"/>
    <s v="Master Card"/>
    <n v="516713"/>
    <n v="438"/>
    <x v="1"/>
  </r>
  <r>
    <s v="25-794267272012"/>
    <x v="172"/>
    <x v="171"/>
    <n v="2012"/>
    <s v="Visa"/>
    <n v="747764.51"/>
    <n v="614"/>
    <x v="1"/>
  </r>
  <r>
    <s v="25-794267272011"/>
    <x v="172"/>
    <x v="171"/>
    <n v="2011"/>
    <s v="eCheck"/>
    <n v="47491.08"/>
    <n v="28"/>
    <x v="1"/>
  </r>
  <r>
    <s v="25-794267272013"/>
    <x v="172"/>
    <x v="171"/>
    <n v="2013"/>
    <s v="Debit"/>
    <n v="176468.27"/>
    <n v="163"/>
    <x v="1"/>
  </r>
  <r>
    <s v="25-795019542012"/>
    <x v="173"/>
    <x v="172"/>
    <n v="2012"/>
    <s v="Debit"/>
    <n v="42527.21"/>
    <n v="33"/>
    <x v="0"/>
  </r>
  <r>
    <s v="25-795019542011"/>
    <x v="173"/>
    <x v="172"/>
    <n v="2011"/>
    <s v="Master Card"/>
    <n v="241172.58"/>
    <n v="184"/>
    <x v="1"/>
  </r>
  <r>
    <s v="25-795019542011"/>
    <x v="173"/>
    <x v="172"/>
    <n v="2011"/>
    <s v="Visa"/>
    <n v="402589.62"/>
    <n v="304"/>
    <x v="1"/>
  </r>
  <r>
    <s v="25-795019542011"/>
    <x v="173"/>
    <x v="172"/>
    <n v="2011"/>
    <s v="American Express"/>
    <n v="337494.3"/>
    <n v="267"/>
    <x v="1"/>
  </r>
  <r>
    <s v="25-795019542012"/>
    <x v="173"/>
    <x v="172"/>
    <n v="2012"/>
    <s v="Visa"/>
    <n v="414965.05"/>
    <n v="313"/>
    <x v="1"/>
  </r>
  <r>
    <s v="25-795019542012"/>
    <x v="173"/>
    <x v="172"/>
    <n v="2012"/>
    <s v="Master Card"/>
    <n v="221051.77"/>
    <n v="164"/>
    <x v="1"/>
  </r>
  <r>
    <s v="25-795019542013"/>
    <x v="173"/>
    <x v="172"/>
    <n v="2013"/>
    <s v="Master Card"/>
    <n v="328367.34000000003"/>
    <n v="259"/>
    <x v="1"/>
  </r>
  <r>
    <s v="25-795019542013"/>
    <x v="173"/>
    <x v="172"/>
    <n v="2013"/>
    <s v="Visa"/>
    <n v="549760.32999999996"/>
    <n v="387"/>
    <x v="1"/>
  </r>
  <r>
    <s v="25-795019542013"/>
    <x v="173"/>
    <x v="172"/>
    <n v="2013"/>
    <s v="American Express"/>
    <n v="36851"/>
    <n v="16"/>
    <x v="1"/>
  </r>
  <r>
    <s v="25-795019542013"/>
    <x v="173"/>
    <x v="172"/>
    <n v="2013"/>
    <s v="Debit"/>
    <n v="42820.61"/>
    <n v="29"/>
    <x v="1"/>
  </r>
  <r>
    <s v="25-795019542012"/>
    <x v="173"/>
    <x v="172"/>
    <n v="2012"/>
    <s v="American Express"/>
    <n v="423047.1"/>
    <n v="350"/>
    <x v="1"/>
  </r>
  <r>
    <s v="25-795477922013"/>
    <x v="174"/>
    <x v="173"/>
    <n v="2013"/>
    <s v="Master Card"/>
    <n v="1210537.81"/>
    <n v="1014"/>
    <x v="0"/>
  </r>
  <r>
    <s v="25-795477922011"/>
    <x v="174"/>
    <x v="173"/>
    <n v="2011"/>
    <s v="eCheck"/>
    <n v="2407.38"/>
    <n v="2"/>
    <x v="1"/>
  </r>
  <r>
    <s v="25-795477922012"/>
    <x v="174"/>
    <x v="173"/>
    <n v="2012"/>
    <s v="Debit"/>
    <n v="358384.11"/>
    <n v="396"/>
    <x v="1"/>
  </r>
  <r>
    <s v="25-795477922011"/>
    <x v="174"/>
    <x v="173"/>
    <n v="2011"/>
    <s v="Master Card"/>
    <n v="1622308.4"/>
    <n v="1203"/>
    <x v="1"/>
  </r>
  <r>
    <s v="25-795477922011"/>
    <x v="174"/>
    <x v="173"/>
    <n v="2011"/>
    <s v="Visa"/>
    <n v="2893395.14"/>
    <n v="2289"/>
    <x v="1"/>
  </r>
  <r>
    <s v="25-795477922012"/>
    <x v="174"/>
    <x v="173"/>
    <n v="2012"/>
    <s v="Master Card"/>
    <n v="1690197.97"/>
    <n v="1233"/>
    <x v="1"/>
  </r>
  <r>
    <s v="25-795477922012"/>
    <x v="174"/>
    <x v="173"/>
    <n v="2012"/>
    <s v="Visa"/>
    <n v="2710623.42"/>
    <n v="1932"/>
    <x v="1"/>
  </r>
  <r>
    <s v="25-795477922013"/>
    <x v="174"/>
    <x v="173"/>
    <n v="2013"/>
    <s v="eCheck"/>
    <n v="28242.38"/>
    <n v="19"/>
    <x v="1"/>
  </r>
  <r>
    <s v="25-795477922011"/>
    <x v="174"/>
    <x v="173"/>
    <n v="2011"/>
    <s v="Debit"/>
    <n v="595.58000000000004"/>
    <n v="2"/>
    <x v="1"/>
  </r>
  <r>
    <s v="25-795477922013"/>
    <x v="174"/>
    <x v="173"/>
    <n v="2013"/>
    <s v="Debit"/>
    <n v="339960.91"/>
    <n v="400"/>
    <x v="1"/>
  </r>
  <r>
    <s v="25-795477922013"/>
    <x v="174"/>
    <x v="173"/>
    <n v="2013"/>
    <s v="Visa"/>
    <n v="1937164.35"/>
    <n v="1633"/>
    <x v="1"/>
  </r>
  <r>
    <s v="25-798305732012"/>
    <x v="175"/>
    <x v="174"/>
    <n v="2012"/>
    <s v="Discover"/>
    <n v="27355.77"/>
    <n v="23"/>
    <x v="0"/>
  </r>
  <r>
    <s v="25-798305732011"/>
    <x v="175"/>
    <x v="174"/>
    <n v="2011"/>
    <s v="Debit"/>
    <n v="713.67"/>
    <n v="1"/>
    <x v="1"/>
  </r>
  <r>
    <s v="25-798305732013"/>
    <x v="175"/>
    <x v="174"/>
    <n v="2013"/>
    <s v="Discover"/>
    <n v="16845.77"/>
    <n v="19"/>
    <x v="1"/>
  </r>
  <r>
    <s v="25-798305732011"/>
    <x v="175"/>
    <x v="174"/>
    <n v="2011"/>
    <s v="Visa"/>
    <n v="278476.55"/>
    <n v="319"/>
    <x v="1"/>
  </r>
  <r>
    <s v="25-798305732011"/>
    <x v="175"/>
    <x v="174"/>
    <n v="2011"/>
    <s v="Master Card"/>
    <n v="190735.93"/>
    <n v="157"/>
    <x v="1"/>
  </r>
  <r>
    <s v="25-798305732013"/>
    <x v="175"/>
    <x v="174"/>
    <n v="2013"/>
    <s v="Debit"/>
    <n v="86073.17"/>
    <n v="125"/>
    <x v="1"/>
  </r>
  <r>
    <s v="25-798305732012"/>
    <x v="175"/>
    <x v="174"/>
    <n v="2012"/>
    <s v="Master Card"/>
    <n v="124294.54"/>
    <n v="121"/>
    <x v="1"/>
  </r>
  <r>
    <s v="25-798305732012"/>
    <x v="175"/>
    <x v="174"/>
    <n v="2012"/>
    <s v="Visa"/>
    <n v="240972.54"/>
    <n v="260"/>
    <x v="1"/>
  </r>
  <r>
    <s v="25-798305732011"/>
    <x v="175"/>
    <x v="174"/>
    <n v="2011"/>
    <s v="eCheck"/>
    <n v="652.63"/>
    <n v="2"/>
    <x v="1"/>
  </r>
  <r>
    <s v="25-798305732011"/>
    <x v="175"/>
    <x v="174"/>
    <n v="2011"/>
    <s v="Discover"/>
    <n v="33962.04"/>
    <n v="33"/>
    <x v="1"/>
  </r>
  <r>
    <s v="25-798305732012"/>
    <x v="175"/>
    <x v="174"/>
    <n v="2012"/>
    <s v="Debit"/>
    <n v="69551.55"/>
    <n v="92"/>
    <x v="1"/>
  </r>
  <r>
    <s v="25-798305732013"/>
    <x v="175"/>
    <x v="174"/>
    <n v="2013"/>
    <s v="Master Card"/>
    <n v="108851.97"/>
    <n v="129"/>
    <x v="1"/>
  </r>
  <r>
    <s v="25-798305732013"/>
    <x v="175"/>
    <x v="174"/>
    <n v="2013"/>
    <s v="Visa"/>
    <n v="188209.06"/>
    <n v="225"/>
    <x v="1"/>
  </r>
  <r>
    <s v="25-799074282011"/>
    <x v="176"/>
    <x v="175"/>
    <n v="2011"/>
    <s v="American Express"/>
    <n v="93607.92"/>
    <n v="306"/>
    <x v="0"/>
  </r>
  <r>
    <s v="25-799074282013"/>
    <x v="176"/>
    <x v="175"/>
    <n v="2013"/>
    <s v="Discover"/>
    <n v="89132.59"/>
    <n v="271"/>
    <x v="1"/>
  </r>
  <r>
    <s v="25-799074282012"/>
    <x v="176"/>
    <x v="175"/>
    <n v="2012"/>
    <s v="Visa"/>
    <n v="431379.36"/>
    <n v="1353"/>
    <x v="1"/>
  </r>
  <r>
    <s v="25-799074282011"/>
    <x v="176"/>
    <x v="175"/>
    <n v="2011"/>
    <s v="Debit"/>
    <n v="150"/>
    <n v="1"/>
    <x v="1"/>
  </r>
  <r>
    <s v="25-799074282012"/>
    <x v="176"/>
    <x v="175"/>
    <n v="2012"/>
    <s v="Master Card"/>
    <n v="321703.03000000003"/>
    <n v="1011"/>
    <x v="1"/>
  </r>
  <r>
    <s v="25-799074282013"/>
    <x v="176"/>
    <x v="175"/>
    <n v="2013"/>
    <s v="Visa"/>
    <n v="523393.06"/>
    <n v="1468"/>
    <x v="1"/>
  </r>
  <r>
    <s v="25-799074282013"/>
    <x v="176"/>
    <x v="175"/>
    <n v="2013"/>
    <s v="American Express"/>
    <n v="152329.17000000001"/>
    <n v="338"/>
    <x v="1"/>
  </r>
  <r>
    <s v="25-799074282013"/>
    <x v="176"/>
    <x v="175"/>
    <n v="2013"/>
    <s v="Debit"/>
    <n v="667746.71"/>
    <n v="1863"/>
    <x v="1"/>
  </r>
  <r>
    <s v="25-799074282011"/>
    <x v="176"/>
    <x v="175"/>
    <n v="2011"/>
    <s v="Discover"/>
    <n v="65738.47"/>
    <n v="249"/>
    <x v="1"/>
  </r>
  <r>
    <s v="25-799074282013"/>
    <x v="176"/>
    <x v="175"/>
    <n v="2013"/>
    <s v="Master Card"/>
    <n v="338864.31"/>
    <n v="931"/>
    <x v="1"/>
  </r>
  <r>
    <s v="25-799074282012"/>
    <x v="176"/>
    <x v="175"/>
    <n v="2012"/>
    <s v="American Express"/>
    <n v="113421.27"/>
    <n v="315"/>
    <x v="1"/>
  </r>
  <r>
    <s v="25-799074282012"/>
    <x v="176"/>
    <x v="175"/>
    <n v="2012"/>
    <s v="Discover"/>
    <n v="74311.960000000006"/>
    <n v="237"/>
    <x v="1"/>
  </r>
  <r>
    <s v="25-799074282011"/>
    <x v="176"/>
    <x v="175"/>
    <n v="2011"/>
    <s v="Master Card"/>
    <n v="262843"/>
    <n v="991"/>
    <x v="1"/>
  </r>
  <r>
    <s v="25-799074282012"/>
    <x v="176"/>
    <x v="175"/>
    <n v="2012"/>
    <s v="Debit"/>
    <n v="427551.46"/>
    <n v="1316"/>
    <x v="1"/>
  </r>
  <r>
    <s v="25-799074282011"/>
    <x v="176"/>
    <x v="175"/>
    <n v="2011"/>
    <s v="Visa"/>
    <n v="583938.17000000004"/>
    <n v="2082"/>
    <x v="1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m/>
    <x v="177"/>
    <x v="176"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C358" firstHeaderRow="1" firstDataRow="1" firstDataCol="3"/>
  <pivotFields count="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45">
        <item m="1" x="245"/>
        <item m="1" x="251"/>
        <item m="1" x="525"/>
        <item m="1" x="786"/>
        <item m="1" x="756"/>
        <item m="1" x="514"/>
        <item x="0"/>
        <item m="1" x="614"/>
        <item m="1" x="519"/>
        <item m="1" x="632"/>
        <item m="1" x="374"/>
        <item m="1" x="281"/>
        <item m="1" x="532"/>
        <item m="1" x="373"/>
        <item m="1" x="783"/>
        <item m="1" x="743"/>
        <item m="1" x="741"/>
        <item m="1" x="785"/>
        <item m="1" x="473"/>
        <item m="1" x="512"/>
        <item x="1"/>
        <item m="1" x="669"/>
        <item m="1" x="649"/>
        <item m="1" x="823"/>
        <item m="1" x="380"/>
        <item m="1" x="470"/>
        <item m="1" x="188"/>
        <item m="1" x="806"/>
        <item x="2"/>
        <item x="3"/>
        <item x="4"/>
        <item h="1" x="177"/>
        <item m="1" x="222"/>
        <item x="5"/>
        <item x="6"/>
        <item m="1" x="467"/>
        <item x="7"/>
        <item m="1" x="592"/>
        <item m="1" x="677"/>
        <item m="1" x="720"/>
        <item x="8"/>
        <item x="9"/>
        <item m="1" x="247"/>
        <item m="1" x="782"/>
        <item m="1" x="189"/>
        <item m="1" x="394"/>
        <item m="1" x="310"/>
        <item m="1" x="761"/>
        <item m="1" x="220"/>
        <item m="1" x="206"/>
        <item m="1" x="535"/>
        <item m="1" x="362"/>
        <item x="10"/>
        <item m="1" x="765"/>
        <item m="1" x="729"/>
        <item m="1" x="278"/>
        <item m="1" x="404"/>
        <item m="1" x="395"/>
        <item m="1" x="250"/>
        <item m="1" x="406"/>
        <item x="11"/>
        <item m="1" x="673"/>
        <item m="1" x="829"/>
        <item m="1" x="776"/>
        <item m="1" x="541"/>
        <item m="1" x="706"/>
        <item m="1" x="354"/>
        <item m="1" x="801"/>
        <item m="1" x="240"/>
        <item m="1" x="736"/>
        <item m="1" x="830"/>
        <item m="1" x="589"/>
        <item x="12"/>
        <item m="1" x="490"/>
        <item x="13"/>
        <item x="14"/>
        <item m="1" x="262"/>
        <item m="1" x="184"/>
        <item x="15"/>
        <item m="1" x="320"/>
        <item m="1" x="526"/>
        <item m="1" x="348"/>
        <item x="16"/>
        <item m="1" x="808"/>
        <item m="1" x="619"/>
        <item m="1" x="315"/>
        <item m="1" x="820"/>
        <item m="1" x="749"/>
        <item x="17"/>
        <item m="1" x="701"/>
        <item x="18"/>
        <item m="1" x="194"/>
        <item m="1" x="341"/>
        <item x="19"/>
        <item x="20"/>
        <item m="1" x="608"/>
        <item m="1" x="586"/>
        <item m="1" x="328"/>
        <item m="1" x="468"/>
        <item m="1" x="442"/>
        <item m="1" x="684"/>
        <item m="1" x="314"/>
        <item m="1" x="502"/>
        <item m="1" x="241"/>
        <item m="1" x="336"/>
        <item m="1" x="332"/>
        <item m="1" x="260"/>
        <item m="1" x="590"/>
        <item m="1" x="430"/>
        <item m="1" x="803"/>
        <item m="1" x="639"/>
        <item m="1" x="633"/>
        <item m="1" x="550"/>
        <item m="1" x="457"/>
        <item m="1" x="802"/>
        <item m="1" x="565"/>
        <item m="1" x="223"/>
        <item m="1" x="511"/>
        <item x="21"/>
        <item m="1" x="543"/>
        <item m="1" x="774"/>
        <item m="1" x="437"/>
        <item m="1" x="557"/>
        <item m="1" x="510"/>
        <item m="1" x="693"/>
        <item m="1" x="748"/>
        <item m="1" x="710"/>
        <item m="1" x="235"/>
        <item m="1" x="279"/>
        <item m="1" x="367"/>
        <item m="1" x="333"/>
        <item x="22"/>
        <item m="1" x="656"/>
        <item m="1" x="249"/>
        <item m="1" x="463"/>
        <item m="1" x="397"/>
        <item m="1" x="679"/>
        <item m="1" x="317"/>
        <item x="23"/>
        <item m="1" x="836"/>
        <item m="1" x="410"/>
        <item m="1" x="481"/>
        <item m="1" x="487"/>
        <item m="1" x="734"/>
        <item m="1" x="634"/>
        <item m="1" x="615"/>
        <item m="1" x="732"/>
        <item m="1" x="190"/>
        <item x="24"/>
        <item m="1" x="297"/>
        <item m="1" x="369"/>
        <item m="1" x="641"/>
        <item m="1" x="712"/>
        <item m="1" x="694"/>
        <item x="25"/>
        <item x="26"/>
        <item x="27"/>
        <item x="28"/>
        <item m="1" x="233"/>
        <item x="29"/>
        <item m="1" x="182"/>
        <item x="30"/>
        <item m="1" x="323"/>
        <item m="1" x="329"/>
        <item m="1" x="828"/>
        <item m="1" x="727"/>
        <item m="1" x="244"/>
        <item m="1" x="432"/>
        <item x="31"/>
        <item x="32"/>
        <item m="1" x="715"/>
        <item x="33"/>
        <item m="1" x="425"/>
        <item m="1" x="702"/>
        <item x="34"/>
        <item x="35"/>
        <item x="36"/>
        <item x="37"/>
        <item m="1" x="813"/>
        <item m="1" x="654"/>
        <item m="1" x="722"/>
        <item m="1" x="227"/>
        <item x="38"/>
        <item x="39"/>
        <item m="1" x="553"/>
        <item m="1" x="542"/>
        <item m="1" x="291"/>
        <item m="1" x="588"/>
        <item m="1" x="574"/>
        <item x="40"/>
        <item x="41"/>
        <item m="1" x="767"/>
        <item m="1" x="644"/>
        <item m="1" x="208"/>
        <item m="1" x="606"/>
        <item m="1" x="657"/>
        <item m="1" x="424"/>
        <item m="1" x="225"/>
        <item x="42"/>
        <item x="43"/>
        <item x="44"/>
        <item m="1" x="549"/>
        <item x="45"/>
        <item m="1" x="228"/>
        <item m="1" x="357"/>
        <item m="1" x="385"/>
        <item m="1" x="454"/>
        <item m="1" x="203"/>
        <item m="1" x="248"/>
        <item m="1" x="548"/>
        <item x="46"/>
        <item m="1" x="474"/>
        <item m="1" x="757"/>
        <item x="47"/>
        <item m="1" x="261"/>
        <item x="48"/>
        <item m="1" x="655"/>
        <item x="49"/>
        <item m="1" x="334"/>
        <item m="1" x="371"/>
        <item m="1" x="660"/>
        <item m="1" x="505"/>
        <item m="1" x="668"/>
        <item m="1" x="236"/>
        <item m="1" x="815"/>
        <item m="1" x="287"/>
        <item m="1" x="652"/>
        <item m="1" x="464"/>
        <item x="50"/>
        <item x="51"/>
        <item m="1" x="554"/>
        <item m="1" x="386"/>
        <item m="1" x="658"/>
        <item m="1" x="545"/>
        <item m="1" x="360"/>
        <item m="1" x="312"/>
        <item m="1" x="319"/>
        <item x="52"/>
        <item m="1" x="631"/>
        <item m="1" x="445"/>
        <item x="53"/>
        <item m="1" x="230"/>
        <item m="1" x="421"/>
        <item x="54"/>
        <item x="55"/>
        <item m="1" x="811"/>
        <item m="1" x="282"/>
        <item m="1" x="567"/>
        <item m="1" x="750"/>
        <item m="1" x="728"/>
        <item m="1" x="528"/>
        <item m="1" x="596"/>
        <item x="56"/>
        <item m="1" x="401"/>
        <item x="57"/>
        <item x="58"/>
        <item x="59"/>
        <item x="60"/>
        <item x="61"/>
        <item m="1" x="339"/>
        <item m="1" x="837"/>
        <item m="1" x="252"/>
        <item m="1" x="403"/>
        <item m="1" x="415"/>
        <item m="1" x="781"/>
        <item m="1" x="647"/>
        <item m="1" x="420"/>
        <item m="1" x="411"/>
        <item m="1" x="507"/>
        <item m="1" x="758"/>
        <item m="1" x="676"/>
        <item m="1" x="302"/>
        <item x="62"/>
        <item m="1" x="400"/>
        <item m="1" x="224"/>
        <item m="1" x="191"/>
        <item x="63"/>
        <item m="1" x="672"/>
        <item m="1" x="266"/>
        <item x="64"/>
        <item m="1" x="616"/>
        <item m="1" x="611"/>
        <item m="1" x="186"/>
        <item m="1" x="610"/>
        <item m="1" x="810"/>
        <item m="1" x="427"/>
        <item m="1" x="219"/>
        <item m="1" x="408"/>
        <item m="1" x="414"/>
        <item m="1" x="459"/>
        <item x="65"/>
        <item m="1" x="448"/>
        <item m="1" x="480"/>
        <item m="1" x="381"/>
        <item m="1" x="630"/>
        <item m="1" x="307"/>
        <item m="1" x="506"/>
        <item m="1" x="738"/>
        <item m="1" x="256"/>
        <item m="1" x="771"/>
        <item m="1" x="795"/>
        <item m="1" x="267"/>
        <item m="1" x="755"/>
        <item x="66"/>
        <item m="1" x="243"/>
        <item m="1" x="793"/>
        <item m="1" x="503"/>
        <item m="1" x="818"/>
        <item m="1" x="466"/>
        <item m="1" x="276"/>
        <item m="1" x="453"/>
        <item m="1" x="546"/>
        <item x="67"/>
        <item m="1" x="308"/>
        <item m="1" x="564"/>
        <item m="1" x="770"/>
        <item m="1" x="628"/>
        <item m="1" x="179"/>
        <item m="1" x="355"/>
        <item m="1" x="559"/>
        <item m="1" x="428"/>
        <item m="1" x="257"/>
        <item m="1" x="303"/>
        <item m="1" x="451"/>
        <item m="1" x="540"/>
        <item m="1" x="456"/>
        <item m="1" x="321"/>
        <item m="1" x="661"/>
        <item m="1" x="426"/>
        <item m="1" x="659"/>
        <item m="1" x="576"/>
        <item m="1" x="304"/>
        <item x="68"/>
        <item m="1" x="366"/>
        <item m="1" x="289"/>
        <item m="1" x="530"/>
        <item m="1" x="196"/>
        <item m="1" x="429"/>
        <item m="1" x="707"/>
        <item m="1" x="264"/>
        <item m="1" x="412"/>
        <item m="1" x="193"/>
        <item m="1" x="718"/>
        <item m="1" x="215"/>
        <item m="1" x="229"/>
        <item m="1" x="372"/>
        <item m="1" x="602"/>
        <item m="1" x="199"/>
        <item m="1" x="531"/>
        <item m="1" x="482"/>
        <item m="1" x="518"/>
        <item m="1" x="347"/>
        <item m="1" x="579"/>
        <item m="1" x="327"/>
        <item m="1" x="272"/>
        <item m="1" x="674"/>
        <item m="1" x="217"/>
        <item m="1" x="825"/>
        <item m="1" x="698"/>
        <item m="1" x="778"/>
        <item m="1" x="773"/>
        <item m="1" x="584"/>
        <item m="1" x="766"/>
        <item m="1" x="562"/>
        <item m="1" x="270"/>
        <item m="1" x="390"/>
        <item m="1" x="556"/>
        <item m="1" x="316"/>
        <item m="1" x="422"/>
        <item m="1" x="255"/>
        <item m="1" x="731"/>
        <item m="1" x="650"/>
        <item m="1" x="768"/>
        <item m="1" x="239"/>
        <item m="1" x="439"/>
        <item m="1" x="298"/>
        <item m="1" x="709"/>
        <item m="1" x="515"/>
        <item m="1" x="444"/>
        <item m="1" x="455"/>
        <item m="1" x="600"/>
        <item m="1" x="788"/>
        <item m="1" x="551"/>
        <item m="1" x="835"/>
        <item m="1" x="681"/>
        <item m="1" x="789"/>
        <item m="1" x="621"/>
        <item m="1" x="726"/>
        <item m="1" x="737"/>
        <item m="1" x="368"/>
        <item m="1" x="288"/>
        <item m="1" x="617"/>
        <item m="1" x="313"/>
        <item m="1" x="500"/>
        <item m="1" x="204"/>
        <item m="1" x="508"/>
        <item m="1" x="435"/>
        <item m="1" x="607"/>
        <item m="1" x="682"/>
        <item m="1" x="299"/>
        <item m="1" x="280"/>
        <item m="1" x="624"/>
        <item m="1" x="594"/>
        <item m="1" x="469"/>
        <item m="1" x="413"/>
        <item m="1" x="322"/>
        <item m="1" x="534"/>
        <item m="1" x="759"/>
        <item m="1" x="691"/>
        <item m="1" x="218"/>
        <item m="1" x="822"/>
        <item m="1" x="275"/>
        <item m="1" x="790"/>
        <item m="1" x="814"/>
        <item m="1" x="560"/>
        <item m="1" x="232"/>
        <item m="1" x="675"/>
        <item m="1" x="201"/>
        <item m="1" x="797"/>
        <item m="1" x="209"/>
        <item m="1" x="638"/>
        <item m="1" x="817"/>
        <item m="1" x="221"/>
        <item m="1" x="809"/>
        <item m="1" x="383"/>
        <item m="1" x="570"/>
        <item m="1" x="843"/>
        <item m="1" x="640"/>
        <item m="1" x="494"/>
        <item x="69"/>
        <item m="1" x="488"/>
        <item m="1" x="625"/>
        <item x="70"/>
        <item m="1" x="489"/>
        <item m="1" x="648"/>
        <item m="1" x="384"/>
        <item m="1" x="572"/>
        <item x="71"/>
        <item m="1" x="577"/>
        <item m="1" x="198"/>
        <item m="1" x="370"/>
        <item x="72"/>
        <item m="1" x="839"/>
        <item m="1" x="438"/>
        <item m="1" x="475"/>
        <item x="73"/>
        <item x="74"/>
        <item x="75"/>
        <item x="76"/>
        <item x="77"/>
        <item m="1" x="524"/>
        <item x="78"/>
        <item x="79"/>
        <item x="80"/>
        <item x="81"/>
        <item m="1" x="212"/>
        <item m="1" x="746"/>
        <item m="1" x="192"/>
        <item m="1" x="713"/>
        <item m="1" x="635"/>
        <item x="82"/>
        <item x="83"/>
        <item x="84"/>
        <item x="85"/>
        <item x="86"/>
        <item m="1" x="361"/>
        <item m="1" x="513"/>
        <item m="1" x="486"/>
        <item x="87"/>
        <item m="1" x="563"/>
        <item x="88"/>
        <item m="1" x="598"/>
        <item m="1" x="356"/>
        <item x="89"/>
        <item m="1" x="492"/>
        <item m="1" x="807"/>
        <item m="1" x="405"/>
        <item m="1" x="285"/>
        <item m="1" x="325"/>
        <item m="1" x="516"/>
        <item m="1" x="202"/>
        <item m="1" x="812"/>
        <item x="90"/>
        <item m="1" x="479"/>
        <item m="1" x="645"/>
        <item m="1" x="752"/>
        <item x="91"/>
        <item x="92"/>
        <item m="1" x="687"/>
        <item m="1" x="842"/>
        <item m="1" x="293"/>
        <item m="1" x="501"/>
        <item m="1" x="561"/>
        <item m="1" x="309"/>
        <item m="1" x="642"/>
        <item m="1" x="547"/>
        <item m="1" x="678"/>
        <item m="1" x="775"/>
        <item m="1" x="692"/>
        <item m="1" x="711"/>
        <item m="1" x="735"/>
        <item m="1" x="465"/>
        <item m="1" x="841"/>
        <item m="1" x="461"/>
        <item m="1" x="751"/>
        <item m="1" x="844"/>
        <item m="1" x="234"/>
        <item m="1" x="601"/>
        <item m="1" x="575"/>
        <item m="1" x="253"/>
        <item x="93"/>
        <item x="94"/>
        <item x="95"/>
        <item x="96"/>
        <item m="1" x="195"/>
        <item m="1" x="571"/>
        <item m="1" x="185"/>
        <item m="1" x="416"/>
        <item m="1" x="605"/>
        <item m="1" x="520"/>
        <item m="1" x="382"/>
        <item m="1" x="301"/>
        <item m="1" x="379"/>
        <item m="1" x="603"/>
        <item m="1" x="695"/>
        <item m="1" x="290"/>
        <item x="97"/>
        <item m="1" x="805"/>
        <item m="1" x="622"/>
        <item m="1" x="819"/>
        <item m="1" x="840"/>
        <item m="1" x="626"/>
        <item m="1" x="653"/>
        <item m="1" x="643"/>
        <item m="1" x="436"/>
        <item m="1" x="769"/>
        <item m="1" x="613"/>
        <item m="1" x="723"/>
        <item m="1" x="497"/>
        <item m="1" x="627"/>
        <item m="1" x="527"/>
        <item m="1" x="498"/>
        <item m="1" x="265"/>
        <item x="98"/>
        <item x="99"/>
        <item m="1" x="558"/>
        <item x="100"/>
        <item m="1" x="739"/>
        <item m="1" x="683"/>
        <item m="1" x="762"/>
        <item m="1" x="719"/>
        <item m="1" x="269"/>
        <item m="1" x="359"/>
        <item m="1" x="609"/>
        <item m="1" x="216"/>
        <item m="1" x="552"/>
        <item m="1" x="417"/>
        <item m="1" x="587"/>
        <item m="1" x="744"/>
        <item m="1" x="714"/>
        <item m="1" x="591"/>
        <item x="101"/>
        <item m="1" x="495"/>
        <item m="1" x="533"/>
        <item m="1" x="791"/>
        <item m="1" x="832"/>
        <item m="1" x="697"/>
        <item m="1" x="484"/>
        <item m="1" x="646"/>
        <item m="1" x="663"/>
        <item x="102"/>
        <item m="1" x="725"/>
        <item m="1" x="754"/>
        <item m="1" x="800"/>
        <item m="1" x="399"/>
        <item m="1" x="581"/>
        <item m="1" x="258"/>
        <item m="1" x="226"/>
        <item m="1" x="671"/>
        <item x="103"/>
        <item m="1" x="181"/>
        <item m="1" x="349"/>
        <item m="1" x="476"/>
        <item m="1" x="398"/>
        <item x="104"/>
        <item m="1" x="763"/>
        <item x="105"/>
        <item x="106"/>
        <item x="107"/>
        <item x="108"/>
        <item x="109"/>
        <item x="110"/>
        <item m="1" x="462"/>
        <item x="111"/>
        <item x="112"/>
        <item x="113"/>
        <item x="114"/>
        <item m="1" x="346"/>
        <item m="1" x="402"/>
        <item m="1" x="834"/>
        <item m="1" x="335"/>
        <item m="1" x="207"/>
        <item m="1" x="431"/>
        <item x="115"/>
        <item m="1" x="784"/>
        <item x="116"/>
        <item m="1" x="636"/>
        <item m="1" x="277"/>
        <item m="1" x="833"/>
        <item m="1" x="330"/>
        <item x="117"/>
        <item m="1" x="699"/>
        <item x="118"/>
        <item m="1" x="271"/>
        <item m="1" x="342"/>
        <item m="1" x="452"/>
        <item m="1" x="651"/>
        <item x="119"/>
        <item m="1" x="376"/>
        <item m="1" x="450"/>
        <item x="120"/>
        <item m="1" x="433"/>
        <item m="1" x="377"/>
        <item m="1" x="387"/>
        <item m="1" x="392"/>
        <item x="121"/>
        <item m="1" x="337"/>
        <item m="1" x="777"/>
        <item x="122"/>
        <item m="1" x="363"/>
        <item x="123"/>
        <item m="1" x="612"/>
        <item m="1" x="772"/>
        <item m="1" x="821"/>
        <item m="1" x="352"/>
        <item m="1" x="318"/>
        <item m="1" x="306"/>
        <item m="1" x="667"/>
        <item m="1" x="555"/>
        <item m="1" x="700"/>
        <item m="1" x="585"/>
        <item m="1" x="326"/>
        <item m="1" x="760"/>
        <item m="1" x="826"/>
        <item m="1" x="183"/>
        <item m="1" x="472"/>
        <item m="1" x="460"/>
        <item m="1" x="580"/>
        <item m="1" x="689"/>
        <item m="1" x="351"/>
        <item m="1" x="721"/>
        <item m="1" x="214"/>
        <item x="124"/>
        <item m="1" x="407"/>
        <item m="1" x="259"/>
        <item m="1" x="696"/>
        <item m="1" x="238"/>
        <item x="125"/>
        <item m="1" x="595"/>
        <item m="1" x="389"/>
        <item m="1" x="458"/>
        <item m="1" x="703"/>
        <item m="1" x="686"/>
        <item m="1" x="665"/>
        <item m="1" x="449"/>
        <item m="1" x="263"/>
        <item m="1" x="483"/>
        <item x="126"/>
        <item x="127"/>
        <item m="1" x="509"/>
        <item m="1" x="536"/>
        <item m="1" x="816"/>
        <item x="128"/>
        <item m="1" x="187"/>
        <item x="129"/>
        <item x="130"/>
        <item m="1" x="724"/>
        <item x="131"/>
        <item x="132"/>
        <item m="1" x="344"/>
        <item m="1" x="338"/>
        <item m="1" x="409"/>
        <item m="1" x="637"/>
        <item m="1" x="838"/>
        <item m="1" x="446"/>
        <item x="133"/>
        <item x="134"/>
        <item m="1" x="599"/>
        <item m="1" x="629"/>
        <item m="1" x="353"/>
        <item m="1" x="620"/>
        <item m="1" x="345"/>
        <item x="135"/>
        <item m="1" x="740"/>
        <item m="1" x="180"/>
        <item m="1" x="331"/>
        <item m="1" x="529"/>
        <item m="1" x="499"/>
        <item m="1" x="582"/>
        <item m="1" x="210"/>
        <item m="1" x="522"/>
        <item m="1" x="396"/>
        <item x="136"/>
        <item m="1" x="491"/>
        <item m="1" x="604"/>
        <item m="1" x="213"/>
        <item m="1" x="787"/>
        <item m="1" x="799"/>
        <item m="1" x="730"/>
        <item m="1" x="419"/>
        <item m="1" x="685"/>
        <item m="1" x="745"/>
        <item m="1" x="365"/>
        <item m="1" x="358"/>
        <item m="1" x="273"/>
        <item x="137"/>
        <item m="1" x="504"/>
        <item m="1" x="544"/>
        <item m="1" x="704"/>
        <item m="1" x="295"/>
        <item m="1" x="178"/>
        <item m="1" x="283"/>
        <item m="1" x="340"/>
        <item m="1" x="434"/>
        <item m="1" x="583"/>
        <item m="1" x="716"/>
        <item m="1" x="493"/>
        <item x="138"/>
        <item m="1" x="578"/>
        <item m="1" x="831"/>
        <item m="1" x="305"/>
        <item m="1" x="443"/>
        <item m="1" x="292"/>
        <item m="1" x="200"/>
        <item m="1" x="798"/>
        <item m="1" x="296"/>
        <item m="1" x="568"/>
        <item m="1" x="423"/>
        <item m="1" x="478"/>
        <item m="1" x="364"/>
        <item m="1" x="618"/>
        <item m="1" x="780"/>
        <item m="1" x="300"/>
        <item m="1" x="197"/>
        <item m="1" x="779"/>
        <item m="1" x="231"/>
        <item m="1" x="268"/>
        <item m="1" x="792"/>
        <item x="139"/>
        <item m="1" x="254"/>
        <item m="1" x="284"/>
        <item m="1" x="523"/>
        <item m="1" x="539"/>
        <item m="1" x="274"/>
        <item x="140"/>
        <item m="1" x="517"/>
        <item m="1" x="569"/>
        <item m="1" x="485"/>
        <item m="1" x="440"/>
        <item m="1" x="623"/>
        <item m="1" x="496"/>
        <item x="141"/>
        <item m="1" x="246"/>
        <item m="1" x="593"/>
        <item m="1" x="717"/>
        <item m="1" x="764"/>
        <item m="1" x="205"/>
        <item m="1" x="670"/>
        <item m="1" x="521"/>
        <item m="1" x="796"/>
        <item m="1" x="666"/>
        <item m="1" x="391"/>
        <item m="1" x="388"/>
        <item x="142"/>
        <item m="1" x="378"/>
        <item m="1" x="447"/>
        <item m="1" x="705"/>
        <item m="1" x="566"/>
        <item m="1" x="688"/>
        <item m="1" x="733"/>
        <item m="1" x="794"/>
        <item m="1" x="311"/>
        <item m="1" x="477"/>
        <item m="1" x="537"/>
        <item m="1" x="597"/>
        <item m="1" x="441"/>
        <item m="1" x="343"/>
        <item m="1" x="664"/>
        <item m="1" x="294"/>
        <item m="1" x="680"/>
        <item m="1" x="804"/>
        <item m="1" x="753"/>
        <item m="1" x="211"/>
        <item m="1" x="827"/>
        <item m="1" x="824"/>
        <item m="1" x="237"/>
        <item m="1" x="350"/>
        <item m="1" x="573"/>
        <item m="1" x="286"/>
        <item m="1" x="708"/>
        <item m="1" x="747"/>
        <item m="1" x="242"/>
        <item m="1" x="742"/>
        <item m="1" x="393"/>
        <item m="1" x="418"/>
        <item m="1" x="690"/>
        <item m="1" x="375"/>
        <item m="1" x="471"/>
        <item m="1" x="324"/>
        <item m="1" x="662"/>
        <item m="1" x="538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42">
        <item m="1" x="741"/>
        <item m="1" x="678"/>
        <item m="1" x="399"/>
        <item m="1" x="776"/>
        <item m="1" x="784"/>
        <item x="0"/>
        <item m="1" x="746"/>
        <item m="1" x="310"/>
        <item m="1" x="420"/>
        <item m="1" x="489"/>
        <item m="1" x="229"/>
        <item m="1" x="386"/>
        <item x="1"/>
        <item m="1" x="744"/>
        <item m="1" x="255"/>
        <item x="3"/>
        <item m="1" x="375"/>
        <item m="1" x="212"/>
        <item m="1" x="438"/>
        <item m="1" x="327"/>
        <item m="1" x="211"/>
        <item m="1" x="262"/>
        <item x="4"/>
        <item m="1" x="367"/>
        <item m="1" x="577"/>
        <item m="1" x="665"/>
        <item m="1" x="352"/>
        <item m="1" x="413"/>
        <item x="2"/>
        <item m="1" x="811"/>
        <item m="1" x="711"/>
        <item x="176"/>
        <item m="1" x="646"/>
        <item x="5"/>
        <item x="6"/>
        <item m="1" x="256"/>
        <item x="7"/>
        <item m="1" x="516"/>
        <item m="1" x="440"/>
        <item m="1" x="635"/>
        <item x="8"/>
        <item x="9"/>
        <item m="1" x="348"/>
        <item m="1" x="187"/>
        <item m="1" x="818"/>
        <item m="1" x="329"/>
        <item m="1" x="423"/>
        <item m="1" x="442"/>
        <item m="1" x="530"/>
        <item m="1" x="379"/>
        <item m="1" x="715"/>
        <item m="1" x="397"/>
        <item x="10"/>
        <item m="1" x="215"/>
        <item m="1" x="504"/>
        <item m="1" x="668"/>
        <item m="1" x="682"/>
        <item m="1" x="346"/>
        <item m="1" x="584"/>
        <item m="1" x="840"/>
        <item x="11"/>
        <item m="1" x="288"/>
        <item m="1" x="409"/>
        <item m="1" x="210"/>
        <item m="1" x="452"/>
        <item m="1" x="199"/>
        <item m="1" x="638"/>
        <item m="1" x="373"/>
        <item m="1" x="360"/>
        <item m="1" x="345"/>
        <item m="1" x="593"/>
        <item x="12"/>
        <item m="1" x="792"/>
        <item x="13"/>
        <item x="14"/>
        <item m="1" x="548"/>
        <item m="1" x="691"/>
        <item x="15"/>
        <item m="1" x="230"/>
        <item m="1" x="631"/>
        <item m="1" x="485"/>
        <item x="16"/>
        <item m="1" x="775"/>
        <item m="1" x="824"/>
        <item m="1" x="603"/>
        <item m="1" x="786"/>
        <item m="1" x="499"/>
        <item x="17"/>
        <item m="1" x="529"/>
        <item x="18"/>
        <item m="1" x="751"/>
        <item m="1" x="553"/>
        <item x="19"/>
        <item x="20"/>
        <item m="1" x="459"/>
        <item m="1" x="771"/>
        <item m="1" x="621"/>
        <item m="1" x="218"/>
        <item m="1" x="294"/>
        <item m="1" x="394"/>
        <item m="1" x="217"/>
        <item m="1" x="822"/>
        <item m="1" x="697"/>
        <item m="1" x="362"/>
        <item m="1" x="430"/>
        <item m="1" x="358"/>
        <item m="1" x="816"/>
        <item m="1" x="270"/>
        <item m="1" x="817"/>
        <item m="1" x="758"/>
        <item m="1" x="340"/>
        <item m="1" x="279"/>
        <item m="1" x="832"/>
        <item m="1" x="374"/>
        <item m="1" x="676"/>
        <item m="1" x="365"/>
        <item m="1" x="264"/>
        <item x="21"/>
        <item m="1" x="349"/>
        <item m="1" x="595"/>
        <item m="1" x="519"/>
        <item m="1" x="213"/>
        <item m="1" x="388"/>
        <item m="1" x="769"/>
        <item m="1" x="357"/>
        <item m="1" x="253"/>
        <item m="1" x="193"/>
        <item m="1" x="435"/>
        <item m="1" x="696"/>
        <item m="1" x="484"/>
        <item x="22"/>
        <item m="1" x="626"/>
        <item m="1" x="620"/>
        <item m="1" x="351"/>
        <item m="1" x="494"/>
        <item m="1" x="410"/>
        <item m="1" x="306"/>
        <item x="23"/>
        <item m="1" x="405"/>
        <item m="1" x="612"/>
        <item m="1" x="651"/>
        <item m="1" x="716"/>
        <item m="1" x="359"/>
        <item m="1" x="706"/>
        <item m="1" x="820"/>
        <item m="1" x="301"/>
        <item m="1" x="307"/>
        <item x="24"/>
        <item m="1" x="532"/>
        <item m="1" x="511"/>
        <item m="1" x="767"/>
        <item m="1" x="282"/>
        <item m="1" x="738"/>
        <item x="25"/>
        <item x="26"/>
        <item x="27"/>
        <item x="28"/>
        <item m="1" x="546"/>
        <item x="29"/>
        <item m="1" x="381"/>
        <item x="30"/>
        <item m="1" x="196"/>
        <item m="1" x="525"/>
        <item m="1" x="585"/>
        <item m="1" x="223"/>
        <item m="1" x="538"/>
        <item m="1" x="437"/>
        <item x="31"/>
        <item x="32"/>
        <item m="1" x="734"/>
        <item x="33"/>
        <item m="1" x="739"/>
        <item m="1" x="445"/>
        <item x="34"/>
        <item x="35"/>
        <item x="36"/>
        <item x="37"/>
        <item m="1" x="800"/>
        <item m="1" x="250"/>
        <item m="1" x="428"/>
        <item m="1" x="723"/>
        <item x="38"/>
        <item x="39"/>
        <item m="1" x="371"/>
        <item m="1" x="421"/>
        <item m="1" x="831"/>
        <item m="1" x="506"/>
        <item m="1" x="334"/>
        <item x="40"/>
        <item x="41"/>
        <item m="1" x="759"/>
        <item m="1" x="180"/>
        <item m="1" x="396"/>
        <item m="1" x="639"/>
        <item m="1" x="806"/>
        <item m="1" x="587"/>
        <item m="1" x="239"/>
        <item x="42"/>
        <item x="43"/>
        <item x="44"/>
        <item m="1" x="763"/>
        <item x="45"/>
        <item m="1" x="356"/>
        <item m="1" x="267"/>
        <item m="1" x="370"/>
        <item m="1" x="244"/>
        <item m="1" x="385"/>
        <item m="1" x="424"/>
        <item m="1" x="677"/>
        <item x="46"/>
        <item m="1" x="192"/>
        <item m="1" x="704"/>
        <item x="47"/>
        <item m="1" x="779"/>
        <item x="48"/>
        <item m="1" x="311"/>
        <item x="49"/>
        <item m="1" x="533"/>
        <item m="1" x="561"/>
        <item m="1" x="813"/>
        <item m="1" x="787"/>
        <item m="1" x="259"/>
        <item m="1" x="666"/>
        <item m="1" x="838"/>
        <item m="1" x="574"/>
        <item m="1" x="799"/>
        <item m="1" x="273"/>
        <item x="50"/>
        <item x="51"/>
        <item m="1" x="497"/>
        <item m="1" x="508"/>
        <item m="1" x="403"/>
        <item m="1" x="757"/>
        <item m="1" x="555"/>
        <item m="1" x="232"/>
        <item m="1" x="416"/>
        <item x="52"/>
        <item m="1" x="521"/>
        <item m="1" x="583"/>
        <item x="53"/>
        <item m="1" x="602"/>
        <item m="1" x="597"/>
        <item x="54"/>
        <item x="55"/>
        <item m="1" x="368"/>
        <item m="1" x="586"/>
        <item m="1" x="476"/>
        <item m="1" x="325"/>
        <item m="1" x="382"/>
        <item m="1" x="460"/>
        <item x="56"/>
        <item m="1" x="675"/>
        <item x="57"/>
        <item x="58"/>
        <item x="59"/>
        <item x="60"/>
        <item x="61"/>
        <item m="1" x="590"/>
        <item m="1" x="398"/>
        <item m="1" x="316"/>
        <item m="1" x="332"/>
        <item m="1" x="766"/>
        <item m="1" x="581"/>
        <item m="1" x="224"/>
        <item m="1" x="207"/>
        <item m="1" x="247"/>
        <item m="1" x="809"/>
        <item m="1" x="591"/>
        <item m="1" x="395"/>
        <item m="1" x="803"/>
        <item x="62"/>
        <item m="1" x="834"/>
        <item m="1" x="363"/>
        <item m="1" x="426"/>
        <item x="63"/>
        <item m="1" x="647"/>
        <item m="1" x="380"/>
        <item x="64"/>
        <item m="1" x="361"/>
        <item m="1" x="296"/>
        <item m="1" x="644"/>
        <item m="1" x="456"/>
        <item m="1" x="266"/>
        <item m="1" x="263"/>
        <item m="1" x="183"/>
        <item m="1" x="189"/>
        <item m="1" x="354"/>
        <item m="1" x="624"/>
        <item x="65"/>
        <item m="1" x="613"/>
        <item m="1" x="756"/>
        <item m="1" x="564"/>
        <item m="1" x="636"/>
        <item m="1" x="280"/>
        <item m="1" x="669"/>
        <item m="1" x="568"/>
        <item m="1" x="318"/>
        <item m="1" x="402"/>
        <item m="1" x="540"/>
        <item m="1" x="478"/>
        <item m="1" x="686"/>
        <item x="66"/>
        <item m="1" x="203"/>
        <item m="1" x="254"/>
        <item m="1" x="825"/>
        <item m="1" x="737"/>
        <item m="1" x="804"/>
        <item m="1" x="701"/>
        <item m="1" x="833"/>
        <item m="1" x="654"/>
        <item x="67"/>
        <item m="1" x="502"/>
        <item m="1" x="439"/>
        <item m="1" x="679"/>
        <item m="1" x="535"/>
        <item m="1" x="837"/>
        <item m="1" x="238"/>
        <item m="1" x="649"/>
        <item m="1" x="389"/>
        <item m="1" x="209"/>
        <item m="1" x="732"/>
        <item m="1" x="627"/>
        <item m="1" x="378"/>
        <item m="1" x="434"/>
        <item m="1" x="795"/>
        <item m="1" x="182"/>
        <item m="1" x="488"/>
        <item m="1" x="547"/>
        <item m="1" x="330"/>
        <item m="1" x="707"/>
        <item x="68"/>
        <item m="1" x="277"/>
        <item m="1" x="522"/>
        <item m="1" x="645"/>
        <item m="1" x="319"/>
        <item m="1" x="616"/>
        <item m="1" x="507"/>
        <item m="1" x="729"/>
        <item m="1" x="298"/>
        <item m="1" x="735"/>
        <item m="1" x="461"/>
        <item m="1" x="659"/>
        <item m="1" x="681"/>
        <item m="1" x="455"/>
        <item m="1" x="695"/>
        <item m="1" x="567"/>
        <item m="1" x="617"/>
        <item m="1" x="304"/>
        <item m="1" x="790"/>
        <item m="1" x="728"/>
        <item m="1" x="714"/>
        <item m="1" x="658"/>
        <item m="1" x="637"/>
        <item m="1" x="623"/>
        <item m="1" x="643"/>
        <item m="1" x="240"/>
        <item m="1" x="835"/>
        <item m="1" x="550"/>
        <item m="1" x="523"/>
        <item m="1" x="366"/>
        <item m="1" x="515"/>
        <item m="1" x="233"/>
        <item m="1" x="601"/>
        <item m="1" x="208"/>
        <item m="1" x="503"/>
        <item m="1" x="765"/>
        <item m="1" x="355"/>
        <item m="1" x="785"/>
        <item m="1" x="257"/>
        <item m="1" x="204"/>
        <item m="1" x="320"/>
        <item m="1" x="611"/>
        <item m="1" x="520"/>
        <item m="1" x="727"/>
        <item m="1" x="483"/>
        <item m="1" x="777"/>
        <item m="1" x="733"/>
        <item m="1" x="774"/>
        <item m="1" x="753"/>
        <item m="1" x="588"/>
        <item m="1" x="241"/>
        <item m="1" x="214"/>
        <item m="1" x="570"/>
        <item m="1" x="411"/>
        <item m="1" x="539"/>
        <item m="1" x="248"/>
        <item m="1" x="290"/>
        <item m="1" x="252"/>
        <item m="1" x="444"/>
        <item m="1" x="498"/>
        <item m="1" x="328"/>
        <item m="1" x="178"/>
        <item m="1" x="471"/>
        <item m="1" x="796"/>
        <item m="1" x="418"/>
        <item m="1" x="384"/>
        <item m="1" x="216"/>
        <item m="1" x="571"/>
        <item m="1" x="608"/>
        <item m="1" x="177"/>
        <item m="1" x="622"/>
        <item m="1" x="246"/>
        <item m="1" x="556"/>
        <item m="1" x="692"/>
        <item m="1" x="788"/>
        <item m="1" x="431"/>
        <item m="1" x="414"/>
        <item m="1" x="482"/>
        <item m="1" x="285"/>
        <item m="1" x="237"/>
        <item m="1" x="335"/>
        <item m="1" x="599"/>
        <item m="1" x="721"/>
        <item m="1" x="225"/>
        <item m="1" x="754"/>
        <item m="1" x="299"/>
        <item m="1" x="688"/>
        <item m="1" x="401"/>
        <item m="1" x="559"/>
        <item m="1" x="755"/>
        <item m="1" x="350"/>
        <item m="1" x="480"/>
        <item m="1" x="578"/>
        <item m="1" x="630"/>
        <item m="1" x="633"/>
        <item m="1" x="667"/>
        <item m="1" x="761"/>
        <item m="1" x="376"/>
        <item m="1" x="743"/>
        <item x="69"/>
        <item m="1" x="632"/>
        <item m="1" x="227"/>
        <item x="70"/>
        <item m="1" x="839"/>
        <item m="1" x="672"/>
        <item m="1" x="400"/>
        <item m="1" x="693"/>
        <item x="71"/>
        <item m="1" x="592"/>
        <item m="1" x="300"/>
        <item m="1" x="552"/>
        <item x="72"/>
        <item m="1" x="650"/>
        <item m="1" x="807"/>
        <item m="1" x="690"/>
        <item x="73"/>
        <item x="74"/>
        <item x="75"/>
        <item x="76"/>
        <item x="77"/>
        <item m="1" x="202"/>
        <item x="78"/>
        <item x="79"/>
        <item x="80"/>
        <item x="81"/>
        <item m="1" x="798"/>
        <item m="1" x="604"/>
        <item m="1" x="500"/>
        <item m="1" x="512"/>
        <item m="1" x="815"/>
        <item x="82"/>
        <item x="83"/>
        <item x="84"/>
        <item x="85"/>
        <item x="86"/>
        <item m="1" x="609"/>
        <item m="1" x="708"/>
        <item m="1" x="324"/>
        <item x="87"/>
        <item m="1" x="764"/>
        <item x="88"/>
        <item m="1" x="826"/>
        <item m="1" x="197"/>
        <item x="89"/>
        <item m="1" x="750"/>
        <item m="1" x="594"/>
        <item m="1" x="652"/>
        <item m="1" x="812"/>
        <item m="1" x="662"/>
        <item m="1" x="510"/>
        <item m="1" x="479"/>
        <item m="1" x="670"/>
        <item x="90"/>
        <item m="1" x="313"/>
        <item m="1" x="625"/>
        <item m="1" x="805"/>
        <item x="91"/>
        <item x="92"/>
        <item m="1" x="453"/>
        <item m="1" x="773"/>
        <item m="1" x="326"/>
        <item m="1" x="323"/>
        <item m="1" x="797"/>
        <item m="1" x="272"/>
        <item m="1" x="740"/>
        <item m="1" x="770"/>
        <item m="1" x="537"/>
        <item m="1" x="303"/>
        <item m="1" x="671"/>
        <item m="1" x="408"/>
        <item m="1" x="463"/>
        <item m="1" x="249"/>
        <item m="1" x="472"/>
        <item m="1" x="449"/>
        <item m="1" x="699"/>
        <item m="1" x="549"/>
        <item m="1" x="226"/>
        <item m="1" x="243"/>
        <item m="1" x="801"/>
        <item m="1" x="791"/>
        <item x="93"/>
        <item x="94"/>
        <item x="95"/>
        <item x="96"/>
        <item m="1" x="736"/>
        <item m="1" x="589"/>
        <item m="1" x="783"/>
        <item m="1" x="194"/>
        <item m="1" x="720"/>
        <item m="1" x="802"/>
        <item m="1" x="429"/>
        <item m="1" x="634"/>
        <item m="1" x="321"/>
        <item m="1" x="458"/>
        <item m="1" x="312"/>
        <item m="1" x="391"/>
        <item x="97"/>
        <item m="1" x="333"/>
        <item m="1" x="206"/>
        <item m="1" x="703"/>
        <item m="1" x="663"/>
        <item m="1" x="219"/>
        <item m="1" x="528"/>
        <item m="1" x="709"/>
        <item m="1" x="286"/>
        <item m="1" x="419"/>
        <item m="1" x="481"/>
        <item m="1" x="768"/>
        <item m="1" x="648"/>
        <item m="1" x="819"/>
        <item m="1" x="315"/>
        <item m="1" x="828"/>
        <item m="1" x="425"/>
        <item x="98"/>
        <item x="99"/>
        <item m="1" x="341"/>
        <item x="100"/>
        <item m="1" x="432"/>
        <item m="1" x="465"/>
        <item m="1" x="377"/>
        <item m="1" x="337"/>
        <item m="1" x="780"/>
        <item m="1" x="531"/>
        <item m="1" x="390"/>
        <item m="1" x="606"/>
        <item m="1" x="725"/>
        <item m="1" x="190"/>
        <item m="1" x="336"/>
        <item m="1" x="289"/>
        <item m="1" x="451"/>
        <item m="1" x="454"/>
        <item x="101"/>
        <item m="1" x="509"/>
        <item m="1" x="628"/>
        <item m="1" x="309"/>
        <item m="1" x="261"/>
        <item m="1" x="841"/>
        <item m="1" x="610"/>
        <item m="1" x="618"/>
        <item m="1" x="466"/>
        <item x="102"/>
        <item m="1" x="475"/>
        <item m="1" x="712"/>
        <item m="1" x="245"/>
        <item m="1" x="557"/>
        <item m="1" x="527"/>
        <item m="1" x="657"/>
        <item m="1" x="705"/>
        <item m="1" x="513"/>
        <item x="103"/>
        <item m="1" x="598"/>
        <item m="1" x="492"/>
        <item m="1" x="186"/>
        <item m="1" x="718"/>
        <item x="104"/>
        <item m="1" x="722"/>
        <item x="105"/>
        <item x="106"/>
        <item x="107"/>
        <item x="108"/>
        <item x="109"/>
        <item x="110"/>
        <item m="1" x="710"/>
        <item x="111"/>
        <item x="112"/>
        <item x="113"/>
        <item x="114"/>
        <item m="1" x="607"/>
        <item m="1" x="221"/>
        <item m="1" x="730"/>
        <item m="1" x="655"/>
        <item m="1" x="724"/>
        <item m="1" x="412"/>
        <item x="115"/>
        <item m="1" x="422"/>
        <item x="116"/>
        <item m="1" x="392"/>
        <item m="1" x="656"/>
        <item m="1" x="664"/>
        <item m="1" x="364"/>
        <item x="117"/>
        <item m="1" x="283"/>
        <item x="118"/>
        <item m="1" x="487"/>
        <item m="1" x="387"/>
        <item m="1" x="554"/>
        <item m="1" x="271"/>
        <item x="119"/>
        <item m="1" x="596"/>
        <item m="1" x="745"/>
        <item x="120"/>
        <item m="1" x="220"/>
        <item m="1" x="778"/>
        <item m="1" x="314"/>
        <item m="1" x="653"/>
        <item x="121"/>
        <item m="1" x="448"/>
        <item m="1" x="517"/>
        <item x="122"/>
        <item m="1" x="642"/>
        <item x="123"/>
        <item m="1" x="673"/>
        <item m="1" x="188"/>
        <item m="1" x="680"/>
        <item m="1" x="490"/>
        <item m="1" x="446"/>
        <item m="1" x="469"/>
        <item m="1" x="467"/>
        <item m="1" x="565"/>
        <item m="1" x="684"/>
        <item m="1" x="276"/>
        <item m="1" x="810"/>
        <item m="1" x="683"/>
        <item m="1" x="660"/>
        <item m="1" x="236"/>
        <item m="1" x="331"/>
        <item m="1" x="274"/>
        <item m="1" x="347"/>
        <item m="1" x="292"/>
        <item m="1" x="406"/>
        <item m="1" x="524"/>
        <item m="1" x="222"/>
        <item x="124"/>
        <item m="1" x="836"/>
        <item m="1" x="615"/>
        <item m="1" x="265"/>
        <item m="1" x="562"/>
        <item x="125"/>
        <item m="1" x="242"/>
        <item m="1" x="563"/>
        <item m="1" x="447"/>
        <item m="1" x="731"/>
        <item m="1" x="687"/>
        <item m="1" x="295"/>
        <item m="1" x="545"/>
        <item m="1" x="747"/>
        <item m="1" x="821"/>
        <item x="126"/>
        <item x="127"/>
        <item m="1" x="823"/>
        <item m="1" x="698"/>
        <item m="1" x="674"/>
        <item x="128"/>
        <item m="1" x="477"/>
        <item x="129"/>
        <item x="130"/>
        <item m="1" x="579"/>
        <item x="131"/>
        <item x="132"/>
        <item m="1" x="576"/>
        <item m="1" x="789"/>
        <item m="1" x="293"/>
        <item m="1" x="407"/>
        <item m="1" x="501"/>
        <item m="1" x="600"/>
        <item x="133"/>
        <item x="134"/>
        <item m="1" x="404"/>
        <item m="1" x="495"/>
        <item m="1" x="572"/>
        <item m="1" x="793"/>
        <item m="1" x="198"/>
        <item x="135"/>
        <item m="1" x="514"/>
        <item m="1" x="742"/>
        <item m="1" x="582"/>
        <item m="1" x="287"/>
        <item m="1" x="278"/>
        <item m="1" x="462"/>
        <item m="1" x="752"/>
        <item m="1" x="542"/>
        <item m="1" x="719"/>
        <item x="136"/>
        <item m="1" x="191"/>
        <item m="1" x="353"/>
        <item m="1" x="284"/>
        <item m="1" x="322"/>
        <item m="1" x="235"/>
        <item m="1" x="342"/>
        <item m="1" x="541"/>
        <item m="1" x="717"/>
        <item m="1" x="493"/>
        <item m="1" x="518"/>
        <item m="1" x="629"/>
        <item m="1" x="433"/>
        <item x="137"/>
        <item m="1" x="297"/>
        <item m="1" x="470"/>
        <item m="1" x="468"/>
        <item m="1" x="560"/>
        <item m="1" x="185"/>
        <item m="1" x="268"/>
        <item m="1" x="641"/>
        <item m="1" x="605"/>
        <item m="1" x="450"/>
        <item m="1" x="558"/>
        <item m="1" x="275"/>
        <item x="138"/>
        <item m="1" x="640"/>
        <item m="1" x="566"/>
        <item m="1" x="436"/>
        <item m="1" x="685"/>
        <item m="1" x="427"/>
        <item m="1" x="195"/>
        <item m="1" x="291"/>
        <item m="1" x="505"/>
        <item m="1" x="201"/>
        <item m="1" x="526"/>
        <item m="1" x="781"/>
        <item m="1" x="260"/>
        <item m="1" x="794"/>
        <item m="1" x="700"/>
        <item m="1" x="372"/>
        <item m="1" x="762"/>
        <item m="1" x="534"/>
        <item m="1" x="748"/>
        <item m="1" x="661"/>
        <item m="1" x="573"/>
        <item m="1" x="464"/>
        <item m="1" x="580"/>
        <item m="1" x="713"/>
        <item m="1" x="543"/>
        <item m="1" x="619"/>
        <item x="139"/>
        <item m="1" x="829"/>
        <item m="1" x="308"/>
        <item m="1" x="393"/>
        <item m="1" x="305"/>
        <item m="1" x="281"/>
        <item m="1" x="369"/>
        <item x="140"/>
        <item m="1" x="339"/>
        <item m="1" x="317"/>
        <item m="1" x="772"/>
        <item m="1" x="808"/>
        <item m="1" x="415"/>
        <item m="1" x="827"/>
        <item m="1" x="184"/>
        <item m="1" x="569"/>
        <item m="1" x="473"/>
        <item m="1" x="179"/>
        <item m="1" x="486"/>
        <item x="141"/>
        <item m="1" x="228"/>
        <item m="1" x="344"/>
        <item m="1" x="269"/>
        <item m="1" x="474"/>
        <item m="1" x="575"/>
        <item m="1" x="544"/>
        <item m="1" x="200"/>
        <item m="1" x="251"/>
        <item m="1" x="491"/>
        <item m="1" x="234"/>
        <item m="1" x="614"/>
        <item m="1" x="441"/>
        <item m="1" x="302"/>
        <item m="1" x="536"/>
        <item m="1" x="749"/>
        <item m="1" x="417"/>
        <item m="1" x="443"/>
        <item m="1" x="496"/>
        <item m="1" x="383"/>
        <item m="1" x="338"/>
        <item m="1" x="181"/>
        <item m="1" x="205"/>
        <item m="1" x="694"/>
        <item m="1" x="457"/>
        <item m="1" x="689"/>
        <item m="1" x="814"/>
        <item m="1" x="782"/>
        <item m="1" x="760"/>
        <item m="1" x="551"/>
        <item m="1" x="231"/>
        <item m="1" x="343"/>
        <item m="1" x="726"/>
        <item m="1" x="702"/>
        <item m="1" x="830"/>
        <item m="1" x="25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797">
        <item x="2"/>
        <item x="0"/>
        <item x="1"/>
        <item m="1" x="1102"/>
        <item m="1" x="156"/>
        <item m="1" x="567"/>
        <item m="1" x="303"/>
        <item m="1" x="1178"/>
        <item m="1" x="429"/>
        <item m="1" x="350"/>
        <item m="1" x="1311"/>
        <item m="1" x="1750"/>
        <item m="1" x="1323"/>
        <item m="1" x="1221"/>
        <item m="1" x="72"/>
        <item m="1" x="876"/>
        <item m="1" x="219"/>
        <item m="1" x="1728"/>
        <item m="1" x="1516"/>
        <item m="1" x="1523"/>
        <item m="1" x="1643"/>
        <item m="1" x="1356"/>
        <item m="1" x="1461"/>
        <item m="1" x="1148"/>
        <item m="1" x="87"/>
        <item m="1" x="1105"/>
        <item m="1" x="200"/>
        <item m="1" x="481"/>
        <item m="1" x="941"/>
        <item m="1" x="763"/>
        <item m="1" x="585"/>
        <item m="1" x="128"/>
        <item m="1" x="1431"/>
        <item m="1" x="1277"/>
        <item m="1" x="1168"/>
        <item m="1" x="1159"/>
        <item m="1" x="854"/>
        <item m="1" x="833"/>
        <item m="1" x="1210"/>
        <item m="1" x="496"/>
        <item m="1" x="480"/>
        <item m="1" x="312"/>
        <item m="1" x="789"/>
        <item m="1" x="771"/>
        <item m="1" x="331"/>
        <item m="1" x="340"/>
        <item m="1" x="328"/>
        <item m="1" x="1116"/>
        <item m="1" x="1103"/>
        <item m="1" x="1434"/>
        <item m="1" x="1429"/>
        <item m="1" x="727"/>
        <item m="1" x="716"/>
        <item m="1" x="1129"/>
        <item m="1" x="1630"/>
        <item m="1" x="1617"/>
        <item m="1" x="1373"/>
        <item m="1" x="1361"/>
        <item m="1" x="1244"/>
        <item m="1" x="1224"/>
        <item m="1" x="918"/>
        <item m="1" x="1757"/>
        <item m="1" x="1742"/>
        <item m="1" x="903"/>
        <item m="1" x="890"/>
        <item m="1" x="656"/>
        <item m="1" x="642"/>
        <item m="1" x="996"/>
        <item m="1" x="985"/>
        <item m="1" x="479"/>
        <item m="1" x="464"/>
        <item m="1" x="619"/>
        <item m="1" x="605"/>
        <item m="1" x="864"/>
        <item m="1" x="842"/>
        <item m="1" x="708"/>
        <item m="1" x="698"/>
        <item m="1" x="281"/>
        <item m="1" x="260"/>
        <item m="1" x="46"/>
        <item m="1" x="26"/>
        <item m="1" x="767"/>
        <item m="1" x="758"/>
        <item m="1" x="731"/>
        <item m="1" x="718"/>
        <item m="1" x="64"/>
        <item m="1" x="43"/>
        <item m="1" x="1781"/>
        <item m="1" x="1765"/>
        <item m="1" x="1711"/>
        <item m="1" x="1695"/>
        <item m="1" x="1426"/>
        <item m="1" x="1418"/>
        <item m="1" x="33"/>
        <item m="1" x="17"/>
        <item m="1" x="1716"/>
        <item m="1" x="1699"/>
        <item m="1" x="1405"/>
        <item m="1" x="1390"/>
        <item m="1" x="1615"/>
        <item m="1" x="1597"/>
        <item m="1" x="97"/>
        <item m="1" x="71"/>
        <item m="1" x="1408"/>
        <item m="1" x="1392"/>
        <item m="1" x="983"/>
        <item m="1" x="967"/>
        <item m="1" x="267"/>
        <item m="1" x="248"/>
        <item m="1" x="598"/>
        <item m="1" x="582"/>
        <item m="1" x="437"/>
        <item m="1" x="419"/>
        <item m="1" x="860"/>
        <item m="1" x="839"/>
        <item m="1" x="90"/>
        <item m="1" x="67"/>
        <item m="1" x="1444"/>
        <item m="1" x="1433"/>
        <item m="1" x="1620"/>
        <item m="1" x="1606"/>
        <item m="1" x="83"/>
        <item m="1" x="61"/>
        <item m="1" x="487"/>
        <item m="1" x="470"/>
        <item m="1" x="112"/>
        <item m="1" x="88"/>
        <item m="1" x="1533"/>
        <item m="1" x="1514"/>
        <item m="1" x="884"/>
        <item m="1" x="863"/>
        <item m="1" x="928"/>
        <item m="1" x="914"/>
        <item m="1" x="652"/>
        <item m="1" x="639"/>
        <item m="1" x="1223"/>
        <item m="1" x="879"/>
        <item m="1" x="457"/>
        <item m="1" x="196"/>
        <item m="1" x="177"/>
        <item m="1" x="41"/>
        <item m="1" x="1553"/>
        <item m="1" x="66"/>
        <item m="1" x="1204"/>
        <item m="1" x="1193"/>
        <item m="1" x="785"/>
        <item m="1" x="769"/>
        <item m="1" x="662"/>
        <item m="1" x="471"/>
        <item m="1" x="460"/>
        <item m="1" x="45"/>
        <item m="1" x="25"/>
        <item m="1" x="242"/>
        <item m="1" x="226"/>
        <item m="1" x="269"/>
        <item m="1" x="249"/>
        <item m="1" x="1317"/>
        <item m="1" x="1301"/>
        <item m="1" x="1147"/>
        <item m="1" x="431"/>
        <item m="1" x="416"/>
        <item m="1" x="1270"/>
        <item m="1" x="1252"/>
        <item m="1" x="1445"/>
        <item m="1" x="1436"/>
        <item m="1" x="1422"/>
        <item m="1" x="1413"/>
        <item m="1" x="1638"/>
        <item m="1" x="956"/>
        <item m="1" x="935"/>
        <item m="1" x="632"/>
        <item m="1" x="706"/>
        <item m="1" x="694"/>
        <item m="1" x="356"/>
        <item m="1" x="341"/>
        <item m="1" x="730"/>
        <item m="1" x="717"/>
        <item m="1" x="1640"/>
        <item m="1" x="1627"/>
        <item m="1" x="892"/>
        <item m="1" x="869"/>
        <item m="1" x="667"/>
        <item m="1" x="653"/>
        <item m="1" x="742"/>
        <item m="1" x="729"/>
        <item m="1" x="152"/>
        <item m="1" x="1574"/>
        <item m="1" x="1556"/>
        <item m="1" x="1307"/>
        <item m="1" x="1291"/>
        <item m="1" x="1332"/>
        <item m="1" x="1320"/>
        <item m="1" x="204"/>
        <item m="1" x="186"/>
        <item m="1" x="991"/>
        <item m="1" x="981"/>
        <item m="1" x="232"/>
        <item m="1" x="213"/>
        <item m="1" x="1022"/>
        <item m="1" x="1007"/>
        <item m="1" x="924"/>
        <item m="1" x="1061"/>
        <item m="1" x="1048"/>
        <item m="1" x="1342"/>
        <item m="1" x="1331"/>
        <item m="1" x="1319"/>
        <item m="1" x="491"/>
        <item m="1" x="475"/>
        <item m="1" x="1543"/>
        <item m="1" x="1529"/>
        <item m="1" x="1510"/>
        <item m="1" x="1044"/>
        <item m="1" x="1029"/>
        <item m="1" x="1012"/>
        <item m="1" x="379"/>
        <item m="1" x="366"/>
        <item m="1" x="194"/>
        <item m="1" x="173"/>
        <item m="1" x="202"/>
        <item m="1" x="184"/>
        <item m="1" x="732"/>
        <item m="1" x="719"/>
        <item m="1" x="1795"/>
        <item m="1" x="1783"/>
        <item m="1" x="1256"/>
        <item m="1" x="1234"/>
        <item m="1" x="420"/>
        <item m="1" x="408"/>
        <item m="1" x="594"/>
        <item m="1" x="580"/>
        <item m="1" x="1598"/>
        <item m="1" x="1577"/>
        <item m="1" x="1157"/>
        <item m="1" x="1143"/>
        <item m="1" x="1484"/>
        <item m="1" x="1477"/>
        <item m="1" x="755"/>
        <item m="1" x="691"/>
        <item m="1" x="679"/>
        <item m="1" x="1600"/>
        <item m="1" x="1580"/>
        <item m="1" x="850"/>
        <item m="1" x="827"/>
        <item m="1" x="806"/>
        <item m="1" x="615"/>
        <item m="1" x="603"/>
        <item m="1" x="593"/>
        <item m="1" x="14"/>
        <item m="1" x="1793"/>
        <item m="1" x="499"/>
        <item m="1" x="485"/>
        <item m="1" x="1115"/>
        <item m="1" x="1101"/>
        <item m="1" x="1150"/>
        <item m="1" x="1202"/>
        <item m="1" x="1191"/>
        <item m="1" x="1177"/>
        <item m="1" x="533"/>
        <item m="1" x="515"/>
        <item m="1" x="335"/>
        <item m="1" x="319"/>
        <item m="1" x="931"/>
        <item m="1" x="916"/>
        <item m="1" x="909"/>
        <item m="1" x="288"/>
        <item m="1" x="266"/>
        <item m="1" x="247"/>
        <item m="1" x="1713"/>
        <item m="1" x="1186"/>
        <item m="1" x="1173"/>
        <item m="1" x="1792"/>
        <item m="1" x="1780"/>
        <item m="1" x="1763"/>
        <item m="1" x="385"/>
        <item m="1" x="373"/>
        <item m="1" x="358"/>
        <item m="1" x="1047"/>
        <item m="1" x="1033"/>
        <item m="1" x="1015"/>
        <item m="1" x="1648"/>
        <item m="1" x="1641"/>
        <item m="1" x="1629"/>
        <item m="1" x="1254"/>
        <item m="1" x="1232"/>
        <item m="1" x="1207"/>
        <item m="1" x="220"/>
        <item m="1" x="205"/>
        <item m="1" x="188"/>
        <item m="1" x="1172"/>
        <item m="1" x="1162"/>
        <item m="1" x="1146"/>
        <item m="1" x="889"/>
        <item m="1" x="867"/>
        <item m="1" x="846"/>
        <item m="1" x="537"/>
        <item m="1" x="518"/>
        <item m="1" x="503"/>
        <item m="1" x="570"/>
        <item m="1" x="555"/>
        <item m="1" x="538"/>
        <item m="1" x="1589"/>
        <item m="1" x="1568"/>
        <item m="1" x="1550"/>
        <item m="1" x="1521"/>
        <item m="1" x="1503"/>
        <item m="1" x="1492"/>
        <item m="1" x="1343"/>
        <item m="1" x="164"/>
        <item m="1" x="142"/>
        <item m="1" x="117"/>
        <item m="1" x="905"/>
        <item m="1" x="894"/>
        <item m="1" x="871"/>
        <item m="1" x="1194"/>
        <item m="1" x="1183"/>
        <item m="1" x="815"/>
        <item m="1" x="797"/>
        <item m="1" x="779"/>
        <item m="1" x="1120"/>
        <item m="1" x="1110"/>
        <item m="1" x="1094"/>
        <item m="1" x="113"/>
        <item m="1" x="89"/>
        <item m="1" x="65"/>
        <item m="1" x="148"/>
        <item m="1" x="124"/>
        <item m="1" x="102"/>
        <item m="1" x="229"/>
        <item m="1" x="211"/>
        <item m="1" x="191"/>
        <item m="1" x="1500"/>
        <item m="1" x="1489"/>
        <item m="1" x="1481"/>
        <item m="1" x="1389"/>
        <item m="1" x="1381"/>
        <item m="1" x="1370"/>
        <item m="1" x="973"/>
        <item m="1" x="955"/>
        <item m="1" x="933"/>
        <item m="1" x="1655"/>
        <item m="1" x="1647"/>
        <item m="1" x="1639"/>
        <item m="1" x="230"/>
        <item m="1" x="638"/>
        <item m="1" x="624"/>
        <item m="1" x="608"/>
        <item m="1" x="1402"/>
        <item m="1" x="1387"/>
        <item m="1" x="1380"/>
        <item m="1" x="189"/>
        <item m="1" x="170"/>
        <item m="1" x="151"/>
        <item m="1" x="726"/>
        <item m="1" x="715"/>
        <item m="1" x="703"/>
        <item m="1" x="345"/>
        <item m="1" x="333"/>
        <item m="1" x="318"/>
        <item m="1" x="327"/>
        <item m="1" x="311"/>
        <item m="1" x="294"/>
        <item m="1" x="306"/>
        <item m="1" x="284"/>
        <item m="1" x="262"/>
        <item m="1" x="443"/>
        <item m="1" x="343"/>
        <item m="1" x="330"/>
        <item m="1" x="314"/>
        <item m="1" x="500"/>
        <item m="1" x="486"/>
        <item m="1" x="468"/>
        <item m="1" x="304"/>
        <item m="1" x="280"/>
        <item m="1" x="259"/>
        <item m="1" x="391"/>
        <item m="1" x="381"/>
        <item m="1" x="368"/>
        <item m="1" x="1079"/>
        <item m="1" x="1068"/>
        <item m="1" x="1059"/>
        <item m="1" x="490"/>
        <item m="1" x="472"/>
        <item m="1" x="199"/>
        <item m="1" x="182"/>
        <item m="1" x="163"/>
        <item m="1" x="40"/>
        <item m="1" x="22"/>
        <item m="1" x="7"/>
        <item m="1" x="1001"/>
        <item m="1" x="988"/>
        <item m="1" x="977"/>
        <item m="1" x="1189"/>
        <item m="1" x="1175"/>
        <item m="1" x="1164"/>
        <item m="1" x="1357"/>
        <item m="1" x="1340"/>
        <item m="1" x="1327"/>
        <item m="1" x="168"/>
        <item m="1" x="147"/>
        <item m="1" x="1536"/>
        <item m="1" x="1520"/>
        <item m="1" x="1501"/>
        <item m="1" x="50"/>
        <item m="1" x="28"/>
        <item m="1" x="11"/>
        <item m="1" x="1042"/>
        <item m="1" x="1027"/>
        <item m="1" x="1010"/>
        <item m="1" x="1262"/>
        <item m="1" x="1242"/>
        <item m="1" x="1220"/>
        <item m="1" x="1415"/>
        <item m="1" x="1404"/>
        <item m="1" x="1388"/>
        <item m="1" x="1762"/>
        <item m="1" x="1747"/>
        <item m="1" x="1732"/>
        <item m="1" x="459"/>
        <item m="1" x="450"/>
        <item m="1" x="434"/>
        <item m="1" x="1632"/>
        <item m="1" x="1621"/>
        <item m="1" x="1607"/>
        <item m="1" x="178"/>
        <item m="1" x="160"/>
        <item m="1" x="140"/>
        <item m="1" x="1539"/>
        <item m="1" x="1522"/>
        <item m="1" x="1504"/>
        <item m="1" x="377"/>
        <item m="1" x="363"/>
        <item m="1" x="347"/>
        <item m="1" x="187"/>
        <item m="1" x="169"/>
        <item m="1" x="596"/>
        <item m="1" x="581"/>
        <item m="1" x="571"/>
        <item m="1" x="1454"/>
        <item m="1" x="1442"/>
        <item m="1" x="820"/>
        <item m="1" x="801"/>
        <item m="1" x="783"/>
        <item m="1" x="1126"/>
        <item m="1" x="1114"/>
        <item m="1" x="1099"/>
        <item m="1" x="544"/>
        <item m="1" x="525"/>
        <item m="1" x="510"/>
        <item m="1" x="614"/>
        <item m="1" x="602"/>
        <item m="1" x="592"/>
        <item m="1" x="1006"/>
        <item m="1" x="992"/>
        <item m="1" x="458"/>
        <item m="1" x="446"/>
        <item m="1" x="430"/>
        <item m="1" x="1709"/>
        <item m="1" x="1693"/>
        <item m="1" x="1679"/>
        <item m="1" x="1321"/>
        <item m="1" x="1305"/>
        <item m="1" x="1288"/>
        <item m="1" x="1701"/>
        <item m="1" x="1686"/>
        <item m="1" x="1675"/>
        <item m="1" x="1372"/>
        <item m="1" x="1360"/>
        <item m="1" x="1347"/>
        <item m="1" x="1708"/>
        <item m="1" x="1692"/>
        <item m="1" x="1678"/>
        <item m="1" x="359"/>
        <item m="1" x="344"/>
        <item m="1" x="332"/>
        <item m="1" x="583"/>
        <item m="1" x="573"/>
        <item m="1" x="560"/>
        <item m="1" x="212"/>
        <item m="1" x="193"/>
        <item m="1" x="172"/>
        <item m="1" x="1576"/>
        <item m="1" x="1559"/>
        <item m="1" x="1538"/>
        <item m="1" x="1125"/>
        <item m="1" x="1113"/>
        <item m="1" x="1098"/>
        <item m="1" x="1131"/>
        <item m="1" x="1118"/>
        <item m="1" x="1107"/>
        <item m="1" x="1684"/>
        <item m="1" x="1673"/>
        <item m="1" x="1663"/>
        <item m="1" x="1789"/>
        <item m="1" x="1776"/>
        <item m="1" x="1760"/>
        <item m="1" x="891"/>
        <item m="1" x="868"/>
        <item m="1" x="848"/>
        <item m="1" x="362"/>
        <item m="1" x="346"/>
        <item m="1" x="334"/>
        <item m="1" x="1451"/>
        <item m="1" x="1439"/>
        <item m="1" x="1430"/>
        <item m="1" x="1346"/>
        <item m="1" x="1333"/>
        <item m="1" x="1237"/>
        <item m="1" x="1216"/>
        <item m="1" x="568"/>
        <item m="1" x="554"/>
        <item m="1" x="536"/>
        <item m="1" x="1104"/>
        <item m="1" x="1091"/>
        <item m="1" x="1085"/>
        <item m="1" x="1043"/>
        <item m="1" x="618"/>
        <item m="1" x="604"/>
        <item m="1" x="595"/>
        <item m="1" x="1187"/>
        <item m="1" x="1174"/>
        <item m="1" x="1163"/>
        <item m="1" x="1519"/>
        <item m="1" x="1499"/>
        <item m="1" x="1417"/>
        <item m="1" x="1407"/>
        <item m="1" x="750"/>
        <item m="1" x="741"/>
        <item m="1" x="728"/>
        <item m="1" x="655"/>
        <item m="1" x="641"/>
        <item m="1" x="626"/>
        <item m="1" x="1726"/>
        <item m="1" x="1719"/>
        <item m="1" x="1705"/>
        <item m="1" x="910"/>
        <item m="1" x="900"/>
        <item m="1" x="886"/>
        <item m="1" x="1238"/>
        <item m="1" x="1217"/>
        <item m="1" x="1199"/>
        <item m="1" x="1314"/>
        <item m="1" x="1298"/>
        <item m="1" x="1280"/>
        <item m="1" x="907"/>
        <item m="1" x="896"/>
        <item m="1" x="873"/>
        <item m="1" x="427"/>
        <item m="1" x="414"/>
        <item m="1" x="401"/>
        <item m="1" x="812"/>
        <item m="1" x="791"/>
        <item m="1" x="774"/>
        <item m="1" x="1654"/>
        <item m="1" x="1646"/>
        <item m="1" x="1637"/>
        <item m="1" x="965"/>
        <item m="1" x="948"/>
        <item m="1" x="927"/>
        <item m="1" x="243"/>
        <item m="1" x="228"/>
        <item m="1" x="210"/>
        <item m="1" x="37"/>
        <item m="1" x="21"/>
        <item m="1" x="4"/>
        <item m="1" x="1253"/>
        <item m="1" x="1230"/>
        <item m="1" x="1205"/>
        <item m="1" x="1359"/>
        <item m="1" x="1345"/>
        <item m="1" x="1155"/>
        <item m="1" x="1141"/>
        <item m="1" x="1128"/>
        <item m="1" x="1306"/>
        <item m="1" x="1290"/>
        <item m="1" x="1272"/>
        <item m="1" x="760"/>
        <item m="1" x="751"/>
        <item m="1" x="743"/>
        <item m="1" x="826"/>
        <item m="1" x="805"/>
        <item m="1" x="787"/>
        <item m="1" x="757"/>
        <item m="1" x="749"/>
        <item m="1" x="740"/>
        <item m="1" x="1302"/>
        <item m="1" x="1282"/>
        <item m="1" x="1261"/>
        <item m="1" x="20"/>
        <item m="1" x="1796"/>
        <item m="1" x="1784"/>
        <item m="1" x="665"/>
        <item m="1" x="651"/>
        <item m="1" x="637"/>
        <item m="1" x="735"/>
        <item m="1" x="722"/>
        <item m="1" x="712"/>
        <item m="1" x="1014"/>
        <item m="1" x="987"/>
        <item m="1" x="660"/>
        <item m="1" x="649"/>
        <item m="1" x="636"/>
        <item m="1" x="1211"/>
        <item m="1" x="934"/>
        <item m="1" x="1367"/>
        <item m="1" x="1358"/>
        <item m="1" x="447"/>
        <item m="1" x="1031"/>
        <item m="1" x="1066"/>
        <item m="1" x="984"/>
        <item m="1" x="1548"/>
        <item m="1" x="1531"/>
        <item m="1" x="1512"/>
        <item m="1" x="1494"/>
        <item m="1" x="1485"/>
        <item m="1" x="1479"/>
        <item m="1" x="971"/>
        <item m="1" x="1441"/>
        <item m="1" x="1502"/>
        <item m="1" x="1491"/>
        <item m="1" x="1483"/>
        <item m="1" x="81"/>
        <item m="1" x="59"/>
        <item m="1" x="36"/>
        <item m="1" x="1184"/>
        <item m="1" x="1170"/>
        <item m="1" x="1161"/>
        <item m="1" x="953"/>
        <item m="1" x="930"/>
        <item m="1" x="915"/>
        <item m="1" x="313"/>
        <item m="1" x="297"/>
        <item m="1" x="274"/>
        <item m="1" x="75"/>
        <item m="1" x="56"/>
        <item m="1" x="317"/>
        <item m="1" x="302"/>
        <item m="1" x="279"/>
        <item m="1" x="723"/>
        <item m="1" x="713"/>
        <item m="1" x="700"/>
        <item m="1" x="959"/>
        <item m="1" x="938"/>
        <item m="1" x="920"/>
        <item m="1" x="426"/>
        <item m="1" x="413"/>
        <item m="1" x="400"/>
        <item m="1" x="1555"/>
        <item m="1" x="866"/>
        <item m="1" x="845"/>
        <item m="1" x="822"/>
        <item m="1" x="1612"/>
        <item m="1" x="1055"/>
        <item m="1" x="1039"/>
        <item m="1" x="1025"/>
        <item m="1" x="1571"/>
        <item m="1" x="1552"/>
        <item m="1" x="1535"/>
        <item m="1" x="63"/>
        <item m="1" x="42"/>
        <item m="1" x="23"/>
        <item m="1" x="1149"/>
        <item m="1" x="1138"/>
        <item m="1" x="1127"/>
        <item m="1" x="1779"/>
        <item m="1" x="1761"/>
        <item m="1" x="1746"/>
        <item m="1" x="878"/>
        <item m="1" x="856"/>
        <item m="1" x="947"/>
        <item m="1" x="926"/>
        <item m="1" x="913"/>
        <item m="1" x="1720"/>
        <item m="1" x="1707"/>
        <item m="1" x="1691"/>
        <item m="1" x="1567"/>
        <item m="1" x="1549"/>
        <item m="1" x="1532"/>
        <item m="1" x="1349"/>
        <item m="1" x="1336"/>
        <item m="1" x="1325"/>
        <item m="1" x="543"/>
        <item m="1" x="524"/>
        <item m="1" x="509"/>
        <item m="1" x="1534"/>
        <item m="1" x="1518"/>
        <item m="1" x="530"/>
        <item m="1" x="1285"/>
        <item m="1" x="1266"/>
        <item m="1" x="1248"/>
        <item m="1" x="1208"/>
        <item m="1" x="1195"/>
        <item m="1" x="1180"/>
        <item m="1" x="1166"/>
        <item m="1" x="1156"/>
        <item m="1" x="1397"/>
        <item m="1" x="1144"/>
        <item m="1" x="796"/>
        <item m="1" x="1054"/>
        <item m="1" x="120"/>
        <item m="1" x="836"/>
        <item m="1" x="674"/>
        <item m="1" x="658"/>
        <item m="1" x="85"/>
        <item m="1" x="62"/>
        <item m="1" x="1557"/>
        <item m="1" x="1537"/>
        <item m="1" x="1165"/>
        <item m="1" x="1152"/>
        <item m="1" x="1153"/>
        <item m="1" x="1140"/>
        <item m="1" x="589"/>
        <item m="1" x="1351"/>
        <item m="1" x="1337"/>
        <item m="1" x="1057"/>
        <item m="1" x="1041"/>
        <item m="1" x="600"/>
        <item m="1" x="587"/>
        <item m="1" x="576"/>
        <item m="1" x="591"/>
        <item m="1" x="579"/>
        <item m="1" x="569"/>
        <item m="1" x="1474"/>
        <item m="1" x="1469"/>
        <item m="1" x="1460"/>
        <item m="1" x="1623"/>
        <item m="1" x="1609"/>
        <item m="1" x="1592"/>
        <item m="1" x="705"/>
        <item m="1" x="693"/>
        <item m="1" x="683"/>
        <item m="1" x="159"/>
        <item m="1" x="138"/>
        <item m="1" x="115"/>
        <item m="1" x="70"/>
        <item m="1" x="51"/>
        <item m="1" x="29"/>
        <item m="1" x="355"/>
        <item m="1" x="1448"/>
        <item m="1" x="648"/>
        <item m="1" x="635"/>
        <item m="1" x="623"/>
        <item m="1" x="1700"/>
        <item m="1" x="1685"/>
        <item m="1" x="1674"/>
        <item m="1" x="239"/>
        <item m="1" x="223"/>
        <item m="1" x="207"/>
        <item m="1" x="943"/>
        <item m="1" x="922"/>
        <item m="1" x="912"/>
        <item m="1" x="974"/>
        <item m="1" x="957"/>
        <item m="1" x="936"/>
        <item m="1" x="841"/>
        <item m="1" x="818"/>
        <item m="1" x="799"/>
        <item m="1" x="1243"/>
        <item m="1" x="1222"/>
        <item m="1" x="620"/>
        <item m="1" x="606"/>
        <item m="1" x="597"/>
        <item m="1" x="697"/>
        <item m="1" x="686"/>
        <item m="1" x="673"/>
        <item m="1" x="258"/>
        <item m="1" x="237"/>
        <item m="1" x="221"/>
        <item m="1" x="1587"/>
        <item m="1" x="1566"/>
        <item m="1" x="1547"/>
        <item m="1" x="10"/>
        <item m="1" x="1791"/>
        <item m="1" x="1778"/>
        <item m="1" x="1112"/>
        <item m="1" x="1096"/>
        <item m="1" x="1087"/>
        <item m="1" x="1465"/>
        <item m="1" x="1452"/>
        <item m="1" x="1440"/>
        <item m="1" x="1053"/>
        <item m="1" x="1038"/>
        <item m="1" x="1023"/>
        <item m="1" x="1035"/>
        <item m="1" x="1018"/>
        <item m="1" x="1002"/>
        <item m="1" x="1236"/>
        <item m="1" x="1215"/>
        <item m="1" x="1198"/>
        <item m="1" x="1585"/>
        <item m="1" x="1564"/>
        <item m="1" x="1287"/>
        <item m="1" x="1645"/>
        <item m="1" x="1635"/>
        <item m="1" x="1626"/>
        <item m="1" x="393"/>
        <item m="1" x="383"/>
        <item m="1" x="371"/>
        <item m="1" x="862"/>
        <item m="1" x="840"/>
        <item m="1" x="816"/>
        <item m="1" x="557"/>
        <item m="1" x="540"/>
        <item m="1" x="522"/>
        <item m="1" x="1666"/>
        <item m="1" x="1656"/>
        <item m="1" x="707"/>
        <item m="1" x="657"/>
        <item m="1" x="644"/>
        <item m="1" x="628"/>
        <item m="1" x="507"/>
        <item m="1" x="495"/>
        <item m="1" x="478"/>
        <item m="1" x="296"/>
        <item m="1" x="273"/>
        <item m="1" x="252"/>
        <item m="1" x="1318"/>
        <item m="1" x="1303"/>
        <item m="1" x="1283"/>
        <item m="1" x="972"/>
        <item m="1" x="954"/>
        <item m="1" x="932"/>
        <item m="1" x="575"/>
        <item m="1" x="565"/>
        <item m="1" x="550"/>
        <item m="1" x="474"/>
        <item m="1" x="463"/>
        <item m="1" x="452"/>
        <item m="1" x="1545"/>
        <item m="1" x="1530"/>
        <item m="1" x="1511"/>
        <item m="1" x="851"/>
        <item m="1" x="828"/>
        <item m="1" x="808"/>
        <item m="1" x="287"/>
        <item m="1" x="265"/>
        <item m="1" x="246"/>
        <item m="1" x="1616"/>
        <item m="1" x="1599"/>
        <item m="1" x="1579"/>
        <item m="1" x="881"/>
        <item m="1" x="859"/>
        <item m="1" x="838"/>
        <item m="1" x="1309"/>
        <item m="1" x="1292"/>
        <item m="1" x="1273"/>
        <item m="1" x="875"/>
        <item m="1" x="853"/>
        <item m="1" x="832"/>
        <item m="1" x="322"/>
        <item m="1" x="308"/>
        <item m="1" x="290"/>
        <item m="1" x="1072"/>
        <item m="1" x="1063"/>
        <item m="1" x="1049"/>
        <item m="1" x="630"/>
        <item m="1" x="613"/>
        <item m="1" x="293"/>
        <item m="1" x="270"/>
        <item m="1" x="250"/>
        <item m="1" x="986"/>
        <item m="1" x="976"/>
        <item m="1" x="643"/>
        <item m="1" x="627"/>
        <item m="1" x="611"/>
        <item m="1" x="1650"/>
        <item m="1" x="1642"/>
        <item m="1" x="1633"/>
        <item m="1" x="625"/>
        <item m="1" x="1034"/>
        <item m="1" x="1017"/>
        <item m="1" x="1558"/>
        <item m="1" x="865"/>
        <item m="1" x="320"/>
        <item m="1" x="1472"/>
        <item m="1" x="1672"/>
        <item m="1" x="1487"/>
        <item m="1" x="1045"/>
        <item m="1" x="1636"/>
        <item m="1" x="1435"/>
        <item m="1" x="1622"/>
        <item m="1" x="1139"/>
        <item m="1" x="1717"/>
        <item m="1" x="831"/>
        <item m="1" x="1476"/>
        <item m="1" x="1425"/>
        <item m="1" x="47"/>
        <item m="1" x="1507"/>
        <item m="1" x="1662"/>
        <item m="1" x="1179"/>
        <item m="1" x="1369"/>
        <item m="1" x="752"/>
        <item m="1" x="154"/>
        <item m="1" x="404"/>
        <item m="1" x="559"/>
        <item m="1" x="919"/>
        <item m="1" x="999"/>
        <item m="1" x="54"/>
        <item m="1" x="96"/>
        <item m="1" x="1154"/>
        <item m="1" x="961"/>
        <item m="1" x="469"/>
        <item m="1" x="690"/>
        <item m="1" x="1628"/>
        <item m="1" x="672"/>
        <item m="1" x="131"/>
        <item m="1" x="980"/>
        <item m="1" x="74"/>
        <item m="1" x="283"/>
        <item m="1" x="1300"/>
        <item m="1" x="1258"/>
        <item m="1" x="994"/>
        <item m="1" x="1424"/>
        <item m="1" x="1151"/>
        <item m="1" x="1540"/>
        <item m="1" x="811"/>
        <item m="1" x="1423"/>
        <item m="1" x="946"/>
        <item m="1" x="521"/>
        <item m="1" x="488"/>
        <item m="1" x="704"/>
        <item m="1" x="1228"/>
        <item m="1" x="95"/>
        <item m="1" x="477"/>
        <item m="1" x="1735"/>
        <item m="1" x="1378"/>
        <item m="1" x="1078"/>
        <item m="1" x="1271"/>
        <item m="1" x="1782"/>
        <item m="1" x="436"/>
        <item m="1" x="145"/>
        <item m="1" x="817"/>
        <item m="1" x="336"/>
        <item m="1" x="39"/>
        <item m="1" x="837"/>
        <item m="1" x="1375"/>
        <item m="1" x="902"/>
        <item m="1" x="1391"/>
        <item m="1" x="1403"/>
        <item m="1" x="1188"/>
        <item m="1" x="1517"/>
        <item m="1" x="1657"/>
        <item m="1" x="1137"/>
        <item m="1" x="44"/>
        <item m="1" x="165"/>
        <item m="1" x="888"/>
        <item m="1" x="206"/>
        <item m="1" x="714"/>
        <item m="1" x="610"/>
        <item m="1" x="746"/>
        <item m="1" x="1619"/>
        <item m="1" x="1602"/>
        <item m="1" x="951"/>
        <item m="1" x="929"/>
        <item m="1" x="295"/>
        <item m="1" x="272"/>
        <item m="1" x="1712"/>
        <item m="1" x="1696"/>
        <item m="1" x="1653"/>
        <item m="1" x="1250"/>
        <item m="1" x="1608"/>
        <item m="1" x="1588"/>
        <item m="1" x="402"/>
        <item m="1" x="394"/>
        <item m="1" x="16"/>
        <item m="1" x="1794"/>
        <item m="1" x="1213"/>
        <item m="1" x="453"/>
        <item m="1" x="439"/>
        <item m="1" x="1614"/>
        <item m="1" x="1595"/>
        <item m="1" x="745"/>
        <item m="1" x="77"/>
        <item m="1" x="58"/>
        <item m="1" x="271"/>
        <item m="1" x="251"/>
        <item m="1" x="1056"/>
        <item m="1" x="1040"/>
        <item m="1" x="107"/>
        <item m="1" x="80"/>
        <item m="1" x="880"/>
        <item m="1" x="858"/>
        <item m="1" x="1090"/>
        <item m="1" x="1083"/>
        <item m="1" x="444"/>
        <item m="1" x="425"/>
        <item m="1" x="1097"/>
        <item m="1" x="153"/>
        <item m="1" x="132"/>
        <item m="1" x="527"/>
        <item m="1" x="512"/>
        <item m="1" x="773"/>
        <item m="1" x="761"/>
        <item m="1" x="502"/>
        <item m="1" x="489"/>
        <item m="1" x="104"/>
        <item m="1" x="78"/>
        <item m="1" x="1786"/>
        <item m="1" x="1770"/>
        <item m="1" x="449"/>
        <item m="1" x="830"/>
        <item m="1" x="810"/>
        <item m="1" x="238"/>
        <item m="1" x="222"/>
        <item m="1" x="1573"/>
        <item m="1" x="1554"/>
        <item m="1" x="1021"/>
        <item m="1" x="1005"/>
        <item m="1" x="1379"/>
        <item m="1" x="1368"/>
        <item m="1" x="843"/>
        <item m="1" x="819"/>
        <item m="1" x="119"/>
        <item m="1" x="99"/>
        <item m="1" x="125"/>
        <item m="1" x="103"/>
        <item m="1" x="795"/>
        <item m="1" x="504"/>
        <item m="1" x="492"/>
        <item m="1" x="27"/>
        <item m="1" x="552"/>
        <item m="1" x="532"/>
        <item m="1" x="1490"/>
        <item m="1" x="1482"/>
        <item m="1" x="680"/>
        <item m="1" x="661"/>
        <item m="1" x="1427"/>
        <item m="1" x="1419"/>
        <item m="1" x="1751"/>
        <item m="1" x="1736"/>
        <item m="1" x="1591"/>
        <item m="1" x="1570"/>
        <item m="1" x="1363"/>
        <item m="1" x="1350"/>
        <item m="1" x="15"/>
        <item m="1" x="1428"/>
        <item m="1" x="1371"/>
        <item m="1" x="1785"/>
        <item m="1" x="1769"/>
        <item m="1" x="1289"/>
        <item m="1" x="670"/>
        <item m="1" x="118"/>
        <item m="1" x="98"/>
        <item m="1" x="1024"/>
        <item m="1" x="1008"/>
        <item m="1" x="316"/>
        <item m="1" x="301"/>
        <item m="1" x="588"/>
        <item m="1" x="497"/>
        <item m="1" x="482"/>
        <item m="1" x="945"/>
        <item m="1" x="925"/>
        <item m="1" x="535"/>
        <item m="1" x="517"/>
        <item m="1" x="411"/>
        <item m="1" x="398"/>
        <item m="1" x="387"/>
        <item m="1" x="374"/>
        <item m="1" x="1665"/>
        <item m="1" x="1652"/>
        <item m="1" x="448"/>
        <item m="1" x="433"/>
        <item m="1" x="1473"/>
        <item m="1" x="1466"/>
        <item m="1" x="969"/>
        <item m="1" x="950"/>
        <item m="1" x="1596"/>
        <item m="1" x="1575"/>
        <item m="1" x="970"/>
        <item m="1" x="952"/>
        <item m="1" x="978"/>
        <item m="1" x="964"/>
        <item m="1" x="1335"/>
        <item m="1" x="1324"/>
        <item m="1" x="24"/>
        <item m="1" x="8"/>
        <item m="1" x="1134"/>
        <item m="1" x="1109"/>
        <item m="1" x="1093"/>
        <item m="1" x="1605"/>
        <item m="1" x="1584"/>
        <item m="1" x="1682"/>
        <item m="1" x="1669"/>
        <item m="1" x="365"/>
        <item m="1" x="349"/>
        <item m="1" x="1341"/>
        <item m="1" x="1330"/>
        <item m="1" x="101"/>
        <item m="1" x="76"/>
        <item m="1" x="1142"/>
        <item m="1" x="1130"/>
        <item m="1" x="1366"/>
        <item m="1" x="1355"/>
        <item m="1" x="689"/>
        <item m="1" x="678"/>
        <item m="1" x="399"/>
        <item m="1" x="392"/>
        <item m="1" x="432"/>
        <item m="1" x="417"/>
        <item m="1" x="1071"/>
        <item m="1" x="1062"/>
        <item m="1" x="1409"/>
        <item m="1" x="1394"/>
        <item m="1" x="424"/>
        <item m="1" x="412"/>
        <item m="1" x="378"/>
        <item m="1" x="364"/>
        <item m="1" x="348"/>
        <item m="1" x="1775"/>
        <item m="1" x="1759"/>
        <item m="1" x="1745"/>
        <item m="1" x="1542"/>
        <item m="1" x="1528"/>
        <item m="1" x="195"/>
        <item m="1" x="176"/>
        <item m="1" x="590"/>
        <item m="1" x="578"/>
        <item m="1" x="908"/>
        <item m="1" x="898"/>
        <item m="1" x="849"/>
        <item m="1" x="825"/>
        <item m="1" x="1703"/>
        <item m="1" x="1688"/>
        <item m="1" x="1297"/>
        <item m="1" x="1279"/>
        <item m="1" x="375"/>
        <item m="1" x="360"/>
        <item m="1" x="305"/>
        <item m="1" x="282"/>
        <item m="1" x="917"/>
        <item m="1" x="738"/>
        <item m="1" x="725"/>
        <item m="1" x="1265"/>
        <item m="1" x="1247"/>
        <item m="1" x="1329"/>
        <item m="1" x="1316"/>
        <item m="1" x="857"/>
        <item m="1" x="835"/>
        <item m="1" x="57"/>
        <item m="1" x="35"/>
        <item m="1" x="19"/>
        <item m="1" x="1467"/>
        <item m="1" x="1456"/>
        <item m="1" x="403"/>
        <item m="1" x="395"/>
        <item m="1" x="1020"/>
        <item m="1" x="1004"/>
        <item m="1" x="990"/>
        <item m="1" x="435"/>
        <item m="1" x="418"/>
        <item m="1" x="406"/>
        <item m="1" x="1715"/>
        <item m="1" x="1698"/>
        <item m="1" x="1067"/>
        <item m="1" x="1058"/>
        <item m="1" x="461"/>
        <item m="1" x="1026"/>
        <item m="1" x="1009"/>
        <item m="1" x="995"/>
        <item m="1" x="1393"/>
        <item m="1" x="1382"/>
        <item m="1" x="149"/>
        <item m="1" x="127"/>
        <item m="1" x="106"/>
        <item m="1" x="130"/>
        <item m="1" x="109"/>
        <item m="1" x="84"/>
        <item m="1" x="255"/>
        <item m="1" x="235"/>
        <item m="1" x="218"/>
        <item m="1" x="790"/>
        <item m="1" x="772"/>
        <item m="1" x="1089"/>
        <item m="1" x="1082"/>
        <item m="1" x="1074"/>
        <item m="1" x="326"/>
        <item m="1" x="310"/>
        <item m="1" x="292"/>
        <item m="1" x="814"/>
        <item m="1" x="794"/>
        <item m="1" x="778"/>
        <item m="1" x="520"/>
        <item m="1" x="506"/>
        <item m="1" x="494"/>
        <item m="1" x="227"/>
        <item m="1" x="209"/>
        <item m="1" x="190"/>
        <item m="1" x="548"/>
        <item m="1" x="529"/>
        <item m="1" x="514"/>
        <item m="1" x="1084"/>
        <item m="1" x="1075"/>
        <item m="1" x="1065"/>
        <item m="1" x="73"/>
        <item m="1" x="53"/>
        <item m="1" x="32"/>
        <item m="1" x="1478"/>
        <item m="1" x="1471"/>
        <item m="1" x="1464"/>
        <item m="1" x="1724"/>
        <item m="1" x="1714"/>
        <item m="1" x="1697"/>
        <item m="1" x="1100"/>
        <item m="1" x="664"/>
        <item m="1" x="650"/>
        <item m="1" x="1077"/>
        <item m="1" x="289"/>
        <item m="1" x="268"/>
        <item m="1" x="175"/>
        <item m="1" x="158"/>
        <item m="1" x="137"/>
        <item m="1" x="904"/>
        <item m="1" x="893"/>
        <item m="1" x="870"/>
        <item m="1" x="1086"/>
        <item m="1" x="1080"/>
        <item m="1" x="1069"/>
        <item m="1" x="389"/>
        <item m="1" x="376"/>
        <item m="1" x="361"/>
        <item m="1" x="5"/>
        <item m="1" x="1787"/>
        <item m="1" x="1771"/>
        <item m="1" x="1752"/>
        <item m="1" x="1737"/>
        <item m="1" x="1364"/>
        <item m="1" x="1353"/>
        <item m="1" x="1339"/>
        <item m="1" x="561"/>
        <item m="1" x="546"/>
        <item m="1" x="498"/>
        <item m="1" x="484"/>
        <item m="1" x="467"/>
        <item m="1" x="798"/>
        <item m="1" x="780"/>
        <item m="1" x="764"/>
        <item m="1" x="1764"/>
        <item m="1" x="1748"/>
        <item m="1" x="1733"/>
        <item m="1" x="1624"/>
        <item m="1" x="1610"/>
        <item m="1" x="1593"/>
        <item m="1" x="505"/>
        <item m="1" x="493"/>
        <item m="1" x="476"/>
        <item m="1" x="325"/>
        <item m="1" x="309"/>
        <item m="1" x="291"/>
        <item m="1" x="240"/>
        <item m="1" x="224"/>
        <item m="1" x="208"/>
        <item m="1" x="1677"/>
        <item m="1" x="847"/>
        <item m="1" x="823"/>
        <item m="1" x="803"/>
        <item m="1" x="800"/>
        <item m="1" x="782"/>
        <item m="1" x="766"/>
        <item m="1" x="542"/>
        <item m="1" x="523"/>
        <item m="1" x="508"/>
        <item m="1" x="215"/>
        <item m="1" x="201"/>
        <item m="1" x="183"/>
        <item m="1" x="669"/>
        <item m="1" x="654"/>
        <item m="1" x="640"/>
        <item m="1" x="1683"/>
        <item m="1" x="1670"/>
        <item m="1" x="1660"/>
        <item m="1" x="438"/>
        <item m="1" x="421"/>
        <item m="1" x="409"/>
        <item m="1" x="1088"/>
        <item m="1" x="1081"/>
        <item m="1" x="1073"/>
        <item m="1" x="960"/>
        <item m="1" x="940"/>
        <item m="1" x="921"/>
        <item m="1" x="1634"/>
        <item m="1" x="1625"/>
        <item m="1" x="1613"/>
        <item m="1" x="1060"/>
        <item m="1" x="1046"/>
        <item m="1" x="1032"/>
        <item m="1" x="1377"/>
        <item m="1" x="1365"/>
        <item m="1" x="1354"/>
        <item m="1" x="1064"/>
        <item m="1" x="1051"/>
        <item m="1" x="1037"/>
        <item m="1" x="321"/>
        <item m="1" x="307"/>
        <item m="1" x="286"/>
        <item m="1" x="877"/>
        <item m="1" x="855"/>
        <item m="1" x="834"/>
        <item m="1" x="897"/>
        <item m="1" x="874"/>
        <item m="1" x="82"/>
        <item m="1" x="60"/>
        <item m="1" x="38"/>
        <item m="1" x="781"/>
        <item m="1" x="765"/>
        <item m="1" x="756"/>
        <item m="1" x="813"/>
        <item m="1" x="793"/>
        <item m="1" x="776"/>
        <item m="1" x="792"/>
        <item m="1" x="775"/>
        <item m="1" x="762"/>
        <item m="1" x="975"/>
        <item m="1" x="958"/>
        <item m="1" x="937"/>
        <item m="1" x="1706"/>
        <item m="1" x="1690"/>
        <item m="1" x="1209"/>
        <item m="1" x="1076"/>
        <item m="1" x="1475"/>
        <item m="1" x="1470"/>
        <item m="1" x="1463"/>
        <item m="1" x="702"/>
        <item m="1" x="688"/>
        <item m="1" x="677"/>
        <item m="1" x="629"/>
        <item m="1" x="612"/>
        <item m="1" x="601"/>
        <item m="1" x="1122"/>
        <item m="1" x="1111"/>
        <item m="1" x="1095"/>
        <item m="1" x="1284"/>
        <item m="1" x="1264"/>
        <item m="1" x="1246"/>
        <item m="1" x="1200"/>
        <item m="1" x="1190"/>
        <item m="1" x="1176"/>
        <item m="1" x="442"/>
        <item m="1" x="423"/>
        <item m="1" x="410"/>
        <item m="1" x="254"/>
        <item m="1" x="234"/>
        <item m="1" x="217"/>
        <item m="1" x="1241"/>
        <item m="1" x="1219"/>
        <item m="1" x="1201"/>
        <item m="1" x="562"/>
        <item m="1" x="547"/>
        <item m="1" x="1334"/>
        <item m="1" x="1322"/>
        <item m="1" x="1308"/>
        <item m="1" x="465"/>
        <item m="1" x="455"/>
        <item m="1" x="441"/>
        <item m="1" x="1725"/>
        <item m="1" x="1259"/>
        <item m="1" x="1239"/>
        <item m="1" x="1218"/>
        <item m="1" x="1524"/>
        <item m="1" x="1505"/>
        <item m="1" x="1493"/>
        <item m="1" x="167"/>
        <item m="1" x="144"/>
        <item m="1" x="122"/>
        <item m="1" x="155"/>
        <item m="1" x="134"/>
        <item m="1" x="111"/>
        <item m="1" x="692"/>
        <item m="1" x="682"/>
        <item m="1" x="666"/>
        <item m="1" x="1583"/>
        <item m="1" x="1563"/>
        <item m="1" x="1544"/>
        <item m="1" x="94"/>
        <item m="1" x="69"/>
        <item m="1" x="49"/>
        <item m="1" x="1718"/>
        <item m="1" x="1704"/>
        <item m="1" x="1689"/>
        <item m="1" x="1269"/>
        <item m="1" x="1251"/>
        <item m="1" x="1227"/>
        <item m="1" x="369"/>
        <item m="1" x="351"/>
        <item m="1" x="337"/>
        <item m="1" x="1768"/>
        <item m="1" x="1753"/>
        <item m="1" x="1738"/>
        <item m="1" x="214"/>
        <item m="1" x="198"/>
        <item m="1" x="181"/>
        <item m="1" x="1182"/>
        <item m="1" x="1169"/>
        <item m="1" x="1160"/>
        <item m="1" x="1235"/>
        <item m="1" x="1214"/>
        <item m="1" x="1197"/>
        <item m="1" x="1050"/>
        <item m="1" x="1036"/>
        <item m="1" x="1019"/>
        <item m="1" x="285"/>
        <item m="1" x="263"/>
        <item m="1" x="244"/>
        <item m="1" x="93"/>
        <item m="1" x="68"/>
        <item m="1" x="48"/>
        <item m="1" x="405"/>
        <item m="1" x="396"/>
        <item m="1" x="386"/>
        <item m="1" x="1604"/>
        <item m="1" x="1582"/>
        <item m="1" x="1562"/>
        <item m="1" x="1274"/>
        <item m="1" x="1255"/>
        <item m="1" x="1233"/>
        <item m="1" x="962"/>
        <item m="1" x="942"/>
        <item m="1" x="1030"/>
        <item m="1" x="1013"/>
        <item m="1" x="1000"/>
        <item m="1" x="1281"/>
        <item m="1" x="1260"/>
        <item m="1" x="1240"/>
        <item m="1" x="634"/>
        <item m="1" x="622"/>
        <item m="1" x="607"/>
        <item m="1" x="609"/>
        <item m="1" x="599"/>
        <item m="1" x="584"/>
        <item m="1" x="390"/>
        <item m="1" x="380"/>
        <item m="1" x="367"/>
        <item m="1" x="1541"/>
        <item m="1" x="1527"/>
        <item m="1" x="1509"/>
        <item m="1" x="216"/>
        <item m="1" x="203"/>
        <item m="1" x="185"/>
        <item m="1" x="146"/>
        <item m="1" x="123"/>
        <item m="1" x="100"/>
        <item m="1" x="1145"/>
        <item m="1" x="1135"/>
        <item m="1" x="1123"/>
        <item m="1" x="357"/>
        <item m="1" x="342"/>
        <item m="1" x="329"/>
        <item m="1" x="545"/>
        <item m="1" x="526"/>
        <item m="1" x="511"/>
        <item m="1" x="1766"/>
        <item m="1" x="1749"/>
        <item m="1" x="1734"/>
        <item m="1" x="1070"/>
        <item m="1" x="264"/>
        <item m="1" x="245"/>
        <item m="1" x="231"/>
        <item m="1" x="174"/>
        <item m="1" x="157"/>
        <item m="1" x="136"/>
        <item m="1" x="278"/>
        <item m="1" x="257"/>
        <item m="1" x="236"/>
        <item m="1" x="52"/>
        <item m="1" x="31"/>
        <item m="1" x="13"/>
        <item m="1" x="1723"/>
        <item m="1" x="1710"/>
        <item m="1" x="1694"/>
        <item m="1" x="1229"/>
        <item m="1" x="1203"/>
        <item m="1" x="1192"/>
        <item m="1" x="1326"/>
        <item m="1" x="1313"/>
        <item m="1" x="1296"/>
        <item m="1" x="1181"/>
        <item m="1" x="1167"/>
        <item m="1" x="1158"/>
        <item m="1" x="681"/>
        <item m="1" x="663"/>
        <item m="1" x="824"/>
        <item m="1" x="804"/>
        <item m="1" x="786"/>
        <item m="1" x="473"/>
        <item m="1" x="462"/>
        <item m="1" x="451"/>
        <item m="1" x="1395"/>
        <item m="1" x="1383"/>
        <item m="1" x="1376"/>
        <item m="1" x="784"/>
        <item m="1" x="768"/>
        <item m="1" x="759"/>
        <item m="1" x="445"/>
        <item m="1" x="428"/>
        <item m="1" x="415"/>
        <item m="1" x="695"/>
        <item m="1" x="684"/>
        <item m="1" x="668"/>
        <item m="1" x="1681"/>
        <item m="1" x="1668"/>
        <item m="1" x="1659"/>
        <item m="1" x="852"/>
        <item m="1" x="829"/>
        <item m="1" x="809"/>
        <item m="1" x="1455"/>
        <item m="1" x="1443"/>
        <item m="1" x="1432"/>
        <item m="1" x="528"/>
        <item m="1" x="513"/>
        <item m="1" x="501"/>
        <item m="1" x="807"/>
        <item m="1" x="788"/>
        <item m="1" x="770"/>
        <item m="1" x="998"/>
        <item m="1" x="1016"/>
        <item m="1" x="1457"/>
        <item m="1" x="1446"/>
        <item m="1" x="1437"/>
        <item m="1" x="454"/>
        <item m="1" x="440"/>
        <item m="1" x="422"/>
        <item m="1" x="885"/>
        <item m="1" x="1767"/>
        <item m="1" x="135"/>
        <item m="1" x="180"/>
        <item m="1" x="162"/>
        <item m="1" x="141"/>
        <item m="1" x="1744"/>
        <item m="1" x="1731"/>
        <item m="1" x="1722"/>
        <item m="1" x="675"/>
        <item m="1" x="659"/>
        <item m="1" x="645"/>
        <item m="1" x="114"/>
        <item m="1" x="91"/>
        <item m="1" x="1133"/>
        <item m="1" x="483"/>
        <item m="1" x="466"/>
        <item m="1" x="456"/>
        <item m="1" x="556"/>
        <item m="1" x="539"/>
        <item m="1" x="519"/>
        <item m="1" x="166"/>
        <item m="1" x="143"/>
        <item m="1" x="121"/>
        <item m="1" x="906"/>
        <item m="1" x="895"/>
        <item m="1" x="872"/>
        <item m="1" x="963"/>
        <item m="1" x="944"/>
        <item m="1" x="923"/>
        <item m="1" x="1515"/>
        <item m="1" x="1498"/>
        <item m="1" x="993"/>
        <item m="1" x="982"/>
        <item m="1" x="966"/>
        <item m="1" x="197"/>
        <item m="1" x="179"/>
        <item m="1" x="161"/>
        <item m="1" x="1611"/>
        <item m="1" x="1594"/>
        <item m="1" x="1572"/>
        <item m="1" x="1003"/>
        <item m="1" x="989"/>
        <item m="1" x="979"/>
        <item m="1" x="1196"/>
        <item m="1" x="1185"/>
        <item m="1" x="1171"/>
        <item m="1" x="577"/>
        <item m="1" x="566"/>
        <item m="1" x="551"/>
        <item m="1" x="1328"/>
        <item m="1" x="1315"/>
        <item m="1" x="1299"/>
        <item m="1" x="1496"/>
        <item m="1" x="1486"/>
        <item m="1" x="1480"/>
        <item m="1" x="139"/>
        <item m="1" x="116"/>
        <item m="1" x="92"/>
        <item m="1" x="968"/>
        <item m="1" x="949"/>
        <item m="1" x="1462"/>
        <item m="1" x="1450"/>
        <item m="1" x="1459"/>
        <item m="1" x="1449"/>
        <item m="1" x="1438"/>
        <item m="1" x="192"/>
        <item m="1" x="171"/>
        <item m="1" x="734"/>
        <item m="1" x="721"/>
        <item m="1" x="711"/>
        <item m="1" x="150"/>
        <item m="1" x="129"/>
        <item m="1" x="108"/>
        <item m="1" x="753"/>
        <item m="1" x="744"/>
        <item m="1" x="736"/>
        <item m="1" x="1590"/>
        <item m="1" x="1569"/>
        <item m="1" x="1551"/>
        <item m="1" x="6"/>
        <item m="1" x="1788"/>
        <item m="1" x="1772"/>
        <item m="1" x="407"/>
        <item m="1" x="397"/>
        <item m="1" x="388"/>
        <item m="1" x="844"/>
        <item m="1" x="821"/>
        <item m="1" x="802"/>
        <item m="1" x="617"/>
        <item m="1" x="1702"/>
        <item m="1" x="1687"/>
        <item m="1" x="1676"/>
        <item m="1" x="899"/>
        <item m="1" x="883"/>
        <item m="1" x="1526"/>
        <item m="1" x="1508"/>
        <item m="1" x="1495"/>
        <item m="1" x="1294"/>
        <item m="1" x="1276"/>
        <item m="1" x="1257"/>
        <item m="1" x="1739"/>
        <item m="1" x="1727"/>
        <item m="1" x="1721"/>
        <item m="1" x="1453"/>
        <item m="1" x="233"/>
        <item m="1" x="1212"/>
        <item m="1" x="777"/>
        <item m="1" x="1400"/>
        <item m="1" x="1385"/>
        <item m="1" x="1525"/>
        <item m="1" x="1506"/>
        <item m="1" x="1136"/>
        <item m="1" x="1124"/>
        <item m="1" x="1416"/>
        <item m="1" x="1406"/>
        <item m="1" x="384"/>
        <item m="1" x="372"/>
        <item m="1" x="1773"/>
        <item m="1" x="1754"/>
        <item m="1" x="353"/>
        <item m="1" x="339"/>
        <item m="1" x="324"/>
        <item m="1" x="382"/>
        <item m="1" x="370"/>
        <item m="1" x="354"/>
        <item m="1" x="30"/>
        <item m="1" x="12"/>
        <item m="1" x="1268"/>
        <item m="1" x="1249"/>
        <item m="1" x="1226"/>
        <item m="1" x="1374"/>
        <item m="1" x="1362"/>
        <item m="1" x="1348"/>
        <item m="1" x="1119"/>
        <item m="1" x="1108"/>
        <item m="1" x="1092"/>
        <item m="1" x="261"/>
        <item m="1" x="241"/>
        <item m="1" x="225"/>
        <item m="1" x="754"/>
        <item m="1" x="748"/>
        <item m="1" x="739"/>
        <item m="1" x="1631"/>
        <item m="1" x="1618"/>
        <item m="1" x="1601"/>
        <item m="1" x="1671"/>
        <item m="1" x="1661"/>
        <item m="1" x="1649"/>
        <item m="1" x="1344"/>
        <item m="1" x="126"/>
        <item m="1" x="105"/>
        <item m="1" x="79"/>
        <item m="1" x="352"/>
        <item m="1" x="338"/>
        <item m="1" x="323"/>
        <item m="1" x="1603"/>
        <item m="1" x="1581"/>
        <item m="1" x="1561"/>
        <item m="1" x="1410"/>
        <item m="1" x="1396"/>
        <item m="1" x="1384"/>
        <item m="1" x="1758"/>
        <item m="1" x="1743"/>
        <item m="1" x="1730"/>
        <item m="1" x="1664"/>
        <item m="1" x="1651"/>
        <item m="1" x="1644"/>
        <item m="1" x="647"/>
        <item m="1" x="633"/>
        <item m="1" x="621"/>
        <item m="1" x="1231"/>
        <item m="1" x="1206"/>
        <item m="1" x="1132"/>
        <item m="1" x="1121"/>
        <item m="1" x="911"/>
        <item m="1" x="901"/>
        <item m="1" x="887"/>
        <item m="1" x="882"/>
        <item m="1" x="861"/>
        <item m="1" x="553"/>
        <item m="1" x="534"/>
        <item m="1" x="516"/>
        <item m="1" x="133"/>
        <item m="1" x="110"/>
        <item m="1" x="86"/>
        <item m="1" x="646"/>
        <item m="1" x="631"/>
        <item m="1" x="616"/>
        <item m="1" x="1680"/>
        <item m="1" x="1667"/>
        <item m="1" x="1658"/>
        <item m="1" x="1304"/>
        <item m="1" x="1286"/>
        <item m="1" x="1267"/>
        <item m="1" x="9"/>
        <item m="1" x="1790"/>
        <item m="1" x="1777"/>
        <item m="1" x="1263"/>
        <item m="1" x="1245"/>
        <item m="1" x="1225"/>
        <item m="1" x="1468"/>
        <item m="1" x="1458"/>
        <item m="1" x="1447"/>
        <item m="1" x="1578"/>
        <item m="1" x="1560"/>
        <item m="1" x="564"/>
        <item m="1" x="549"/>
        <item m="1" x="531"/>
        <item m="1" x="315"/>
        <item m="1" x="300"/>
        <item m="1" x="277"/>
        <item m="1" x="1513"/>
        <item m="1" x="1497"/>
        <item m="1" x="1488"/>
        <item m="1" x="1052"/>
        <item m="1" x="1117"/>
        <item m="1" x="1106"/>
        <item m="1" x="1586"/>
        <item m="1" x="1565"/>
        <item m="1" x="1546"/>
        <item m="1" x="696"/>
        <item m="1" x="685"/>
        <item m="1" x="671"/>
        <item m="1" x="572"/>
        <item m="1" x="558"/>
        <item m="1" x="541"/>
        <item m="1" x="1420"/>
        <item m="1" x="1411"/>
        <item m="1" x="1398"/>
        <item m="1" x="1310"/>
        <item m="1" x="1293"/>
        <item m="1" x="1275"/>
        <item m="1" x="1312"/>
        <item m="1" x="1295"/>
        <item m="1" x="1278"/>
        <item m="1" x="1414"/>
        <item m="1" x="1401"/>
        <item m="1" x="1386"/>
        <item m="1" x="298"/>
        <item m="1" x="275"/>
        <item m="1" x="253"/>
        <item m="1" x="747"/>
        <item m="1" x="737"/>
        <item m="1" x="724"/>
        <item m="1" x="55"/>
        <item m="1" x="34"/>
        <item m="1" x="18"/>
        <item m="1" x="299"/>
        <item m="1" x="276"/>
        <item m="1" x="256"/>
        <item m="1" x="1028"/>
        <item m="1" x="1011"/>
        <item m="1" x="997"/>
        <item m="1" x="710"/>
        <item m="1" x="699"/>
        <item m="1" x="939"/>
        <item m="1" x="586"/>
        <item m="1" x="574"/>
        <item m="1" x="563"/>
        <item m="1" x="701"/>
        <item m="1" x="687"/>
        <item m="1" x="676"/>
        <item m="1" x="1352"/>
        <item m="1" x="1338"/>
        <item m="1" x="1421"/>
        <item m="1" x="1412"/>
        <item m="1" x="1399"/>
        <item m="1" x="733"/>
        <item m="1" x="720"/>
        <item m="1" x="709"/>
        <item m="1" x="1774"/>
        <item m="1" x="1756"/>
        <item m="1" x="1741"/>
        <item m="1" x="1755"/>
        <item m="1" x="1740"/>
        <item m="1" x="172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7"/>
  </rowFields>
  <rowItems count="355">
    <i>
      <x v="6"/>
      <x v="5"/>
      <x v="1"/>
    </i>
    <i r="2">
      <x v="2"/>
    </i>
    <i>
      <x v="20"/>
      <x v="12"/>
      <x v="1"/>
    </i>
    <i r="2">
      <x v="2"/>
    </i>
    <i>
      <x v="28"/>
      <x v="28"/>
      <x v="1"/>
    </i>
    <i r="2">
      <x v="2"/>
    </i>
    <i>
      <x v="29"/>
      <x v="15"/>
      <x v="1"/>
    </i>
    <i r="2">
      <x v="2"/>
    </i>
    <i>
      <x v="30"/>
      <x v="22"/>
      <x v="1"/>
    </i>
    <i r="2">
      <x v="2"/>
    </i>
    <i>
      <x v="33"/>
      <x v="33"/>
      <x v="1"/>
    </i>
    <i r="2">
      <x v="2"/>
    </i>
    <i>
      <x v="34"/>
      <x v="34"/>
      <x v="1"/>
    </i>
    <i r="2">
      <x v="2"/>
    </i>
    <i>
      <x v="36"/>
      <x v="36"/>
      <x v="1"/>
    </i>
    <i r="2">
      <x v="2"/>
    </i>
    <i>
      <x v="40"/>
      <x v="40"/>
      <x v="1"/>
    </i>
    <i r="2">
      <x v="2"/>
    </i>
    <i>
      <x v="41"/>
      <x v="41"/>
      <x v="1"/>
    </i>
    <i r="2">
      <x v="2"/>
    </i>
    <i>
      <x v="52"/>
      <x v="52"/>
      <x v="1"/>
    </i>
    <i r="2">
      <x v="2"/>
    </i>
    <i>
      <x v="60"/>
      <x v="60"/>
      <x v="1"/>
    </i>
    <i r="2">
      <x v="2"/>
    </i>
    <i>
      <x v="72"/>
      <x v="71"/>
      <x v="1"/>
    </i>
    <i r="2">
      <x v="2"/>
    </i>
    <i>
      <x v="74"/>
      <x v="73"/>
      <x v="1"/>
    </i>
    <i r="2">
      <x v="2"/>
    </i>
    <i>
      <x v="75"/>
      <x v="74"/>
      <x v="1"/>
    </i>
    <i r="2">
      <x v="2"/>
    </i>
    <i>
      <x v="78"/>
      <x v="77"/>
      <x v="1"/>
    </i>
    <i r="2">
      <x v="2"/>
    </i>
    <i>
      <x v="82"/>
      <x v="81"/>
      <x v="1"/>
    </i>
    <i r="2">
      <x v="2"/>
    </i>
    <i>
      <x v="88"/>
      <x v="87"/>
      <x v="1"/>
    </i>
    <i r="2">
      <x v="2"/>
    </i>
    <i>
      <x v="90"/>
      <x v="89"/>
      <x v="1"/>
    </i>
    <i r="2">
      <x v="2"/>
    </i>
    <i>
      <x v="93"/>
      <x v="92"/>
      <x v="1"/>
    </i>
    <i r="2">
      <x v="2"/>
    </i>
    <i>
      <x v="94"/>
      <x v="93"/>
      <x v="1"/>
    </i>
    <i r="2">
      <x v="2"/>
    </i>
    <i>
      <x v="118"/>
      <x v="117"/>
      <x v="1"/>
    </i>
    <i r="2">
      <x v="2"/>
    </i>
    <i>
      <x v="131"/>
      <x v="130"/>
      <x v="1"/>
    </i>
    <i r="2">
      <x v="2"/>
    </i>
    <i>
      <x v="138"/>
      <x v="137"/>
      <x v="1"/>
    </i>
    <i r="2">
      <x v="2"/>
    </i>
    <i>
      <x v="148"/>
      <x v="147"/>
      <x v="1"/>
    </i>
    <i r="2">
      <x v="2"/>
    </i>
    <i>
      <x v="154"/>
      <x v="153"/>
      <x v="1"/>
    </i>
    <i r="2">
      <x v="2"/>
    </i>
    <i>
      <x v="155"/>
      <x v="154"/>
      <x v="1"/>
    </i>
    <i r="2">
      <x v="2"/>
    </i>
    <i>
      <x v="156"/>
      <x v="155"/>
      <x v="1"/>
    </i>
    <i r="2">
      <x v="2"/>
    </i>
    <i>
      <x v="157"/>
      <x v="156"/>
      <x v="1"/>
    </i>
    <i r="2">
      <x v="2"/>
    </i>
    <i>
      <x v="159"/>
      <x v="158"/>
      <x v="1"/>
    </i>
    <i r="2">
      <x v="2"/>
    </i>
    <i>
      <x v="161"/>
      <x v="160"/>
      <x v="1"/>
    </i>
    <i r="2">
      <x v="2"/>
    </i>
    <i>
      <x v="168"/>
      <x v="167"/>
      <x v="1"/>
    </i>
    <i r="2">
      <x v="2"/>
    </i>
    <i>
      <x v="169"/>
      <x v="168"/>
      <x v="1"/>
    </i>
    <i r="2">
      <x v="2"/>
    </i>
    <i>
      <x v="171"/>
      <x v="170"/>
      <x v="1"/>
    </i>
    <i r="2">
      <x v="2"/>
    </i>
    <i>
      <x v="174"/>
      <x v="173"/>
      <x v="1"/>
    </i>
    <i r="2">
      <x v="2"/>
    </i>
    <i>
      <x v="175"/>
      <x v="174"/>
      <x v="1"/>
    </i>
    <i r="2">
      <x v="2"/>
    </i>
    <i>
      <x v="176"/>
      <x v="175"/>
      <x v="1"/>
    </i>
    <i r="2">
      <x v="2"/>
    </i>
    <i>
      <x v="177"/>
      <x v="176"/>
      <x v="1"/>
    </i>
    <i r="2">
      <x v="2"/>
    </i>
    <i>
      <x v="182"/>
      <x v="181"/>
      <x v="1"/>
    </i>
    <i r="2">
      <x v="2"/>
    </i>
    <i>
      <x v="183"/>
      <x v="182"/>
      <x v="1"/>
    </i>
    <i r="2">
      <x v="2"/>
    </i>
    <i>
      <x v="189"/>
      <x v="188"/>
      <x v="1"/>
    </i>
    <i r="2">
      <x v="2"/>
    </i>
    <i>
      <x v="190"/>
      <x v="189"/>
      <x v="1"/>
    </i>
    <i r="2">
      <x v="2"/>
    </i>
    <i>
      <x v="198"/>
      <x v="197"/>
      <x v="1"/>
    </i>
    <i r="2">
      <x v="2"/>
    </i>
    <i>
      <x v="199"/>
      <x v="198"/>
      <x v="1"/>
    </i>
    <i r="2">
      <x v="2"/>
    </i>
    <i>
      <x v="200"/>
      <x v="199"/>
      <x v="1"/>
    </i>
    <i r="2">
      <x v="2"/>
    </i>
    <i>
      <x v="202"/>
      <x v="201"/>
      <x v="1"/>
    </i>
    <i r="2">
      <x v="2"/>
    </i>
    <i>
      <x v="210"/>
      <x v="209"/>
      <x v="1"/>
    </i>
    <i r="2">
      <x v="2"/>
    </i>
    <i>
      <x v="213"/>
      <x v="212"/>
      <x v="1"/>
    </i>
    <i r="2">
      <x v="2"/>
    </i>
    <i>
      <x v="215"/>
      <x v="214"/>
      <x v="1"/>
    </i>
    <i r="2">
      <x v="2"/>
    </i>
    <i>
      <x v="217"/>
      <x v="216"/>
      <x v="1"/>
    </i>
    <i r="2">
      <x v="2"/>
    </i>
    <i>
      <x v="228"/>
      <x v="227"/>
      <x v="1"/>
    </i>
    <i r="2">
      <x v="2"/>
    </i>
    <i>
      <x v="229"/>
      <x v="228"/>
      <x v="1"/>
    </i>
    <i r="2">
      <x v="2"/>
    </i>
    <i>
      <x v="237"/>
      <x v="236"/>
      <x v="1"/>
    </i>
    <i r="2">
      <x v="2"/>
    </i>
    <i>
      <x v="240"/>
      <x v="239"/>
      <x v="1"/>
    </i>
    <i r="2">
      <x v="2"/>
    </i>
    <i>
      <x v="243"/>
      <x v="242"/>
      <x v="1"/>
    </i>
    <i r="2">
      <x v="2"/>
    </i>
    <i>
      <x v="244"/>
      <x v="243"/>
      <x v="1"/>
    </i>
    <i r="2">
      <x v="2"/>
    </i>
    <i>
      <x v="252"/>
      <x v="250"/>
      <x v="1"/>
    </i>
    <i r="2">
      <x v="2"/>
    </i>
    <i>
      <x v="254"/>
      <x v="252"/>
      <x v="1"/>
    </i>
    <i r="2">
      <x v="2"/>
    </i>
    <i>
      <x v="255"/>
      <x v="253"/>
      <x v="1"/>
    </i>
    <i r="2">
      <x v="2"/>
    </i>
    <i>
      <x v="256"/>
      <x v="254"/>
      <x v="1"/>
    </i>
    <i r="2">
      <x v="2"/>
    </i>
    <i>
      <x v="257"/>
      <x v="255"/>
      <x v="1"/>
    </i>
    <i r="2">
      <x v="2"/>
    </i>
    <i>
      <x v="258"/>
      <x v="256"/>
      <x v="1"/>
    </i>
    <i r="2">
      <x v="2"/>
    </i>
    <i>
      <x v="272"/>
      <x v="270"/>
      <x v="1"/>
    </i>
    <i r="2">
      <x v="2"/>
    </i>
    <i>
      <x v="276"/>
      <x v="274"/>
      <x v="1"/>
    </i>
    <i r="2">
      <x v="2"/>
    </i>
    <i>
      <x v="279"/>
      <x v="277"/>
      <x v="1"/>
    </i>
    <i r="2">
      <x v="2"/>
    </i>
    <i>
      <x v="290"/>
      <x v="288"/>
      <x v="1"/>
    </i>
    <i r="2">
      <x v="2"/>
    </i>
    <i>
      <x v="303"/>
      <x v="301"/>
      <x v="1"/>
    </i>
    <i r="2">
      <x v="2"/>
    </i>
    <i>
      <x v="312"/>
      <x v="310"/>
      <x v="1"/>
    </i>
    <i r="2">
      <x v="2"/>
    </i>
    <i>
      <x v="332"/>
      <x v="330"/>
      <x v="1"/>
    </i>
    <i r="2">
      <x v="2"/>
    </i>
    <i>
      <x v="429"/>
      <x v="429"/>
      <x v="1"/>
    </i>
    <i r="2">
      <x v="2"/>
    </i>
    <i>
      <x v="432"/>
      <x v="432"/>
      <x v="1"/>
    </i>
    <i r="2">
      <x v="2"/>
    </i>
    <i>
      <x v="437"/>
      <x v="437"/>
      <x v="1"/>
    </i>
    <i r="2">
      <x v="2"/>
    </i>
    <i>
      <x v="441"/>
      <x v="441"/>
      <x v="1"/>
    </i>
    <i r="2">
      <x v="2"/>
    </i>
    <i>
      <x v="445"/>
      <x v="445"/>
      <x v="1"/>
    </i>
    <i r="2">
      <x v="2"/>
    </i>
    <i>
      <x v="446"/>
      <x v="446"/>
      <x v="1"/>
    </i>
    <i r="2">
      <x v="2"/>
    </i>
    <i>
      <x v="447"/>
      <x v="447"/>
      <x v="1"/>
    </i>
    <i r="2">
      <x v="2"/>
    </i>
    <i>
      <x v="448"/>
      <x v="448"/>
      <x v="1"/>
    </i>
    <i r="2">
      <x v="2"/>
    </i>
    <i>
      <x v="449"/>
      <x v="449"/>
      <x v="1"/>
    </i>
    <i r="2">
      <x v="2"/>
    </i>
    <i>
      <x v="451"/>
      <x v="451"/>
      <x v="1"/>
    </i>
    <i r="2">
      <x v="2"/>
    </i>
    <i>
      <x v="452"/>
      <x v="452"/>
      <x v="1"/>
    </i>
    <i r="2">
      <x v="2"/>
    </i>
    <i>
      <x v="453"/>
      <x v="453"/>
      <x v="1"/>
    </i>
    <i r="2">
      <x v="2"/>
    </i>
    <i>
      <x v="454"/>
      <x v="454"/>
      <x v="1"/>
    </i>
    <i r="2">
      <x v="2"/>
    </i>
    <i>
      <x v="460"/>
      <x v="460"/>
      <x v="1"/>
    </i>
    <i r="2">
      <x v="2"/>
    </i>
    <i>
      <x v="461"/>
      <x v="461"/>
      <x v="1"/>
    </i>
    <i r="2">
      <x v="2"/>
    </i>
    <i>
      <x v="462"/>
      <x v="462"/>
      <x v="1"/>
    </i>
    <i r="2">
      <x v="2"/>
    </i>
    <i>
      <x v="463"/>
      <x v="463"/>
      <x v="1"/>
    </i>
    <i r="2">
      <x v="2"/>
    </i>
    <i>
      <x v="464"/>
      <x v="464"/>
      <x v="1"/>
    </i>
    <i r="2">
      <x v="2"/>
    </i>
    <i>
      <x v="468"/>
      <x v="468"/>
      <x v="1"/>
    </i>
    <i r="2">
      <x v="2"/>
    </i>
    <i>
      <x v="470"/>
      <x v="470"/>
      <x v="1"/>
    </i>
    <i r="2">
      <x v="2"/>
    </i>
    <i>
      <x v="473"/>
      <x v="473"/>
      <x v="1"/>
    </i>
    <i r="2">
      <x v="2"/>
    </i>
    <i>
      <x v="482"/>
      <x v="482"/>
      <x v="1"/>
    </i>
    <i r="2">
      <x v="2"/>
    </i>
    <i>
      <x v="486"/>
      <x v="486"/>
      <x v="1"/>
    </i>
    <i r="2">
      <x v="2"/>
    </i>
    <i>
      <x v="487"/>
      <x v="487"/>
      <x v="1"/>
    </i>
    <i r="2">
      <x v="2"/>
    </i>
    <i>
      <x v="510"/>
      <x v="510"/>
      <x v="1"/>
    </i>
    <i r="2">
      <x v="2"/>
    </i>
    <i>
      <x v="511"/>
      <x v="511"/>
      <x v="1"/>
    </i>
    <i r="2">
      <x v="2"/>
    </i>
    <i>
      <x v="512"/>
      <x v="512"/>
      <x v="1"/>
    </i>
    <i r="2">
      <x v="2"/>
    </i>
    <i>
      <x v="513"/>
      <x v="513"/>
      <x v="1"/>
    </i>
    <i r="2">
      <x v="2"/>
    </i>
    <i>
      <x v="526"/>
      <x v="526"/>
      <x v="1"/>
    </i>
    <i r="2">
      <x v="2"/>
    </i>
    <i>
      <x v="543"/>
      <x v="543"/>
      <x v="1"/>
    </i>
    <i r="2">
      <x v="2"/>
    </i>
    <i>
      <x v="544"/>
      <x v="544"/>
      <x v="1"/>
    </i>
    <i r="2">
      <x v="2"/>
    </i>
    <i>
      <x v="546"/>
      <x v="546"/>
      <x v="1"/>
    </i>
    <i r="2">
      <x v="2"/>
    </i>
    <i>
      <x v="561"/>
      <x v="561"/>
      <x v="1"/>
    </i>
    <i r="2">
      <x v="2"/>
    </i>
    <i>
      <x v="570"/>
      <x v="570"/>
      <x v="1"/>
    </i>
    <i r="2">
      <x v="2"/>
    </i>
    <i>
      <x v="579"/>
      <x v="579"/>
      <x v="1"/>
    </i>
    <i r="2">
      <x v="2"/>
    </i>
    <i>
      <x v="584"/>
      <x v="584"/>
      <x v="1"/>
    </i>
    <i r="2">
      <x v="2"/>
    </i>
    <i>
      <x v="586"/>
      <x v="586"/>
      <x v="1"/>
    </i>
    <i r="2">
      <x v="2"/>
    </i>
    <i>
      <x v="587"/>
      <x v="587"/>
      <x v="1"/>
    </i>
    <i r="2">
      <x v="2"/>
    </i>
    <i>
      <x v="588"/>
      <x v="588"/>
      <x v="1"/>
    </i>
    <i r="2">
      <x v="2"/>
    </i>
    <i>
      <x v="589"/>
      <x v="589"/>
      <x v="1"/>
    </i>
    <i r="2">
      <x v="2"/>
    </i>
    <i>
      <x v="590"/>
      <x v="590"/>
      <x v="1"/>
    </i>
    <i r="2">
      <x v="2"/>
    </i>
    <i>
      <x v="591"/>
      <x v="591"/>
      <x v="1"/>
    </i>
    <i r="2">
      <x v="2"/>
    </i>
    <i>
      <x v="593"/>
      <x v="593"/>
      <x v="1"/>
    </i>
    <i r="2">
      <x v="2"/>
    </i>
    <i>
      <x v="594"/>
      <x v="594"/>
      <x v="1"/>
    </i>
    <i r="2">
      <x v="2"/>
    </i>
    <i>
      <x v="595"/>
      <x v="595"/>
      <x v="1"/>
    </i>
    <i r="2">
      <x v="2"/>
    </i>
    <i>
      <x v="596"/>
      <x v="596"/>
      <x v="1"/>
    </i>
    <i r="2">
      <x v="2"/>
    </i>
    <i>
      <x v="603"/>
      <x v="603"/>
      <x v="1"/>
    </i>
    <i r="2">
      <x v="2"/>
    </i>
    <i>
      <x v="605"/>
      <x v="605"/>
      <x v="1"/>
    </i>
    <i r="2">
      <x v="2"/>
    </i>
    <i>
      <x v="610"/>
      <x v="610"/>
      <x v="1"/>
    </i>
    <i r="2">
      <x v="2"/>
    </i>
    <i>
      <x v="612"/>
      <x v="612"/>
      <x v="1"/>
    </i>
    <i r="2">
      <x v="2"/>
    </i>
    <i>
      <x v="617"/>
      <x v="617"/>
      <x v="1"/>
    </i>
    <i r="2">
      <x v="2"/>
    </i>
    <i>
      <x v="620"/>
      <x v="620"/>
      <x v="1"/>
    </i>
    <i r="2">
      <x v="2"/>
    </i>
    <i>
      <x v="625"/>
      <x v="625"/>
      <x v="1"/>
    </i>
    <i r="2">
      <x v="2"/>
    </i>
    <i>
      <x v="628"/>
      <x v="628"/>
      <x v="1"/>
    </i>
    <i r="2">
      <x v="2"/>
    </i>
    <i>
      <x v="630"/>
      <x v="630"/>
      <x v="1"/>
    </i>
    <i r="2">
      <x v="2"/>
    </i>
    <i>
      <x v="652"/>
      <x v="652"/>
      <x v="1"/>
    </i>
    <i r="2">
      <x v="2"/>
    </i>
    <i>
      <x v="657"/>
      <x v="657"/>
      <x v="1"/>
    </i>
    <i r="2">
      <x v="2"/>
    </i>
    <i>
      <x v="667"/>
      <x v="667"/>
      <x v="1"/>
    </i>
    <i r="2">
      <x v="2"/>
    </i>
    <i>
      <x v="668"/>
      <x v="668"/>
      <x v="1"/>
    </i>
    <i r="2">
      <x v="2"/>
    </i>
    <i>
      <x v="672"/>
      <x v="672"/>
      <x v="1"/>
    </i>
    <i r="2">
      <x v="2"/>
    </i>
    <i>
      <x v="674"/>
      <x v="674"/>
      <x v="1"/>
    </i>
    <i r="2">
      <x v="2"/>
    </i>
    <i>
      <x v="675"/>
      <x v="675"/>
      <x v="1"/>
    </i>
    <i r="2">
      <x v="2"/>
    </i>
    <i>
      <x v="677"/>
      <x v="677"/>
      <x v="1"/>
    </i>
    <i r="2">
      <x v="2"/>
    </i>
    <i>
      <x v="678"/>
      <x v="678"/>
      <x v="1"/>
    </i>
    <i r="2">
      <x v="2"/>
    </i>
    <i>
      <x v="685"/>
      <x v="685"/>
      <x v="1"/>
    </i>
    <i r="2">
      <x v="2"/>
    </i>
    <i>
      <x v="686"/>
      <x v="686"/>
      <x v="1"/>
    </i>
    <i r="2">
      <x v="2"/>
    </i>
    <i>
      <x v="692"/>
      <x v="692"/>
      <x v="1"/>
    </i>
    <i r="2">
      <x v="2"/>
    </i>
    <i>
      <x v="702"/>
      <x v="702"/>
      <x v="1"/>
    </i>
    <i r="2">
      <x v="2"/>
    </i>
    <i>
      <x v="715"/>
      <x v="715"/>
      <x v="1"/>
    </i>
    <i r="2">
      <x v="2"/>
    </i>
    <i>
      <x v="727"/>
      <x v="727"/>
      <x v="1"/>
    </i>
    <i r="2">
      <x v="2"/>
    </i>
    <i>
      <x v="748"/>
      <x v="36"/>
      <x v="1"/>
    </i>
    <i r="2">
      <x v="2"/>
    </i>
    <i>
      <x v="754"/>
      <x v="753"/>
      <x v="1"/>
    </i>
    <i r="2">
      <x v="2"/>
    </i>
    <i>
      <x v="761"/>
      <x v="760"/>
      <x v="1"/>
    </i>
    <i r="2">
      <x v="2"/>
    </i>
    <i>
      <x v="773"/>
      <x v="772"/>
      <x v="1"/>
    </i>
    <i r="2">
      <x v="2"/>
    </i>
    <i>
      <x v="811"/>
      <x v="808"/>
      <x v="1"/>
    </i>
    <i r="2">
      <x v="2"/>
    </i>
    <i>
      <x v="812"/>
      <x v="809"/>
      <x v="1"/>
    </i>
    <i r="2">
      <x v="2"/>
    </i>
    <i>
      <x v="813"/>
      <x v="810"/>
      <x v="1"/>
    </i>
    <i r="2">
      <x v="2"/>
    </i>
    <i>
      <x v="814"/>
      <x v="811"/>
      <x v="1"/>
    </i>
    <i r="2">
      <x v="2"/>
    </i>
    <i>
      <x v="815"/>
      <x v="812"/>
      <x v="1"/>
    </i>
    <i r="2">
      <x v="2"/>
    </i>
    <i>
      <x v="816"/>
      <x v="813"/>
      <x v="1"/>
    </i>
    <i r="2">
      <x v="2"/>
    </i>
    <i>
      <x v="817"/>
      <x v="814"/>
      <x v="1"/>
    </i>
    <i r="2">
      <x v="2"/>
    </i>
    <i>
      <x v="818"/>
      <x v="815"/>
      <x v="1"/>
    </i>
    <i r="2">
      <x v="2"/>
    </i>
    <i>
      <x v="819"/>
      <x v="816"/>
      <x v="1"/>
    </i>
    <i r="2">
      <x v="2"/>
    </i>
    <i>
      <x v="820"/>
      <x v="817"/>
      <x v="1"/>
    </i>
    <i r="2">
      <x v="2"/>
    </i>
    <i>
      <x v="821"/>
      <x v="818"/>
      <x v="1"/>
    </i>
    <i r="2">
      <x v="2"/>
    </i>
    <i>
      <x v="822"/>
      <x v="819"/>
      <x v="1"/>
    </i>
    <i r="2">
      <x v="2"/>
    </i>
    <i>
      <x v="823"/>
      <x v="820"/>
      <x v="1"/>
    </i>
    <i r="2">
      <x v="2"/>
    </i>
    <i>
      <x v="824"/>
      <x v="821"/>
      <x v="1"/>
    </i>
    <i r="2">
      <x v="2"/>
    </i>
    <i>
      <x v="825"/>
      <x v="822"/>
      <x v="1"/>
    </i>
    <i r="2">
      <x v="2"/>
    </i>
    <i>
      <x v="826"/>
      <x v="823"/>
      <x v="1"/>
    </i>
    <i r="2">
      <x v="2"/>
    </i>
    <i>
      <x v="827"/>
      <x v="824"/>
      <x v="1"/>
    </i>
    <i r="2">
      <x v="2"/>
    </i>
    <i>
      <x v="828"/>
      <x v="825"/>
      <x v="1"/>
    </i>
    <i r="2">
      <x v="2"/>
    </i>
    <i>
      <x v="829"/>
      <x v="826"/>
      <x v="1"/>
    </i>
    <i r="2">
      <x v="2"/>
    </i>
    <i>
      <x v="830"/>
      <x v="827"/>
      <x v="1"/>
    </i>
    <i r="2">
      <x v="2"/>
    </i>
    <i>
      <x v="831"/>
      <x v="828"/>
      <x v="1"/>
    </i>
    <i r="2">
      <x v="2"/>
    </i>
    <i>
      <x v="832"/>
      <x v="829"/>
      <x v="1"/>
    </i>
    <i r="2">
      <x v="2"/>
    </i>
    <i>
      <x v="833"/>
      <x v="830"/>
      <x v="1"/>
    </i>
    <i r="2">
      <x v="2"/>
    </i>
    <i>
      <x v="834"/>
      <x v="831"/>
      <x v="1"/>
    </i>
    <i r="2">
      <x v="2"/>
    </i>
    <i>
      <x v="835"/>
      <x v="832"/>
      <x v="1"/>
    </i>
    <i r="2">
      <x v="2"/>
    </i>
    <i>
      <x v="836"/>
      <x v="833"/>
      <x v="1"/>
    </i>
    <i r="2">
      <x v="2"/>
    </i>
    <i>
      <x v="837"/>
      <x v="834"/>
      <x v="1"/>
    </i>
    <i r="2">
      <x v="2"/>
    </i>
    <i>
      <x v="838"/>
      <x v="835"/>
      <x v="1"/>
    </i>
    <i r="2">
      <x v="2"/>
    </i>
    <i>
      <x v="839"/>
      <x v="836"/>
      <x v="1"/>
    </i>
    <i r="2">
      <x v="2"/>
    </i>
    <i>
      <x v="840"/>
      <x v="837"/>
      <x v="1"/>
    </i>
    <i r="2">
      <x v="2"/>
    </i>
    <i>
      <x v="841"/>
      <x v="838"/>
      <x v="1"/>
    </i>
    <i r="2">
      <x v="2"/>
    </i>
    <i>
      <x v="842"/>
      <x v="839"/>
      <x v="1"/>
    </i>
    <i r="2">
      <x v="2"/>
    </i>
    <i>
      <x v="843"/>
      <x v="840"/>
      <x v="1"/>
    </i>
    <i r="2">
      <x v="2"/>
    </i>
    <i>
      <x v="844"/>
      <x v="841"/>
      <x v="1"/>
    </i>
    <i r="2"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heme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1:R86"/>
  <sheetViews>
    <sheetView showGridLines="0" tabSelected="1" workbookViewId="0">
      <selection activeCell="C8" sqref="C8"/>
    </sheetView>
  </sheetViews>
  <sheetFormatPr baseColWidth="10" defaultColWidth="8.83203125" defaultRowHeight="14" x14ac:dyDescent="0"/>
  <sheetData>
    <row r="1" spans="2:13" ht="15" thickBot="1"/>
    <row r="2" spans="2:1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/>
    </row>
    <row r="3" spans="2:13">
      <c r="B3" s="5"/>
      <c r="C3" s="6" t="s">
        <v>1</v>
      </c>
      <c r="D3" s="6"/>
      <c r="E3" s="6"/>
      <c r="F3" s="6"/>
      <c r="G3" s="6"/>
      <c r="H3" s="6"/>
      <c r="I3" s="6"/>
      <c r="J3" s="6"/>
      <c r="K3" s="6"/>
      <c r="L3" s="6"/>
      <c r="M3" s="7"/>
    </row>
    <row r="4" spans="2:1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7"/>
    </row>
    <row r="5" spans="2:13">
      <c r="B5" s="5"/>
      <c r="C5" s="6" t="s">
        <v>2</v>
      </c>
      <c r="D5" s="6"/>
      <c r="E5" s="6"/>
      <c r="F5" s="6"/>
      <c r="G5" s="6"/>
      <c r="H5" s="6"/>
      <c r="I5" s="6"/>
      <c r="J5" s="6"/>
      <c r="K5" s="6"/>
      <c r="L5" s="6"/>
      <c r="M5" s="7"/>
    </row>
    <row r="6" spans="2:1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7"/>
    </row>
    <row r="7" spans="2:13">
      <c r="B7" s="5"/>
      <c r="C7" s="6" t="s">
        <v>3</v>
      </c>
      <c r="D7" s="6"/>
      <c r="E7" s="6"/>
      <c r="F7" s="6"/>
      <c r="G7" s="6"/>
      <c r="H7" s="6"/>
      <c r="I7" s="6"/>
      <c r="J7" s="6"/>
      <c r="K7" s="6"/>
      <c r="L7" s="6"/>
      <c r="M7" s="7"/>
    </row>
    <row r="8" spans="2:13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7"/>
    </row>
    <row r="9" spans="2:13">
      <c r="B9" s="5"/>
      <c r="C9" s="6" t="s">
        <v>4</v>
      </c>
      <c r="D9" s="6"/>
      <c r="E9" s="6"/>
      <c r="F9" s="6"/>
      <c r="G9" s="6"/>
      <c r="H9" s="6"/>
      <c r="I9" s="6"/>
      <c r="J9" s="6"/>
      <c r="K9" s="6"/>
      <c r="L9" s="6"/>
      <c r="M9" s="7"/>
    </row>
    <row r="10" spans="2:1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7"/>
    </row>
    <row r="11" spans="2:13">
      <c r="B11" s="5"/>
      <c r="C11" s="6" t="s">
        <v>5</v>
      </c>
      <c r="D11" s="6"/>
      <c r="E11" s="217" t="s">
        <v>143</v>
      </c>
      <c r="F11" s="218"/>
      <c r="G11" s="218"/>
      <c r="H11" s="218"/>
      <c r="I11" s="218"/>
      <c r="J11" s="218"/>
      <c r="K11" s="218"/>
      <c r="L11" s="219"/>
      <c r="M11" s="7"/>
    </row>
    <row r="12" spans="2:1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7"/>
    </row>
    <row r="13" spans="2:13">
      <c r="B13" s="5"/>
      <c r="C13" s="6" t="s">
        <v>6</v>
      </c>
      <c r="D13" s="6"/>
      <c r="E13" s="6"/>
      <c r="F13" s="6"/>
      <c r="G13" s="6"/>
      <c r="H13" s="6"/>
      <c r="I13" s="6"/>
      <c r="J13" s="6"/>
      <c r="K13" s="6"/>
      <c r="L13" s="6"/>
      <c r="M13" s="7"/>
    </row>
    <row r="14" spans="2:1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7"/>
    </row>
    <row r="15" spans="2:1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7"/>
    </row>
    <row r="16" spans="2:1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7"/>
    </row>
    <row r="17" spans="2:18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7"/>
    </row>
    <row r="18" spans="2:18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</row>
    <row r="19" spans="2:18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7"/>
    </row>
    <row r="20" spans="2:18" ht="15" thickBot="1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10"/>
    </row>
    <row r="22" spans="2:18" ht="15" thickBot="1"/>
    <row r="23" spans="2:18" ht="15" thickBot="1"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4"/>
    </row>
    <row r="24" spans="2:18" ht="16" thickTop="1" thickBot="1">
      <c r="B24" s="13"/>
      <c r="C24" s="216" t="s">
        <v>7</v>
      </c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7"/>
    </row>
    <row r="25" spans="2:18" ht="16" thickTop="1" thickBot="1">
      <c r="B25" s="13"/>
      <c r="C25" s="14" t="s">
        <v>8</v>
      </c>
      <c r="D25" s="220" t="s">
        <v>9</v>
      </c>
      <c r="E25" s="220"/>
      <c r="F25" s="220"/>
      <c r="G25" s="220"/>
      <c r="H25" s="220"/>
      <c r="I25" s="220"/>
      <c r="J25" s="220"/>
      <c r="K25" s="15"/>
      <c r="L25" s="15"/>
      <c r="M25" s="15"/>
      <c r="N25" s="15"/>
      <c r="O25" s="16" t="s">
        <v>10</v>
      </c>
      <c r="P25" s="221" t="s">
        <v>11</v>
      </c>
      <c r="Q25" s="221"/>
      <c r="R25" s="7"/>
    </row>
    <row r="26" spans="2:18" ht="16" thickTop="1" thickBot="1">
      <c r="B26" s="13"/>
      <c r="C26" s="17" t="s">
        <v>12</v>
      </c>
      <c r="D26" s="222" t="s">
        <v>13</v>
      </c>
      <c r="E26" s="222"/>
      <c r="F26" s="222"/>
      <c r="G26" s="222"/>
      <c r="H26" s="222"/>
      <c r="I26" s="222"/>
      <c r="J26" s="222"/>
      <c r="K26" s="15"/>
      <c r="L26" s="15"/>
      <c r="M26" s="15"/>
      <c r="N26" s="15"/>
      <c r="O26" s="16" t="s">
        <v>14</v>
      </c>
      <c r="P26" s="221" t="s">
        <v>15</v>
      </c>
      <c r="Q26" s="221"/>
      <c r="R26" s="7"/>
    </row>
    <row r="27" spans="2:18" ht="16" thickTop="1" thickBot="1">
      <c r="B27" s="13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6" t="s">
        <v>16</v>
      </c>
      <c r="P27" s="212">
        <v>41602</v>
      </c>
      <c r="Q27" s="212"/>
      <c r="R27" s="7"/>
    </row>
    <row r="28" spans="2:18" ht="16" thickTop="1" thickBot="1">
      <c r="B28" s="13"/>
      <c r="C28" s="18"/>
      <c r="D28" s="19" t="s">
        <v>17</v>
      </c>
      <c r="E28" s="19"/>
      <c r="F28" s="20"/>
      <c r="G28" s="20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7"/>
    </row>
    <row r="29" spans="2:18" ht="16" thickTop="1" thickBot="1">
      <c r="B29" s="13"/>
      <c r="C29" s="22" t="s">
        <v>18</v>
      </c>
      <c r="D29" s="23">
        <f>$N$34</f>
        <v>0</v>
      </c>
      <c r="E29" s="23"/>
      <c r="F29" s="21"/>
      <c r="G29" s="213" t="s">
        <v>19</v>
      </c>
      <c r="H29" s="213"/>
      <c r="I29" s="213"/>
      <c r="J29" s="213"/>
      <c r="K29" s="213"/>
      <c r="L29" s="213"/>
      <c r="M29" s="213"/>
      <c r="N29" s="213"/>
      <c r="O29" s="213"/>
      <c r="P29" s="213"/>
      <c r="Q29" s="213"/>
      <c r="R29" s="7"/>
    </row>
    <row r="30" spans="2:18" ht="16" thickTop="1" thickBot="1">
      <c r="B30" s="13"/>
      <c r="C30" s="24" t="s">
        <v>20</v>
      </c>
      <c r="D30" s="23">
        <f>+$N$48</f>
        <v>0</v>
      </c>
      <c r="E30" s="23"/>
      <c r="F30" s="21"/>
      <c r="G30" s="213"/>
      <c r="H30" s="213"/>
      <c r="I30" s="213"/>
      <c r="J30" s="213"/>
      <c r="K30" s="213"/>
      <c r="L30" s="213"/>
      <c r="M30" s="213"/>
      <c r="N30" s="213"/>
      <c r="O30" s="213"/>
      <c r="P30" s="213"/>
      <c r="Q30" s="213"/>
      <c r="R30" s="7"/>
    </row>
    <row r="31" spans="2:18" ht="16" thickTop="1" thickBot="1">
      <c r="B31" s="13"/>
      <c r="C31" s="24" t="s">
        <v>21</v>
      </c>
      <c r="D31" s="23">
        <f>$N$62</f>
        <v>0</v>
      </c>
      <c r="E31" s="23"/>
      <c r="F31" s="21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7"/>
    </row>
    <row r="32" spans="2:18" ht="16" thickTop="1" thickBot="1">
      <c r="B32" s="13"/>
      <c r="C32" s="25" t="s">
        <v>22</v>
      </c>
      <c r="D32" s="26">
        <f>SUM(D29:D31)</f>
        <v>0</v>
      </c>
      <c r="E32" s="27"/>
      <c r="F32" s="21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7"/>
    </row>
    <row r="33" spans="2:18" ht="16" thickTop="1" thickBot="1">
      <c r="B33" s="13"/>
      <c r="C33" s="28"/>
      <c r="D33" s="29"/>
      <c r="E33" s="15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7"/>
    </row>
    <row r="34" spans="2:18" ht="16" thickTop="1" thickBot="1">
      <c r="B34" s="13"/>
      <c r="C34" s="30" t="s">
        <v>23</v>
      </c>
      <c r="D34" s="31">
        <f>D32-E32</f>
        <v>0</v>
      </c>
      <c r="E34" s="15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7"/>
    </row>
    <row r="35" spans="2:18" ht="16" thickTop="1" thickBot="1">
      <c r="B35" s="13"/>
      <c r="C35" s="30" t="s">
        <v>24</v>
      </c>
      <c r="D35" s="214"/>
      <c r="E35" s="214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7"/>
    </row>
    <row r="36" spans="2:18" ht="16" thickTop="1" thickBot="1">
      <c r="B36" s="13"/>
      <c r="C36" s="32" t="s">
        <v>26</v>
      </c>
      <c r="D36" s="215"/>
      <c r="E36" s="2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7"/>
    </row>
    <row r="37" spans="2:18" ht="16" thickTop="1" thickBot="1">
      <c r="B37" s="13"/>
      <c r="C37" s="33"/>
      <c r="D37" s="33"/>
      <c r="E37" s="216" t="s">
        <v>28</v>
      </c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7"/>
    </row>
    <row r="38" spans="2:18" ht="16" thickTop="1" thickBot="1">
      <c r="B38" s="13"/>
      <c r="C38" s="34"/>
      <c r="D38" s="19" t="s">
        <v>29</v>
      </c>
      <c r="E38" s="19" t="s">
        <v>30</v>
      </c>
      <c r="F38" s="19" t="s">
        <v>31</v>
      </c>
      <c r="G38" s="35" t="s">
        <v>32</v>
      </c>
      <c r="H38" s="19" t="s">
        <v>33</v>
      </c>
      <c r="I38" s="35" t="s">
        <v>34</v>
      </c>
      <c r="J38" s="19" t="s">
        <v>35</v>
      </c>
      <c r="K38" s="19" t="s">
        <v>36</v>
      </c>
      <c r="L38" s="19" t="s">
        <v>37</v>
      </c>
      <c r="M38" s="19" t="s">
        <v>38</v>
      </c>
      <c r="N38" s="19" t="s">
        <v>39</v>
      </c>
      <c r="O38" s="19" t="s">
        <v>40</v>
      </c>
      <c r="P38" s="19" t="s">
        <v>41</v>
      </c>
      <c r="Q38" s="19" t="s">
        <v>42</v>
      </c>
      <c r="R38" s="7"/>
    </row>
    <row r="39" spans="2:18" ht="16" thickTop="1" thickBot="1">
      <c r="B39" s="13"/>
      <c r="C39" s="36" t="s">
        <v>43</v>
      </c>
      <c r="D39" s="37"/>
      <c r="E39" s="38"/>
      <c r="F39" s="39"/>
      <c r="G39" s="38"/>
      <c r="H39" s="39"/>
      <c r="I39" s="38"/>
      <c r="J39" s="39"/>
      <c r="K39" s="38"/>
      <c r="L39" s="39"/>
      <c r="M39" s="40"/>
      <c r="N39" s="40"/>
      <c r="O39" s="40"/>
      <c r="P39" s="39"/>
      <c r="Q39" s="39"/>
      <c r="R39" s="7"/>
    </row>
    <row r="40" spans="2:18" ht="16" thickTop="1" thickBot="1">
      <c r="B40" s="13"/>
      <c r="C40" s="36" t="s">
        <v>44</v>
      </c>
      <c r="D40" s="37"/>
      <c r="E40" s="38"/>
      <c r="F40" s="39"/>
      <c r="G40" s="38"/>
      <c r="H40" s="39"/>
      <c r="I40" s="38"/>
      <c r="J40" s="39"/>
      <c r="K40" s="38"/>
      <c r="L40" s="39"/>
      <c r="M40" s="40"/>
      <c r="N40" s="40"/>
      <c r="O40" s="40"/>
      <c r="P40" s="39"/>
      <c r="Q40" s="39"/>
      <c r="R40" s="7"/>
    </row>
    <row r="41" spans="2:18" ht="16" thickTop="1" thickBot="1">
      <c r="B41" s="13"/>
      <c r="C41" s="36" t="s">
        <v>45</v>
      </c>
      <c r="D41" s="37"/>
      <c r="E41" s="41"/>
      <c r="F41" s="42"/>
      <c r="G41" s="43"/>
      <c r="H41" s="43"/>
      <c r="I41" s="38"/>
      <c r="J41" s="39"/>
      <c r="K41" s="43"/>
      <c r="L41" s="43"/>
      <c r="M41" s="39"/>
      <c r="N41" s="43"/>
      <c r="O41" s="43"/>
      <c r="P41" s="43"/>
      <c r="Q41" s="44"/>
      <c r="R41" s="7"/>
    </row>
    <row r="42" spans="2:18" ht="16" thickTop="1" thickBot="1">
      <c r="B42" s="13"/>
      <c r="C42" s="36" t="s">
        <v>46</v>
      </c>
      <c r="D42" s="37"/>
      <c r="E42" s="45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7"/>
      <c r="R42" s="7"/>
    </row>
    <row r="43" spans="2:18" ht="16" thickTop="1" thickBot="1">
      <c r="B43" s="13"/>
      <c r="C43" s="36" t="s">
        <v>47</v>
      </c>
      <c r="D43" s="37"/>
      <c r="E43" s="48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50"/>
      <c r="R43" s="7"/>
    </row>
    <row r="44" spans="2:18" ht="16" thickTop="1" thickBot="1">
      <c r="B44" s="13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7"/>
    </row>
    <row r="45" spans="2:18" ht="16" thickTop="1" thickBot="1">
      <c r="B45" s="13"/>
      <c r="C45" s="211" t="s">
        <v>48</v>
      </c>
      <c r="D45" s="211"/>
      <c r="E45" s="211"/>
      <c r="F45" s="211"/>
      <c r="G45" s="211"/>
      <c r="H45" s="211"/>
      <c r="I45" s="211"/>
      <c r="J45" s="211"/>
      <c r="K45" s="211"/>
      <c r="L45" s="211"/>
      <c r="M45" s="211"/>
      <c r="N45" s="211"/>
      <c r="O45" s="211"/>
      <c r="P45" s="211"/>
      <c r="Q45" s="15"/>
      <c r="R45" s="7"/>
    </row>
    <row r="46" spans="2:18" ht="16" thickTop="1" thickBot="1">
      <c r="B46" s="13"/>
      <c r="C46" s="51" t="s">
        <v>49</v>
      </c>
      <c r="D46" s="19" t="s">
        <v>50</v>
      </c>
      <c r="E46" s="19" t="s">
        <v>51</v>
      </c>
      <c r="F46" s="19" t="s">
        <v>52</v>
      </c>
      <c r="G46" s="19" t="s">
        <v>53</v>
      </c>
      <c r="H46" s="19" t="s">
        <v>54</v>
      </c>
      <c r="I46" s="52" t="s">
        <v>55</v>
      </c>
      <c r="J46" s="53" t="s">
        <v>56</v>
      </c>
      <c r="K46" s="53" t="s">
        <v>57</v>
      </c>
      <c r="L46" s="19" t="s">
        <v>58</v>
      </c>
      <c r="M46" s="19" t="s">
        <v>59</v>
      </c>
      <c r="N46" s="54" t="s">
        <v>60</v>
      </c>
      <c r="O46" s="55" t="s">
        <v>61</v>
      </c>
      <c r="P46" s="56" t="s">
        <v>62</v>
      </c>
      <c r="Q46" s="15"/>
      <c r="R46" s="7"/>
    </row>
    <row r="47" spans="2:18" ht="16" thickTop="1" thickBot="1">
      <c r="B47" s="13"/>
      <c r="C47" s="24" t="s">
        <v>63</v>
      </c>
      <c r="D47" s="57"/>
      <c r="E47" s="58">
        <v>0</v>
      </c>
      <c r="F47" s="59">
        <f t="shared" ref="F47:F56" si="0">SUM(D47:E47)</f>
        <v>0</v>
      </c>
      <c r="G47" s="60"/>
      <c r="H47" s="61"/>
      <c r="I47" s="62">
        <f t="shared" ref="I47:I56" si="1">+SUM(G47:H47)</f>
        <v>0</v>
      </c>
      <c r="J47" s="38"/>
      <c r="K47" s="23"/>
      <c r="L47" s="38"/>
      <c r="M47" s="23"/>
      <c r="N47" s="63">
        <f t="shared" ref="N47:N53" si="2">+(D47*J47)+(E47*J47)+(G47*K47)+(H47*K47)</f>
        <v>0</v>
      </c>
      <c r="O47" s="23">
        <f>+(D47*J47)+(L47*E47)+(G47*K47)+(H47*M47)</f>
        <v>0</v>
      </c>
      <c r="P47" s="64">
        <f t="shared" ref="P47:P55" si="3">O47-N47</f>
        <v>0</v>
      </c>
      <c r="Q47" s="15"/>
      <c r="R47" s="7"/>
    </row>
    <row r="48" spans="2:18" ht="16" thickTop="1" thickBot="1">
      <c r="B48" s="13"/>
      <c r="C48" s="24" t="s">
        <v>64</v>
      </c>
      <c r="D48" s="57"/>
      <c r="E48" s="58">
        <v>0</v>
      </c>
      <c r="F48" s="59">
        <f t="shared" si="0"/>
        <v>0</v>
      </c>
      <c r="G48" s="60"/>
      <c r="H48" s="61"/>
      <c r="I48" s="62">
        <f t="shared" si="1"/>
        <v>0</v>
      </c>
      <c r="J48" s="38"/>
      <c r="K48" s="23"/>
      <c r="L48" s="38"/>
      <c r="M48" s="23"/>
      <c r="N48" s="63">
        <f t="shared" si="2"/>
        <v>0</v>
      </c>
      <c r="O48" s="23">
        <f t="shared" ref="O48:O53" si="4">(D48*J48)+(E48*L48)+(G48*K48)+(H48*M48)</f>
        <v>0</v>
      </c>
      <c r="P48" s="64">
        <f t="shared" si="3"/>
        <v>0</v>
      </c>
      <c r="Q48" s="15"/>
      <c r="R48" s="7"/>
    </row>
    <row r="49" spans="2:18" ht="16" thickTop="1" thickBot="1">
      <c r="B49" s="13"/>
      <c r="C49" s="24" t="s">
        <v>65</v>
      </c>
      <c r="D49" s="57"/>
      <c r="E49" s="58">
        <v>0</v>
      </c>
      <c r="F49" s="59">
        <f t="shared" si="0"/>
        <v>0</v>
      </c>
      <c r="G49" s="60"/>
      <c r="H49" s="61"/>
      <c r="I49" s="62">
        <f t="shared" si="1"/>
        <v>0</v>
      </c>
      <c r="J49" s="38"/>
      <c r="K49" s="23"/>
      <c r="L49" s="38"/>
      <c r="M49" s="23"/>
      <c r="N49" s="63">
        <f t="shared" si="2"/>
        <v>0</v>
      </c>
      <c r="O49" s="23">
        <f t="shared" si="4"/>
        <v>0</v>
      </c>
      <c r="P49" s="64">
        <f t="shared" si="3"/>
        <v>0</v>
      </c>
      <c r="Q49" s="15"/>
      <c r="R49" s="7"/>
    </row>
    <row r="50" spans="2:18" ht="16" thickTop="1" thickBot="1">
      <c r="B50" s="13"/>
      <c r="C50" s="24" t="s">
        <v>66</v>
      </c>
      <c r="D50" s="57"/>
      <c r="E50" s="57">
        <v>0</v>
      </c>
      <c r="F50" s="59">
        <f t="shared" si="0"/>
        <v>0</v>
      </c>
      <c r="G50" s="61"/>
      <c r="H50" s="61"/>
      <c r="I50" s="62">
        <f t="shared" si="1"/>
        <v>0</v>
      </c>
      <c r="J50" s="65"/>
      <c r="K50" s="66"/>
      <c r="L50" s="65"/>
      <c r="M50" s="66"/>
      <c r="N50" s="63">
        <f t="shared" si="2"/>
        <v>0</v>
      </c>
      <c r="O50" s="23">
        <f t="shared" si="4"/>
        <v>0</v>
      </c>
      <c r="P50" s="64">
        <f t="shared" si="3"/>
        <v>0</v>
      </c>
      <c r="Q50" s="15"/>
      <c r="R50" s="7"/>
    </row>
    <row r="51" spans="2:18" ht="16" thickTop="1" thickBot="1">
      <c r="B51" s="13"/>
      <c r="C51" s="24" t="s">
        <v>67</v>
      </c>
      <c r="D51" s="57"/>
      <c r="E51" s="58">
        <v>0</v>
      </c>
      <c r="F51" s="59">
        <f t="shared" si="0"/>
        <v>0</v>
      </c>
      <c r="G51" s="60"/>
      <c r="H51" s="61"/>
      <c r="I51" s="62">
        <f t="shared" si="1"/>
        <v>0</v>
      </c>
      <c r="J51" s="65"/>
      <c r="K51" s="67"/>
      <c r="L51" s="65"/>
      <c r="M51" s="67"/>
      <c r="N51" s="63">
        <f t="shared" si="2"/>
        <v>0</v>
      </c>
      <c r="O51" s="23">
        <f t="shared" si="4"/>
        <v>0</v>
      </c>
      <c r="P51" s="64">
        <f t="shared" si="3"/>
        <v>0</v>
      </c>
      <c r="Q51" s="15"/>
      <c r="R51" s="7"/>
    </row>
    <row r="52" spans="2:18" ht="16" thickTop="1" thickBot="1">
      <c r="B52" s="13"/>
      <c r="C52" s="24" t="s">
        <v>68</v>
      </c>
      <c r="D52" s="57"/>
      <c r="E52" s="57">
        <v>0</v>
      </c>
      <c r="F52" s="59">
        <f t="shared" si="0"/>
        <v>0</v>
      </c>
      <c r="G52" s="61"/>
      <c r="H52" s="61"/>
      <c r="I52" s="62">
        <f t="shared" si="1"/>
        <v>0</v>
      </c>
      <c r="J52" s="65"/>
      <c r="K52" s="66"/>
      <c r="L52" s="65"/>
      <c r="M52" s="66"/>
      <c r="N52" s="63">
        <f t="shared" si="2"/>
        <v>0</v>
      </c>
      <c r="O52" s="23">
        <f t="shared" si="4"/>
        <v>0</v>
      </c>
      <c r="P52" s="64">
        <f t="shared" si="3"/>
        <v>0</v>
      </c>
      <c r="Q52" s="15"/>
      <c r="R52" s="7"/>
    </row>
    <row r="53" spans="2:18" ht="16" thickTop="1" thickBot="1">
      <c r="B53" s="5"/>
      <c r="C53" s="24" t="s">
        <v>69</v>
      </c>
      <c r="D53" s="57"/>
      <c r="E53" s="58">
        <v>0</v>
      </c>
      <c r="F53" s="59">
        <f t="shared" si="0"/>
        <v>0</v>
      </c>
      <c r="G53" s="60"/>
      <c r="H53" s="61"/>
      <c r="I53" s="62">
        <f t="shared" si="1"/>
        <v>0</v>
      </c>
      <c r="J53" s="38"/>
      <c r="K53" s="66"/>
      <c r="L53" s="68"/>
      <c r="M53" s="66"/>
      <c r="N53" s="63">
        <f t="shared" si="2"/>
        <v>0</v>
      </c>
      <c r="O53" s="23">
        <f t="shared" si="4"/>
        <v>0</v>
      </c>
      <c r="P53" s="64">
        <f t="shared" si="3"/>
        <v>0</v>
      </c>
      <c r="Q53" s="15"/>
      <c r="R53" s="7"/>
    </row>
    <row r="54" spans="2:18" ht="16" thickTop="1" thickBot="1">
      <c r="B54" s="5"/>
      <c r="C54" s="24" t="s">
        <v>70</v>
      </c>
      <c r="D54" s="57"/>
      <c r="E54" s="57">
        <v>0</v>
      </c>
      <c r="F54" s="59">
        <f t="shared" si="0"/>
        <v>0</v>
      </c>
      <c r="G54" s="61"/>
      <c r="H54" s="61"/>
      <c r="I54" s="62">
        <f t="shared" si="1"/>
        <v>0</v>
      </c>
      <c r="J54" s="65"/>
      <c r="K54" s="66"/>
      <c r="L54" s="65"/>
      <c r="M54" s="66"/>
      <c r="N54" s="69">
        <v>0</v>
      </c>
      <c r="O54" s="67">
        <f>D54</f>
        <v>0</v>
      </c>
      <c r="P54" s="64">
        <f t="shared" si="3"/>
        <v>0</v>
      </c>
      <c r="Q54" s="15"/>
      <c r="R54" s="7"/>
    </row>
    <row r="55" spans="2:18" ht="16" thickTop="1" thickBot="1">
      <c r="B55" s="5"/>
      <c r="C55" s="24" t="s">
        <v>71</v>
      </c>
      <c r="D55" s="57"/>
      <c r="E55" s="57">
        <v>0</v>
      </c>
      <c r="F55" s="59">
        <f t="shared" si="0"/>
        <v>0</v>
      </c>
      <c r="G55" s="61"/>
      <c r="H55" s="61"/>
      <c r="I55" s="62">
        <f t="shared" si="1"/>
        <v>0</v>
      </c>
      <c r="J55" s="65"/>
      <c r="K55" s="67"/>
      <c r="L55" s="65"/>
      <c r="M55" s="67"/>
      <c r="N55" s="63">
        <f>+(D55*J55)+(E55*J55)+(G55*K55)+(H55*K55)</f>
        <v>0</v>
      </c>
      <c r="O55" s="23">
        <f>(D55*J55)+(E55*L55)+(G55*K55)+(H55*M55)</f>
        <v>0</v>
      </c>
      <c r="P55" s="64">
        <f t="shared" si="3"/>
        <v>0</v>
      </c>
      <c r="Q55" s="15"/>
      <c r="R55" s="7"/>
    </row>
    <row r="56" spans="2:18" ht="16" thickTop="1" thickBot="1">
      <c r="B56" s="5"/>
      <c r="C56" s="70" t="s">
        <v>72</v>
      </c>
      <c r="D56" s="71">
        <f>SUM(D47:D54)</f>
        <v>0</v>
      </c>
      <c r="E56" s="71">
        <f>SUM(E47:E54)</f>
        <v>0</v>
      </c>
      <c r="F56" s="71">
        <f t="shared" si="0"/>
        <v>0</v>
      </c>
      <c r="G56" s="72">
        <f>SUM(G47:G54)</f>
        <v>0</v>
      </c>
      <c r="H56" s="72">
        <f>SUM(H47:H54)</f>
        <v>0</v>
      </c>
      <c r="I56" s="73">
        <f t="shared" si="1"/>
        <v>0</v>
      </c>
      <c r="J56" s="74"/>
      <c r="K56" s="75"/>
      <c r="L56" s="74"/>
      <c r="M56" s="75"/>
      <c r="N56" s="76">
        <f>SUM(N47:N55)</f>
        <v>0</v>
      </c>
      <c r="O56" s="75">
        <f>SUM(O47:O55)</f>
        <v>0</v>
      </c>
      <c r="P56" s="75">
        <f>SUM(P47:P54)</f>
        <v>0</v>
      </c>
      <c r="Q56" s="15"/>
      <c r="R56" s="7"/>
    </row>
    <row r="57" spans="2:18" ht="16" thickTop="1" thickBot="1">
      <c r="B57" s="5"/>
      <c r="C57" s="77" t="s">
        <v>73</v>
      </c>
      <c r="D57" s="78"/>
      <c r="E57" s="78"/>
      <c r="F57" s="78"/>
      <c r="G57" s="79"/>
      <c r="H57" s="79"/>
      <c r="I57" s="80"/>
      <c r="J57" s="79"/>
      <c r="K57" s="79"/>
      <c r="L57" s="79"/>
      <c r="M57" s="79"/>
      <c r="N57" s="81"/>
      <c r="O57" s="79"/>
      <c r="P57" s="78">
        <f>P56</f>
        <v>0</v>
      </c>
      <c r="Q57" s="15"/>
      <c r="R57" s="7"/>
    </row>
    <row r="58" spans="2:18" ht="16" thickTop="1" thickBot="1">
      <c r="B58" s="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7"/>
    </row>
    <row r="59" spans="2:18" ht="16" thickTop="1" thickBot="1">
      <c r="B59" s="5"/>
      <c r="C59" s="211" t="s">
        <v>74</v>
      </c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15"/>
      <c r="R59" s="7"/>
    </row>
    <row r="60" spans="2:18" ht="16" thickTop="1" thickBot="1">
      <c r="B60" s="5"/>
      <c r="C60" s="51" t="s">
        <v>49</v>
      </c>
      <c r="D60" s="19" t="s">
        <v>50</v>
      </c>
      <c r="E60" s="19" t="s">
        <v>51</v>
      </c>
      <c r="F60" s="19" t="s">
        <v>52</v>
      </c>
      <c r="G60" s="19" t="s">
        <v>53</v>
      </c>
      <c r="H60" s="19" t="s">
        <v>54</v>
      </c>
      <c r="I60" s="19" t="s">
        <v>55</v>
      </c>
      <c r="J60" s="19" t="s">
        <v>56</v>
      </c>
      <c r="K60" s="52" t="s">
        <v>57</v>
      </c>
      <c r="L60" s="19" t="s">
        <v>58</v>
      </c>
      <c r="M60" s="19" t="s">
        <v>59</v>
      </c>
      <c r="N60" s="54" t="s">
        <v>60</v>
      </c>
      <c r="O60" s="55" t="s">
        <v>61</v>
      </c>
      <c r="P60" s="56" t="s">
        <v>75</v>
      </c>
      <c r="Q60" s="15"/>
      <c r="R60" s="7"/>
    </row>
    <row r="61" spans="2:18" ht="16" thickTop="1" thickBot="1">
      <c r="B61" s="5"/>
      <c r="C61" s="24" t="s">
        <v>63</v>
      </c>
      <c r="D61" s="57"/>
      <c r="E61" s="58"/>
      <c r="F61" s="59">
        <f t="shared" ref="F61:F70" si="5">SUM(D61:E61)</f>
        <v>0</v>
      </c>
      <c r="G61" s="82"/>
      <c r="H61" s="61"/>
      <c r="I61" s="61">
        <f t="shared" ref="I61:I70" si="6">+SUM(G61:H61)</f>
        <v>0</v>
      </c>
      <c r="J61" s="38"/>
      <c r="K61" s="83"/>
      <c r="L61" s="38"/>
      <c r="M61" s="67"/>
      <c r="N61" s="63">
        <f t="shared" ref="N61:N67" si="7">+(D61*J61)+(E61*J61)+(G61*K61)+(H61*K61)</f>
        <v>0</v>
      </c>
      <c r="O61" s="23">
        <f>+(D61*J61)+(L61*E61)+(G61*K61)+(H61*M61)</f>
        <v>0</v>
      </c>
      <c r="P61" s="64">
        <f t="shared" ref="P61:P69" si="8">O61-N61</f>
        <v>0</v>
      </c>
      <c r="Q61" s="15"/>
      <c r="R61" s="7"/>
    </row>
    <row r="62" spans="2:18" ht="16" thickTop="1" thickBot="1">
      <c r="B62" s="5"/>
      <c r="C62" s="24" t="s">
        <v>64</v>
      </c>
      <c r="D62" s="57"/>
      <c r="E62" s="58"/>
      <c r="F62" s="59">
        <f t="shared" si="5"/>
        <v>0</v>
      </c>
      <c r="G62" s="82"/>
      <c r="H62" s="61"/>
      <c r="I62" s="61">
        <f t="shared" si="6"/>
        <v>0</v>
      </c>
      <c r="J62" s="38"/>
      <c r="K62" s="83"/>
      <c r="L62" s="38"/>
      <c r="M62" s="67"/>
      <c r="N62" s="63">
        <f t="shared" si="7"/>
        <v>0</v>
      </c>
      <c r="O62" s="23">
        <f t="shared" ref="O62:O67" si="9">(D62*J62)+(E62*L62)+(G62*K62)+(H62*M62)</f>
        <v>0</v>
      </c>
      <c r="P62" s="64">
        <f t="shared" si="8"/>
        <v>0</v>
      </c>
      <c r="Q62" s="15"/>
      <c r="R62" s="7"/>
    </row>
    <row r="63" spans="2:18" ht="16" thickTop="1" thickBot="1">
      <c r="B63" s="5"/>
      <c r="C63" s="24" t="s">
        <v>65</v>
      </c>
      <c r="D63" s="57"/>
      <c r="E63" s="58"/>
      <c r="F63" s="59">
        <f t="shared" si="5"/>
        <v>0</v>
      </c>
      <c r="G63" s="82"/>
      <c r="H63" s="61"/>
      <c r="I63" s="61">
        <f t="shared" si="6"/>
        <v>0</v>
      </c>
      <c r="J63" s="38"/>
      <c r="K63" s="83"/>
      <c r="L63" s="38"/>
      <c r="M63" s="67"/>
      <c r="N63" s="63">
        <f t="shared" si="7"/>
        <v>0</v>
      </c>
      <c r="O63" s="23">
        <f t="shared" si="9"/>
        <v>0</v>
      </c>
      <c r="P63" s="64">
        <f t="shared" si="8"/>
        <v>0</v>
      </c>
      <c r="Q63" s="15"/>
      <c r="R63" s="7"/>
    </row>
    <row r="64" spans="2:18" ht="16" thickTop="1" thickBot="1">
      <c r="B64" s="5"/>
      <c r="C64" s="24" t="s">
        <v>66</v>
      </c>
      <c r="D64" s="57"/>
      <c r="E64" s="57"/>
      <c r="F64" s="59">
        <f t="shared" si="5"/>
        <v>0</v>
      </c>
      <c r="G64" s="82"/>
      <c r="H64" s="61"/>
      <c r="I64" s="61">
        <f t="shared" si="6"/>
        <v>0</v>
      </c>
      <c r="J64" s="65"/>
      <c r="K64" s="84"/>
      <c r="L64" s="65"/>
      <c r="M64" s="67"/>
      <c r="N64" s="63">
        <f t="shared" si="7"/>
        <v>0</v>
      </c>
      <c r="O64" s="23">
        <f t="shared" si="9"/>
        <v>0</v>
      </c>
      <c r="P64" s="64">
        <f t="shared" si="8"/>
        <v>0</v>
      </c>
      <c r="Q64" s="15"/>
      <c r="R64" s="7"/>
    </row>
    <row r="65" spans="2:18" ht="16" thickTop="1" thickBot="1">
      <c r="B65" s="5"/>
      <c r="C65" s="24" t="s">
        <v>67</v>
      </c>
      <c r="D65" s="57"/>
      <c r="E65" s="58"/>
      <c r="F65" s="59">
        <f t="shared" si="5"/>
        <v>0</v>
      </c>
      <c r="G65" s="82"/>
      <c r="H65" s="61"/>
      <c r="I65" s="61">
        <f t="shared" si="6"/>
        <v>0</v>
      </c>
      <c r="J65" s="65"/>
      <c r="K65" s="85"/>
      <c r="L65" s="65"/>
      <c r="M65" s="67"/>
      <c r="N65" s="63">
        <f t="shared" si="7"/>
        <v>0</v>
      </c>
      <c r="O65" s="23">
        <f t="shared" si="9"/>
        <v>0</v>
      </c>
      <c r="P65" s="64">
        <f t="shared" si="8"/>
        <v>0</v>
      </c>
      <c r="Q65" s="15"/>
      <c r="R65" s="7"/>
    </row>
    <row r="66" spans="2:18" ht="16" thickTop="1" thickBot="1">
      <c r="B66" s="5"/>
      <c r="C66" s="24" t="s">
        <v>68</v>
      </c>
      <c r="D66" s="57"/>
      <c r="E66" s="57"/>
      <c r="F66" s="59">
        <f t="shared" si="5"/>
        <v>0</v>
      </c>
      <c r="G66" s="82"/>
      <c r="H66" s="61"/>
      <c r="I66" s="61">
        <f t="shared" si="6"/>
        <v>0</v>
      </c>
      <c r="J66" s="65"/>
      <c r="K66" s="84"/>
      <c r="L66" s="65"/>
      <c r="M66" s="67"/>
      <c r="N66" s="63">
        <f t="shared" si="7"/>
        <v>0</v>
      </c>
      <c r="O66" s="23">
        <f t="shared" si="9"/>
        <v>0</v>
      </c>
      <c r="P66" s="64">
        <f t="shared" si="8"/>
        <v>0</v>
      </c>
      <c r="Q66" s="15"/>
      <c r="R66" s="7"/>
    </row>
    <row r="67" spans="2:18" ht="16" thickTop="1" thickBot="1">
      <c r="B67" s="5"/>
      <c r="C67" s="24" t="s">
        <v>69</v>
      </c>
      <c r="D67" s="57"/>
      <c r="E67" s="58"/>
      <c r="F67" s="59">
        <f t="shared" si="5"/>
        <v>0</v>
      </c>
      <c r="G67" s="82"/>
      <c r="H67" s="86"/>
      <c r="I67" s="61">
        <f t="shared" si="6"/>
        <v>0</v>
      </c>
      <c r="J67" s="68"/>
      <c r="K67" s="84"/>
      <c r="L67" s="68"/>
      <c r="M67" s="67"/>
      <c r="N67" s="63">
        <f t="shared" si="7"/>
        <v>0</v>
      </c>
      <c r="O67" s="23">
        <f t="shared" si="9"/>
        <v>0</v>
      </c>
      <c r="P67" s="64">
        <f t="shared" si="8"/>
        <v>0</v>
      </c>
      <c r="Q67" s="15"/>
      <c r="R67" s="7"/>
    </row>
    <row r="68" spans="2:18" ht="16" thickTop="1" thickBot="1">
      <c r="B68" s="5"/>
      <c r="C68" s="24" t="s">
        <v>70</v>
      </c>
      <c r="D68" s="57"/>
      <c r="E68" s="57"/>
      <c r="F68" s="59">
        <f t="shared" si="5"/>
        <v>0</v>
      </c>
      <c r="G68" s="82"/>
      <c r="H68" s="61"/>
      <c r="I68" s="61">
        <f t="shared" si="6"/>
        <v>0</v>
      </c>
      <c r="J68" s="65"/>
      <c r="K68" s="84"/>
      <c r="L68" s="65"/>
      <c r="M68" s="67"/>
      <c r="N68" s="69">
        <f>D68</f>
        <v>0</v>
      </c>
      <c r="O68" s="67">
        <f>N68</f>
        <v>0</v>
      </c>
      <c r="P68" s="64">
        <f t="shared" si="8"/>
        <v>0</v>
      </c>
      <c r="Q68" s="15"/>
      <c r="R68" s="7"/>
    </row>
    <row r="69" spans="2:18" ht="16" thickTop="1" thickBot="1">
      <c r="B69" s="5"/>
      <c r="C69" s="24" t="s">
        <v>71</v>
      </c>
      <c r="D69" s="57"/>
      <c r="E69" s="57"/>
      <c r="F69" s="59">
        <f t="shared" si="5"/>
        <v>0</v>
      </c>
      <c r="G69" s="82"/>
      <c r="H69" s="61"/>
      <c r="I69" s="61">
        <f t="shared" si="6"/>
        <v>0</v>
      </c>
      <c r="J69" s="65"/>
      <c r="K69" s="85"/>
      <c r="L69" s="65"/>
      <c r="M69" s="67"/>
      <c r="N69" s="63">
        <f>+(D69*J69)+(E69*J69)+(G69*K69)+(H69*K69)</f>
        <v>0</v>
      </c>
      <c r="O69" s="23">
        <f>(D69*J69)+(E69*L69)+(G69*K69)+(H69*M69)</f>
        <v>0</v>
      </c>
      <c r="P69" s="64">
        <f t="shared" si="8"/>
        <v>0</v>
      </c>
      <c r="Q69" s="15"/>
      <c r="R69" s="7"/>
    </row>
    <row r="70" spans="2:18" ht="16" thickTop="1" thickBot="1">
      <c r="B70" s="5"/>
      <c r="C70" s="70" t="s">
        <v>72</v>
      </c>
      <c r="D70" s="71">
        <f>SUM(D61:D68)</f>
        <v>0</v>
      </c>
      <c r="E70" s="71">
        <f>SUM(E61:E68)</f>
        <v>0</v>
      </c>
      <c r="F70" s="71">
        <f t="shared" si="5"/>
        <v>0</v>
      </c>
      <c r="G70" s="72">
        <f>SUM(G61:G68)</f>
        <v>0</v>
      </c>
      <c r="H70" s="72">
        <f>SUM(H61:H68)</f>
        <v>0</v>
      </c>
      <c r="I70" s="72">
        <f t="shared" si="6"/>
        <v>0</v>
      </c>
      <c r="J70" s="74"/>
      <c r="K70" s="87"/>
      <c r="L70" s="74"/>
      <c r="M70" s="75"/>
      <c r="N70" s="76">
        <f>SUM(N61:N69)</f>
        <v>0</v>
      </c>
      <c r="O70" s="75">
        <f>SUM(O61:O69)</f>
        <v>0</v>
      </c>
      <c r="P70" s="75">
        <f>SUM(P61:P68)</f>
        <v>0</v>
      </c>
      <c r="Q70" s="15"/>
      <c r="R70" s="7"/>
    </row>
    <row r="71" spans="2:18" ht="16" thickTop="1" thickBot="1">
      <c r="B71" s="5"/>
      <c r="C71" s="77" t="s">
        <v>73</v>
      </c>
      <c r="D71" s="78"/>
      <c r="E71" s="78"/>
      <c r="F71" s="78"/>
      <c r="G71" s="79"/>
      <c r="H71" s="79"/>
      <c r="I71" s="79"/>
      <c r="J71" s="79"/>
      <c r="K71" s="80"/>
      <c r="L71" s="79"/>
      <c r="M71" s="79"/>
      <c r="N71" s="81"/>
      <c r="O71" s="79"/>
      <c r="P71" s="78">
        <f>P70</f>
        <v>0</v>
      </c>
      <c r="Q71" s="15"/>
      <c r="R71" s="7"/>
    </row>
    <row r="72" spans="2:18" ht="16" thickTop="1" thickBot="1">
      <c r="B72" s="5"/>
      <c r="C72" s="15"/>
      <c r="D72" s="15"/>
      <c r="E72" s="15"/>
      <c r="F72" s="15"/>
      <c r="G72" s="15"/>
      <c r="H72" s="15"/>
      <c r="I72" s="15"/>
      <c r="J72" s="15"/>
      <c r="K72" s="15"/>
      <c r="L72" s="88"/>
      <c r="M72" s="88"/>
      <c r="N72" s="15"/>
      <c r="O72" s="15"/>
      <c r="P72" s="15"/>
      <c r="Q72" s="15"/>
      <c r="R72" s="7"/>
    </row>
    <row r="73" spans="2:18" ht="16" thickTop="1" thickBot="1">
      <c r="B73" s="5"/>
      <c r="C73" s="211" t="s">
        <v>76</v>
      </c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15"/>
      <c r="R73" s="7"/>
    </row>
    <row r="74" spans="2:18" ht="16" thickTop="1" thickBot="1">
      <c r="B74" s="5"/>
      <c r="C74" s="51" t="s">
        <v>49</v>
      </c>
      <c r="D74" s="19" t="s">
        <v>50</v>
      </c>
      <c r="E74" s="19" t="s">
        <v>51</v>
      </c>
      <c r="F74" s="19" t="s">
        <v>52</v>
      </c>
      <c r="G74" s="19" t="s">
        <v>53</v>
      </c>
      <c r="H74" s="19" t="s">
        <v>54</v>
      </c>
      <c r="I74" s="19" t="s">
        <v>55</v>
      </c>
      <c r="J74" s="19" t="s">
        <v>56</v>
      </c>
      <c r="K74" s="19" t="s">
        <v>57</v>
      </c>
      <c r="L74" s="19" t="s">
        <v>58</v>
      </c>
      <c r="M74" s="19" t="s">
        <v>59</v>
      </c>
      <c r="N74" s="54" t="s">
        <v>60</v>
      </c>
      <c r="O74" s="55" t="s">
        <v>61</v>
      </c>
      <c r="P74" s="56" t="s">
        <v>77</v>
      </c>
      <c r="Q74" s="15"/>
      <c r="R74" s="7"/>
    </row>
    <row r="75" spans="2:18" ht="16" thickTop="1" thickBot="1">
      <c r="B75" s="5"/>
      <c r="C75" s="24" t="s">
        <v>63</v>
      </c>
      <c r="D75" s="57"/>
      <c r="E75" s="58"/>
      <c r="F75" s="59">
        <f t="shared" ref="F75:F84" si="10">SUM(D75:E75)</f>
        <v>0</v>
      </c>
      <c r="G75" s="60"/>
      <c r="H75" s="61"/>
      <c r="I75" s="61">
        <f t="shared" ref="I75:I84" si="11">+SUM(G75:H75)</f>
        <v>0</v>
      </c>
      <c r="J75" s="38"/>
      <c r="K75" s="83"/>
      <c r="L75" s="38"/>
      <c r="M75" s="67"/>
      <c r="N75" s="63">
        <f t="shared" ref="N75:N81" si="12">+(D75*J75)+(E75*J75)+(G75*K75)+(H75*K75)</f>
        <v>0</v>
      </c>
      <c r="O75" s="23">
        <f>+(D75*J75)+(L75*E75)+(G75*K75)+(H75*M75)</f>
        <v>0</v>
      </c>
      <c r="P75" s="64">
        <f t="shared" ref="P75:P83" si="13">O75-N75</f>
        <v>0</v>
      </c>
      <c r="Q75" s="15"/>
      <c r="R75" s="7"/>
    </row>
    <row r="76" spans="2:18" ht="16" thickTop="1" thickBot="1">
      <c r="B76" s="5"/>
      <c r="C76" s="24" t="s">
        <v>64</v>
      </c>
      <c r="D76" s="57"/>
      <c r="E76" s="58"/>
      <c r="F76" s="59">
        <f t="shared" si="10"/>
        <v>0</v>
      </c>
      <c r="G76" s="60"/>
      <c r="H76" s="61"/>
      <c r="I76" s="61">
        <f t="shared" si="11"/>
        <v>0</v>
      </c>
      <c r="J76" s="38"/>
      <c r="K76" s="83"/>
      <c r="L76" s="38"/>
      <c r="M76" s="67"/>
      <c r="N76" s="63">
        <f t="shared" si="12"/>
        <v>0</v>
      </c>
      <c r="O76" s="23">
        <f t="shared" ref="O76:O81" si="14">(D76*J76)+(E76*L76)+(G76*K76)+(H76*M76)</f>
        <v>0</v>
      </c>
      <c r="P76" s="64">
        <f t="shared" si="13"/>
        <v>0</v>
      </c>
      <c r="Q76" s="15"/>
      <c r="R76" s="7"/>
    </row>
    <row r="77" spans="2:18" ht="16" thickTop="1" thickBot="1">
      <c r="B77" s="5"/>
      <c r="C77" s="24" t="s">
        <v>65</v>
      </c>
      <c r="D77" s="57"/>
      <c r="E77" s="58"/>
      <c r="F77" s="59">
        <f t="shared" si="10"/>
        <v>0</v>
      </c>
      <c r="G77" s="60"/>
      <c r="H77" s="61"/>
      <c r="I77" s="61">
        <f t="shared" si="11"/>
        <v>0</v>
      </c>
      <c r="J77" s="38"/>
      <c r="K77" s="83"/>
      <c r="L77" s="38"/>
      <c r="M77" s="67"/>
      <c r="N77" s="63">
        <f t="shared" si="12"/>
        <v>0</v>
      </c>
      <c r="O77" s="23">
        <f t="shared" si="14"/>
        <v>0</v>
      </c>
      <c r="P77" s="64">
        <f t="shared" si="13"/>
        <v>0</v>
      </c>
      <c r="Q77" s="15"/>
      <c r="R77" s="7"/>
    </row>
    <row r="78" spans="2:18" ht="16" thickTop="1" thickBot="1">
      <c r="B78" s="5"/>
      <c r="C78" s="24" t="s">
        <v>66</v>
      </c>
      <c r="D78" s="57"/>
      <c r="E78" s="57"/>
      <c r="F78" s="59">
        <f t="shared" si="10"/>
        <v>0</v>
      </c>
      <c r="G78" s="82"/>
      <c r="H78" s="61"/>
      <c r="I78" s="61">
        <f t="shared" si="11"/>
        <v>0</v>
      </c>
      <c r="J78" s="65"/>
      <c r="K78" s="84"/>
      <c r="L78" s="65"/>
      <c r="M78" s="67"/>
      <c r="N78" s="63">
        <f t="shared" si="12"/>
        <v>0</v>
      </c>
      <c r="O78" s="23">
        <f t="shared" si="14"/>
        <v>0</v>
      </c>
      <c r="P78" s="64">
        <f t="shared" si="13"/>
        <v>0</v>
      </c>
      <c r="Q78" s="15"/>
      <c r="R78" s="7"/>
    </row>
    <row r="79" spans="2:18" ht="16" thickTop="1" thickBot="1">
      <c r="B79" s="5"/>
      <c r="C79" s="24" t="s">
        <v>67</v>
      </c>
      <c r="D79" s="57"/>
      <c r="E79" s="58"/>
      <c r="F79" s="59">
        <f t="shared" si="10"/>
        <v>0</v>
      </c>
      <c r="G79" s="60"/>
      <c r="H79" s="61"/>
      <c r="I79" s="61">
        <f t="shared" si="11"/>
        <v>0</v>
      </c>
      <c r="J79" s="65"/>
      <c r="K79" s="85"/>
      <c r="L79" s="65"/>
      <c r="M79" s="67"/>
      <c r="N79" s="63">
        <f t="shared" si="12"/>
        <v>0</v>
      </c>
      <c r="O79" s="23">
        <f t="shared" si="14"/>
        <v>0</v>
      </c>
      <c r="P79" s="64">
        <f t="shared" si="13"/>
        <v>0</v>
      </c>
      <c r="Q79" s="15"/>
      <c r="R79" s="7"/>
    </row>
    <row r="80" spans="2:18" ht="16" thickTop="1" thickBot="1">
      <c r="B80" s="5"/>
      <c r="C80" s="24" t="s">
        <v>68</v>
      </c>
      <c r="D80" s="57"/>
      <c r="E80" s="57"/>
      <c r="F80" s="59">
        <f t="shared" si="10"/>
        <v>0</v>
      </c>
      <c r="G80" s="82"/>
      <c r="H80" s="61"/>
      <c r="I80" s="61">
        <f t="shared" si="11"/>
        <v>0</v>
      </c>
      <c r="J80" s="65"/>
      <c r="K80" s="84"/>
      <c r="L80" s="65"/>
      <c r="M80" s="67"/>
      <c r="N80" s="63">
        <f t="shared" si="12"/>
        <v>0</v>
      </c>
      <c r="O80" s="23">
        <f t="shared" si="14"/>
        <v>0</v>
      </c>
      <c r="P80" s="64">
        <f t="shared" si="13"/>
        <v>0</v>
      </c>
      <c r="Q80" s="15"/>
      <c r="R80" s="7"/>
    </row>
    <row r="81" spans="2:18" ht="16" thickTop="1" thickBot="1">
      <c r="B81" s="5"/>
      <c r="C81" s="24" t="s">
        <v>69</v>
      </c>
      <c r="D81" s="57"/>
      <c r="E81" s="58"/>
      <c r="F81" s="59">
        <f t="shared" si="10"/>
        <v>0</v>
      </c>
      <c r="G81" s="60"/>
      <c r="H81" s="60"/>
      <c r="I81" s="61">
        <f t="shared" si="11"/>
        <v>0</v>
      </c>
      <c r="J81" s="68"/>
      <c r="K81" s="84"/>
      <c r="L81" s="68"/>
      <c r="M81" s="67"/>
      <c r="N81" s="63">
        <f t="shared" si="12"/>
        <v>0</v>
      </c>
      <c r="O81" s="23">
        <f t="shared" si="14"/>
        <v>0</v>
      </c>
      <c r="P81" s="64">
        <f t="shared" si="13"/>
        <v>0</v>
      </c>
      <c r="Q81" s="15"/>
      <c r="R81" s="7"/>
    </row>
    <row r="82" spans="2:18" ht="16" thickTop="1" thickBot="1">
      <c r="B82" s="5"/>
      <c r="C82" s="24" t="s">
        <v>70</v>
      </c>
      <c r="D82" s="57"/>
      <c r="E82" s="57"/>
      <c r="F82" s="59">
        <f t="shared" si="10"/>
        <v>0</v>
      </c>
      <c r="G82" s="61"/>
      <c r="H82" s="61"/>
      <c r="I82" s="61">
        <f t="shared" si="11"/>
        <v>0</v>
      </c>
      <c r="J82" s="65"/>
      <c r="K82" s="66"/>
      <c r="L82" s="65"/>
      <c r="M82" s="66"/>
      <c r="N82" s="69">
        <f>F82</f>
        <v>0</v>
      </c>
      <c r="O82" s="67">
        <f>N82</f>
        <v>0</v>
      </c>
      <c r="P82" s="64">
        <f t="shared" si="13"/>
        <v>0</v>
      </c>
      <c r="Q82" s="15"/>
      <c r="R82" s="7"/>
    </row>
    <row r="83" spans="2:18" ht="16" thickTop="1" thickBot="1">
      <c r="B83" s="5"/>
      <c r="C83" s="24" t="s">
        <v>71</v>
      </c>
      <c r="D83" s="57"/>
      <c r="E83" s="57"/>
      <c r="F83" s="59">
        <f t="shared" si="10"/>
        <v>0</v>
      </c>
      <c r="G83" s="61"/>
      <c r="H83" s="61"/>
      <c r="I83" s="61">
        <f t="shared" si="11"/>
        <v>0</v>
      </c>
      <c r="J83" s="65"/>
      <c r="K83" s="67"/>
      <c r="L83" s="65"/>
      <c r="M83" s="67"/>
      <c r="N83" s="63">
        <f>+(D83*J83)+(E83*J83)+(G83*K83)+(H83*K83)</f>
        <v>0</v>
      </c>
      <c r="O83" s="23">
        <f>(D83*J83)+(E83*L83)+(G83*K83)+(H83*M83)</f>
        <v>0</v>
      </c>
      <c r="P83" s="64">
        <f t="shared" si="13"/>
        <v>0</v>
      </c>
      <c r="Q83" s="15"/>
      <c r="R83" s="7"/>
    </row>
    <row r="84" spans="2:18" ht="16" thickTop="1" thickBot="1">
      <c r="B84" s="5"/>
      <c r="C84" s="70" t="s">
        <v>72</v>
      </c>
      <c r="D84" s="71">
        <f>SUM(D75:D83)</f>
        <v>0</v>
      </c>
      <c r="E84" s="71">
        <f>SUM(E75:E83)</f>
        <v>0</v>
      </c>
      <c r="F84" s="71">
        <f t="shared" si="10"/>
        <v>0</v>
      </c>
      <c r="G84" s="72">
        <f>SUM(G75:G82)</f>
        <v>0</v>
      </c>
      <c r="H84" s="72">
        <f>SUM(H75:H82)</f>
        <v>0</v>
      </c>
      <c r="I84" s="72">
        <f t="shared" si="11"/>
        <v>0</v>
      </c>
      <c r="J84" s="74"/>
      <c r="K84" s="75"/>
      <c r="L84" s="74"/>
      <c r="M84" s="75"/>
      <c r="N84" s="76">
        <f>SUM(N75:N83)</f>
        <v>0</v>
      </c>
      <c r="O84" s="75">
        <f>SUM(O75:O83)</f>
        <v>0</v>
      </c>
      <c r="P84" s="75">
        <f>SUM(P75:P82)</f>
        <v>0</v>
      </c>
      <c r="Q84" s="15"/>
      <c r="R84" s="7"/>
    </row>
    <row r="85" spans="2:18" ht="16" thickTop="1" thickBot="1">
      <c r="B85" s="5"/>
      <c r="C85" s="77" t="s">
        <v>73</v>
      </c>
      <c r="D85" s="78"/>
      <c r="E85" s="78"/>
      <c r="F85" s="78"/>
      <c r="G85" s="79"/>
      <c r="H85" s="79"/>
      <c r="I85" s="79"/>
      <c r="J85" s="79"/>
      <c r="K85" s="79"/>
      <c r="L85" s="79"/>
      <c r="M85" s="79"/>
      <c r="N85" s="81"/>
      <c r="O85" s="79"/>
      <c r="P85" s="78">
        <f>P84</f>
        <v>0</v>
      </c>
      <c r="Q85" s="15"/>
      <c r="R85" s="7"/>
    </row>
    <row r="86" spans="2:18" ht="16" thickTop="1" thickBot="1">
      <c r="B86" s="8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10"/>
    </row>
  </sheetData>
  <mergeCells count="14">
    <mergeCell ref="E11:L11"/>
    <mergeCell ref="C24:Q24"/>
    <mergeCell ref="D25:J25"/>
    <mergeCell ref="P25:Q25"/>
    <mergeCell ref="D26:J26"/>
    <mergeCell ref="P26:Q26"/>
    <mergeCell ref="C45:P45"/>
    <mergeCell ref="C59:P59"/>
    <mergeCell ref="C73:P73"/>
    <mergeCell ref="P27:Q27"/>
    <mergeCell ref="G29:Q32"/>
    <mergeCell ref="D35:E35"/>
    <mergeCell ref="D36:E36"/>
    <mergeCell ref="E37:Q37"/>
  </mergeCells>
  <dataValidations disablePrompts="1" count="2">
    <dataValidation type="list" allowBlank="1" showInputMessage="1" showErrorMessage="1" sqref="D35:E35">
      <formula1>$T$2:$T$11</formula1>
      <formula2>0</formula2>
    </dataValidation>
    <dataValidation type="list" allowBlank="1" showInputMessage="1" showErrorMessage="1" sqref="D36:E36">
      <formula1>$U$2:$U$10</formula1>
      <formula2>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mplate">
                <anchor moveWithCells="1" sizeWithCells="1">
                  <from>
                    <xdr:col>3</xdr:col>
                    <xdr:colOff>596900</xdr:colOff>
                    <xdr:row>12</xdr:row>
                    <xdr:rowOff>12700</xdr:rowOff>
                  </from>
                  <to>
                    <xdr:col>5</xdr:col>
                    <xdr:colOff>215900</xdr:colOff>
                    <xdr:row>13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L10054"/>
  <sheetViews>
    <sheetView showGridLines="0" zoomScale="70" zoomScaleNormal="70" zoomScalePageLayoutView="70" workbookViewId="0">
      <selection activeCell="F335" sqref="F335"/>
    </sheetView>
  </sheetViews>
  <sheetFormatPr baseColWidth="10" defaultColWidth="8.83203125" defaultRowHeight="14" x14ac:dyDescent="0"/>
  <cols>
    <col min="1" max="1" width="8.83203125" style="11"/>
    <col min="8" max="8" width="8.83203125" style="11"/>
    <col min="9" max="9" width="38.5" customWidth="1"/>
    <col min="10" max="10" width="35" customWidth="1"/>
    <col min="11" max="11" width="7.83203125" customWidth="1"/>
    <col min="12" max="12" width="13.1640625" customWidth="1"/>
    <col min="13" max="355" width="13.83203125" bestFit="1" customWidth="1"/>
    <col min="356" max="356" width="11.33203125" bestFit="1" customWidth="1"/>
  </cols>
  <sheetData>
    <row r="1" spans="1:38">
      <c r="A1" s="206" t="s">
        <v>1073</v>
      </c>
      <c r="B1" s="12" t="s">
        <v>98</v>
      </c>
      <c r="C1" s="12" t="s">
        <v>99</v>
      </c>
      <c r="D1" s="12" t="s">
        <v>100</v>
      </c>
      <c r="E1" s="12" t="s">
        <v>85</v>
      </c>
      <c r="F1" s="12" t="s">
        <v>101</v>
      </c>
      <c r="G1" s="12" t="s">
        <v>102</v>
      </c>
      <c r="H1" s="206" t="s">
        <v>147</v>
      </c>
      <c r="I1" s="1" t="s">
        <v>0</v>
      </c>
      <c r="J1" s="1"/>
      <c r="AF1" s="1"/>
    </row>
    <row r="2" spans="1:38">
      <c r="A2" s="11" t="str">
        <f>B2&amp;D2</f>
        <v>05-158731812012</v>
      </c>
      <c r="B2" t="s">
        <v>112</v>
      </c>
      <c r="C2" t="s">
        <v>113</v>
      </c>
      <c r="D2">
        <v>2012</v>
      </c>
      <c r="E2" s="196" t="s">
        <v>63</v>
      </c>
      <c r="F2">
        <v>8115.8</v>
      </c>
      <c r="G2">
        <v>69</v>
      </c>
      <c r="H2" s="11" t="str">
        <f t="shared" ref="H2:H11" si="0">IF(B2=B1,"count","volume")</f>
        <v>volume</v>
      </c>
      <c r="I2" s="198" t="s">
        <v>82</v>
      </c>
      <c r="J2" s="198" t="s">
        <v>84</v>
      </c>
      <c r="K2" s="198" t="s">
        <v>83</v>
      </c>
      <c r="L2" s="198">
        <v>2011</v>
      </c>
      <c r="M2" s="198">
        <v>2011</v>
      </c>
      <c r="N2" s="198">
        <v>2011</v>
      </c>
      <c r="O2" s="198">
        <v>2011</v>
      </c>
      <c r="P2" s="198">
        <v>2011</v>
      </c>
      <c r="Q2" s="198">
        <v>2011</v>
      </c>
      <c r="R2" s="198">
        <v>2011</v>
      </c>
      <c r="S2" s="198">
        <v>2011</v>
      </c>
      <c r="T2" s="198">
        <v>2011</v>
      </c>
      <c r="U2" s="198">
        <v>2012</v>
      </c>
      <c r="V2" s="198">
        <v>2012</v>
      </c>
      <c r="W2" s="198">
        <v>2012</v>
      </c>
      <c r="X2" s="198">
        <v>2012</v>
      </c>
      <c r="Y2" s="198">
        <v>2012</v>
      </c>
      <c r="Z2" s="198">
        <v>2012</v>
      </c>
      <c r="AA2" s="198">
        <v>2012</v>
      </c>
      <c r="AB2" s="198">
        <v>2012</v>
      </c>
      <c r="AC2" s="198">
        <v>2012</v>
      </c>
      <c r="AD2" s="198">
        <v>2013</v>
      </c>
      <c r="AE2" s="198">
        <v>2013</v>
      </c>
      <c r="AF2" s="198">
        <v>2013</v>
      </c>
      <c r="AG2" s="198">
        <v>2013</v>
      </c>
      <c r="AH2" s="198">
        <v>2013</v>
      </c>
      <c r="AI2" s="198">
        <v>2013</v>
      </c>
      <c r="AJ2" s="198">
        <v>2013</v>
      </c>
      <c r="AK2" s="198">
        <v>2013</v>
      </c>
      <c r="AL2" s="198">
        <v>2013</v>
      </c>
    </row>
    <row r="3" spans="1:38">
      <c r="A3" s="11" t="str">
        <f t="shared" ref="A3:A66" si="1">B3&amp;D3</f>
        <v>05-158731812011</v>
      </c>
      <c r="B3" t="s">
        <v>112</v>
      </c>
      <c r="C3" t="s">
        <v>113</v>
      </c>
      <c r="D3">
        <v>2011</v>
      </c>
      <c r="E3" s="196" t="s">
        <v>106</v>
      </c>
      <c r="F3">
        <v>8127121.6699999999</v>
      </c>
      <c r="G3">
        <v>9500</v>
      </c>
      <c r="H3" s="11" t="str">
        <f t="shared" si="0"/>
        <v>count</v>
      </c>
      <c r="I3" s="197" t="s">
        <v>85</v>
      </c>
      <c r="J3" s="197"/>
      <c r="K3" s="197"/>
      <c r="L3" s="199" t="s">
        <v>63</v>
      </c>
      <c r="M3" s="199" t="s">
        <v>104</v>
      </c>
      <c r="N3" s="199" t="s">
        <v>105</v>
      </c>
      <c r="O3" s="199" t="s">
        <v>66</v>
      </c>
      <c r="P3" s="199" t="s">
        <v>133</v>
      </c>
      <c r="Q3" s="199" t="s">
        <v>68</v>
      </c>
      <c r="R3" s="199" t="s">
        <v>69</v>
      </c>
      <c r="S3" s="199" t="s">
        <v>70</v>
      </c>
      <c r="T3" s="199" t="s">
        <v>71</v>
      </c>
      <c r="U3" s="199" t="s">
        <v>63</v>
      </c>
      <c r="V3" s="199" t="s">
        <v>104</v>
      </c>
      <c r="W3" s="199" t="s">
        <v>105</v>
      </c>
      <c r="X3" s="199" t="s">
        <v>66</v>
      </c>
      <c r="Y3" s="199" t="s">
        <v>133</v>
      </c>
      <c r="Z3" s="199" t="s">
        <v>68</v>
      </c>
      <c r="AA3" s="199" t="s">
        <v>69</v>
      </c>
      <c r="AB3" s="199" t="s">
        <v>70</v>
      </c>
      <c r="AC3" s="199" t="s">
        <v>71</v>
      </c>
      <c r="AD3" s="199" t="s">
        <v>63</v>
      </c>
      <c r="AE3" s="199" t="s">
        <v>104</v>
      </c>
      <c r="AF3" s="199" t="s">
        <v>105</v>
      </c>
      <c r="AG3" s="199" t="s">
        <v>66</v>
      </c>
      <c r="AH3" s="199" t="s">
        <v>133</v>
      </c>
      <c r="AI3" s="199" t="s">
        <v>68</v>
      </c>
      <c r="AJ3" s="199" t="s">
        <v>69</v>
      </c>
      <c r="AK3" s="199" t="s">
        <v>70</v>
      </c>
      <c r="AL3" s="199" t="s">
        <v>71</v>
      </c>
    </row>
    <row r="4" spans="1:38">
      <c r="A4" s="11" t="str">
        <f t="shared" si="1"/>
        <v>05-158731812012</v>
      </c>
      <c r="B4" t="s">
        <v>112</v>
      </c>
      <c r="C4" t="s">
        <v>113</v>
      </c>
      <c r="D4">
        <v>2012</v>
      </c>
      <c r="E4" s="196" t="s">
        <v>104</v>
      </c>
      <c r="F4">
        <v>5869.84</v>
      </c>
      <c r="G4">
        <v>34</v>
      </c>
      <c r="H4" s="11" t="str">
        <f t="shared" si="0"/>
        <v>count</v>
      </c>
      <c r="I4" s="197" t="s">
        <v>112</v>
      </c>
      <c r="J4" s="197" t="s">
        <v>113</v>
      </c>
      <c r="K4" s="197" t="s">
        <v>146</v>
      </c>
      <c r="L4" s="197">
        <f t="shared" ref="L4:U19" si="2">SUMIFS(IF($K4="volume",$F:$F,$G:$G),$D:$D,L$2,$B:$B,$I4,$E:$E,L$3)</f>
        <v>561199.77</v>
      </c>
      <c r="M4" s="197">
        <f t="shared" si="2"/>
        <v>205521.18</v>
      </c>
      <c r="N4" s="197">
        <f t="shared" si="2"/>
        <v>13187.23</v>
      </c>
      <c r="O4" s="197">
        <f t="shared" si="2"/>
        <v>8127121.6699999999</v>
      </c>
      <c r="P4" s="197">
        <f t="shared" si="2"/>
        <v>0</v>
      </c>
      <c r="Q4" s="197">
        <f t="shared" si="2"/>
        <v>0</v>
      </c>
      <c r="R4" s="197">
        <f t="shared" si="2"/>
        <v>0</v>
      </c>
      <c r="S4" s="197">
        <f t="shared" si="2"/>
        <v>0</v>
      </c>
      <c r="T4" s="197">
        <f t="shared" si="2"/>
        <v>0</v>
      </c>
      <c r="U4" s="197">
        <f t="shared" si="2"/>
        <v>8115.8</v>
      </c>
      <c r="V4" s="197">
        <f t="shared" ref="V4:AE19" si="3">SUMIFS(IF($K4="volume",$F:$F,$G:$G),$D:$D,V$2,$B:$B,$I4,$E:$E,V$3)</f>
        <v>5869.84</v>
      </c>
      <c r="W4" s="197">
        <f t="shared" si="3"/>
        <v>312.5</v>
      </c>
      <c r="X4" s="197">
        <f t="shared" si="3"/>
        <v>2495823.11</v>
      </c>
      <c r="Y4" s="197">
        <f t="shared" si="3"/>
        <v>0</v>
      </c>
      <c r="Z4" s="197">
        <f t="shared" si="3"/>
        <v>0</v>
      </c>
      <c r="AA4" s="197">
        <f t="shared" si="3"/>
        <v>14829.61</v>
      </c>
      <c r="AB4" s="197">
        <f t="shared" si="3"/>
        <v>0</v>
      </c>
      <c r="AC4" s="197">
        <f t="shared" si="3"/>
        <v>0</v>
      </c>
      <c r="AD4" s="197">
        <f t="shared" si="3"/>
        <v>0</v>
      </c>
      <c r="AE4" s="197">
        <f t="shared" si="3"/>
        <v>0</v>
      </c>
      <c r="AF4" s="197">
        <f t="shared" ref="AF4:AL19" si="4">SUMIFS(IF($K4="volume",$F:$F,$G:$G),$D:$D,AF$2,$B:$B,$I4,$E:$E,AF$3)</f>
        <v>0</v>
      </c>
      <c r="AG4" s="197">
        <f t="shared" si="4"/>
        <v>887723.57</v>
      </c>
      <c r="AH4" s="197">
        <f t="shared" si="4"/>
        <v>0</v>
      </c>
      <c r="AI4" s="197">
        <f t="shared" si="4"/>
        <v>0</v>
      </c>
      <c r="AJ4" s="197">
        <f t="shared" si="4"/>
        <v>0</v>
      </c>
      <c r="AK4" s="197">
        <f t="shared" si="4"/>
        <v>0</v>
      </c>
      <c r="AL4" s="197">
        <f t="shared" si="4"/>
        <v>0</v>
      </c>
    </row>
    <row r="5" spans="1:38">
      <c r="A5" s="11" t="str">
        <f t="shared" si="1"/>
        <v>05-158731812011</v>
      </c>
      <c r="B5" t="s">
        <v>112</v>
      </c>
      <c r="C5" t="s">
        <v>113</v>
      </c>
      <c r="D5">
        <v>2011</v>
      </c>
      <c r="E5" s="196" t="s">
        <v>1074</v>
      </c>
      <c r="F5">
        <v>5862.87</v>
      </c>
      <c r="G5">
        <v>13</v>
      </c>
      <c r="H5" s="11" t="str">
        <f t="shared" si="0"/>
        <v>count</v>
      </c>
      <c r="I5" s="197" t="s">
        <v>112</v>
      </c>
      <c r="J5" s="197" t="s">
        <v>113</v>
      </c>
      <c r="K5" s="197" t="s">
        <v>145</v>
      </c>
      <c r="L5" s="197">
        <f>SUMIFS(IF($K5="volume",$F:$F,$G:$G),$D:$D,L$2,$B:$B,$I5,$E:$E,L$3)</f>
        <v>748</v>
      </c>
      <c r="M5" s="197">
        <f t="shared" si="2"/>
        <v>252</v>
      </c>
      <c r="N5" s="197">
        <f t="shared" si="2"/>
        <v>27</v>
      </c>
      <c r="O5" s="197">
        <f t="shared" si="2"/>
        <v>9500</v>
      </c>
      <c r="P5" s="197">
        <f t="shared" si="2"/>
        <v>0</v>
      </c>
      <c r="Q5" s="197">
        <f t="shared" si="2"/>
        <v>0</v>
      </c>
      <c r="R5" s="197">
        <f t="shared" si="2"/>
        <v>0</v>
      </c>
      <c r="S5" s="197">
        <f t="shared" si="2"/>
        <v>0</v>
      </c>
      <c r="T5" s="197">
        <f t="shared" si="2"/>
        <v>0</v>
      </c>
      <c r="U5" s="197">
        <f t="shared" si="2"/>
        <v>69</v>
      </c>
      <c r="V5" s="197">
        <f t="shared" si="3"/>
        <v>34</v>
      </c>
      <c r="W5" s="197">
        <f t="shared" si="3"/>
        <v>4</v>
      </c>
      <c r="X5" s="197">
        <f t="shared" si="3"/>
        <v>3213</v>
      </c>
      <c r="Y5" s="197">
        <f t="shared" si="3"/>
        <v>0</v>
      </c>
      <c r="Z5" s="197">
        <f t="shared" si="3"/>
        <v>0</v>
      </c>
      <c r="AA5" s="197">
        <f t="shared" si="3"/>
        <v>84</v>
      </c>
      <c r="AB5" s="197">
        <f t="shared" si="3"/>
        <v>0</v>
      </c>
      <c r="AC5" s="197">
        <f t="shared" si="3"/>
        <v>0</v>
      </c>
      <c r="AD5" s="197">
        <f t="shared" si="3"/>
        <v>0</v>
      </c>
      <c r="AE5" s="197">
        <f t="shared" si="3"/>
        <v>0</v>
      </c>
      <c r="AF5" s="197">
        <f t="shared" si="4"/>
        <v>0</v>
      </c>
      <c r="AG5" s="197">
        <f t="shared" si="4"/>
        <v>953</v>
      </c>
      <c r="AH5" s="197">
        <f t="shared" si="4"/>
        <v>0</v>
      </c>
      <c r="AI5" s="197">
        <f t="shared" si="4"/>
        <v>0</v>
      </c>
      <c r="AJ5" s="197">
        <f t="shared" si="4"/>
        <v>0</v>
      </c>
      <c r="AK5" s="197">
        <f t="shared" si="4"/>
        <v>0</v>
      </c>
      <c r="AL5" s="197">
        <f t="shared" si="4"/>
        <v>0</v>
      </c>
    </row>
    <row r="6" spans="1:38">
      <c r="A6" s="11" t="str">
        <f t="shared" si="1"/>
        <v>05-158731812011</v>
      </c>
      <c r="B6" t="s">
        <v>112</v>
      </c>
      <c r="C6" t="s">
        <v>113</v>
      </c>
      <c r="D6">
        <v>2011</v>
      </c>
      <c r="E6" s="196" t="s">
        <v>104</v>
      </c>
      <c r="F6">
        <v>205521.18</v>
      </c>
      <c r="G6">
        <v>252</v>
      </c>
      <c r="H6" s="11" t="str">
        <f t="shared" si="0"/>
        <v>count</v>
      </c>
      <c r="I6" s="197" t="s">
        <v>127</v>
      </c>
      <c r="J6" s="197" t="s">
        <v>128</v>
      </c>
      <c r="K6" s="197" t="s">
        <v>146</v>
      </c>
      <c r="L6" s="197">
        <f t="shared" si="2"/>
        <v>357556.85</v>
      </c>
      <c r="M6" s="197">
        <f t="shared" si="2"/>
        <v>155409.47</v>
      </c>
      <c r="N6" s="197">
        <f t="shared" si="2"/>
        <v>21069.79</v>
      </c>
      <c r="O6" s="197">
        <f t="shared" si="2"/>
        <v>7696192.1799999997</v>
      </c>
      <c r="P6" s="197">
        <f t="shared" si="2"/>
        <v>0</v>
      </c>
      <c r="Q6" s="197">
        <f t="shared" si="2"/>
        <v>0</v>
      </c>
      <c r="R6" s="197">
        <f t="shared" si="2"/>
        <v>2389.7399999999998</v>
      </c>
      <c r="S6" s="197">
        <f t="shared" si="2"/>
        <v>0</v>
      </c>
      <c r="T6" s="197">
        <f t="shared" si="2"/>
        <v>0</v>
      </c>
      <c r="U6" s="197">
        <f t="shared" si="2"/>
        <v>446234.74</v>
      </c>
      <c r="V6" s="197">
        <f t="shared" si="3"/>
        <v>230184.01</v>
      </c>
      <c r="W6" s="197">
        <f t="shared" si="3"/>
        <v>31846.36</v>
      </c>
      <c r="X6" s="197">
        <f t="shared" si="3"/>
        <v>10920840.33</v>
      </c>
      <c r="Y6" s="197">
        <f t="shared" si="3"/>
        <v>0</v>
      </c>
      <c r="Z6" s="197">
        <f t="shared" si="3"/>
        <v>0</v>
      </c>
      <c r="AA6" s="197">
        <f t="shared" si="3"/>
        <v>453000.56</v>
      </c>
      <c r="AB6" s="197">
        <f t="shared" si="3"/>
        <v>0</v>
      </c>
      <c r="AC6" s="197">
        <f t="shared" si="3"/>
        <v>0</v>
      </c>
      <c r="AD6" s="197">
        <f t="shared" si="3"/>
        <v>655228.19999999995</v>
      </c>
      <c r="AE6" s="197">
        <f t="shared" si="3"/>
        <v>351650.26</v>
      </c>
      <c r="AF6" s="197">
        <f t="shared" si="4"/>
        <v>40668.269999999997</v>
      </c>
      <c r="AG6" s="197">
        <f t="shared" si="4"/>
        <v>9835155.1999999993</v>
      </c>
      <c r="AH6" s="197">
        <f t="shared" si="4"/>
        <v>0</v>
      </c>
      <c r="AI6" s="197">
        <f t="shared" si="4"/>
        <v>0</v>
      </c>
      <c r="AJ6" s="197">
        <f t="shared" si="4"/>
        <v>969295.75</v>
      </c>
      <c r="AK6" s="197">
        <f t="shared" si="4"/>
        <v>0</v>
      </c>
      <c r="AL6" s="197">
        <f t="shared" si="4"/>
        <v>0</v>
      </c>
    </row>
    <row r="7" spans="1:38">
      <c r="A7" s="11" t="str">
        <f t="shared" si="1"/>
        <v>05-158731812011</v>
      </c>
      <c r="B7" t="s">
        <v>112</v>
      </c>
      <c r="C7" t="s">
        <v>113</v>
      </c>
      <c r="D7">
        <v>2011</v>
      </c>
      <c r="E7" s="196" t="s">
        <v>63</v>
      </c>
      <c r="F7">
        <v>561199.77</v>
      </c>
      <c r="G7">
        <v>748</v>
      </c>
      <c r="H7" s="11" t="str">
        <f t="shared" si="0"/>
        <v>count</v>
      </c>
      <c r="I7" s="197" t="s">
        <v>127</v>
      </c>
      <c r="J7" s="197" t="s">
        <v>128</v>
      </c>
      <c r="K7" s="197" t="s">
        <v>145</v>
      </c>
      <c r="L7" s="197">
        <f t="shared" si="2"/>
        <v>865</v>
      </c>
      <c r="M7" s="197">
        <f t="shared" si="2"/>
        <v>254</v>
      </c>
      <c r="N7" s="197">
        <f t="shared" si="2"/>
        <v>34</v>
      </c>
      <c r="O7" s="197">
        <f t="shared" si="2"/>
        <v>11353</v>
      </c>
      <c r="P7" s="197">
        <f t="shared" si="2"/>
        <v>0</v>
      </c>
      <c r="Q7" s="197">
        <f t="shared" si="2"/>
        <v>0</v>
      </c>
      <c r="R7" s="197">
        <f t="shared" si="2"/>
        <v>6</v>
      </c>
      <c r="S7" s="197">
        <f t="shared" si="2"/>
        <v>0</v>
      </c>
      <c r="T7" s="197">
        <f t="shared" si="2"/>
        <v>0</v>
      </c>
      <c r="U7" s="197">
        <f t="shared" si="2"/>
        <v>783</v>
      </c>
      <c r="V7" s="197">
        <f t="shared" si="3"/>
        <v>366</v>
      </c>
      <c r="W7" s="197">
        <f t="shared" si="3"/>
        <v>46</v>
      </c>
      <c r="X7" s="197">
        <f t="shared" si="3"/>
        <v>14512</v>
      </c>
      <c r="Y7" s="197">
        <f t="shared" si="3"/>
        <v>0</v>
      </c>
      <c r="Z7" s="197">
        <f t="shared" si="3"/>
        <v>0</v>
      </c>
      <c r="AA7" s="197">
        <f t="shared" si="3"/>
        <v>955</v>
      </c>
      <c r="AB7" s="197">
        <f t="shared" si="3"/>
        <v>0</v>
      </c>
      <c r="AC7" s="197">
        <f t="shared" si="3"/>
        <v>0</v>
      </c>
      <c r="AD7" s="197">
        <f t="shared" si="3"/>
        <v>921</v>
      </c>
      <c r="AE7" s="197">
        <f t="shared" si="3"/>
        <v>477</v>
      </c>
      <c r="AF7" s="197">
        <f t="shared" si="4"/>
        <v>68</v>
      </c>
      <c r="AG7" s="197">
        <f t="shared" si="4"/>
        <v>12197</v>
      </c>
      <c r="AH7" s="197">
        <f t="shared" si="4"/>
        <v>0</v>
      </c>
      <c r="AI7" s="197">
        <f t="shared" si="4"/>
        <v>0</v>
      </c>
      <c r="AJ7" s="197">
        <f t="shared" si="4"/>
        <v>1602</v>
      </c>
      <c r="AK7" s="197">
        <f t="shared" si="4"/>
        <v>0</v>
      </c>
      <c r="AL7" s="197">
        <f t="shared" si="4"/>
        <v>0</v>
      </c>
    </row>
    <row r="8" spans="1:38">
      <c r="A8" s="11" t="str">
        <f t="shared" si="1"/>
        <v>05-158731812012</v>
      </c>
      <c r="B8" t="s">
        <v>112</v>
      </c>
      <c r="C8" t="s">
        <v>113</v>
      </c>
      <c r="D8">
        <v>2012</v>
      </c>
      <c r="E8" s="196" t="s">
        <v>106</v>
      </c>
      <c r="F8">
        <v>2495823.11</v>
      </c>
      <c r="G8">
        <v>3213</v>
      </c>
      <c r="H8" s="11" t="str">
        <f t="shared" si="0"/>
        <v>count</v>
      </c>
      <c r="I8" s="197" t="s">
        <v>137</v>
      </c>
      <c r="J8" s="197" t="s">
        <v>138</v>
      </c>
      <c r="K8" s="197" t="s">
        <v>146</v>
      </c>
      <c r="L8" s="197">
        <f t="shared" si="2"/>
        <v>544076.38</v>
      </c>
      <c r="M8" s="197">
        <f t="shared" si="2"/>
        <v>179467.1</v>
      </c>
      <c r="N8" s="197">
        <f t="shared" si="2"/>
        <v>22238.47</v>
      </c>
      <c r="O8" s="197">
        <f t="shared" si="2"/>
        <v>10480.299999999999</v>
      </c>
      <c r="P8" s="197">
        <f t="shared" si="2"/>
        <v>0</v>
      </c>
      <c r="Q8" s="197">
        <f t="shared" si="2"/>
        <v>0</v>
      </c>
      <c r="R8" s="197">
        <f t="shared" si="2"/>
        <v>759.36</v>
      </c>
      <c r="S8" s="197">
        <f t="shared" si="2"/>
        <v>0</v>
      </c>
      <c r="T8" s="197">
        <f t="shared" si="2"/>
        <v>0</v>
      </c>
      <c r="U8" s="197">
        <f t="shared" si="2"/>
        <v>464079.43</v>
      </c>
      <c r="V8" s="197">
        <f t="shared" si="3"/>
        <v>161469.69</v>
      </c>
      <c r="W8" s="197">
        <f t="shared" si="3"/>
        <v>21879.62</v>
      </c>
      <c r="X8" s="197">
        <f t="shared" si="3"/>
        <v>21811.54</v>
      </c>
      <c r="Y8" s="197">
        <f t="shared" si="3"/>
        <v>0</v>
      </c>
      <c r="Z8" s="197">
        <f t="shared" si="3"/>
        <v>0</v>
      </c>
      <c r="AA8" s="197">
        <f t="shared" si="3"/>
        <v>71254.48</v>
      </c>
      <c r="AB8" s="197">
        <f t="shared" si="3"/>
        <v>0</v>
      </c>
      <c r="AC8" s="197">
        <f t="shared" si="3"/>
        <v>0</v>
      </c>
      <c r="AD8" s="197">
        <f t="shared" si="3"/>
        <v>436161.88</v>
      </c>
      <c r="AE8" s="197">
        <f t="shared" si="3"/>
        <v>150977.96</v>
      </c>
      <c r="AF8" s="197">
        <f t="shared" si="4"/>
        <v>18709.009999999998</v>
      </c>
      <c r="AG8" s="197">
        <f t="shared" si="4"/>
        <v>13836.83</v>
      </c>
      <c r="AH8" s="197">
        <f t="shared" si="4"/>
        <v>0</v>
      </c>
      <c r="AI8" s="197">
        <f t="shared" si="4"/>
        <v>0</v>
      </c>
      <c r="AJ8" s="197">
        <f t="shared" si="4"/>
        <v>104565.04</v>
      </c>
      <c r="AK8" s="197">
        <f t="shared" si="4"/>
        <v>0</v>
      </c>
      <c r="AL8" s="197">
        <f t="shared" si="4"/>
        <v>0</v>
      </c>
    </row>
    <row r="9" spans="1:38">
      <c r="A9" s="11" t="str">
        <f t="shared" si="1"/>
        <v>05-158731812012</v>
      </c>
      <c r="B9" t="s">
        <v>112</v>
      </c>
      <c r="C9" t="s">
        <v>113</v>
      </c>
      <c r="D9">
        <v>2012</v>
      </c>
      <c r="E9" s="196" t="s">
        <v>105</v>
      </c>
      <c r="F9">
        <v>312.5</v>
      </c>
      <c r="G9">
        <v>4</v>
      </c>
      <c r="H9" s="11" t="str">
        <f t="shared" si="0"/>
        <v>count</v>
      </c>
      <c r="I9" s="197" t="s">
        <v>137</v>
      </c>
      <c r="J9" s="197" t="s">
        <v>138</v>
      </c>
      <c r="K9" s="197" t="s">
        <v>145</v>
      </c>
      <c r="L9" s="197">
        <f t="shared" si="2"/>
        <v>534</v>
      </c>
      <c r="M9" s="197">
        <f t="shared" si="2"/>
        <v>188</v>
      </c>
      <c r="N9" s="197">
        <f t="shared" si="2"/>
        <v>24</v>
      </c>
      <c r="O9" s="197">
        <f t="shared" si="2"/>
        <v>8</v>
      </c>
      <c r="P9" s="197">
        <f t="shared" si="2"/>
        <v>0</v>
      </c>
      <c r="Q9" s="197">
        <f t="shared" si="2"/>
        <v>0</v>
      </c>
      <c r="R9" s="197">
        <f t="shared" si="2"/>
        <v>1</v>
      </c>
      <c r="S9" s="197">
        <f t="shared" si="2"/>
        <v>0</v>
      </c>
      <c r="T9" s="197">
        <f t="shared" si="2"/>
        <v>0</v>
      </c>
      <c r="U9" s="197">
        <f t="shared" si="2"/>
        <v>439</v>
      </c>
      <c r="V9" s="197">
        <f t="shared" si="3"/>
        <v>156</v>
      </c>
      <c r="W9" s="197">
        <f t="shared" si="3"/>
        <v>17</v>
      </c>
      <c r="X9" s="197">
        <f t="shared" si="3"/>
        <v>14</v>
      </c>
      <c r="Y9" s="197">
        <f t="shared" si="3"/>
        <v>0</v>
      </c>
      <c r="Z9" s="197">
        <f t="shared" si="3"/>
        <v>0</v>
      </c>
      <c r="AA9" s="197">
        <f t="shared" si="3"/>
        <v>93</v>
      </c>
      <c r="AB9" s="197">
        <f t="shared" si="3"/>
        <v>0</v>
      </c>
      <c r="AC9" s="197">
        <f t="shared" si="3"/>
        <v>0</v>
      </c>
      <c r="AD9" s="197">
        <f t="shared" si="3"/>
        <v>438</v>
      </c>
      <c r="AE9" s="197">
        <f t="shared" si="3"/>
        <v>146</v>
      </c>
      <c r="AF9" s="197">
        <f t="shared" si="4"/>
        <v>26</v>
      </c>
      <c r="AG9" s="197">
        <f t="shared" si="4"/>
        <v>15</v>
      </c>
      <c r="AH9" s="197">
        <f t="shared" si="4"/>
        <v>0</v>
      </c>
      <c r="AI9" s="197">
        <f t="shared" si="4"/>
        <v>0</v>
      </c>
      <c r="AJ9" s="197">
        <f t="shared" si="4"/>
        <v>107</v>
      </c>
      <c r="AK9" s="197">
        <f t="shared" si="4"/>
        <v>0</v>
      </c>
      <c r="AL9" s="197">
        <f t="shared" si="4"/>
        <v>0</v>
      </c>
    </row>
    <row r="10" spans="1:38">
      <c r="A10" s="11" t="str">
        <f t="shared" si="1"/>
        <v>05-158731812012</v>
      </c>
      <c r="B10" t="s">
        <v>112</v>
      </c>
      <c r="C10" t="s">
        <v>113</v>
      </c>
      <c r="D10">
        <v>2012</v>
      </c>
      <c r="E10" s="196" t="s">
        <v>1076</v>
      </c>
      <c r="F10">
        <v>300</v>
      </c>
      <c r="G10">
        <v>3</v>
      </c>
      <c r="H10" s="11" t="str">
        <f t="shared" si="0"/>
        <v>count</v>
      </c>
      <c r="I10" s="197" t="s">
        <v>139</v>
      </c>
      <c r="J10" s="197" t="s">
        <v>140</v>
      </c>
      <c r="K10" s="197" t="s">
        <v>146</v>
      </c>
      <c r="L10" s="197">
        <f t="shared" si="2"/>
        <v>979680.76</v>
      </c>
      <c r="M10" s="197">
        <f t="shared" si="2"/>
        <v>600776.17000000004</v>
      </c>
      <c r="N10" s="197">
        <f t="shared" si="2"/>
        <v>0</v>
      </c>
      <c r="O10" s="197">
        <f t="shared" si="2"/>
        <v>0</v>
      </c>
      <c r="P10" s="197">
        <f t="shared" si="2"/>
        <v>206146.24</v>
      </c>
      <c r="Q10" s="197">
        <f t="shared" si="2"/>
        <v>0</v>
      </c>
      <c r="R10" s="197">
        <f t="shared" si="2"/>
        <v>2043.86</v>
      </c>
      <c r="S10" s="197">
        <f t="shared" si="2"/>
        <v>0</v>
      </c>
      <c r="T10" s="197">
        <f t="shared" si="2"/>
        <v>0</v>
      </c>
      <c r="U10" s="197">
        <f t="shared" si="2"/>
        <v>923183.28</v>
      </c>
      <c r="V10" s="197">
        <f t="shared" si="3"/>
        <v>585475.59</v>
      </c>
      <c r="W10" s="197">
        <f t="shared" si="3"/>
        <v>0</v>
      </c>
      <c r="X10" s="197">
        <f t="shared" si="3"/>
        <v>0</v>
      </c>
      <c r="Y10" s="197">
        <f t="shared" si="3"/>
        <v>278234.17</v>
      </c>
      <c r="Z10" s="197">
        <f t="shared" si="3"/>
        <v>0</v>
      </c>
      <c r="AA10" s="197">
        <f t="shared" si="3"/>
        <v>443226.96</v>
      </c>
      <c r="AB10" s="197">
        <f t="shared" si="3"/>
        <v>0</v>
      </c>
      <c r="AC10" s="197">
        <f t="shared" si="3"/>
        <v>0</v>
      </c>
      <c r="AD10" s="197">
        <f t="shared" si="3"/>
        <v>968789.31</v>
      </c>
      <c r="AE10" s="197">
        <f t="shared" si="3"/>
        <v>502139.65</v>
      </c>
      <c r="AF10" s="197">
        <f t="shared" si="4"/>
        <v>0</v>
      </c>
      <c r="AG10" s="197">
        <f t="shared" si="4"/>
        <v>0</v>
      </c>
      <c r="AH10" s="197">
        <f t="shared" si="4"/>
        <v>303512.78000000003</v>
      </c>
      <c r="AI10" s="197">
        <f t="shared" si="4"/>
        <v>0</v>
      </c>
      <c r="AJ10" s="197">
        <f t="shared" si="4"/>
        <v>498833.82</v>
      </c>
      <c r="AK10" s="197">
        <f t="shared" si="4"/>
        <v>0</v>
      </c>
      <c r="AL10" s="197">
        <f t="shared" si="4"/>
        <v>0</v>
      </c>
    </row>
    <row r="11" spans="1:38">
      <c r="A11" s="11" t="str">
        <f t="shared" si="1"/>
        <v>05-158731812011</v>
      </c>
      <c r="B11" t="s">
        <v>112</v>
      </c>
      <c r="C11" t="s">
        <v>113</v>
      </c>
      <c r="D11">
        <v>2011</v>
      </c>
      <c r="E11" s="196" t="s">
        <v>1075</v>
      </c>
      <c r="F11">
        <v>3870.29</v>
      </c>
      <c r="G11">
        <v>5</v>
      </c>
      <c r="H11" s="11" t="str">
        <f t="shared" si="0"/>
        <v>count</v>
      </c>
      <c r="I11" s="197" t="s">
        <v>139</v>
      </c>
      <c r="J11" s="197" t="s">
        <v>140</v>
      </c>
      <c r="K11" s="197" t="s">
        <v>145</v>
      </c>
      <c r="L11" s="197">
        <f t="shared" si="2"/>
        <v>2391</v>
      </c>
      <c r="M11" s="197">
        <f t="shared" si="2"/>
        <v>1376</v>
      </c>
      <c r="N11" s="197">
        <f t="shared" si="2"/>
        <v>0</v>
      </c>
      <c r="O11" s="197">
        <f t="shared" si="2"/>
        <v>0</v>
      </c>
      <c r="P11" s="197">
        <f t="shared" si="2"/>
        <v>473</v>
      </c>
      <c r="Q11" s="197">
        <f t="shared" si="2"/>
        <v>0</v>
      </c>
      <c r="R11" s="197">
        <f t="shared" si="2"/>
        <v>4</v>
      </c>
      <c r="S11" s="197">
        <f t="shared" si="2"/>
        <v>0</v>
      </c>
      <c r="T11" s="197">
        <f t="shared" si="2"/>
        <v>0</v>
      </c>
      <c r="U11" s="197">
        <f t="shared" si="2"/>
        <v>1875</v>
      </c>
      <c r="V11" s="197">
        <f t="shared" si="3"/>
        <v>1180</v>
      </c>
      <c r="W11" s="197">
        <f t="shared" si="3"/>
        <v>0</v>
      </c>
      <c r="X11" s="197">
        <f t="shared" si="3"/>
        <v>0</v>
      </c>
      <c r="Y11" s="197">
        <f t="shared" si="3"/>
        <v>579</v>
      </c>
      <c r="Z11" s="197">
        <f t="shared" si="3"/>
        <v>0</v>
      </c>
      <c r="AA11" s="197">
        <f t="shared" si="3"/>
        <v>1020</v>
      </c>
      <c r="AB11" s="197">
        <f t="shared" si="3"/>
        <v>0</v>
      </c>
      <c r="AC11" s="197">
        <f t="shared" si="3"/>
        <v>0</v>
      </c>
      <c r="AD11" s="197">
        <f t="shared" si="3"/>
        <v>1627</v>
      </c>
      <c r="AE11" s="197">
        <f t="shared" si="3"/>
        <v>811</v>
      </c>
      <c r="AF11" s="197">
        <f t="shared" si="4"/>
        <v>0</v>
      </c>
      <c r="AG11" s="197">
        <f t="shared" si="4"/>
        <v>0</v>
      </c>
      <c r="AH11" s="197">
        <f t="shared" si="4"/>
        <v>515</v>
      </c>
      <c r="AI11" s="197">
        <f t="shared" si="4"/>
        <v>0</v>
      </c>
      <c r="AJ11" s="197">
        <f t="shared" si="4"/>
        <v>942</v>
      </c>
      <c r="AK11" s="197">
        <f t="shared" si="4"/>
        <v>0</v>
      </c>
      <c r="AL11" s="197">
        <f t="shared" si="4"/>
        <v>0</v>
      </c>
    </row>
    <row r="12" spans="1:38">
      <c r="A12" s="11" t="str">
        <f t="shared" si="1"/>
        <v>05-158731812013</v>
      </c>
      <c r="B12" t="s">
        <v>112</v>
      </c>
      <c r="C12" t="s">
        <v>113</v>
      </c>
      <c r="D12">
        <v>2013</v>
      </c>
      <c r="E12" s="196" t="s">
        <v>106</v>
      </c>
      <c r="F12">
        <v>887723.57</v>
      </c>
      <c r="G12">
        <v>953</v>
      </c>
      <c r="H12" s="11" t="str">
        <f t="shared" ref="H12:H65" si="5">IF(B12=B11,"count","volume")</f>
        <v>count</v>
      </c>
      <c r="I12" s="197" t="s">
        <v>141</v>
      </c>
      <c r="J12" s="197" t="s">
        <v>142</v>
      </c>
      <c r="K12" s="197" t="s">
        <v>146</v>
      </c>
      <c r="L12" s="197">
        <f t="shared" si="2"/>
        <v>2234726.5099999998</v>
      </c>
      <c r="M12" s="197">
        <f t="shared" si="2"/>
        <v>744894.53</v>
      </c>
      <c r="N12" s="197">
        <f t="shared" si="2"/>
        <v>81168.44</v>
      </c>
      <c r="O12" s="197">
        <f t="shared" si="2"/>
        <v>0</v>
      </c>
      <c r="P12" s="197">
        <f t="shared" si="2"/>
        <v>0</v>
      </c>
      <c r="Q12" s="197">
        <f t="shared" si="2"/>
        <v>0</v>
      </c>
      <c r="R12" s="197">
        <f t="shared" si="2"/>
        <v>757.5</v>
      </c>
      <c r="S12" s="197">
        <f t="shared" si="2"/>
        <v>0</v>
      </c>
      <c r="T12" s="197">
        <f t="shared" si="2"/>
        <v>0</v>
      </c>
      <c r="U12" s="197">
        <f t="shared" si="2"/>
        <v>2107287.9500000002</v>
      </c>
      <c r="V12" s="197">
        <f t="shared" si="3"/>
        <v>790790.89</v>
      </c>
      <c r="W12" s="197">
        <f t="shared" si="3"/>
        <v>104919.95</v>
      </c>
      <c r="X12" s="197">
        <f t="shared" si="3"/>
        <v>0</v>
      </c>
      <c r="Y12" s="197">
        <f t="shared" si="3"/>
        <v>0</v>
      </c>
      <c r="Z12" s="197">
        <f t="shared" si="3"/>
        <v>0</v>
      </c>
      <c r="AA12" s="197">
        <f t="shared" si="3"/>
        <v>131178.13</v>
      </c>
      <c r="AB12" s="197">
        <f t="shared" si="3"/>
        <v>0</v>
      </c>
      <c r="AC12" s="197">
        <f t="shared" si="3"/>
        <v>0</v>
      </c>
      <c r="AD12" s="197">
        <f t="shared" si="3"/>
        <v>2122673.4900000002</v>
      </c>
      <c r="AE12" s="197">
        <f t="shared" si="3"/>
        <v>734359.11</v>
      </c>
      <c r="AF12" s="197">
        <f t="shared" si="4"/>
        <v>70593.25</v>
      </c>
      <c r="AG12" s="197">
        <f t="shared" si="4"/>
        <v>0</v>
      </c>
      <c r="AH12" s="197">
        <f t="shared" si="4"/>
        <v>0</v>
      </c>
      <c r="AI12" s="197">
        <f t="shared" si="4"/>
        <v>0</v>
      </c>
      <c r="AJ12" s="197">
        <f t="shared" si="4"/>
        <v>196504.7</v>
      </c>
      <c r="AK12" s="197">
        <f t="shared" si="4"/>
        <v>0</v>
      </c>
      <c r="AL12" s="197">
        <f t="shared" si="4"/>
        <v>0</v>
      </c>
    </row>
    <row r="13" spans="1:38">
      <c r="A13" s="11" t="str">
        <f t="shared" si="1"/>
        <v>05-158731812011</v>
      </c>
      <c r="B13" t="s">
        <v>112</v>
      </c>
      <c r="C13" t="s">
        <v>113</v>
      </c>
      <c r="D13">
        <v>2011</v>
      </c>
      <c r="E13" s="196" t="s">
        <v>105</v>
      </c>
      <c r="F13">
        <v>13187.23</v>
      </c>
      <c r="G13">
        <v>27</v>
      </c>
      <c r="H13" s="11" t="str">
        <f t="shared" si="5"/>
        <v>count</v>
      </c>
      <c r="I13" s="197" t="s">
        <v>141</v>
      </c>
      <c r="J13" s="197" t="s">
        <v>142</v>
      </c>
      <c r="K13" s="197" t="s">
        <v>145</v>
      </c>
      <c r="L13" s="197">
        <f t="shared" si="2"/>
        <v>2187</v>
      </c>
      <c r="M13" s="197">
        <f t="shared" si="2"/>
        <v>782</v>
      </c>
      <c r="N13" s="197">
        <f t="shared" si="2"/>
        <v>93</v>
      </c>
      <c r="O13" s="197">
        <f t="shared" si="2"/>
        <v>0</v>
      </c>
      <c r="P13" s="197">
        <f t="shared" si="2"/>
        <v>0</v>
      </c>
      <c r="Q13" s="197">
        <f t="shared" si="2"/>
        <v>0</v>
      </c>
      <c r="R13" s="197">
        <f t="shared" si="2"/>
        <v>1</v>
      </c>
      <c r="S13" s="197">
        <f t="shared" si="2"/>
        <v>0</v>
      </c>
      <c r="T13" s="197">
        <f t="shared" si="2"/>
        <v>0</v>
      </c>
      <c r="U13" s="197">
        <f t="shared" si="2"/>
        <v>2048</v>
      </c>
      <c r="V13" s="197">
        <f t="shared" si="3"/>
        <v>772</v>
      </c>
      <c r="W13" s="197">
        <f t="shared" si="3"/>
        <v>123</v>
      </c>
      <c r="X13" s="197">
        <f t="shared" si="3"/>
        <v>0</v>
      </c>
      <c r="Y13" s="197">
        <f t="shared" si="3"/>
        <v>0</v>
      </c>
      <c r="Z13" s="197">
        <f t="shared" si="3"/>
        <v>0</v>
      </c>
      <c r="AA13" s="197">
        <f t="shared" si="3"/>
        <v>166</v>
      </c>
      <c r="AB13" s="197">
        <f t="shared" si="3"/>
        <v>0</v>
      </c>
      <c r="AC13" s="197">
        <f t="shared" si="3"/>
        <v>0</v>
      </c>
      <c r="AD13" s="197">
        <f t="shared" si="3"/>
        <v>2127</v>
      </c>
      <c r="AE13" s="197">
        <f t="shared" si="3"/>
        <v>734</v>
      </c>
      <c r="AF13" s="197">
        <f t="shared" si="4"/>
        <v>85</v>
      </c>
      <c r="AG13" s="197">
        <f t="shared" si="4"/>
        <v>0</v>
      </c>
      <c r="AH13" s="197">
        <f t="shared" si="4"/>
        <v>0</v>
      </c>
      <c r="AI13" s="197">
        <f t="shared" si="4"/>
        <v>0</v>
      </c>
      <c r="AJ13" s="197">
        <f t="shared" si="4"/>
        <v>238</v>
      </c>
      <c r="AK13" s="197">
        <f t="shared" si="4"/>
        <v>0</v>
      </c>
      <c r="AL13" s="197">
        <f t="shared" si="4"/>
        <v>0</v>
      </c>
    </row>
    <row r="14" spans="1:38">
      <c r="A14" s="11" t="str">
        <f t="shared" si="1"/>
        <v>05-158731812011</v>
      </c>
      <c r="B14" t="s">
        <v>112</v>
      </c>
      <c r="C14" t="s">
        <v>113</v>
      </c>
      <c r="D14">
        <v>2011</v>
      </c>
      <c r="E14" s="196" t="s">
        <v>1076</v>
      </c>
      <c r="F14">
        <v>2426.9</v>
      </c>
      <c r="G14">
        <v>3</v>
      </c>
      <c r="H14" s="11" t="str">
        <f t="shared" si="5"/>
        <v>count</v>
      </c>
      <c r="I14" s="197" t="s">
        <v>152</v>
      </c>
      <c r="J14" s="197" t="s">
        <v>153</v>
      </c>
      <c r="K14" s="197" t="s">
        <v>146</v>
      </c>
      <c r="L14" s="197">
        <f t="shared" si="2"/>
        <v>1864609.89</v>
      </c>
      <c r="M14" s="197">
        <f t="shared" si="2"/>
        <v>728967.14</v>
      </c>
      <c r="N14" s="197">
        <f t="shared" si="2"/>
        <v>68441.53</v>
      </c>
      <c r="O14" s="197">
        <f t="shared" si="2"/>
        <v>0</v>
      </c>
      <c r="P14" s="197">
        <f t="shared" si="2"/>
        <v>33861.4</v>
      </c>
      <c r="Q14" s="197">
        <f t="shared" si="2"/>
        <v>0</v>
      </c>
      <c r="R14" s="197">
        <f t="shared" si="2"/>
        <v>1575.99</v>
      </c>
      <c r="S14" s="197">
        <f t="shared" si="2"/>
        <v>0</v>
      </c>
      <c r="T14" s="197">
        <f t="shared" si="2"/>
        <v>0</v>
      </c>
      <c r="U14" s="197">
        <f t="shared" si="2"/>
        <v>1747078.5</v>
      </c>
      <c r="V14" s="197">
        <f t="shared" si="3"/>
        <v>803507.96</v>
      </c>
      <c r="W14" s="197">
        <f t="shared" si="3"/>
        <v>89282.39</v>
      </c>
      <c r="X14" s="197">
        <f t="shared" si="3"/>
        <v>0</v>
      </c>
      <c r="Y14" s="197">
        <f t="shared" si="3"/>
        <v>51949.59</v>
      </c>
      <c r="Z14" s="197">
        <f t="shared" si="3"/>
        <v>0</v>
      </c>
      <c r="AA14" s="197">
        <f t="shared" si="3"/>
        <v>295177.42</v>
      </c>
      <c r="AB14" s="197">
        <f t="shared" si="3"/>
        <v>0</v>
      </c>
      <c r="AC14" s="197">
        <f t="shared" si="3"/>
        <v>0</v>
      </c>
      <c r="AD14" s="197">
        <f t="shared" si="3"/>
        <v>1490156.9</v>
      </c>
      <c r="AE14" s="197">
        <f t="shared" si="3"/>
        <v>525895.24</v>
      </c>
      <c r="AF14" s="197">
        <f t="shared" si="4"/>
        <v>67619.77</v>
      </c>
      <c r="AG14" s="197">
        <f t="shared" si="4"/>
        <v>0</v>
      </c>
      <c r="AH14" s="197">
        <f t="shared" si="4"/>
        <v>362840.7</v>
      </c>
      <c r="AI14" s="197">
        <f t="shared" si="4"/>
        <v>0</v>
      </c>
      <c r="AJ14" s="197">
        <f t="shared" si="4"/>
        <v>234021.32</v>
      </c>
      <c r="AK14" s="197">
        <f t="shared" si="4"/>
        <v>0</v>
      </c>
      <c r="AL14" s="197">
        <f t="shared" si="4"/>
        <v>0</v>
      </c>
    </row>
    <row r="15" spans="1:38">
      <c r="A15" s="11" t="str">
        <f t="shared" si="1"/>
        <v>05-158731812012</v>
      </c>
      <c r="B15" t="s">
        <v>112</v>
      </c>
      <c r="C15" t="s">
        <v>113</v>
      </c>
      <c r="D15">
        <v>2012</v>
      </c>
      <c r="E15" s="196" t="s">
        <v>1075</v>
      </c>
      <c r="F15">
        <v>1390</v>
      </c>
      <c r="G15">
        <v>5</v>
      </c>
      <c r="H15" s="11" t="str">
        <f t="shared" si="5"/>
        <v>count</v>
      </c>
      <c r="I15" s="197" t="s">
        <v>152</v>
      </c>
      <c r="J15" s="197" t="s">
        <v>153</v>
      </c>
      <c r="K15" s="197" t="s">
        <v>145</v>
      </c>
      <c r="L15" s="197">
        <f t="shared" si="2"/>
        <v>1425</v>
      </c>
      <c r="M15" s="197">
        <f t="shared" si="2"/>
        <v>609</v>
      </c>
      <c r="N15" s="197">
        <f t="shared" si="2"/>
        <v>59</v>
      </c>
      <c r="O15" s="197">
        <f t="shared" si="2"/>
        <v>0</v>
      </c>
      <c r="P15" s="197">
        <f t="shared" si="2"/>
        <v>23</v>
      </c>
      <c r="Q15" s="197">
        <f t="shared" si="2"/>
        <v>0</v>
      </c>
      <c r="R15" s="197">
        <f t="shared" si="2"/>
        <v>1</v>
      </c>
      <c r="S15" s="197">
        <f t="shared" si="2"/>
        <v>0</v>
      </c>
      <c r="T15" s="197">
        <f t="shared" si="2"/>
        <v>0</v>
      </c>
      <c r="U15" s="197">
        <f t="shared" si="2"/>
        <v>1357</v>
      </c>
      <c r="V15" s="197">
        <f t="shared" si="3"/>
        <v>638</v>
      </c>
      <c r="W15" s="197">
        <f t="shared" si="3"/>
        <v>69</v>
      </c>
      <c r="X15" s="197">
        <f t="shared" si="3"/>
        <v>0</v>
      </c>
      <c r="Y15" s="197">
        <f t="shared" si="3"/>
        <v>50</v>
      </c>
      <c r="Z15" s="197">
        <f t="shared" si="3"/>
        <v>0</v>
      </c>
      <c r="AA15" s="197">
        <f t="shared" si="3"/>
        <v>264</v>
      </c>
      <c r="AB15" s="197">
        <f t="shared" si="3"/>
        <v>0</v>
      </c>
      <c r="AC15" s="197">
        <f t="shared" si="3"/>
        <v>0</v>
      </c>
      <c r="AD15" s="197">
        <f t="shared" si="3"/>
        <v>1152</v>
      </c>
      <c r="AE15" s="197">
        <f t="shared" si="3"/>
        <v>441</v>
      </c>
      <c r="AF15" s="197">
        <f t="shared" si="4"/>
        <v>57</v>
      </c>
      <c r="AG15" s="197">
        <f t="shared" si="4"/>
        <v>0</v>
      </c>
      <c r="AH15" s="197">
        <f t="shared" si="4"/>
        <v>296</v>
      </c>
      <c r="AI15" s="197">
        <f t="shared" si="4"/>
        <v>0</v>
      </c>
      <c r="AJ15" s="197">
        <f t="shared" si="4"/>
        <v>261</v>
      </c>
      <c r="AK15" s="197">
        <f t="shared" si="4"/>
        <v>0</v>
      </c>
      <c r="AL15" s="197">
        <f t="shared" si="4"/>
        <v>0</v>
      </c>
    </row>
    <row r="16" spans="1:38">
      <c r="A16" s="11" t="str">
        <f t="shared" si="1"/>
        <v>05-158731812012</v>
      </c>
      <c r="B16" t="s">
        <v>112</v>
      </c>
      <c r="C16" t="s">
        <v>113</v>
      </c>
      <c r="D16">
        <v>2012</v>
      </c>
      <c r="E16" s="196" t="s">
        <v>1074</v>
      </c>
      <c r="F16">
        <v>500</v>
      </c>
      <c r="G16">
        <v>3</v>
      </c>
      <c r="H16" s="11" t="str">
        <f t="shared" si="5"/>
        <v>count</v>
      </c>
      <c r="I16" s="197" t="s">
        <v>154</v>
      </c>
      <c r="J16" s="197" t="s">
        <v>155</v>
      </c>
      <c r="K16" s="197" t="s">
        <v>146</v>
      </c>
      <c r="L16" s="197">
        <f t="shared" si="2"/>
        <v>453108.59</v>
      </c>
      <c r="M16" s="197">
        <f t="shared" si="2"/>
        <v>120496.32000000001</v>
      </c>
      <c r="N16" s="197">
        <f t="shared" si="2"/>
        <v>0</v>
      </c>
      <c r="O16" s="197">
        <f t="shared" si="2"/>
        <v>0</v>
      </c>
      <c r="P16" s="197">
        <f t="shared" si="2"/>
        <v>0</v>
      </c>
      <c r="Q16" s="197">
        <f t="shared" si="2"/>
        <v>0</v>
      </c>
      <c r="R16" s="197">
        <f t="shared" si="2"/>
        <v>0</v>
      </c>
      <c r="S16" s="197">
        <f t="shared" si="2"/>
        <v>0</v>
      </c>
      <c r="T16" s="197">
        <f t="shared" si="2"/>
        <v>0</v>
      </c>
      <c r="U16" s="197">
        <f t="shared" si="2"/>
        <v>292626.09000000003</v>
      </c>
      <c r="V16" s="197">
        <f t="shared" si="3"/>
        <v>121134.91</v>
      </c>
      <c r="W16" s="197">
        <f t="shared" si="3"/>
        <v>0</v>
      </c>
      <c r="X16" s="197">
        <f t="shared" si="3"/>
        <v>0</v>
      </c>
      <c r="Y16" s="197">
        <f t="shared" si="3"/>
        <v>0</v>
      </c>
      <c r="Z16" s="197">
        <f t="shared" si="3"/>
        <v>0</v>
      </c>
      <c r="AA16" s="197">
        <f t="shared" si="3"/>
        <v>177707.57</v>
      </c>
      <c r="AB16" s="197">
        <f t="shared" si="3"/>
        <v>0</v>
      </c>
      <c r="AC16" s="197">
        <f t="shared" si="3"/>
        <v>0</v>
      </c>
      <c r="AD16" s="197">
        <f t="shared" si="3"/>
        <v>302554.71000000002</v>
      </c>
      <c r="AE16" s="197">
        <f t="shared" si="3"/>
        <v>140256.24</v>
      </c>
      <c r="AF16" s="197">
        <f t="shared" si="4"/>
        <v>0</v>
      </c>
      <c r="AG16" s="197">
        <f t="shared" si="4"/>
        <v>6915</v>
      </c>
      <c r="AH16" s="197">
        <f t="shared" si="4"/>
        <v>0</v>
      </c>
      <c r="AI16" s="197">
        <f t="shared" si="4"/>
        <v>0</v>
      </c>
      <c r="AJ16" s="197">
        <f t="shared" si="4"/>
        <v>205881.35</v>
      </c>
      <c r="AK16" s="197">
        <f t="shared" si="4"/>
        <v>0</v>
      </c>
      <c r="AL16" s="197">
        <f t="shared" si="4"/>
        <v>0</v>
      </c>
    </row>
    <row r="17" spans="1:38">
      <c r="A17" s="11" t="str">
        <f t="shared" si="1"/>
        <v>05-158731812012</v>
      </c>
      <c r="B17" t="s">
        <v>112</v>
      </c>
      <c r="C17" t="s">
        <v>113</v>
      </c>
      <c r="D17">
        <v>2012</v>
      </c>
      <c r="E17" s="196" t="s">
        <v>69</v>
      </c>
      <c r="F17">
        <v>14829.61</v>
      </c>
      <c r="G17">
        <v>84</v>
      </c>
      <c r="H17" s="11" t="str">
        <f t="shared" si="5"/>
        <v>count</v>
      </c>
      <c r="I17" s="197" t="s">
        <v>154</v>
      </c>
      <c r="J17" s="197" t="s">
        <v>155</v>
      </c>
      <c r="K17" s="197" t="s">
        <v>145</v>
      </c>
      <c r="L17" s="197">
        <f t="shared" si="2"/>
        <v>894</v>
      </c>
      <c r="M17" s="197">
        <f t="shared" si="2"/>
        <v>225</v>
      </c>
      <c r="N17" s="197">
        <f t="shared" si="2"/>
        <v>0</v>
      </c>
      <c r="O17" s="197">
        <f t="shared" si="2"/>
        <v>0</v>
      </c>
      <c r="P17" s="197">
        <f t="shared" si="2"/>
        <v>0</v>
      </c>
      <c r="Q17" s="197">
        <f t="shared" si="2"/>
        <v>0</v>
      </c>
      <c r="R17" s="197">
        <f t="shared" si="2"/>
        <v>0</v>
      </c>
      <c r="S17" s="197">
        <f t="shared" si="2"/>
        <v>0</v>
      </c>
      <c r="T17" s="197">
        <f t="shared" si="2"/>
        <v>0</v>
      </c>
      <c r="U17" s="197">
        <f t="shared" si="2"/>
        <v>583</v>
      </c>
      <c r="V17" s="197">
        <f t="shared" si="3"/>
        <v>236</v>
      </c>
      <c r="W17" s="197">
        <f t="shared" si="3"/>
        <v>0</v>
      </c>
      <c r="X17" s="197">
        <f t="shared" si="3"/>
        <v>0</v>
      </c>
      <c r="Y17" s="197">
        <f t="shared" si="3"/>
        <v>0</v>
      </c>
      <c r="Z17" s="197">
        <f t="shared" si="3"/>
        <v>0</v>
      </c>
      <c r="AA17" s="197">
        <f t="shared" si="3"/>
        <v>410</v>
      </c>
      <c r="AB17" s="197">
        <f t="shared" si="3"/>
        <v>0</v>
      </c>
      <c r="AC17" s="197">
        <f t="shared" si="3"/>
        <v>0</v>
      </c>
      <c r="AD17" s="197">
        <f t="shared" si="3"/>
        <v>553</v>
      </c>
      <c r="AE17" s="197">
        <f t="shared" si="3"/>
        <v>254</v>
      </c>
      <c r="AF17" s="197">
        <f t="shared" si="4"/>
        <v>0</v>
      </c>
      <c r="AG17" s="197">
        <f t="shared" si="4"/>
        <v>4</v>
      </c>
      <c r="AH17" s="197">
        <f t="shared" si="4"/>
        <v>0</v>
      </c>
      <c r="AI17" s="197">
        <f t="shared" si="4"/>
        <v>0</v>
      </c>
      <c r="AJ17" s="197">
        <f t="shared" si="4"/>
        <v>401</v>
      </c>
      <c r="AK17" s="197">
        <f t="shared" si="4"/>
        <v>0</v>
      </c>
      <c r="AL17" s="197">
        <f t="shared" si="4"/>
        <v>0</v>
      </c>
    </row>
    <row r="18" spans="1:38">
      <c r="A18" s="11" t="str">
        <f t="shared" si="1"/>
        <v>05-270076552012</v>
      </c>
      <c r="B18" t="s">
        <v>127</v>
      </c>
      <c r="C18" t="s">
        <v>128</v>
      </c>
      <c r="D18">
        <v>2012</v>
      </c>
      <c r="E18" s="196" t="s">
        <v>104</v>
      </c>
      <c r="F18">
        <v>230184.01</v>
      </c>
      <c r="G18">
        <v>366</v>
      </c>
      <c r="H18" s="11" t="str">
        <f t="shared" si="5"/>
        <v>volume</v>
      </c>
      <c r="I18" s="197" t="s">
        <v>157</v>
      </c>
      <c r="J18" s="197" t="s">
        <v>158</v>
      </c>
      <c r="K18" s="197" t="s">
        <v>146</v>
      </c>
      <c r="L18" s="197">
        <f t="shared" si="2"/>
        <v>1243108.76</v>
      </c>
      <c r="M18" s="197">
        <f t="shared" si="2"/>
        <v>613230.68999999994</v>
      </c>
      <c r="N18" s="197">
        <f t="shared" si="2"/>
        <v>176867.29</v>
      </c>
      <c r="O18" s="197">
        <f t="shared" si="2"/>
        <v>0</v>
      </c>
      <c r="P18" s="197">
        <f t="shared" si="2"/>
        <v>328278.65000000002</v>
      </c>
      <c r="Q18" s="197">
        <f t="shared" si="2"/>
        <v>0</v>
      </c>
      <c r="R18" s="197">
        <f t="shared" si="2"/>
        <v>1947.86</v>
      </c>
      <c r="S18" s="197">
        <f t="shared" si="2"/>
        <v>0</v>
      </c>
      <c r="T18" s="197">
        <f t="shared" si="2"/>
        <v>0</v>
      </c>
      <c r="U18" s="197">
        <f t="shared" si="2"/>
        <v>723651.48</v>
      </c>
      <c r="V18" s="197">
        <f t="shared" si="3"/>
        <v>461808.21</v>
      </c>
      <c r="W18" s="197">
        <f t="shared" si="3"/>
        <v>101624.32000000001</v>
      </c>
      <c r="X18" s="197">
        <f t="shared" si="3"/>
        <v>0</v>
      </c>
      <c r="Y18" s="197">
        <f t="shared" si="3"/>
        <v>249435.48</v>
      </c>
      <c r="Z18" s="197">
        <f t="shared" si="3"/>
        <v>0</v>
      </c>
      <c r="AA18" s="197">
        <f t="shared" si="3"/>
        <v>391503.58</v>
      </c>
      <c r="AB18" s="197">
        <f t="shared" si="3"/>
        <v>0</v>
      </c>
      <c r="AC18" s="197">
        <f t="shared" si="3"/>
        <v>0</v>
      </c>
      <c r="AD18" s="197">
        <f t="shared" si="3"/>
        <v>0</v>
      </c>
      <c r="AE18" s="197">
        <f t="shared" si="3"/>
        <v>0</v>
      </c>
      <c r="AF18" s="197">
        <f t="shared" si="4"/>
        <v>0</v>
      </c>
      <c r="AG18" s="197">
        <f t="shared" si="4"/>
        <v>0</v>
      </c>
      <c r="AH18" s="197">
        <f t="shared" si="4"/>
        <v>0</v>
      </c>
      <c r="AI18" s="197">
        <f t="shared" si="4"/>
        <v>0</v>
      </c>
      <c r="AJ18" s="197">
        <f t="shared" si="4"/>
        <v>0</v>
      </c>
      <c r="AK18" s="197">
        <f t="shared" si="4"/>
        <v>0</v>
      </c>
      <c r="AL18" s="197">
        <f t="shared" si="4"/>
        <v>0</v>
      </c>
    </row>
    <row r="19" spans="1:38">
      <c r="A19" s="11" t="str">
        <f t="shared" si="1"/>
        <v>05-270076552013</v>
      </c>
      <c r="B19" t="s">
        <v>127</v>
      </c>
      <c r="C19" t="s">
        <v>128</v>
      </c>
      <c r="D19">
        <v>2013</v>
      </c>
      <c r="E19" s="196" t="s">
        <v>105</v>
      </c>
      <c r="F19">
        <v>40668.269999999997</v>
      </c>
      <c r="G19">
        <v>68</v>
      </c>
      <c r="H19" s="11" t="str">
        <f t="shared" si="5"/>
        <v>count</v>
      </c>
      <c r="I19" s="197" t="s">
        <v>157</v>
      </c>
      <c r="J19" s="197" t="s">
        <v>158</v>
      </c>
      <c r="K19" s="197" t="s">
        <v>145</v>
      </c>
      <c r="L19" s="197">
        <f t="shared" si="2"/>
        <v>3088</v>
      </c>
      <c r="M19" s="197">
        <f t="shared" si="2"/>
        <v>1525</v>
      </c>
      <c r="N19" s="197">
        <f t="shared" si="2"/>
        <v>373</v>
      </c>
      <c r="O19" s="197">
        <f t="shared" si="2"/>
        <v>0</v>
      </c>
      <c r="P19" s="197">
        <f t="shared" si="2"/>
        <v>704</v>
      </c>
      <c r="Q19" s="197">
        <f t="shared" si="2"/>
        <v>0</v>
      </c>
      <c r="R19" s="197">
        <f t="shared" si="2"/>
        <v>6</v>
      </c>
      <c r="S19" s="197">
        <f t="shared" si="2"/>
        <v>0</v>
      </c>
      <c r="T19" s="197">
        <f t="shared" si="2"/>
        <v>0</v>
      </c>
      <c r="U19" s="197">
        <f t="shared" si="2"/>
        <v>1469</v>
      </c>
      <c r="V19" s="197">
        <f t="shared" si="3"/>
        <v>927</v>
      </c>
      <c r="W19" s="197">
        <f t="shared" si="3"/>
        <v>199</v>
      </c>
      <c r="X19" s="197">
        <f t="shared" si="3"/>
        <v>0</v>
      </c>
      <c r="Y19" s="197">
        <f t="shared" si="3"/>
        <v>454</v>
      </c>
      <c r="Z19" s="197">
        <f t="shared" si="3"/>
        <v>0</v>
      </c>
      <c r="AA19" s="197">
        <f t="shared" si="3"/>
        <v>929</v>
      </c>
      <c r="AB19" s="197">
        <f t="shared" si="3"/>
        <v>0</v>
      </c>
      <c r="AC19" s="197">
        <f t="shared" si="3"/>
        <v>0</v>
      </c>
      <c r="AD19" s="197">
        <f t="shared" si="3"/>
        <v>0</v>
      </c>
      <c r="AE19" s="197">
        <f t="shared" si="3"/>
        <v>0</v>
      </c>
      <c r="AF19" s="197">
        <f t="shared" si="4"/>
        <v>0</v>
      </c>
      <c r="AG19" s="197">
        <f t="shared" si="4"/>
        <v>0</v>
      </c>
      <c r="AH19" s="197">
        <f t="shared" si="4"/>
        <v>0</v>
      </c>
      <c r="AI19" s="197">
        <f t="shared" si="4"/>
        <v>0</v>
      </c>
      <c r="AJ19" s="197">
        <f t="shared" si="4"/>
        <v>0</v>
      </c>
      <c r="AK19" s="197">
        <f t="shared" si="4"/>
        <v>0</v>
      </c>
      <c r="AL19" s="197">
        <f t="shared" si="4"/>
        <v>0</v>
      </c>
    </row>
    <row r="20" spans="1:38">
      <c r="A20" s="11" t="str">
        <f t="shared" si="1"/>
        <v>05-270076552012</v>
      </c>
      <c r="B20" t="s">
        <v>127</v>
      </c>
      <c r="C20" t="s">
        <v>128</v>
      </c>
      <c r="D20">
        <v>2012</v>
      </c>
      <c r="E20" s="196" t="s">
        <v>1074</v>
      </c>
      <c r="F20">
        <v>15782.78</v>
      </c>
      <c r="G20">
        <v>38</v>
      </c>
      <c r="H20" s="11" t="str">
        <f t="shared" si="5"/>
        <v>count</v>
      </c>
      <c r="I20" s="197" t="s">
        <v>162</v>
      </c>
      <c r="J20" s="197" t="s">
        <v>163</v>
      </c>
      <c r="K20" s="197" t="s">
        <v>146</v>
      </c>
      <c r="L20" s="197">
        <f t="shared" ref="L20:AA35" si="6">SUMIFS(IF($K20="volume",$F:$F,$G:$G),$D:$D,L$2,$B:$B,$I20,$E:$E,L$3)</f>
        <v>387772.99</v>
      </c>
      <c r="M20" s="197">
        <f t="shared" si="6"/>
        <v>201469.51</v>
      </c>
      <c r="N20" s="197">
        <f t="shared" si="6"/>
        <v>44277.01</v>
      </c>
      <c r="O20" s="197">
        <f t="shared" si="6"/>
        <v>0</v>
      </c>
      <c r="P20" s="197">
        <f t="shared" si="6"/>
        <v>83810.789999999994</v>
      </c>
      <c r="Q20" s="197">
        <f t="shared" si="6"/>
        <v>0</v>
      </c>
      <c r="R20" s="197">
        <f t="shared" si="6"/>
        <v>1187.69</v>
      </c>
      <c r="S20" s="197">
        <f t="shared" si="6"/>
        <v>0</v>
      </c>
      <c r="T20" s="197">
        <f t="shared" si="6"/>
        <v>0</v>
      </c>
      <c r="U20" s="197">
        <f t="shared" si="6"/>
        <v>246219.35</v>
      </c>
      <c r="V20" s="197">
        <f t="shared" si="6"/>
        <v>205454.24</v>
      </c>
      <c r="W20" s="197">
        <f t="shared" si="6"/>
        <v>54976.25</v>
      </c>
      <c r="X20" s="197">
        <f t="shared" si="6"/>
        <v>0</v>
      </c>
      <c r="Y20" s="197">
        <f t="shared" si="6"/>
        <v>91545.61</v>
      </c>
      <c r="Z20" s="197">
        <f t="shared" si="6"/>
        <v>0</v>
      </c>
      <c r="AA20" s="197">
        <f t="shared" si="6"/>
        <v>125306.24000000001</v>
      </c>
      <c r="AB20" s="197">
        <f t="shared" ref="AB20:AL47" si="7">SUMIFS(IF($K20="volume",$F:$F,$G:$G),$D:$D,AB$2,$B:$B,$I20,$E:$E,AB$3)</f>
        <v>0</v>
      </c>
      <c r="AC20" s="197">
        <f t="shared" si="7"/>
        <v>0</v>
      </c>
      <c r="AD20" s="197">
        <f t="shared" si="7"/>
        <v>217192.48</v>
      </c>
      <c r="AE20" s="197">
        <f t="shared" si="7"/>
        <v>145653.13</v>
      </c>
      <c r="AF20" s="197">
        <f t="shared" si="7"/>
        <v>40459.360000000001</v>
      </c>
      <c r="AG20" s="197">
        <f t="shared" si="7"/>
        <v>0</v>
      </c>
      <c r="AH20" s="197">
        <f t="shared" si="7"/>
        <v>68396.44</v>
      </c>
      <c r="AI20" s="197">
        <f t="shared" si="7"/>
        <v>0</v>
      </c>
      <c r="AJ20" s="197">
        <f t="shared" si="7"/>
        <v>190038.83</v>
      </c>
      <c r="AK20" s="197">
        <f t="shared" si="7"/>
        <v>0</v>
      </c>
      <c r="AL20" s="197">
        <f t="shared" si="7"/>
        <v>0</v>
      </c>
    </row>
    <row r="21" spans="1:38">
      <c r="A21" s="11" t="str">
        <f t="shared" si="1"/>
        <v>05-270076552013</v>
      </c>
      <c r="B21" t="s">
        <v>127</v>
      </c>
      <c r="C21" t="s">
        <v>128</v>
      </c>
      <c r="D21">
        <v>2013</v>
      </c>
      <c r="E21" s="196" t="s">
        <v>106</v>
      </c>
      <c r="F21">
        <v>9835155.1999999993</v>
      </c>
      <c r="G21">
        <v>12197</v>
      </c>
      <c r="H21" s="11" t="str">
        <f t="shared" si="5"/>
        <v>count</v>
      </c>
      <c r="I21" s="197" t="s">
        <v>162</v>
      </c>
      <c r="J21" s="197" t="s">
        <v>163</v>
      </c>
      <c r="K21" s="197" t="s">
        <v>145</v>
      </c>
      <c r="L21" s="197">
        <f t="shared" si="6"/>
        <v>1725</v>
      </c>
      <c r="M21" s="197">
        <f t="shared" si="6"/>
        <v>864</v>
      </c>
      <c r="N21" s="197">
        <f t="shared" si="6"/>
        <v>199</v>
      </c>
      <c r="O21" s="197">
        <f t="shared" si="6"/>
        <v>0</v>
      </c>
      <c r="P21" s="197">
        <f t="shared" si="6"/>
        <v>261</v>
      </c>
      <c r="Q21" s="197">
        <f t="shared" si="6"/>
        <v>0</v>
      </c>
      <c r="R21" s="197">
        <f t="shared" si="6"/>
        <v>6</v>
      </c>
      <c r="S21" s="197">
        <f t="shared" si="6"/>
        <v>0</v>
      </c>
      <c r="T21" s="197">
        <f t="shared" si="6"/>
        <v>0</v>
      </c>
      <c r="U21" s="197">
        <f t="shared" si="6"/>
        <v>1085</v>
      </c>
      <c r="V21" s="197">
        <f t="shared" si="6"/>
        <v>799</v>
      </c>
      <c r="W21" s="197">
        <f t="shared" si="6"/>
        <v>220</v>
      </c>
      <c r="X21" s="197">
        <f t="shared" si="6"/>
        <v>0</v>
      </c>
      <c r="Y21" s="197">
        <f t="shared" si="6"/>
        <v>290</v>
      </c>
      <c r="Z21" s="197">
        <f t="shared" si="6"/>
        <v>0</v>
      </c>
      <c r="AA21" s="197">
        <f t="shared" si="6"/>
        <v>564</v>
      </c>
      <c r="AB21" s="197">
        <f t="shared" si="7"/>
        <v>0</v>
      </c>
      <c r="AC21" s="197">
        <f t="shared" si="7"/>
        <v>0</v>
      </c>
      <c r="AD21" s="197">
        <f t="shared" si="7"/>
        <v>933</v>
      </c>
      <c r="AE21" s="197">
        <f t="shared" si="7"/>
        <v>570</v>
      </c>
      <c r="AF21" s="197">
        <f t="shared" si="7"/>
        <v>169</v>
      </c>
      <c r="AG21" s="197">
        <f t="shared" si="7"/>
        <v>0</v>
      </c>
      <c r="AH21" s="197">
        <f t="shared" si="7"/>
        <v>236</v>
      </c>
      <c r="AI21" s="197">
        <f t="shared" si="7"/>
        <v>0</v>
      </c>
      <c r="AJ21" s="197">
        <f t="shared" si="7"/>
        <v>844</v>
      </c>
      <c r="AK21" s="197">
        <f t="shared" si="7"/>
        <v>0</v>
      </c>
      <c r="AL21" s="197">
        <f t="shared" si="7"/>
        <v>0</v>
      </c>
    </row>
    <row r="22" spans="1:38">
      <c r="A22" s="11" t="str">
        <f t="shared" si="1"/>
        <v>05-270076552012</v>
      </c>
      <c r="B22" t="s">
        <v>127</v>
      </c>
      <c r="C22" t="s">
        <v>128</v>
      </c>
      <c r="D22">
        <v>2012</v>
      </c>
      <c r="E22" s="196" t="s">
        <v>69</v>
      </c>
      <c r="F22">
        <v>453000.56</v>
      </c>
      <c r="G22">
        <v>955</v>
      </c>
      <c r="H22" s="11" t="str">
        <f t="shared" si="5"/>
        <v>count</v>
      </c>
      <c r="I22" s="197" t="s">
        <v>165</v>
      </c>
      <c r="J22" s="197" t="s">
        <v>166</v>
      </c>
      <c r="K22" s="197" t="s">
        <v>146</v>
      </c>
      <c r="L22" s="197">
        <f t="shared" si="6"/>
        <v>439002.61</v>
      </c>
      <c r="M22" s="197">
        <f t="shared" si="6"/>
        <v>262129.77</v>
      </c>
      <c r="N22" s="197">
        <f t="shared" si="6"/>
        <v>88044.92</v>
      </c>
      <c r="O22" s="197">
        <f t="shared" si="6"/>
        <v>0</v>
      </c>
      <c r="P22" s="197">
        <f t="shared" si="6"/>
        <v>64019.49</v>
      </c>
      <c r="Q22" s="197">
        <f t="shared" si="6"/>
        <v>0</v>
      </c>
      <c r="R22" s="197">
        <f t="shared" si="6"/>
        <v>84.08</v>
      </c>
      <c r="S22" s="197">
        <f t="shared" si="6"/>
        <v>0</v>
      </c>
      <c r="T22" s="197">
        <f t="shared" si="6"/>
        <v>0</v>
      </c>
      <c r="U22" s="197">
        <f t="shared" si="6"/>
        <v>249493.97</v>
      </c>
      <c r="V22" s="197">
        <f t="shared" si="6"/>
        <v>168053.76000000001</v>
      </c>
      <c r="W22" s="197">
        <f t="shared" si="6"/>
        <v>71538.039999999994</v>
      </c>
      <c r="X22" s="197">
        <f t="shared" si="6"/>
        <v>0</v>
      </c>
      <c r="Y22" s="197">
        <f t="shared" si="6"/>
        <v>62760.12</v>
      </c>
      <c r="Z22" s="197">
        <f t="shared" si="6"/>
        <v>0</v>
      </c>
      <c r="AA22" s="197">
        <f t="shared" si="6"/>
        <v>131871.6</v>
      </c>
      <c r="AB22" s="197">
        <f t="shared" si="7"/>
        <v>0</v>
      </c>
      <c r="AC22" s="197">
        <f t="shared" si="7"/>
        <v>0</v>
      </c>
      <c r="AD22" s="197">
        <f t="shared" si="7"/>
        <v>7813.91</v>
      </c>
      <c r="AE22" s="197">
        <f t="shared" si="7"/>
        <v>9439.19</v>
      </c>
      <c r="AF22" s="197">
        <f t="shared" si="7"/>
        <v>1848.7</v>
      </c>
      <c r="AG22" s="197">
        <f t="shared" si="7"/>
        <v>0</v>
      </c>
      <c r="AH22" s="197">
        <f t="shared" si="7"/>
        <v>3649.06</v>
      </c>
      <c r="AI22" s="197">
        <f t="shared" si="7"/>
        <v>0</v>
      </c>
      <c r="AJ22" s="197">
        <f t="shared" si="7"/>
        <v>4148.8100000000004</v>
      </c>
      <c r="AK22" s="197">
        <f t="shared" si="7"/>
        <v>0</v>
      </c>
      <c r="AL22" s="197">
        <f t="shared" si="7"/>
        <v>0</v>
      </c>
    </row>
    <row r="23" spans="1:38">
      <c r="A23" s="11" t="str">
        <f t="shared" si="1"/>
        <v>05-270076552012</v>
      </c>
      <c r="B23" t="s">
        <v>127</v>
      </c>
      <c r="C23" t="s">
        <v>128</v>
      </c>
      <c r="D23">
        <v>2012</v>
      </c>
      <c r="E23" s="196" t="s">
        <v>63</v>
      </c>
      <c r="F23">
        <v>446234.74</v>
      </c>
      <c r="G23">
        <v>783</v>
      </c>
      <c r="H23" s="11" t="str">
        <f t="shared" si="5"/>
        <v>count</v>
      </c>
      <c r="I23" s="197" t="s">
        <v>165</v>
      </c>
      <c r="J23" s="197" t="s">
        <v>166</v>
      </c>
      <c r="K23" s="197" t="s">
        <v>145</v>
      </c>
      <c r="L23" s="197">
        <f t="shared" si="6"/>
        <v>994</v>
      </c>
      <c r="M23" s="197">
        <f t="shared" si="6"/>
        <v>534</v>
      </c>
      <c r="N23" s="197">
        <f t="shared" si="6"/>
        <v>190</v>
      </c>
      <c r="O23" s="197">
        <f t="shared" si="6"/>
        <v>0</v>
      </c>
      <c r="P23" s="197">
        <f t="shared" si="6"/>
        <v>128</v>
      </c>
      <c r="Q23" s="197">
        <f t="shared" si="6"/>
        <v>0</v>
      </c>
      <c r="R23" s="197">
        <f t="shared" si="6"/>
        <v>1</v>
      </c>
      <c r="S23" s="197">
        <f t="shared" si="6"/>
        <v>0</v>
      </c>
      <c r="T23" s="197">
        <f t="shared" si="6"/>
        <v>0</v>
      </c>
      <c r="U23" s="197">
        <f t="shared" si="6"/>
        <v>525</v>
      </c>
      <c r="V23" s="197">
        <f t="shared" si="6"/>
        <v>363</v>
      </c>
      <c r="W23" s="197">
        <f t="shared" si="6"/>
        <v>144</v>
      </c>
      <c r="X23" s="197">
        <f t="shared" si="6"/>
        <v>0</v>
      </c>
      <c r="Y23" s="197">
        <f t="shared" si="6"/>
        <v>126</v>
      </c>
      <c r="Z23" s="197">
        <f t="shared" si="6"/>
        <v>0</v>
      </c>
      <c r="AA23" s="197">
        <f t="shared" si="6"/>
        <v>306</v>
      </c>
      <c r="AB23" s="197">
        <f t="shared" si="7"/>
        <v>0</v>
      </c>
      <c r="AC23" s="197">
        <f t="shared" si="7"/>
        <v>0</v>
      </c>
      <c r="AD23" s="197">
        <f t="shared" si="7"/>
        <v>16</v>
      </c>
      <c r="AE23" s="197">
        <f t="shared" si="7"/>
        <v>17</v>
      </c>
      <c r="AF23" s="197">
        <f t="shared" si="7"/>
        <v>6</v>
      </c>
      <c r="AG23" s="197">
        <f t="shared" si="7"/>
        <v>0</v>
      </c>
      <c r="AH23" s="197">
        <f t="shared" si="7"/>
        <v>9</v>
      </c>
      <c r="AI23" s="197">
        <f t="shared" si="7"/>
        <v>0</v>
      </c>
      <c r="AJ23" s="197">
        <f t="shared" si="7"/>
        <v>10</v>
      </c>
      <c r="AK23" s="197">
        <f t="shared" si="7"/>
        <v>0</v>
      </c>
      <c r="AL23" s="197">
        <f t="shared" si="7"/>
        <v>0</v>
      </c>
    </row>
    <row r="24" spans="1:38">
      <c r="A24" s="11" t="str">
        <f t="shared" si="1"/>
        <v>05-270076552011</v>
      </c>
      <c r="B24" t="s">
        <v>127</v>
      </c>
      <c r="C24" t="s">
        <v>128</v>
      </c>
      <c r="D24">
        <v>2011</v>
      </c>
      <c r="E24" s="196" t="s">
        <v>104</v>
      </c>
      <c r="F24">
        <v>155409.47</v>
      </c>
      <c r="G24">
        <v>254</v>
      </c>
      <c r="H24" s="11" t="str">
        <f t="shared" si="5"/>
        <v>count</v>
      </c>
      <c r="I24" s="197" t="s">
        <v>177</v>
      </c>
      <c r="J24" s="197" t="s">
        <v>178</v>
      </c>
      <c r="K24" s="197" t="s">
        <v>146</v>
      </c>
      <c r="L24" s="197">
        <f t="shared" si="6"/>
        <v>779846.38</v>
      </c>
      <c r="M24" s="197">
        <f t="shared" si="6"/>
        <v>320730.40000000002</v>
      </c>
      <c r="N24" s="197">
        <f t="shared" si="6"/>
        <v>68748.22</v>
      </c>
      <c r="O24" s="197">
        <f t="shared" si="6"/>
        <v>2507.8000000000002</v>
      </c>
      <c r="P24" s="197">
        <f t="shared" si="6"/>
        <v>0</v>
      </c>
      <c r="Q24" s="197">
        <f t="shared" si="6"/>
        <v>0</v>
      </c>
      <c r="R24" s="197">
        <f t="shared" si="6"/>
        <v>1133.68</v>
      </c>
      <c r="S24" s="197">
        <f t="shared" si="6"/>
        <v>0</v>
      </c>
      <c r="T24" s="197">
        <f t="shared" si="6"/>
        <v>0</v>
      </c>
      <c r="U24" s="197">
        <f t="shared" si="6"/>
        <v>920937.89</v>
      </c>
      <c r="V24" s="197">
        <f t="shared" si="6"/>
        <v>507618.85</v>
      </c>
      <c r="W24" s="197">
        <f t="shared" si="6"/>
        <v>109533.4</v>
      </c>
      <c r="X24" s="197">
        <f t="shared" si="6"/>
        <v>2355.65</v>
      </c>
      <c r="Y24" s="197">
        <f t="shared" si="6"/>
        <v>0</v>
      </c>
      <c r="Z24" s="197">
        <f t="shared" si="6"/>
        <v>0</v>
      </c>
      <c r="AA24" s="197">
        <f t="shared" si="6"/>
        <v>456403.97</v>
      </c>
      <c r="AB24" s="197">
        <f t="shared" si="7"/>
        <v>0</v>
      </c>
      <c r="AC24" s="197">
        <f t="shared" si="7"/>
        <v>0</v>
      </c>
      <c r="AD24" s="197">
        <f t="shared" si="7"/>
        <v>932590</v>
      </c>
      <c r="AE24" s="197">
        <f t="shared" si="7"/>
        <v>415937.89</v>
      </c>
      <c r="AF24" s="197">
        <f t="shared" si="7"/>
        <v>108511.76</v>
      </c>
      <c r="AG24" s="197">
        <f t="shared" si="7"/>
        <v>17161.990000000002</v>
      </c>
      <c r="AH24" s="197">
        <f t="shared" si="7"/>
        <v>238052.27</v>
      </c>
      <c r="AI24" s="197">
        <f t="shared" si="7"/>
        <v>0</v>
      </c>
      <c r="AJ24" s="197">
        <f t="shared" si="7"/>
        <v>509323.53</v>
      </c>
      <c r="AK24" s="197">
        <f t="shared" si="7"/>
        <v>0</v>
      </c>
      <c r="AL24" s="197">
        <f t="shared" si="7"/>
        <v>0</v>
      </c>
    </row>
    <row r="25" spans="1:38">
      <c r="A25" s="11" t="str">
        <f t="shared" si="1"/>
        <v>05-270076552012</v>
      </c>
      <c r="B25" t="s">
        <v>127</v>
      </c>
      <c r="C25" t="s">
        <v>128</v>
      </c>
      <c r="D25">
        <v>2012</v>
      </c>
      <c r="E25" s="196" t="s">
        <v>1075</v>
      </c>
      <c r="F25">
        <v>27175.67</v>
      </c>
      <c r="G25">
        <v>77</v>
      </c>
      <c r="H25" s="11" t="str">
        <f t="shared" si="5"/>
        <v>count</v>
      </c>
      <c r="I25" s="197" t="s">
        <v>177</v>
      </c>
      <c r="J25" s="197" t="s">
        <v>178</v>
      </c>
      <c r="K25" s="197" t="s">
        <v>145</v>
      </c>
      <c r="L25" s="197">
        <f t="shared" si="6"/>
        <v>1071</v>
      </c>
      <c r="M25" s="197">
        <f t="shared" si="6"/>
        <v>421</v>
      </c>
      <c r="N25" s="197">
        <f t="shared" si="6"/>
        <v>80</v>
      </c>
      <c r="O25" s="197">
        <f t="shared" si="6"/>
        <v>3</v>
      </c>
      <c r="P25" s="197">
        <f t="shared" si="6"/>
        <v>0</v>
      </c>
      <c r="Q25" s="197">
        <f t="shared" si="6"/>
        <v>0</v>
      </c>
      <c r="R25" s="197">
        <f t="shared" si="6"/>
        <v>1</v>
      </c>
      <c r="S25" s="197">
        <f t="shared" si="6"/>
        <v>0</v>
      </c>
      <c r="T25" s="197">
        <f t="shared" si="6"/>
        <v>0</v>
      </c>
      <c r="U25" s="197">
        <f t="shared" si="6"/>
        <v>1116</v>
      </c>
      <c r="V25" s="197">
        <f t="shared" si="6"/>
        <v>618</v>
      </c>
      <c r="W25" s="197">
        <f t="shared" si="6"/>
        <v>129</v>
      </c>
      <c r="X25" s="197">
        <f t="shared" si="6"/>
        <v>4</v>
      </c>
      <c r="Y25" s="197">
        <f t="shared" si="6"/>
        <v>0</v>
      </c>
      <c r="Z25" s="197">
        <f t="shared" si="6"/>
        <v>0</v>
      </c>
      <c r="AA25" s="197">
        <f t="shared" si="6"/>
        <v>737</v>
      </c>
      <c r="AB25" s="197">
        <f t="shared" si="7"/>
        <v>0</v>
      </c>
      <c r="AC25" s="197">
        <f t="shared" si="7"/>
        <v>0</v>
      </c>
      <c r="AD25" s="197">
        <f t="shared" si="7"/>
        <v>1028</v>
      </c>
      <c r="AE25" s="197">
        <f t="shared" si="7"/>
        <v>477</v>
      </c>
      <c r="AF25" s="197">
        <f t="shared" si="7"/>
        <v>127</v>
      </c>
      <c r="AG25" s="197">
        <f t="shared" si="7"/>
        <v>14</v>
      </c>
      <c r="AH25" s="197">
        <f t="shared" si="7"/>
        <v>243</v>
      </c>
      <c r="AI25" s="197">
        <f t="shared" si="7"/>
        <v>0</v>
      </c>
      <c r="AJ25" s="197">
        <f t="shared" si="7"/>
        <v>764</v>
      </c>
      <c r="AK25" s="197">
        <f t="shared" si="7"/>
        <v>0</v>
      </c>
      <c r="AL25" s="197">
        <f t="shared" si="7"/>
        <v>0</v>
      </c>
    </row>
    <row r="26" spans="1:38">
      <c r="A26" s="11" t="str">
        <f t="shared" si="1"/>
        <v>05-270076552011</v>
      </c>
      <c r="B26" t="s">
        <v>127</v>
      </c>
      <c r="C26" t="s">
        <v>128</v>
      </c>
      <c r="D26">
        <v>2011</v>
      </c>
      <c r="E26" s="196" t="s">
        <v>1074</v>
      </c>
      <c r="F26">
        <v>21698.43</v>
      </c>
      <c r="G26">
        <v>59</v>
      </c>
      <c r="H26" s="11" t="str">
        <f t="shared" si="5"/>
        <v>count</v>
      </c>
      <c r="I26" s="197" t="s">
        <v>186</v>
      </c>
      <c r="J26" s="197" t="s">
        <v>187</v>
      </c>
      <c r="K26" s="197" t="s">
        <v>146</v>
      </c>
      <c r="L26" s="197">
        <f t="shared" si="6"/>
        <v>0</v>
      </c>
      <c r="M26" s="197">
        <f t="shared" si="6"/>
        <v>0</v>
      </c>
      <c r="N26" s="197">
        <f t="shared" si="6"/>
        <v>0</v>
      </c>
      <c r="O26" s="197">
        <f t="shared" si="6"/>
        <v>0</v>
      </c>
      <c r="P26" s="197">
        <f t="shared" si="6"/>
        <v>0</v>
      </c>
      <c r="Q26" s="197">
        <f t="shared" si="6"/>
        <v>0</v>
      </c>
      <c r="R26" s="197">
        <f t="shared" si="6"/>
        <v>0</v>
      </c>
      <c r="S26" s="197">
        <f t="shared" si="6"/>
        <v>0</v>
      </c>
      <c r="T26" s="197">
        <f t="shared" si="6"/>
        <v>0</v>
      </c>
      <c r="U26" s="197">
        <f t="shared" si="6"/>
        <v>219422.95</v>
      </c>
      <c r="V26" s="197">
        <f t="shared" si="6"/>
        <v>119237.4</v>
      </c>
      <c r="W26" s="197">
        <f t="shared" si="6"/>
        <v>37597.21</v>
      </c>
      <c r="X26" s="197">
        <f t="shared" si="6"/>
        <v>0</v>
      </c>
      <c r="Y26" s="197">
        <f t="shared" si="6"/>
        <v>0</v>
      </c>
      <c r="Z26" s="197">
        <f t="shared" si="6"/>
        <v>0</v>
      </c>
      <c r="AA26" s="197">
        <f t="shared" si="6"/>
        <v>141812.24</v>
      </c>
      <c r="AB26" s="197">
        <f t="shared" si="7"/>
        <v>0</v>
      </c>
      <c r="AC26" s="197">
        <f t="shared" si="7"/>
        <v>0</v>
      </c>
      <c r="AD26" s="197">
        <f t="shared" si="7"/>
        <v>255399.28</v>
      </c>
      <c r="AE26" s="197">
        <f t="shared" si="7"/>
        <v>135959.13</v>
      </c>
      <c r="AF26" s="197">
        <f t="shared" si="7"/>
        <v>44171.78</v>
      </c>
      <c r="AG26" s="197">
        <f t="shared" si="7"/>
        <v>0</v>
      </c>
      <c r="AH26" s="197">
        <f t="shared" si="7"/>
        <v>0</v>
      </c>
      <c r="AI26" s="197">
        <f t="shared" si="7"/>
        <v>0</v>
      </c>
      <c r="AJ26" s="197">
        <f t="shared" si="7"/>
        <v>245227.53</v>
      </c>
      <c r="AK26" s="197">
        <f t="shared" si="7"/>
        <v>0</v>
      </c>
      <c r="AL26" s="197">
        <f t="shared" si="7"/>
        <v>0</v>
      </c>
    </row>
    <row r="27" spans="1:38">
      <c r="A27" s="11" t="str">
        <f t="shared" si="1"/>
        <v>05-270076552011</v>
      </c>
      <c r="B27" t="s">
        <v>127</v>
      </c>
      <c r="C27" t="s">
        <v>128</v>
      </c>
      <c r="D27">
        <v>2011</v>
      </c>
      <c r="E27" s="196" t="s">
        <v>63</v>
      </c>
      <c r="F27">
        <v>357556.85</v>
      </c>
      <c r="G27">
        <v>865</v>
      </c>
      <c r="H27" s="11" t="str">
        <f t="shared" si="5"/>
        <v>count</v>
      </c>
      <c r="I27" s="197" t="s">
        <v>186</v>
      </c>
      <c r="J27" s="197" t="s">
        <v>187</v>
      </c>
      <c r="K27" s="197" t="s">
        <v>145</v>
      </c>
      <c r="L27" s="197">
        <f t="shared" si="6"/>
        <v>0</v>
      </c>
      <c r="M27" s="197">
        <f t="shared" si="6"/>
        <v>0</v>
      </c>
      <c r="N27" s="197">
        <f t="shared" si="6"/>
        <v>0</v>
      </c>
      <c r="O27" s="197">
        <f t="shared" si="6"/>
        <v>0</v>
      </c>
      <c r="P27" s="197">
        <f t="shared" si="6"/>
        <v>0</v>
      </c>
      <c r="Q27" s="197">
        <f t="shared" si="6"/>
        <v>0</v>
      </c>
      <c r="R27" s="197">
        <f t="shared" si="6"/>
        <v>0</v>
      </c>
      <c r="S27" s="197">
        <f t="shared" si="6"/>
        <v>0</v>
      </c>
      <c r="T27" s="197">
        <f t="shared" si="6"/>
        <v>0</v>
      </c>
      <c r="U27" s="197">
        <f t="shared" si="6"/>
        <v>474</v>
      </c>
      <c r="V27" s="197">
        <f t="shared" si="6"/>
        <v>247</v>
      </c>
      <c r="W27" s="197">
        <f t="shared" si="6"/>
        <v>75</v>
      </c>
      <c r="X27" s="197">
        <f t="shared" si="6"/>
        <v>0</v>
      </c>
      <c r="Y27" s="197">
        <f t="shared" si="6"/>
        <v>0</v>
      </c>
      <c r="Z27" s="197">
        <f t="shared" si="6"/>
        <v>0</v>
      </c>
      <c r="AA27" s="197">
        <f t="shared" si="6"/>
        <v>339</v>
      </c>
      <c r="AB27" s="197">
        <f t="shared" si="7"/>
        <v>0</v>
      </c>
      <c r="AC27" s="197">
        <f t="shared" si="7"/>
        <v>0</v>
      </c>
      <c r="AD27" s="197">
        <f t="shared" si="7"/>
        <v>572</v>
      </c>
      <c r="AE27" s="197">
        <f t="shared" si="7"/>
        <v>311</v>
      </c>
      <c r="AF27" s="197">
        <f t="shared" si="7"/>
        <v>99</v>
      </c>
      <c r="AG27" s="197">
        <f t="shared" si="7"/>
        <v>0</v>
      </c>
      <c r="AH27" s="197">
        <f t="shared" si="7"/>
        <v>0</v>
      </c>
      <c r="AI27" s="197">
        <f t="shared" si="7"/>
        <v>0</v>
      </c>
      <c r="AJ27" s="197">
        <f t="shared" si="7"/>
        <v>611</v>
      </c>
      <c r="AK27" s="197">
        <f t="shared" si="7"/>
        <v>0</v>
      </c>
      <c r="AL27" s="197">
        <f t="shared" si="7"/>
        <v>0</v>
      </c>
    </row>
    <row r="28" spans="1:38">
      <c r="A28" s="11" t="str">
        <f t="shared" si="1"/>
        <v>05-270076552011</v>
      </c>
      <c r="B28" t="s">
        <v>127</v>
      </c>
      <c r="C28" t="s">
        <v>128</v>
      </c>
      <c r="D28">
        <v>2011</v>
      </c>
      <c r="E28" s="196" t="s">
        <v>106</v>
      </c>
      <c r="F28">
        <v>7696192.1799999997</v>
      </c>
      <c r="G28">
        <v>11353</v>
      </c>
      <c r="H28" s="11" t="str">
        <f t="shared" si="5"/>
        <v>count</v>
      </c>
      <c r="I28" s="197" t="s">
        <v>199</v>
      </c>
      <c r="J28" s="197" t="s">
        <v>200</v>
      </c>
      <c r="K28" s="197" t="s">
        <v>146</v>
      </c>
      <c r="L28" s="197">
        <f t="shared" si="6"/>
        <v>479812.85</v>
      </c>
      <c r="M28" s="197">
        <f t="shared" si="6"/>
        <v>227446.04</v>
      </c>
      <c r="N28" s="197">
        <f t="shared" si="6"/>
        <v>0</v>
      </c>
      <c r="O28" s="197">
        <f t="shared" si="6"/>
        <v>0</v>
      </c>
      <c r="P28" s="197">
        <f t="shared" si="6"/>
        <v>0</v>
      </c>
      <c r="Q28" s="197">
        <f t="shared" si="6"/>
        <v>0</v>
      </c>
      <c r="R28" s="197">
        <f t="shared" si="6"/>
        <v>0</v>
      </c>
      <c r="S28" s="197">
        <f t="shared" si="6"/>
        <v>0</v>
      </c>
      <c r="T28" s="197">
        <f t="shared" si="6"/>
        <v>0</v>
      </c>
      <c r="U28" s="197">
        <f t="shared" si="6"/>
        <v>414217</v>
      </c>
      <c r="V28" s="197">
        <f t="shared" si="6"/>
        <v>253743.24</v>
      </c>
      <c r="W28" s="197">
        <f t="shared" si="6"/>
        <v>0</v>
      </c>
      <c r="X28" s="197">
        <f t="shared" si="6"/>
        <v>0</v>
      </c>
      <c r="Y28" s="197">
        <f t="shared" si="6"/>
        <v>0</v>
      </c>
      <c r="Z28" s="197">
        <f t="shared" si="6"/>
        <v>0</v>
      </c>
      <c r="AA28" s="197">
        <f t="shared" si="6"/>
        <v>142523.96</v>
      </c>
      <c r="AB28" s="197">
        <f t="shared" si="7"/>
        <v>0</v>
      </c>
      <c r="AC28" s="197">
        <f t="shared" si="7"/>
        <v>0</v>
      </c>
      <c r="AD28" s="197">
        <f t="shared" si="7"/>
        <v>533811.75</v>
      </c>
      <c r="AE28" s="197">
        <f t="shared" si="7"/>
        <v>311194.46999999997</v>
      </c>
      <c r="AF28" s="197">
        <f t="shared" si="7"/>
        <v>0</v>
      </c>
      <c r="AG28" s="197">
        <f t="shared" si="7"/>
        <v>0</v>
      </c>
      <c r="AH28" s="197">
        <f t="shared" si="7"/>
        <v>0</v>
      </c>
      <c r="AI28" s="197">
        <f t="shared" si="7"/>
        <v>0</v>
      </c>
      <c r="AJ28" s="197">
        <f t="shared" si="7"/>
        <v>233605.99</v>
      </c>
      <c r="AK28" s="197">
        <f t="shared" si="7"/>
        <v>0</v>
      </c>
      <c r="AL28" s="197">
        <f t="shared" si="7"/>
        <v>0</v>
      </c>
    </row>
    <row r="29" spans="1:38">
      <c r="A29" s="11" t="str">
        <f t="shared" si="1"/>
        <v>05-270076552013</v>
      </c>
      <c r="B29" t="s">
        <v>127</v>
      </c>
      <c r="C29" t="s">
        <v>128</v>
      </c>
      <c r="D29">
        <v>2013</v>
      </c>
      <c r="E29" s="196" t="s">
        <v>69</v>
      </c>
      <c r="F29">
        <v>969295.75</v>
      </c>
      <c r="G29">
        <v>1602</v>
      </c>
      <c r="H29" s="11" t="str">
        <f t="shared" si="5"/>
        <v>count</v>
      </c>
      <c r="I29" s="197" t="s">
        <v>199</v>
      </c>
      <c r="J29" s="197" t="s">
        <v>200</v>
      </c>
      <c r="K29" s="197" t="s">
        <v>145</v>
      </c>
      <c r="L29" s="197">
        <f t="shared" si="6"/>
        <v>348</v>
      </c>
      <c r="M29" s="197">
        <f t="shared" si="6"/>
        <v>152</v>
      </c>
      <c r="N29" s="197">
        <f t="shared" si="6"/>
        <v>0</v>
      </c>
      <c r="O29" s="197">
        <f t="shared" si="6"/>
        <v>0</v>
      </c>
      <c r="P29" s="197">
        <f t="shared" si="6"/>
        <v>0</v>
      </c>
      <c r="Q29" s="197">
        <f t="shared" si="6"/>
        <v>0</v>
      </c>
      <c r="R29" s="197">
        <f t="shared" si="6"/>
        <v>0</v>
      </c>
      <c r="S29" s="197">
        <f t="shared" si="6"/>
        <v>0</v>
      </c>
      <c r="T29" s="197">
        <f t="shared" si="6"/>
        <v>0</v>
      </c>
      <c r="U29" s="197">
        <f t="shared" si="6"/>
        <v>247</v>
      </c>
      <c r="V29" s="197">
        <f t="shared" si="6"/>
        <v>168</v>
      </c>
      <c r="W29" s="197">
        <f t="shared" si="6"/>
        <v>0</v>
      </c>
      <c r="X29" s="197">
        <f t="shared" si="6"/>
        <v>0</v>
      </c>
      <c r="Y29" s="197">
        <f t="shared" si="6"/>
        <v>0</v>
      </c>
      <c r="Z29" s="197">
        <f t="shared" si="6"/>
        <v>0</v>
      </c>
      <c r="AA29" s="197">
        <f t="shared" si="6"/>
        <v>108</v>
      </c>
      <c r="AB29" s="197">
        <f t="shared" si="7"/>
        <v>0</v>
      </c>
      <c r="AC29" s="197">
        <f t="shared" si="7"/>
        <v>0</v>
      </c>
      <c r="AD29" s="197">
        <f t="shared" si="7"/>
        <v>286</v>
      </c>
      <c r="AE29" s="197">
        <f t="shared" si="7"/>
        <v>192</v>
      </c>
      <c r="AF29" s="197">
        <f t="shared" si="7"/>
        <v>0</v>
      </c>
      <c r="AG29" s="197">
        <f t="shared" si="7"/>
        <v>0</v>
      </c>
      <c r="AH29" s="197">
        <f t="shared" si="7"/>
        <v>0</v>
      </c>
      <c r="AI29" s="197">
        <f t="shared" si="7"/>
        <v>0</v>
      </c>
      <c r="AJ29" s="197">
        <f t="shared" si="7"/>
        <v>166</v>
      </c>
      <c r="AK29" s="197">
        <f t="shared" si="7"/>
        <v>0</v>
      </c>
      <c r="AL29" s="197">
        <f t="shared" si="7"/>
        <v>0</v>
      </c>
    </row>
    <row r="30" spans="1:38">
      <c r="A30" s="11" t="str">
        <f t="shared" si="1"/>
        <v>05-270076552012</v>
      </c>
      <c r="B30" t="s">
        <v>127</v>
      </c>
      <c r="C30" t="s">
        <v>128</v>
      </c>
      <c r="D30">
        <v>2012</v>
      </c>
      <c r="E30" s="196" t="s">
        <v>1076</v>
      </c>
      <c r="F30">
        <v>4874</v>
      </c>
      <c r="G30">
        <v>15</v>
      </c>
      <c r="H30" s="11" t="str">
        <f t="shared" si="5"/>
        <v>count</v>
      </c>
      <c r="I30" s="197" t="s">
        <v>202</v>
      </c>
      <c r="J30" s="197" t="s">
        <v>203</v>
      </c>
      <c r="K30" s="197" t="s">
        <v>146</v>
      </c>
      <c r="L30" s="197">
        <f t="shared" si="6"/>
        <v>977214</v>
      </c>
      <c r="M30" s="197">
        <f t="shared" si="6"/>
        <v>537512.23</v>
      </c>
      <c r="N30" s="197">
        <f t="shared" si="6"/>
        <v>108890</v>
      </c>
      <c r="O30" s="197">
        <f t="shared" si="6"/>
        <v>138043</v>
      </c>
      <c r="P30" s="197">
        <f t="shared" si="6"/>
        <v>308673.11</v>
      </c>
      <c r="Q30" s="197">
        <f t="shared" si="6"/>
        <v>0</v>
      </c>
      <c r="R30" s="197">
        <f t="shared" si="6"/>
        <v>0</v>
      </c>
      <c r="S30" s="197">
        <f t="shared" si="6"/>
        <v>0</v>
      </c>
      <c r="T30" s="197">
        <f t="shared" si="6"/>
        <v>0</v>
      </c>
      <c r="U30" s="197">
        <f t="shared" si="6"/>
        <v>900062.5</v>
      </c>
      <c r="V30" s="197">
        <f t="shared" si="6"/>
        <v>500307.85</v>
      </c>
      <c r="W30" s="197">
        <f t="shared" si="6"/>
        <v>114285</v>
      </c>
      <c r="X30" s="197">
        <f t="shared" si="6"/>
        <v>197181.67</v>
      </c>
      <c r="Y30" s="197">
        <f t="shared" si="6"/>
        <v>271040.5</v>
      </c>
      <c r="Z30" s="197">
        <f t="shared" si="6"/>
        <v>0</v>
      </c>
      <c r="AA30" s="197">
        <f t="shared" si="6"/>
        <v>243205.67</v>
      </c>
      <c r="AB30" s="197">
        <f t="shared" si="7"/>
        <v>0</v>
      </c>
      <c r="AC30" s="197">
        <f t="shared" si="7"/>
        <v>0</v>
      </c>
      <c r="AD30" s="197">
        <f t="shared" si="7"/>
        <v>853428</v>
      </c>
      <c r="AE30" s="197">
        <f t="shared" si="7"/>
        <v>498727.75</v>
      </c>
      <c r="AF30" s="197">
        <f t="shared" si="7"/>
        <v>101973.75</v>
      </c>
      <c r="AG30" s="197">
        <f t="shared" si="7"/>
        <v>197616.92</v>
      </c>
      <c r="AH30" s="197">
        <f t="shared" si="7"/>
        <v>307273.5</v>
      </c>
      <c r="AI30" s="197">
        <f t="shared" si="7"/>
        <v>0</v>
      </c>
      <c r="AJ30" s="197">
        <f t="shared" si="7"/>
        <v>381830.25</v>
      </c>
      <c r="AK30" s="197">
        <f t="shared" si="7"/>
        <v>0</v>
      </c>
      <c r="AL30" s="197">
        <f t="shared" si="7"/>
        <v>0</v>
      </c>
    </row>
    <row r="31" spans="1:38">
      <c r="A31" s="11" t="str">
        <f t="shared" si="1"/>
        <v>05-270076552012</v>
      </c>
      <c r="B31" t="s">
        <v>127</v>
      </c>
      <c r="C31" t="s">
        <v>128</v>
      </c>
      <c r="D31">
        <v>2012</v>
      </c>
      <c r="E31" s="196" t="s">
        <v>105</v>
      </c>
      <c r="F31">
        <v>31846.36</v>
      </c>
      <c r="G31">
        <v>46</v>
      </c>
      <c r="H31" s="11" t="str">
        <f t="shared" si="5"/>
        <v>count</v>
      </c>
      <c r="I31" s="197" t="s">
        <v>202</v>
      </c>
      <c r="J31" s="197" t="s">
        <v>203</v>
      </c>
      <c r="K31" s="197" t="s">
        <v>145</v>
      </c>
      <c r="L31" s="197">
        <f t="shared" si="6"/>
        <v>981</v>
      </c>
      <c r="M31" s="197">
        <f t="shared" si="6"/>
        <v>516</v>
      </c>
      <c r="N31" s="197">
        <f t="shared" si="6"/>
        <v>120</v>
      </c>
      <c r="O31" s="197">
        <f t="shared" si="6"/>
        <v>65</v>
      </c>
      <c r="P31" s="197">
        <f t="shared" si="6"/>
        <v>248</v>
      </c>
      <c r="Q31" s="197">
        <f t="shared" si="6"/>
        <v>0</v>
      </c>
      <c r="R31" s="197">
        <f t="shared" si="6"/>
        <v>0</v>
      </c>
      <c r="S31" s="197">
        <f t="shared" si="6"/>
        <v>0</v>
      </c>
      <c r="T31" s="197">
        <f t="shared" si="6"/>
        <v>0</v>
      </c>
      <c r="U31" s="197">
        <f t="shared" si="6"/>
        <v>839</v>
      </c>
      <c r="V31" s="197">
        <f t="shared" si="6"/>
        <v>507</v>
      </c>
      <c r="W31" s="197">
        <f t="shared" si="6"/>
        <v>126</v>
      </c>
      <c r="X31" s="197">
        <f t="shared" si="6"/>
        <v>97</v>
      </c>
      <c r="Y31" s="197">
        <f t="shared" si="6"/>
        <v>245</v>
      </c>
      <c r="Z31" s="197">
        <f t="shared" si="6"/>
        <v>0</v>
      </c>
      <c r="AA31" s="197">
        <f t="shared" si="6"/>
        <v>330</v>
      </c>
      <c r="AB31" s="197">
        <f t="shared" si="7"/>
        <v>0</v>
      </c>
      <c r="AC31" s="197">
        <f t="shared" si="7"/>
        <v>0</v>
      </c>
      <c r="AD31" s="197">
        <f t="shared" si="7"/>
        <v>780</v>
      </c>
      <c r="AE31" s="197">
        <f t="shared" si="7"/>
        <v>476</v>
      </c>
      <c r="AF31" s="197">
        <f t="shared" si="7"/>
        <v>103</v>
      </c>
      <c r="AG31" s="197">
        <f t="shared" si="7"/>
        <v>96</v>
      </c>
      <c r="AH31" s="197">
        <f t="shared" si="7"/>
        <v>232</v>
      </c>
      <c r="AI31" s="197">
        <f t="shared" si="7"/>
        <v>0</v>
      </c>
      <c r="AJ31" s="197">
        <f t="shared" si="7"/>
        <v>478</v>
      </c>
      <c r="AK31" s="197">
        <f t="shared" si="7"/>
        <v>0</v>
      </c>
      <c r="AL31" s="197">
        <f t="shared" si="7"/>
        <v>0</v>
      </c>
    </row>
    <row r="32" spans="1:38">
      <c r="A32" s="11" t="str">
        <f t="shared" si="1"/>
        <v>05-270076552011</v>
      </c>
      <c r="B32" t="s">
        <v>127</v>
      </c>
      <c r="C32" t="s">
        <v>128</v>
      </c>
      <c r="D32">
        <v>2011</v>
      </c>
      <c r="E32" s="196" t="s">
        <v>105</v>
      </c>
      <c r="F32">
        <v>21069.79</v>
      </c>
      <c r="G32">
        <v>34</v>
      </c>
      <c r="H32" s="11" t="str">
        <f t="shared" si="5"/>
        <v>count</v>
      </c>
      <c r="I32" s="197" t="s">
        <v>204</v>
      </c>
      <c r="J32" s="197" t="s">
        <v>205</v>
      </c>
      <c r="K32" s="197" t="s">
        <v>146</v>
      </c>
      <c r="L32" s="197">
        <f t="shared" si="6"/>
        <v>337841.6</v>
      </c>
      <c r="M32" s="197">
        <f t="shared" si="6"/>
        <v>152121.54</v>
      </c>
      <c r="N32" s="197">
        <f t="shared" si="6"/>
        <v>10724.3</v>
      </c>
      <c r="O32" s="197">
        <f t="shared" si="6"/>
        <v>0</v>
      </c>
      <c r="P32" s="197">
        <f t="shared" si="6"/>
        <v>0</v>
      </c>
      <c r="Q32" s="197">
        <f t="shared" si="6"/>
        <v>0</v>
      </c>
      <c r="R32" s="197">
        <f t="shared" si="6"/>
        <v>0</v>
      </c>
      <c r="S32" s="197">
        <f t="shared" si="6"/>
        <v>0</v>
      </c>
      <c r="T32" s="197">
        <f t="shared" si="6"/>
        <v>0</v>
      </c>
      <c r="U32" s="197">
        <f t="shared" si="6"/>
        <v>290830.2</v>
      </c>
      <c r="V32" s="197">
        <f t="shared" si="6"/>
        <v>151686.06</v>
      </c>
      <c r="W32" s="197">
        <f t="shared" si="6"/>
        <v>47604.32</v>
      </c>
      <c r="X32" s="197">
        <f t="shared" si="6"/>
        <v>0</v>
      </c>
      <c r="Y32" s="197">
        <f t="shared" si="6"/>
        <v>0</v>
      </c>
      <c r="Z32" s="197">
        <f t="shared" si="6"/>
        <v>0</v>
      </c>
      <c r="AA32" s="197">
        <f t="shared" si="6"/>
        <v>87632.97</v>
      </c>
      <c r="AB32" s="197">
        <f t="shared" si="7"/>
        <v>0</v>
      </c>
      <c r="AC32" s="197">
        <f t="shared" si="7"/>
        <v>0</v>
      </c>
      <c r="AD32" s="197">
        <f t="shared" si="7"/>
        <v>259294.95</v>
      </c>
      <c r="AE32" s="197">
        <f t="shared" si="7"/>
        <v>170911.37</v>
      </c>
      <c r="AF32" s="197">
        <f t="shared" si="7"/>
        <v>28808.86</v>
      </c>
      <c r="AG32" s="197">
        <f t="shared" si="7"/>
        <v>0</v>
      </c>
      <c r="AH32" s="197">
        <f t="shared" si="7"/>
        <v>0</v>
      </c>
      <c r="AI32" s="197">
        <f t="shared" si="7"/>
        <v>0</v>
      </c>
      <c r="AJ32" s="197">
        <f t="shared" si="7"/>
        <v>172537.49</v>
      </c>
      <c r="AK32" s="197">
        <f t="shared" si="7"/>
        <v>0</v>
      </c>
      <c r="AL32" s="197">
        <f t="shared" si="7"/>
        <v>0</v>
      </c>
    </row>
    <row r="33" spans="1:38">
      <c r="A33" s="11" t="str">
        <f t="shared" si="1"/>
        <v>05-270076552011</v>
      </c>
      <c r="B33" t="s">
        <v>127</v>
      </c>
      <c r="C33" t="s">
        <v>128</v>
      </c>
      <c r="D33">
        <v>2011</v>
      </c>
      <c r="E33" s="196" t="s">
        <v>1075</v>
      </c>
      <c r="F33">
        <v>30193.91</v>
      </c>
      <c r="G33">
        <v>60</v>
      </c>
      <c r="H33" s="11" t="str">
        <f t="shared" si="5"/>
        <v>count</v>
      </c>
      <c r="I33" s="197" t="s">
        <v>204</v>
      </c>
      <c r="J33" s="197" t="s">
        <v>205</v>
      </c>
      <c r="K33" s="197" t="s">
        <v>145</v>
      </c>
      <c r="L33" s="197">
        <f t="shared" si="6"/>
        <v>369</v>
      </c>
      <c r="M33" s="197">
        <f t="shared" si="6"/>
        <v>155</v>
      </c>
      <c r="N33" s="197">
        <f t="shared" si="6"/>
        <v>14</v>
      </c>
      <c r="O33" s="197">
        <f t="shared" si="6"/>
        <v>0</v>
      </c>
      <c r="P33" s="197">
        <f t="shared" si="6"/>
        <v>0</v>
      </c>
      <c r="Q33" s="197">
        <f t="shared" si="6"/>
        <v>0</v>
      </c>
      <c r="R33" s="197">
        <f t="shared" si="6"/>
        <v>0</v>
      </c>
      <c r="S33" s="197">
        <f t="shared" si="6"/>
        <v>0</v>
      </c>
      <c r="T33" s="197">
        <f t="shared" si="6"/>
        <v>0</v>
      </c>
      <c r="U33" s="197">
        <f t="shared" si="6"/>
        <v>284</v>
      </c>
      <c r="V33" s="197">
        <f t="shared" si="6"/>
        <v>159</v>
      </c>
      <c r="W33" s="197">
        <f t="shared" si="6"/>
        <v>48</v>
      </c>
      <c r="X33" s="197">
        <f t="shared" si="6"/>
        <v>0</v>
      </c>
      <c r="Y33" s="197">
        <f t="shared" si="6"/>
        <v>0</v>
      </c>
      <c r="Z33" s="197">
        <f t="shared" si="6"/>
        <v>0</v>
      </c>
      <c r="AA33" s="197">
        <f t="shared" si="6"/>
        <v>152</v>
      </c>
      <c r="AB33" s="197">
        <f t="shared" si="7"/>
        <v>0</v>
      </c>
      <c r="AC33" s="197">
        <f t="shared" si="7"/>
        <v>0</v>
      </c>
      <c r="AD33" s="197">
        <f t="shared" si="7"/>
        <v>240</v>
      </c>
      <c r="AE33" s="197">
        <f t="shared" si="7"/>
        <v>167</v>
      </c>
      <c r="AF33" s="197">
        <f t="shared" si="7"/>
        <v>28</v>
      </c>
      <c r="AG33" s="197">
        <f t="shared" si="7"/>
        <v>0</v>
      </c>
      <c r="AH33" s="197">
        <f t="shared" si="7"/>
        <v>0</v>
      </c>
      <c r="AI33" s="197">
        <f t="shared" si="7"/>
        <v>0</v>
      </c>
      <c r="AJ33" s="197">
        <f t="shared" si="7"/>
        <v>263</v>
      </c>
      <c r="AK33" s="197">
        <f t="shared" si="7"/>
        <v>0</v>
      </c>
      <c r="AL33" s="197">
        <f t="shared" si="7"/>
        <v>0</v>
      </c>
    </row>
    <row r="34" spans="1:38">
      <c r="A34" s="11" t="str">
        <f t="shared" si="1"/>
        <v>05-270076552011</v>
      </c>
      <c r="B34" t="s">
        <v>127</v>
      </c>
      <c r="C34" t="s">
        <v>128</v>
      </c>
      <c r="D34">
        <v>2011</v>
      </c>
      <c r="E34" s="196" t="s">
        <v>1076</v>
      </c>
      <c r="F34">
        <v>4511.74</v>
      </c>
      <c r="G34">
        <v>9</v>
      </c>
      <c r="H34" s="11" t="str">
        <f t="shared" si="5"/>
        <v>count</v>
      </c>
      <c r="I34" s="197" t="s">
        <v>208</v>
      </c>
      <c r="J34" s="197" t="s">
        <v>209</v>
      </c>
      <c r="K34" s="197" t="s">
        <v>146</v>
      </c>
      <c r="L34" s="197">
        <f t="shared" si="6"/>
        <v>3589925.44</v>
      </c>
      <c r="M34" s="197">
        <f t="shared" si="6"/>
        <v>1158113.71</v>
      </c>
      <c r="N34" s="197">
        <f t="shared" si="6"/>
        <v>170444.73</v>
      </c>
      <c r="O34" s="197">
        <f t="shared" si="6"/>
        <v>0</v>
      </c>
      <c r="P34" s="197">
        <f t="shared" si="6"/>
        <v>1071488.31</v>
      </c>
      <c r="Q34" s="197">
        <f t="shared" si="6"/>
        <v>0</v>
      </c>
      <c r="R34" s="197">
        <f t="shared" si="6"/>
        <v>3276.95</v>
      </c>
      <c r="S34" s="197">
        <f t="shared" si="6"/>
        <v>0</v>
      </c>
      <c r="T34" s="197">
        <f t="shared" si="6"/>
        <v>0</v>
      </c>
      <c r="U34" s="197">
        <f t="shared" si="6"/>
        <v>2495969.37</v>
      </c>
      <c r="V34" s="197">
        <f t="shared" si="6"/>
        <v>1039666.14</v>
      </c>
      <c r="W34" s="197">
        <f t="shared" si="6"/>
        <v>146205.56</v>
      </c>
      <c r="X34" s="197">
        <f t="shared" si="6"/>
        <v>0</v>
      </c>
      <c r="Y34" s="197">
        <f t="shared" si="6"/>
        <v>959184.11</v>
      </c>
      <c r="Z34" s="197">
        <f t="shared" si="6"/>
        <v>0</v>
      </c>
      <c r="AA34" s="197">
        <f t="shared" si="6"/>
        <v>1107337.53</v>
      </c>
      <c r="AB34" s="197">
        <f t="shared" si="7"/>
        <v>0</v>
      </c>
      <c r="AC34" s="197">
        <f t="shared" si="7"/>
        <v>0</v>
      </c>
      <c r="AD34" s="197">
        <f t="shared" si="7"/>
        <v>2098283.52</v>
      </c>
      <c r="AE34" s="197">
        <f t="shared" si="7"/>
        <v>788712.7</v>
      </c>
      <c r="AF34" s="197">
        <f t="shared" si="7"/>
        <v>123537.82</v>
      </c>
      <c r="AG34" s="197">
        <f t="shared" si="7"/>
        <v>0</v>
      </c>
      <c r="AH34" s="197">
        <f t="shared" si="7"/>
        <v>859880.49</v>
      </c>
      <c r="AI34" s="197">
        <f t="shared" si="7"/>
        <v>0</v>
      </c>
      <c r="AJ34" s="197">
        <f t="shared" si="7"/>
        <v>1006074.53</v>
      </c>
      <c r="AK34" s="197">
        <f t="shared" si="7"/>
        <v>0</v>
      </c>
      <c r="AL34" s="197">
        <f t="shared" si="7"/>
        <v>0</v>
      </c>
    </row>
    <row r="35" spans="1:38">
      <c r="A35" s="11" t="str">
        <f t="shared" si="1"/>
        <v>05-270076552013</v>
      </c>
      <c r="B35" t="s">
        <v>127</v>
      </c>
      <c r="C35" t="s">
        <v>128</v>
      </c>
      <c r="D35">
        <v>2013</v>
      </c>
      <c r="E35" s="196" t="s">
        <v>104</v>
      </c>
      <c r="F35">
        <v>351650.26</v>
      </c>
      <c r="G35">
        <v>477</v>
      </c>
      <c r="H35" s="11" t="str">
        <f t="shared" si="5"/>
        <v>count</v>
      </c>
      <c r="I35" s="197" t="s">
        <v>208</v>
      </c>
      <c r="J35" s="197" t="s">
        <v>209</v>
      </c>
      <c r="K35" s="197" t="s">
        <v>145</v>
      </c>
      <c r="L35" s="197">
        <f t="shared" si="6"/>
        <v>5077</v>
      </c>
      <c r="M35" s="197">
        <f t="shared" si="6"/>
        <v>1591</v>
      </c>
      <c r="N35" s="197">
        <f t="shared" si="6"/>
        <v>215</v>
      </c>
      <c r="O35" s="197">
        <f t="shared" si="6"/>
        <v>0</v>
      </c>
      <c r="P35" s="197">
        <f t="shared" si="6"/>
        <v>1279</v>
      </c>
      <c r="Q35" s="197">
        <f t="shared" si="6"/>
        <v>0</v>
      </c>
      <c r="R35" s="197">
        <f t="shared" si="6"/>
        <v>8</v>
      </c>
      <c r="S35" s="197">
        <f t="shared" si="6"/>
        <v>0</v>
      </c>
      <c r="T35" s="197">
        <f t="shared" si="6"/>
        <v>0</v>
      </c>
      <c r="U35" s="197">
        <f t="shared" si="6"/>
        <v>3141</v>
      </c>
      <c r="V35" s="197">
        <f t="shared" si="6"/>
        <v>1321</v>
      </c>
      <c r="W35" s="197">
        <f t="shared" si="6"/>
        <v>183</v>
      </c>
      <c r="X35" s="197">
        <f t="shared" si="6"/>
        <v>0</v>
      </c>
      <c r="Y35" s="197">
        <f t="shared" si="6"/>
        <v>1125</v>
      </c>
      <c r="Z35" s="197">
        <f t="shared" si="6"/>
        <v>0</v>
      </c>
      <c r="AA35" s="197">
        <f t="shared" ref="V35:AE60" si="8">SUMIFS(IF($K35="volume",$F:$F,$G:$G),$D:$D,AA$2,$B:$B,$I35,$E:$E,AA$3)</f>
        <v>1649</v>
      </c>
      <c r="AB35" s="197">
        <f t="shared" si="8"/>
        <v>0</v>
      </c>
      <c r="AC35" s="197">
        <f t="shared" si="8"/>
        <v>0</v>
      </c>
      <c r="AD35" s="197">
        <f t="shared" si="8"/>
        <v>2724</v>
      </c>
      <c r="AE35" s="197">
        <f t="shared" si="8"/>
        <v>1019</v>
      </c>
      <c r="AF35" s="197">
        <f t="shared" si="7"/>
        <v>155</v>
      </c>
      <c r="AG35" s="197">
        <f t="shared" si="7"/>
        <v>0</v>
      </c>
      <c r="AH35" s="197">
        <f t="shared" si="7"/>
        <v>977</v>
      </c>
      <c r="AI35" s="197">
        <f t="shared" si="7"/>
        <v>0</v>
      </c>
      <c r="AJ35" s="197">
        <f t="shared" si="7"/>
        <v>1550</v>
      </c>
      <c r="AK35" s="197">
        <f t="shared" si="7"/>
        <v>0</v>
      </c>
      <c r="AL35" s="197">
        <f t="shared" si="7"/>
        <v>0</v>
      </c>
    </row>
    <row r="36" spans="1:38">
      <c r="A36" s="11" t="str">
        <f t="shared" si="1"/>
        <v>05-270076552012</v>
      </c>
      <c r="B36" t="s">
        <v>127</v>
      </c>
      <c r="C36" t="s">
        <v>128</v>
      </c>
      <c r="D36">
        <v>2012</v>
      </c>
      <c r="E36" s="196" t="s">
        <v>106</v>
      </c>
      <c r="F36">
        <v>10920840.33</v>
      </c>
      <c r="G36">
        <v>14512</v>
      </c>
      <c r="H36" s="11" t="str">
        <f t="shared" si="5"/>
        <v>count</v>
      </c>
      <c r="I36" s="197" t="s">
        <v>213</v>
      </c>
      <c r="J36" s="197" t="s">
        <v>214</v>
      </c>
      <c r="K36" s="197" t="s">
        <v>146</v>
      </c>
      <c r="L36" s="197">
        <f t="shared" ref="L36:U61" si="9">SUMIFS(IF($K36="volume",$F:$F,$G:$G),$D:$D,L$2,$B:$B,$I36,$E:$E,L$3)</f>
        <v>455386.54</v>
      </c>
      <c r="M36" s="197">
        <f t="shared" si="9"/>
        <v>219098.32</v>
      </c>
      <c r="N36" s="197">
        <f t="shared" si="9"/>
        <v>46781.2</v>
      </c>
      <c r="O36" s="197">
        <f t="shared" si="9"/>
        <v>0</v>
      </c>
      <c r="P36" s="197">
        <f t="shared" si="9"/>
        <v>138270.26999999999</v>
      </c>
      <c r="Q36" s="197">
        <f t="shared" si="9"/>
        <v>0</v>
      </c>
      <c r="R36" s="197">
        <f t="shared" si="9"/>
        <v>618</v>
      </c>
      <c r="S36" s="197">
        <f t="shared" si="9"/>
        <v>0</v>
      </c>
      <c r="T36" s="197">
        <f t="shared" si="9"/>
        <v>0</v>
      </c>
      <c r="U36" s="197">
        <f t="shared" si="9"/>
        <v>449501.43</v>
      </c>
      <c r="V36" s="197">
        <f t="shared" si="8"/>
        <v>212104.25</v>
      </c>
      <c r="W36" s="197">
        <f t="shared" si="8"/>
        <v>33139.86</v>
      </c>
      <c r="X36" s="197">
        <f t="shared" si="8"/>
        <v>0</v>
      </c>
      <c r="Y36" s="197">
        <f t="shared" si="8"/>
        <v>130022.12</v>
      </c>
      <c r="Z36" s="197">
        <f t="shared" si="8"/>
        <v>0</v>
      </c>
      <c r="AA36" s="197">
        <f t="shared" si="8"/>
        <v>65854.17</v>
      </c>
      <c r="AB36" s="197">
        <f t="shared" si="8"/>
        <v>0</v>
      </c>
      <c r="AC36" s="197">
        <f t="shared" si="8"/>
        <v>0</v>
      </c>
      <c r="AD36" s="197">
        <f t="shared" si="8"/>
        <v>407937.29</v>
      </c>
      <c r="AE36" s="197">
        <f t="shared" si="8"/>
        <v>173523.09</v>
      </c>
      <c r="AF36" s="197">
        <f t="shared" si="7"/>
        <v>33691.300000000003</v>
      </c>
      <c r="AG36" s="197">
        <f t="shared" si="7"/>
        <v>0</v>
      </c>
      <c r="AH36" s="197">
        <f t="shared" si="7"/>
        <v>109597.37</v>
      </c>
      <c r="AI36" s="197">
        <f t="shared" si="7"/>
        <v>0</v>
      </c>
      <c r="AJ36" s="197">
        <f t="shared" si="7"/>
        <v>121422.36</v>
      </c>
      <c r="AK36" s="197">
        <f t="shared" si="7"/>
        <v>0</v>
      </c>
      <c r="AL36" s="197">
        <f t="shared" si="7"/>
        <v>0</v>
      </c>
    </row>
    <row r="37" spans="1:38">
      <c r="A37" s="11" t="str">
        <f t="shared" si="1"/>
        <v>05-270076552013</v>
      </c>
      <c r="B37" t="s">
        <v>127</v>
      </c>
      <c r="C37" t="s">
        <v>128</v>
      </c>
      <c r="D37">
        <v>2013</v>
      </c>
      <c r="E37" s="196" t="s">
        <v>63</v>
      </c>
      <c r="F37">
        <v>655228.19999999995</v>
      </c>
      <c r="G37">
        <v>921</v>
      </c>
      <c r="H37" s="11" t="str">
        <f t="shared" si="5"/>
        <v>count</v>
      </c>
      <c r="I37" s="197" t="s">
        <v>213</v>
      </c>
      <c r="J37" s="197" t="s">
        <v>214</v>
      </c>
      <c r="K37" s="197" t="s">
        <v>145</v>
      </c>
      <c r="L37" s="197">
        <f t="shared" si="9"/>
        <v>799</v>
      </c>
      <c r="M37" s="197">
        <f t="shared" si="9"/>
        <v>377</v>
      </c>
      <c r="N37" s="197">
        <f t="shared" si="9"/>
        <v>87</v>
      </c>
      <c r="O37" s="197">
        <f t="shared" si="9"/>
        <v>0</v>
      </c>
      <c r="P37" s="197">
        <f t="shared" si="9"/>
        <v>232</v>
      </c>
      <c r="Q37" s="197">
        <f t="shared" si="9"/>
        <v>0</v>
      </c>
      <c r="R37" s="197">
        <f t="shared" si="9"/>
        <v>3</v>
      </c>
      <c r="S37" s="197">
        <f t="shared" si="9"/>
        <v>0</v>
      </c>
      <c r="T37" s="197">
        <f t="shared" si="9"/>
        <v>0</v>
      </c>
      <c r="U37" s="197">
        <f t="shared" si="9"/>
        <v>698</v>
      </c>
      <c r="V37" s="197">
        <f t="shared" si="8"/>
        <v>355</v>
      </c>
      <c r="W37" s="197">
        <f t="shared" si="8"/>
        <v>71</v>
      </c>
      <c r="X37" s="197">
        <f t="shared" si="8"/>
        <v>0</v>
      </c>
      <c r="Y37" s="197">
        <f t="shared" si="8"/>
        <v>207</v>
      </c>
      <c r="Z37" s="197">
        <f t="shared" si="8"/>
        <v>0</v>
      </c>
      <c r="AA37" s="197">
        <f t="shared" si="8"/>
        <v>122</v>
      </c>
      <c r="AB37" s="197">
        <f t="shared" si="8"/>
        <v>0</v>
      </c>
      <c r="AC37" s="197">
        <f t="shared" si="8"/>
        <v>0</v>
      </c>
      <c r="AD37" s="197">
        <f t="shared" si="8"/>
        <v>630</v>
      </c>
      <c r="AE37" s="197">
        <f t="shared" si="8"/>
        <v>274</v>
      </c>
      <c r="AF37" s="197">
        <f t="shared" si="7"/>
        <v>62</v>
      </c>
      <c r="AG37" s="197">
        <f t="shared" si="7"/>
        <v>0</v>
      </c>
      <c r="AH37" s="197">
        <f t="shared" si="7"/>
        <v>185</v>
      </c>
      <c r="AI37" s="197">
        <f t="shared" si="7"/>
        <v>0</v>
      </c>
      <c r="AJ37" s="197">
        <f t="shared" si="7"/>
        <v>171</v>
      </c>
      <c r="AK37" s="197">
        <f t="shared" si="7"/>
        <v>0</v>
      </c>
      <c r="AL37" s="197">
        <f t="shared" si="7"/>
        <v>0</v>
      </c>
    </row>
    <row r="38" spans="1:38">
      <c r="A38" s="11" t="str">
        <f t="shared" si="1"/>
        <v>05-270076552011</v>
      </c>
      <c r="B38" t="s">
        <v>127</v>
      </c>
      <c r="C38" t="s">
        <v>128</v>
      </c>
      <c r="D38">
        <v>2011</v>
      </c>
      <c r="E38" s="196" t="s">
        <v>69</v>
      </c>
      <c r="F38">
        <v>2389.7399999999998</v>
      </c>
      <c r="G38">
        <v>6</v>
      </c>
      <c r="H38" s="11" t="str">
        <f t="shared" si="5"/>
        <v>count</v>
      </c>
      <c r="I38" s="197" t="s">
        <v>220</v>
      </c>
      <c r="J38" s="197" t="s">
        <v>221</v>
      </c>
      <c r="K38" s="197" t="s">
        <v>146</v>
      </c>
      <c r="L38" s="197">
        <f t="shared" si="9"/>
        <v>671168.13</v>
      </c>
      <c r="M38" s="197">
        <f t="shared" si="9"/>
        <v>311841.13</v>
      </c>
      <c r="N38" s="197">
        <f t="shared" si="9"/>
        <v>30352.97</v>
      </c>
      <c r="O38" s="197">
        <f t="shared" si="9"/>
        <v>32280279.949999999</v>
      </c>
      <c r="P38" s="197">
        <f t="shared" si="9"/>
        <v>0</v>
      </c>
      <c r="Q38" s="197">
        <f t="shared" si="9"/>
        <v>0</v>
      </c>
      <c r="R38" s="197">
        <f t="shared" si="9"/>
        <v>0</v>
      </c>
      <c r="S38" s="197">
        <f t="shared" si="9"/>
        <v>0</v>
      </c>
      <c r="T38" s="197">
        <f t="shared" si="9"/>
        <v>0</v>
      </c>
      <c r="U38" s="197">
        <f t="shared" si="9"/>
        <v>852899.28</v>
      </c>
      <c r="V38" s="197">
        <f t="shared" si="8"/>
        <v>500163.77</v>
      </c>
      <c r="W38" s="197">
        <f t="shared" si="8"/>
        <v>11471.7</v>
      </c>
      <c r="X38" s="197">
        <f t="shared" si="8"/>
        <v>37602932.979999997</v>
      </c>
      <c r="Y38" s="197">
        <f t="shared" si="8"/>
        <v>0</v>
      </c>
      <c r="Z38" s="197">
        <f t="shared" si="8"/>
        <v>1835682.09</v>
      </c>
      <c r="AA38" s="197">
        <f t="shared" si="8"/>
        <v>435320.75</v>
      </c>
      <c r="AB38" s="197">
        <f t="shared" si="8"/>
        <v>0</v>
      </c>
      <c r="AC38" s="197">
        <f t="shared" si="8"/>
        <v>0</v>
      </c>
      <c r="AD38" s="197">
        <f t="shared" si="8"/>
        <v>962416.77</v>
      </c>
      <c r="AE38" s="197">
        <f t="shared" si="8"/>
        <v>610377.93000000005</v>
      </c>
      <c r="AF38" s="197">
        <f t="shared" si="7"/>
        <v>33891.629999999997</v>
      </c>
      <c r="AG38" s="197">
        <f t="shared" si="7"/>
        <v>36829050.079999998</v>
      </c>
      <c r="AH38" s="197">
        <f t="shared" si="7"/>
        <v>0</v>
      </c>
      <c r="AI38" s="197">
        <f t="shared" si="7"/>
        <v>12622607.6</v>
      </c>
      <c r="AJ38" s="197">
        <f t="shared" si="7"/>
        <v>781750.54</v>
      </c>
      <c r="AK38" s="197">
        <f t="shared" si="7"/>
        <v>0</v>
      </c>
      <c r="AL38" s="197">
        <f t="shared" si="7"/>
        <v>0</v>
      </c>
    </row>
    <row r="39" spans="1:38">
      <c r="A39" s="11" t="str">
        <f t="shared" si="1"/>
        <v>05-302448582013</v>
      </c>
      <c r="B39" t="s">
        <v>137</v>
      </c>
      <c r="C39" t="s">
        <v>138</v>
      </c>
      <c r="D39">
        <v>2013</v>
      </c>
      <c r="E39" s="196" t="s">
        <v>69</v>
      </c>
      <c r="F39">
        <v>104565.04</v>
      </c>
      <c r="G39">
        <v>107</v>
      </c>
      <c r="H39" s="11" t="str">
        <f t="shared" si="5"/>
        <v>volume</v>
      </c>
      <c r="I39" s="197" t="s">
        <v>220</v>
      </c>
      <c r="J39" s="197" t="s">
        <v>221</v>
      </c>
      <c r="K39" s="197" t="s">
        <v>145</v>
      </c>
      <c r="L39" s="197">
        <f t="shared" si="9"/>
        <v>356</v>
      </c>
      <c r="M39" s="197">
        <f t="shared" si="9"/>
        <v>180</v>
      </c>
      <c r="N39" s="197">
        <f t="shared" si="9"/>
        <v>19</v>
      </c>
      <c r="O39" s="197">
        <f t="shared" si="9"/>
        <v>23790</v>
      </c>
      <c r="P39" s="197">
        <f t="shared" si="9"/>
        <v>0</v>
      </c>
      <c r="Q39" s="197">
        <f t="shared" si="9"/>
        <v>0</v>
      </c>
      <c r="R39" s="197">
        <f t="shared" si="9"/>
        <v>0</v>
      </c>
      <c r="S39" s="197">
        <f t="shared" si="9"/>
        <v>0</v>
      </c>
      <c r="T39" s="197">
        <f t="shared" si="9"/>
        <v>0</v>
      </c>
      <c r="U39" s="197">
        <f t="shared" si="9"/>
        <v>440</v>
      </c>
      <c r="V39" s="197">
        <f t="shared" si="8"/>
        <v>263</v>
      </c>
      <c r="W39" s="197">
        <f t="shared" si="8"/>
        <v>6</v>
      </c>
      <c r="X39" s="197">
        <f t="shared" si="8"/>
        <v>26522</v>
      </c>
      <c r="Y39" s="197">
        <f t="shared" si="8"/>
        <v>0</v>
      </c>
      <c r="Z39" s="197">
        <f t="shared" si="8"/>
        <v>2035</v>
      </c>
      <c r="AA39" s="197">
        <f t="shared" si="8"/>
        <v>293</v>
      </c>
      <c r="AB39" s="197">
        <f t="shared" si="8"/>
        <v>0</v>
      </c>
      <c r="AC39" s="197">
        <f t="shared" si="8"/>
        <v>0</v>
      </c>
      <c r="AD39" s="197">
        <f t="shared" si="8"/>
        <v>496</v>
      </c>
      <c r="AE39" s="197">
        <f t="shared" si="8"/>
        <v>318</v>
      </c>
      <c r="AF39" s="197">
        <f t="shared" si="7"/>
        <v>23</v>
      </c>
      <c r="AG39" s="197">
        <f t="shared" si="7"/>
        <v>24954</v>
      </c>
      <c r="AH39" s="197">
        <f t="shared" si="7"/>
        <v>0</v>
      </c>
      <c r="AI39" s="197">
        <f t="shared" si="7"/>
        <v>11894</v>
      </c>
      <c r="AJ39" s="197">
        <f t="shared" si="7"/>
        <v>480</v>
      </c>
      <c r="AK39" s="197">
        <f t="shared" si="7"/>
        <v>0</v>
      </c>
      <c r="AL39" s="197">
        <f t="shared" si="7"/>
        <v>0</v>
      </c>
    </row>
    <row r="40" spans="1:38">
      <c r="A40" s="11" t="str">
        <f t="shared" si="1"/>
        <v>05-302448582011</v>
      </c>
      <c r="B40" t="s">
        <v>137</v>
      </c>
      <c r="C40" t="s">
        <v>138</v>
      </c>
      <c r="D40">
        <v>2011</v>
      </c>
      <c r="E40" s="196" t="s">
        <v>104</v>
      </c>
      <c r="F40">
        <v>179467.1</v>
      </c>
      <c r="G40">
        <v>188</v>
      </c>
      <c r="H40" s="11" t="str">
        <f t="shared" si="5"/>
        <v>count</v>
      </c>
      <c r="I40" s="197" t="s">
        <v>223</v>
      </c>
      <c r="J40" s="197" t="s">
        <v>224</v>
      </c>
      <c r="K40" s="197" t="s">
        <v>146</v>
      </c>
      <c r="L40" s="197">
        <f t="shared" si="9"/>
        <v>20653.150000000001</v>
      </c>
      <c r="M40" s="197">
        <f t="shared" si="9"/>
        <v>7925.72</v>
      </c>
      <c r="N40" s="197">
        <f t="shared" si="9"/>
        <v>1142.47</v>
      </c>
      <c r="O40" s="197">
        <f t="shared" si="9"/>
        <v>3708689.62</v>
      </c>
      <c r="P40" s="197">
        <f t="shared" si="9"/>
        <v>0</v>
      </c>
      <c r="Q40" s="197">
        <f t="shared" si="9"/>
        <v>0</v>
      </c>
      <c r="R40" s="197">
        <f t="shared" si="9"/>
        <v>464.95</v>
      </c>
      <c r="S40" s="197">
        <f t="shared" si="9"/>
        <v>0</v>
      </c>
      <c r="T40" s="197">
        <f t="shared" si="9"/>
        <v>0</v>
      </c>
      <c r="U40" s="197">
        <f t="shared" si="9"/>
        <v>34679.97</v>
      </c>
      <c r="V40" s="197">
        <f t="shared" si="8"/>
        <v>41698</v>
      </c>
      <c r="W40" s="197">
        <f t="shared" si="8"/>
        <v>4728.7299999999996</v>
      </c>
      <c r="X40" s="197">
        <f t="shared" si="8"/>
        <v>4067582.93</v>
      </c>
      <c r="Y40" s="197">
        <f t="shared" si="8"/>
        <v>0</v>
      </c>
      <c r="Z40" s="197">
        <f t="shared" si="8"/>
        <v>0</v>
      </c>
      <c r="AA40" s="197">
        <f t="shared" si="8"/>
        <v>52192.66</v>
      </c>
      <c r="AB40" s="197">
        <f t="shared" si="8"/>
        <v>0</v>
      </c>
      <c r="AC40" s="197">
        <f t="shared" si="8"/>
        <v>0</v>
      </c>
      <c r="AD40" s="197">
        <f t="shared" si="8"/>
        <v>51378.57</v>
      </c>
      <c r="AE40" s="197">
        <f t="shared" si="8"/>
        <v>29362.58</v>
      </c>
      <c r="AF40" s="197">
        <f t="shared" si="7"/>
        <v>8950.42</v>
      </c>
      <c r="AG40" s="197">
        <f t="shared" si="7"/>
        <v>3926137.18</v>
      </c>
      <c r="AH40" s="197">
        <f t="shared" si="7"/>
        <v>0</v>
      </c>
      <c r="AI40" s="197">
        <f t="shared" si="7"/>
        <v>0</v>
      </c>
      <c r="AJ40" s="197">
        <f t="shared" si="7"/>
        <v>141305.45000000001</v>
      </c>
      <c r="AK40" s="197">
        <f t="shared" si="7"/>
        <v>0</v>
      </c>
      <c r="AL40" s="197">
        <f t="shared" si="7"/>
        <v>0</v>
      </c>
    </row>
    <row r="41" spans="1:38">
      <c r="A41" s="11" t="str">
        <f t="shared" si="1"/>
        <v>05-302448582012</v>
      </c>
      <c r="B41" t="s">
        <v>137</v>
      </c>
      <c r="C41" t="s">
        <v>138</v>
      </c>
      <c r="D41">
        <v>2012</v>
      </c>
      <c r="E41" s="196" t="s">
        <v>63</v>
      </c>
      <c r="F41">
        <v>464079.43</v>
      </c>
      <c r="G41">
        <v>439</v>
      </c>
      <c r="H41" s="11" t="str">
        <f t="shared" si="5"/>
        <v>count</v>
      </c>
      <c r="I41" s="197" t="s">
        <v>223</v>
      </c>
      <c r="J41" s="197" t="s">
        <v>224</v>
      </c>
      <c r="K41" s="197" t="s">
        <v>145</v>
      </c>
      <c r="L41" s="197">
        <f t="shared" si="9"/>
        <v>36</v>
      </c>
      <c r="M41" s="197">
        <f t="shared" si="9"/>
        <v>17</v>
      </c>
      <c r="N41" s="197">
        <f t="shared" si="9"/>
        <v>2</v>
      </c>
      <c r="O41" s="197">
        <f t="shared" si="9"/>
        <v>7068</v>
      </c>
      <c r="P41" s="197">
        <f t="shared" si="9"/>
        <v>0</v>
      </c>
      <c r="Q41" s="197">
        <f t="shared" si="9"/>
        <v>0</v>
      </c>
      <c r="R41" s="197">
        <f t="shared" si="9"/>
        <v>1</v>
      </c>
      <c r="S41" s="197">
        <f t="shared" si="9"/>
        <v>0</v>
      </c>
      <c r="T41" s="197">
        <f t="shared" si="9"/>
        <v>0</v>
      </c>
      <c r="U41" s="197">
        <f t="shared" si="9"/>
        <v>48</v>
      </c>
      <c r="V41" s="197">
        <f t="shared" si="8"/>
        <v>63</v>
      </c>
      <c r="W41" s="197">
        <f t="shared" si="8"/>
        <v>8</v>
      </c>
      <c r="X41" s="197">
        <f t="shared" si="8"/>
        <v>5496</v>
      </c>
      <c r="Y41" s="197">
        <f t="shared" si="8"/>
        <v>0</v>
      </c>
      <c r="Z41" s="197">
        <f t="shared" si="8"/>
        <v>0</v>
      </c>
      <c r="AA41" s="197">
        <f t="shared" si="8"/>
        <v>73</v>
      </c>
      <c r="AB41" s="197">
        <f t="shared" si="8"/>
        <v>0</v>
      </c>
      <c r="AC41" s="197">
        <f t="shared" si="8"/>
        <v>0</v>
      </c>
      <c r="AD41" s="197">
        <f t="shared" si="8"/>
        <v>44</v>
      </c>
      <c r="AE41" s="197">
        <f t="shared" si="8"/>
        <v>44</v>
      </c>
      <c r="AF41" s="197">
        <f t="shared" si="7"/>
        <v>6</v>
      </c>
      <c r="AG41" s="197">
        <f t="shared" si="7"/>
        <v>2021</v>
      </c>
      <c r="AH41" s="197">
        <f t="shared" si="7"/>
        <v>0</v>
      </c>
      <c r="AI41" s="197">
        <f t="shared" si="7"/>
        <v>0</v>
      </c>
      <c r="AJ41" s="197">
        <f t="shared" si="7"/>
        <v>131</v>
      </c>
      <c r="AK41" s="197">
        <f t="shared" si="7"/>
        <v>0</v>
      </c>
      <c r="AL41" s="197">
        <f t="shared" si="7"/>
        <v>0</v>
      </c>
    </row>
    <row r="42" spans="1:38">
      <c r="A42" s="11" t="str">
        <f t="shared" si="1"/>
        <v>05-302448582013</v>
      </c>
      <c r="B42" t="s">
        <v>137</v>
      </c>
      <c r="C42" t="s">
        <v>138</v>
      </c>
      <c r="D42">
        <v>2013</v>
      </c>
      <c r="E42" s="196" t="s">
        <v>105</v>
      </c>
      <c r="F42">
        <v>18709.009999999998</v>
      </c>
      <c r="G42">
        <v>26</v>
      </c>
      <c r="H42" s="11" t="str">
        <f t="shared" si="5"/>
        <v>count</v>
      </c>
      <c r="I42" s="197" t="s">
        <v>227</v>
      </c>
      <c r="J42" s="197" t="s">
        <v>228</v>
      </c>
      <c r="K42" s="197" t="s">
        <v>146</v>
      </c>
      <c r="L42" s="197">
        <f t="shared" si="9"/>
        <v>3473420.73</v>
      </c>
      <c r="M42" s="197">
        <f t="shared" si="9"/>
        <v>1927502.01</v>
      </c>
      <c r="N42" s="197">
        <f t="shared" si="9"/>
        <v>461582.3</v>
      </c>
      <c r="O42" s="197">
        <f t="shared" si="9"/>
        <v>0</v>
      </c>
      <c r="P42" s="197">
        <f t="shared" si="9"/>
        <v>0</v>
      </c>
      <c r="Q42" s="197">
        <f t="shared" si="9"/>
        <v>0</v>
      </c>
      <c r="R42" s="197">
        <f t="shared" si="9"/>
        <v>2532.0700000000002</v>
      </c>
      <c r="S42" s="197">
        <f t="shared" si="9"/>
        <v>0</v>
      </c>
      <c r="T42" s="197">
        <f t="shared" si="9"/>
        <v>0</v>
      </c>
      <c r="U42" s="197">
        <f t="shared" si="9"/>
        <v>3409415.01</v>
      </c>
      <c r="V42" s="197">
        <f t="shared" si="8"/>
        <v>1817071.54</v>
      </c>
      <c r="W42" s="197">
        <f t="shared" si="8"/>
        <v>426094.14</v>
      </c>
      <c r="X42" s="197">
        <f t="shared" si="8"/>
        <v>0</v>
      </c>
      <c r="Y42" s="197">
        <f t="shared" si="8"/>
        <v>0</v>
      </c>
      <c r="Z42" s="197">
        <f t="shared" si="8"/>
        <v>0</v>
      </c>
      <c r="AA42" s="197">
        <f t="shared" si="8"/>
        <v>485628.92</v>
      </c>
      <c r="AB42" s="197">
        <f t="shared" si="8"/>
        <v>0</v>
      </c>
      <c r="AC42" s="197">
        <f t="shared" si="8"/>
        <v>0</v>
      </c>
      <c r="AD42" s="197">
        <f t="shared" si="8"/>
        <v>6070693.6900000004</v>
      </c>
      <c r="AE42" s="197">
        <f t="shared" si="8"/>
        <v>2863633.64</v>
      </c>
      <c r="AF42" s="197">
        <f t="shared" si="7"/>
        <v>836824.98</v>
      </c>
      <c r="AG42" s="197">
        <f t="shared" si="7"/>
        <v>0</v>
      </c>
      <c r="AH42" s="197">
        <f t="shared" si="7"/>
        <v>0</v>
      </c>
      <c r="AI42" s="197">
        <f t="shared" si="7"/>
        <v>0</v>
      </c>
      <c r="AJ42" s="197">
        <f t="shared" si="7"/>
        <v>1883457.41</v>
      </c>
      <c r="AK42" s="197">
        <f t="shared" si="7"/>
        <v>0</v>
      </c>
      <c r="AL42" s="197">
        <f t="shared" si="7"/>
        <v>0</v>
      </c>
    </row>
    <row r="43" spans="1:38">
      <c r="A43" s="11" t="str">
        <f t="shared" si="1"/>
        <v>05-302448582011</v>
      </c>
      <c r="B43" t="s">
        <v>137</v>
      </c>
      <c r="C43" t="s">
        <v>138</v>
      </c>
      <c r="D43">
        <v>2011</v>
      </c>
      <c r="E43" s="196" t="s">
        <v>106</v>
      </c>
      <c r="F43">
        <v>10480.299999999999</v>
      </c>
      <c r="G43">
        <v>8</v>
      </c>
      <c r="H43" s="11" t="str">
        <f t="shared" si="5"/>
        <v>count</v>
      </c>
      <c r="I43" s="197" t="s">
        <v>227</v>
      </c>
      <c r="J43" s="197" t="s">
        <v>228</v>
      </c>
      <c r="K43" s="197" t="s">
        <v>145</v>
      </c>
      <c r="L43" s="197">
        <f t="shared" si="9"/>
        <v>2287</v>
      </c>
      <c r="M43" s="197">
        <f t="shared" si="9"/>
        <v>1216</v>
      </c>
      <c r="N43" s="197">
        <f t="shared" si="9"/>
        <v>291</v>
      </c>
      <c r="O43" s="197">
        <f t="shared" si="9"/>
        <v>0</v>
      </c>
      <c r="P43" s="197">
        <f t="shared" si="9"/>
        <v>0</v>
      </c>
      <c r="Q43" s="197">
        <f t="shared" si="9"/>
        <v>0</v>
      </c>
      <c r="R43" s="197">
        <f t="shared" si="9"/>
        <v>3</v>
      </c>
      <c r="S43" s="197">
        <f t="shared" si="9"/>
        <v>0</v>
      </c>
      <c r="T43" s="197">
        <f t="shared" si="9"/>
        <v>0</v>
      </c>
      <c r="U43" s="197">
        <f t="shared" si="9"/>
        <v>2234</v>
      </c>
      <c r="V43" s="197">
        <f t="shared" si="8"/>
        <v>1236</v>
      </c>
      <c r="W43" s="197">
        <f t="shared" si="8"/>
        <v>299</v>
      </c>
      <c r="X43" s="197">
        <f t="shared" si="8"/>
        <v>0</v>
      </c>
      <c r="Y43" s="197">
        <f t="shared" si="8"/>
        <v>0</v>
      </c>
      <c r="Z43" s="197">
        <f t="shared" si="8"/>
        <v>0</v>
      </c>
      <c r="AA43" s="197">
        <f t="shared" si="8"/>
        <v>380</v>
      </c>
      <c r="AB43" s="197">
        <f t="shared" si="8"/>
        <v>0</v>
      </c>
      <c r="AC43" s="197">
        <f t="shared" si="8"/>
        <v>0</v>
      </c>
      <c r="AD43" s="197">
        <f t="shared" si="8"/>
        <v>4790</v>
      </c>
      <c r="AE43" s="197">
        <f t="shared" si="8"/>
        <v>2292</v>
      </c>
      <c r="AF43" s="197">
        <f t="shared" si="7"/>
        <v>692</v>
      </c>
      <c r="AG43" s="197">
        <f t="shared" si="7"/>
        <v>0</v>
      </c>
      <c r="AH43" s="197">
        <f t="shared" si="7"/>
        <v>0</v>
      </c>
      <c r="AI43" s="197">
        <f t="shared" si="7"/>
        <v>0</v>
      </c>
      <c r="AJ43" s="197">
        <f t="shared" si="7"/>
        <v>1991</v>
      </c>
      <c r="AK43" s="197">
        <f t="shared" si="7"/>
        <v>0</v>
      </c>
      <c r="AL43" s="197">
        <f t="shared" si="7"/>
        <v>0</v>
      </c>
    </row>
    <row r="44" spans="1:38">
      <c r="A44" s="11" t="str">
        <f t="shared" si="1"/>
        <v>05-302448582013</v>
      </c>
      <c r="B44" t="s">
        <v>137</v>
      </c>
      <c r="C44" t="s">
        <v>138</v>
      </c>
      <c r="D44">
        <v>2013</v>
      </c>
      <c r="E44" s="196" t="s">
        <v>63</v>
      </c>
      <c r="F44">
        <v>436161.88</v>
      </c>
      <c r="G44">
        <v>438</v>
      </c>
      <c r="H44" s="11" t="str">
        <f t="shared" si="5"/>
        <v>count</v>
      </c>
      <c r="I44" s="197" t="s">
        <v>229</v>
      </c>
      <c r="J44" s="197" t="s">
        <v>230</v>
      </c>
      <c r="K44" s="197" t="s">
        <v>146</v>
      </c>
      <c r="L44" s="197">
        <f t="shared" si="9"/>
        <v>21471.599999999999</v>
      </c>
      <c r="M44" s="197">
        <f t="shared" si="9"/>
        <v>2216</v>
      </c>
      <c r="N44" s="197">
        <f t="shared" si="9"/>
        <v>0</v>
      </c>
      <c r="O44" s="197">
        <f t="shared" si="9"/>
        <v>53130.400000000001</v>
      </c>
      <c r="P44" s="197">
        <f t="shared" si="9"/>
        <v>0</v>
      </c>
      <c r="Q44" s="197">
        <f t="shared" si="9"/>
        <v>0</v>
      </c>
      <c r="R44" s="197">
        <f t="shared" si="9"/>
        <v>0</v>
      </c>
      <c r="S44" s="197">
        <f t="shared" si="9"/>
        <v>0</v>
      </c>
      <c r="T44" s="197">
        <f t="shared" si="9"/>
        <v>0</v>
      </c>
      <c r="U44" s="197">
        <f t="shared" si="9"/>
        <v>0</v>
      </c>
      <c r="V44" s="197">
        <f t="shared" si="8"/>
        <v>0</v>
      </c>
      <c r="W44" s="197">
        <f t="shared" si="8"/>
        <v>0</v>
      </c>
      <c r="X44" s="197">
        <f t="shared" si="8"/>
        <v>0</v>
      </c>
      <c r="Y44" s="197">
        <f t="shared" si="8"/>
        <v>0</v>
      </c>
      <c r="Z44" s="197">
        <f t="shared" si="8"/>
        <v>0</v>
      </c>
      <c r="AA44" s="197">
        <f t="shared" si="8"/>
        <v>200</v>
      </c>
      <c r="AB44" s="197">
        <f t="shared" si="8"/>
        <v>0</v>
      </c>
      <c r="AC44" s="197">
        <f t="shared" si="8"/>
        <v>0</v>
      </c>
      <c r="AD44" s="197">
        <f t="shared" si="8"/>
        <v>0</v>
      </c>
      <c r="AE44" s="197">
        <f t="shared" si="8"/>
        <v>0</v>
      </c>
      <c r="AF44" s="197">
        <f t="shared" si="7"/>
        <v>0</v>
      </c>
      <c r="AG44" s="197">
        <f t="shared" si="7"/>
        <v>0</v>
      </c>
      <c r="AH44" s="197">
        <f t="shared" si="7"/>
        <v>0</v>
      </c>
      <c r="AI44" s="197">
        <f t="shared" si="7"/>
        <v>0</v>
      </c>
      <c r="AJ44" s="197">
        <f t="shared" si="7"/>
        <v>0</v>
      </c>
      <c r="AK44" s="197">
        <f t="shared" si="7"/>
        <v>0</v>
      </c>
      <c r="AL44" s="197">
        <f t="shared" si="7"/>
        <v>0</v>
      </c>
    </row>
    <row r="45" spans="1:38">
      <c r="A45" s="11" t="str">
        <f t="shared" si="1"/>
        <v>05-302448582012</v>
      </c>
      <c r="B45" t="s">
        <v>137</v>
      </c>
      <c r="C45" t="s">
        <v>138</v>
      </c>
      <c r="D45">
        <v>2012</v>
      </c>
      <c r="E45" s="196" t="s">
        <v>104</v>
      </c>
      <c r="F45">
        <v>161469.69</v>
      </c>
      <c r="G45">
        <v>156</v>
      </c>
      <c r="H45" s="11" t="str">
        <f t="shared" si="5"/>
        <v>count</v>
      </c>
      <c r="I45" s="197" t="s">
        <v>229</v>
      </c>
      <c r="J45" s="197" t="s">
        <v>230</v>
      </c>
      <c r="K45" s="197" t="s">
        <v>145</v>
      </c>
      <c r="L45" s="197">
        <f t="shared" si="9"/>
        <v>37</v>
      </c>
      <c r="M45" s="197">
        <f t="shared" si="9"/>
        <v>3</v>
      </c>
      <c r="N45" s="197">
        <f t="shared" si="9"/>
        <v>0</v>
      </c>
      <c r="O45" s="197">
        <f t="shared" si="9"/>
        <v>75</v>
      </c>
      <c r="P45" s="197">
        <f t="shared" si="9"/>
        <v>0</v>
      </c>
      <c r="Q45" s="197">
        <f t="shared" si="9"/>
        <v>0</v>
      </c>
      <c r="R45" s="197">
        <f t="shared" si="9"/>
        <v>0</v>
      </c>
      <c r="S45" s="197">
        <f t="shared" si="9"/>
        <v>0</v>
      </c>
      <c r="T45" s="197">
        <f t="shared" si="9"/>
        <v>0</v>
      </c>
      <c r="U45" s="197">
        <f t="shared" si="9"/>
        <v>0</v>
      </c>
      <c r="V45" s="197">
        <f t="shared" si="8"/>
        <v>0</v>
      </c>
      <c r="W45" s="197">
        <f t="shared" si="8"/>
        <v>0</v>
      </c>
      <c r="X45" s="197">
        <f t="shared" si="8"/>
        <v>0</v>
      </c>
      <c r="Y45" s="197">
        <f t="shared" si="8"/>
        <v>0</v>
      </c>
      <c r="Z45" s="197">
        <f t="shared" si="8"/>
        <v>0</v>
      </c>
      <c r="AA45" s="197">
        <f t="shared" si="8"/>
        <v>1</v>
      </c>
      <c r="AB45" s="197">
        <f t="shared" si="8"/>
        <v>0</v>
      </c>
      <c r="AC45" s="197">
        <f t="shared" si="8"/>
        <v>0</v>
      </c>
      <c r="AD45" s="197">
        <f t="shared" si="8"/>
        <v>0</v>
      </c>
      <c r="AE45" s="197">
        <f t="shared" si="8"/>
        <v>0</v>
      </c>
      <c r="AF45" s="197">
        <f t="shared" si="7"/>
        <v>0</v>
      </c>
      <c r="AG45" s="197">
        <f t="shared" si="7"/>
        <v>0</v>
      </c>
      <c r="AH45" s="197">
        <f t="shared" si="7"/>
        <v>0</v>
      </c>
      <c r="AI45" s="197">
        <f t="shared" si="7"/>
        <v>0</v>
      </c>
      <c r="AJ45" s="197">
        <f t="shared" si="7"/>
        <v>0</v>
      </c>
      <c r="AK45" s="197">
        <f t="shared" si="7"/>
        <v>0</v>
      </c>
      <c r="AL45" s="197">
        <f t="shared" si="7"/>
        <v>0</v>
      </c>
    </row>
    <row r="46" spans="1:38">
      <c r="A46" s="11" t="str">
        <f t="shared" si="1"/>
        <v>05-302448582012</v>
      </c>
      <c r="B46" t="s">
        <v>137</v>
      </c>
      <c r="C46" t="s">
        <v>138</v>
      </c>
      <c r="D46">
        <v>2012</v>
      </c>
      <c r="E46" s="196" t="s">
        <v>69</v>
      </c>
      <c r="F46">
        <v>71254.48</v>
      </c>
      <c r="G46">
        <v>93</v>
      </c>
      <c r="H46" s="11" t="str">
        <f t="shared" si="5"/>
        <v>count</v>
      </c>
      <c r="I46" s="197" t="s">
        <v>254</v>
      </c>
      <c r="J46" s="197" t="s">
        <v>255</v>
      </c>
      <c r="K46" s="197" t="s">
        <v>146</v>
      </c>
      <c r="L46" s="197">
        <f t="shared" si="9"/>
        <v>374564.98</v>
      </c>
      <c r="M46" s="197">
        <f t="shared" si="9"/>
        <v>157720.51</v>
      </c>
      <c r="N46" s="197">
        <f t="shared" si="9"/>
        <v>20401.37</v>
      </c>
      <c r="O46" s="197">
        <f t="shared" si="9"/>
        <v>0</v>
      </c>
      <c r="P46" s="197">
        <f t="shared" si="9"/>
        <v>0</v>
      </c>
      <c r="Q46" s="197">
        <f t="shared" si="9"/>
        <v>0</v>
      </c>
      <c r="R46" s="197">
        <f t="shared" si="9"/>
        <v>754.69</v>
      </c>
      <c r="S46" s="197">
        <f t="shared" si="9"/>
        <v>0</v>
      </c>
      <c r="T46" s="197">
        <f t="shared" si="9"/>
        <v>0</v>
      </c>
      <c r="U46" s="197">
        <f t="shared" si="9"/>
        <v>438877.68</v>
      </c>
      <c r="V46" s="197">
        <f t="shared" si="8"/>
        <v>180691.41</v>
      </c>
      <c r="W46" s="197">
        <f t="shared" si="8"/>
        <v>35101.279999999999</v>
      </c>
      <c r="X46" s="197">
        <f t="shared" si="8"/>
        <v>0</v>
      </c>
      <c r="Y46" s="197">
        <f t="shared" si="8"/>
        <v>502.78</v>
      </c>
      <c r="Z46" s="197">
        <f t="shared" si="8"/>
        <v>0</v>
      </c>
      <c r="AA46" s="197">
        <f t="shared" si="8"/>
        <v>132065.42000000001</v>
      </c>
      <c r="AB46" s="197">
        <f t="shared" si="8"/>
        <v>0</v>
      </c>
      <c r="AC46" s="197">
        <f t="shared" si="8"/>
        <v>0</v>
      </c>
      <c r="AD46" s="197">
        <f t="shared" si="8"/>
        <v>662032.29</v>
      </c>
      <c r="AE46" s="197">
        <f t="shared" si="8"/>
        <v>237251.96</v>
      </c>
      <c r="AF46" s="197">
        <f t="shared" si="7"/>
        <v>39181.21</v>
      </c>
      <c r="AG46" s="197">
        <f t="shared" si="7"/>
        <v>0</v>
      </c>
      <c r="AH46" s="197">
        <f t="shared" si="7"/>
        <v>0</v>
      </c>
      <c r="AI46" s="197">
        <f t="shared" si="7"/>
        <v>0</v>
      </c>
      <c r="AJ46" s="197">
        <f t="shared" si="7"/>
        <v>226474.91</v>
      </c>
      <c r="AK46" s="197">
        <f t="shared" si="7"/>
        <v>0</v>
      </c>
      <c r="AL46" s="197">
        <f t="shared" si="7"/>
        <v>0</v>
      </c>
    </row>
    <row r="47" spans="1:38">
      <c r="A47" s="11" t="str">
        <f t="shared" si="1"/>
        <v>05-302448582011</v>
      </c>
      <c r="B47" t="s">
        <v>137</v>
      </c>
      <c r="C47" t="s">
        <v>138</v>
      </c>
      <c r="D47">
        <v>2011</v>
      </c>
      <c r="E47" s="196" t="s">
        <v>69</v>
      </c>
      <c r="F47">
        <v>759.36</v>
      </c>
      <c r="G47">
        <v>1</v>
      </c>
      <c r="H47" s="11" t="str">
        <f t="shared" si="5"/>
        <v>count</v>
      </c>
      <c r="I47" s="197" t="s">
        <v>254</v>
      </c>
      <c r="J47" s="197" t="s">
        <v>255</v>
      </c>
      <c r="K47" s="197" t="s">
        <v>145</v>
      </c>
      <c r="L47" s="197">
        <f t="shared" si="9"/>
        <v>781</v>
      </c>
      <c r="M47" s="197">
        <f t="shared" si="9"/>
        <v>302</v>
      </c>
      <c r="N47" s="197">
        <f t="shared" si="9"/>
        <v>45</v>
      </c>
      <c r="O47" s="197">
        <f t="shared" si="9"/>
        <v>0</v>
      </c>
      <c r="P47" s="197">
        <f t="shared" si="9"/>
        <v>0</v>
      </c>
      <c r="Q47" s="197">
        <f t="shared" si="9"/>
        <v>0</v>
      </c>
      <c r="R47" s="197">
        <f t="shared" si="9"/>
        <v>3</v>
      </c>
      <c r="S47" s="197">
        <f t="shared" si="9"/>
        <v>0</v>
      </c>
      <c r="T47" s="197">
        <f t="shared" si="9"/>
        <v>0</v>
      </c>
      <c r="U47" s="197">
        <f t="shared" si="9"/>
        <v>861</v>
      </c>
      <c r="V47" s="197">
        <f t="shared" si="8"/>
        <v>356</v>
      </c>
      <c r="W47" s="197">
        <f t="shared" si="8"/>
        <v>71</v>
      </c>
      <c r="X47" s="197">
        <f t="shared" si="8"/>
        <v>0</v>
      </c>
      <c r="Y47" s="197">
        <f t="shared" si="8"/>
        <v>1</v>
      </c>
      <c r="Z47" s="197">
        <f t="shared" si="8"/>
        <v>0</v>
      </c>
      <c r="AA47" s="197">
        <f t="shared" si="8"/>
        <v>282</v>
      </c>
      <c r="AB47" s="197">
        <f t="shared" si="8"/>
        <v>0</v>
      </c>
      <c r="AC47" s="197">
        <f t="shared" si="8"/>
        <v>0</v>
      </c>
      <c r="AD47" s="197">
        <f t="shared" si="8"/>
        <v>1253</v>
      </c>
      <c r="AE47" s="197">
        <f t="shared" si="8"/>
        <v>474</v>
      </c>
      <c r="AF47" s="197">
        <f t="shared" si="7"/>
        <v>77</v>
      </c>
      <c r="AG47" s="197">
        <f t="shared" si="7"/>
        <v>0</v>
      </c>
      <c r="AH47" s="197">
        <f t="shared" si="7"/>
        <v>0</v>
      </c>
      <c r="AI47" s="197">
        <f t="shared" si="7"/>
        <v>0</v>
      </c>
      <c r="AJ47" s="197">
        <f t="shared" si="7"/>
        <v>450</v>
      </c>
      <c r="AK47" s="197">
        <f t="shared" si="7"/>
        <v>0</v>
      </c>
      <c r="AL47" s="197">
        <f t="shared" ref="AF47:AL66" si="10">SUMIFS(IF($K47="volume",$F:$F,$G:$G),$D:$D,AL$2,$B:$B,$I47,$E:$E,AL$3)</f>
        <v>0</v>
      </c>
    </row>
    <row r="48" spans="1:38">
      <c r="A48" s="11" t="str">
        <f t="shared" si="1"/>
        <v>05-302448582011</v>
      </c>
      <c r="B48" t="s">
        <v>137</v>
      </c>
      <c r="C48" t="s">
        <v>138</v>
      </c>
      <c r="D48">
        <v>2011</v>
      </c>
      <c r="E48" s="196" t="s">
        <v>105</v>
      </c>
      <c r="F48">
        <v>22238.47</v>
      </c>
      <c r="G48">
        <v>24</v>
      </c>
      <c r="H48" s="11" t="str">
        <f t="shared" si="5"/>
        <v>count</v>
      </c>
      <c r="I48" s="197" t="s">
        <v>268</v>
      </c>
      <c r="J48" s="197" t="s">
        <v>269</v>
      </c>
      <c r="K48" s="197" t="s">
        <v>146</v>
      </c>
      <c r="L48" s="197">
        <f t="shared" si="9"/>
        <v>823425.11</v>
      </c>
      <c r="M48" s="197">
        <f t="shared" si="9"/>
        <v>314367.81</v>
      </c>
      <c r="N48" s="197">
        <f t="shared" si="9"/>
        <v>14841.26</v>
      </c>
      <c r="O48" s="197">
        <f t="shared" si="9"/>
        <v>0</v>
      </c>
      <c r="P48" s="197">
        <f t="shared" si="9"/>
        <v>10791.5</v>
      </c>
      <c r="Q48" s="197">
        <f t="shared" si="9"/>
        <v>0</v>
      </c>
      <c r="R48" s="197">
        <f t="shared" si="9"/>
        <v>0</v>
      </c>
      <c r="S48" s="197">
        <f t="shared" si="9"/>
        <v>0</v>
      </c>
      <c r="T48" s="197">
        <f t="shared" si="9"/>
        <v>0</v>
      </c>
      <c r="U48" s="197">
        <f t="shared" si="9"/>
        <v>753327.06</v>
      </c>
      <c r="V48" s="197">
        <f t="shared" si="8"/>
        <v>383457.28000000003</v>
      </c>
      <c r="W48" s="197">
        <f t="shared" si="8"/>
        <v>41066.730000000003</v>
      </c>
      <c r="X48" s="197">
        <f t="shared" si="8"/>
        <v>0</v>
      </c>
      <c r="Y48" s="197">
        <f t="shared" si="8"/>
        <v>52084.45</v>
      </c>
      <c r="Z48" s="197">
        <f t="shared" si="8"/>
        <v>0</v>
      </c>
      <c r="AA48" s="197">
        <f t="shared" si="8"/>
        <v>188469.81</v>
      </c>
      <c r="AB48" s="197">
        <f t="shared" si="8"/>
        <v>0</v>
      </c>
      <c r="AC48" s="197">
        <f t="shared" si="8"/>
        <v>0</v>
      </c>
      <c r="AD48" s="197">
        <f t="shared" si="8"/>
        <v>1174961.3600000001</v>
      </c>
      <c r="AE48" s="197">
        <f t="shared" si="8"/>
        <v>499402.37</v>
      </c>
      <c r="AF48" s="197">
        <f t="shared" si="10"/>
        <v>82930.28</v>
      </c>
      <c r="AG48" s="197">
        <f t="shared" si="10"/>
        <v>0</v>
      </c>
      <c r="AH48" s="197">
        <f t="shared" si="10"/>
        <v>65377.94</v>
      </c>
      <c r="AI48" s="197">
        <f t="shared" si="10"/>
        <v>0</v>
      </c>
      <c r="AJ48" s="197">
        <f t="shared" si="10"/>
        <v>417181.39</v>
      </c>
      <c r="AK48" s="197">
        <f t="shared" si="10"/>
        <v>0</v>
      </c>
      <c r="AL48" s="197">
        <f t="shared" si="10"/>
        <v>0</v>
      </c>
    </row>
    <row r="49" spans="1:38">
      <c r="A49" s="11" t="str">
        <f t="shared" si="1"/>
        <v>05-302448582013</v>
      </c>
      <c r="B49" t="s">
        <v>137</v>
      </c>
      <c r="C49" t="s">
        <v>138</v>
      </c>
      <c r="D49">
        <v>2013</v>
      </c>
      <c r="E49" s="196" t="s">
        <v>106</v>
      </c>
      <c r="F49">
        <v>13836.83</v>
      </c>
      <c r="G49">
        <v>15</v>
      </c>
      <c r="H49" s="11" t="str">
        <f t="shared" si="5"/>
        <v>count</v>
      </c>
      <c r="I49" s="197" t="s">
        <v>268</v>
      </c>
      <c r="J49" s="197" t="s">
        <v>269</v>
      </c>
      <c r="K49" s="197" t="s">
        <v>145</v>
      </c>
      <c r="L49" s="197">
        <f t="shared" si="9"/>
        <v>468</v>
      </c>
      <c r="M49" s="197">
        <f t="shared" si="9"/>
        <v>176</v>
      </c>
      <c r="N49" s="197">
        <f t="shared" si="9"/>
        <v>15</v>
      </c>
      <c r="O49" s="197">
        <f t="shared" si="9"/>
        <v>0</v>
      </c>
      <c r="P49" s="197">
        <f t="shared" si="9"/>
        <v>3</v>
      </c>
      <c r="Q49" s="197">
        <f t="shared" si="9"/>
        <v>0</v>
      </c>
      <c r="R49" s="197">
        <f t="shared" si="9"/>
        <v>0</v>
      </c>
      <c r="S49" s="197">
        <f t="shared" si="9"/>
        <v>0</v>
      </c>
      <c r="T49" s="197">
        <f t="shared" si="9"/>
        <v>0</v>
      </c>
      <c r="U49" s="197">
        <f t="shared" si="9"/>
        <v>519</v>
      </c>
      <c r="V49" s="197">
        <f t="shared" si="8"/>
        <v>227</v>
      </c>
      <c r="W49" s="197">
        <f t="shared" si="8"/>
        <v>25</v>
      </c>
      <c r="X49" s="197">
        <f t="shared" si="8"/>
        <v>0</v>
      </c>
      <c r="Y49" s="197">
        <f t="shared" si="8"/>
        <v>49</v>
      </c>
      <c r="Z49" s="197">
        <f t="shared" si="8"/>
        <v>0</v>
      </c>
      <c r="AA49" s="197">
        <f t="shared" si="8"/>
        <v>154</v>
      </c>
      <c r="AB49" s="197">
        <f t="shared" si="8"/>
        <v>0</v>
      </c>
      <c r="AC49" s="197">
        <f t="shared" si="8"/>
        <v>0</v>
      </c>
      <c r="AD49" s="197">
        <f t="shared" si="8"/>
        <v>726</v>
      </c>
      <c r="AE49" s="197">
        <f t="shared" si="8"/>
        <v>274</v>
      </c>
      <c r="AF49" s="197">
        <f t="shared" si="10"/>
        <v>57</v>
      </c>
      <c r="AG49" s="197">
        <f t="shared" si="10"/>
        <v>0</v>
      </c>
      <c r="AH49" s="197">
        <f t="shared" si="10"/>
        <v>37</v>
      </c>
      <c r="AI49" s="197">
        <f t="shared" si="10"/>
        <v>0</v>
      </c>
      <c r="AJ49" s="197">
        <f t="shared" si="10"/>
        <v>295</v>
      </c>
      <c r="AK49" s="197">
        <f t="shared" si="10"/>
        <v>0</v>
      </c>
      <c r="AL49" s="197">
        <f t="shared" si="10"/>
        <v>0</v>
      </c>
    </row>
    <row r="50" spans="1:38">
      <c r="A50" s="11" t="str">
        <f t="shared" si="1"/>
        <v>05-302448582013</v>
      </c>
      <c r="B50" t="s">
        <v>137</v>
      </c>
      <c r="C50" t="s">
        <v>138</v>
      </c>
      <c r="D50">
        <v>2013</v>
      </c>
      <c r="E50" s="196" t="s">
        <v>104</v>
      </c>
      <c r="F50">
        <v>150977.96</v>
      </c>
      <c r="G50">
        <v>146</v>
      </c>
      <c r="H50" s="11" t="str">
        <f t="shared" si="5"/>
        <v>count</v>
      </c>
      <c r="I50" s="197" t="s">
        <v>276</v>
      </c>
      <c r="J50" s="197" t="s">
        <v>277</v>
      </c>
      <c r="K50" s="197" t="s">
        <v>146</v>
      </c>
      <c r="L50" s="197">
        <f t="shared" si="9"/>
        <v>890248.38</v>
      </c>
      <c r="M50" s="197">
        <f t="shared" si="9"/>
        <v>755180.42</v>
      </c>
      <c r="N50" s="197">
        <f t="shared" si="9"/>
        <v>0</v>
      </c>
      <c r="O50" s="197">
        <f t="shared" si="9"/>
        <v>0</v>
      </c>
      <c r="P50" s="197">
        <f t="shared" si="9"/>
        <v>864698.79</v>
      </c>
      <c r="Q50" s="197">
        <f t="shared" si="9"/>
        <v>0</v>
      </c>
      <c r="R50" s="197">
        <f t="shared" si="9"/>
        <v>700</v>
      </c>
      <c r="S50" s="197">
        <f t="shared" si="9"/>
        <v>0</v>
      </c>
      <c r="T50" s="197">
        <f t="shared" si="9"/>
        <v>0</v>
      </c>
      <c r="U50" s="197">
        <f t="shared" si="9"/>
        <v>912686</v>
      </c>
      <c r="V50" s="197">
        <f t="shared" si="8"/>
        <v>621406.74</v>
      </c>
      <c r="W50" s="197">
        <f t="shared" si="8"/>
        <v>0</v>
      </c>
      <c r="X50" s="197">
        <f t="shared" si="8"/>
        <v>0</v>
      </c>
      <c r="Y50" s="197">
        <f t="shared" si="8"/>
        <v>852709.42</v>
      </c>
      <c r="Z50" s="197">
        <f t="shared" si="8"/>
        <v>0</v>
      </c>
      <c r="AA50" s="197">
        <f t="shared" si="8"/>
        <v>141821.19</v>
      </c>
      <c r="AB50" s="197">
        <f t="shared" si="8"/>
        <v>0</v>
      </c>
      <c r="AC50" s="197">
        <f t="shared" si="8"/>
        <v>0</v>
      </c>
      <c r="AD50" s="197">
        <f t="shared" si="8"/>
        <v>827122.83</v>
      </c>
      <c r="AE50" s="197">
        <f t="shared" si="8"/>
        <v>638581.18999999994</v>
      </c>
      <c r="AF50" s="197">
        <f t="shared" si="10"/>
        <v>14157.9</v>
      </c>
      <c r="AG50" s="197">
        <f t="shared" si="10"/>
        <v>0</v>
      </c>
      <c r="AH50" s="197">
        <f t="shared" si="10"/>
        <v>892775.28</v>
      </c>
      <c r="AI50" s="197">
        <f t="shared" si="10"/>
        <v>0</v>
      </c>
      <c r="AJ50" s="197">
        <f t="shared" si="10"/>
        <v>105076.02</v>
      </c>
      <c r="AK50" s="197">
        <f t="shared" si="10"/>
        <v>0</v>
      </c>
      <c r="AL50" s="197">
        <f t="shared" si="10"/>
        <v>0</v>
      </c>
    </row>
    <row r="51" spans="1:38">
      <c r="A51" s="11" t="str">
        <f t="shared" si="1"/>
        <v>05-302448582011</v>
      </c>
      <c r="B51" t="s">
        <v>137</v>
      </c>
      <c r="C51" t="s">
        <v>138</v>
      </c>
      <c r="D51">
        <v>2011</v>
      </c>
      <c r="E51" s="196" t="s">
        <v>63</v>
      </c>
      <c r="F51">
        <v>544076.38</v>
      </c>
      <c r="G51">
        <v>534</v>
      </c>
      <c r="H51" s="11" t="str">
        <f t="shared" si="5"/>
        <v>count</v>
      </c>
      <c r="I51" s="197" t="s">
        <v>276</v>
      </c>
      <c r="J51" s="197" t="s">
        <v>277</v>
      </c>
      <c r="K51" s="197" t="s">
        <v>145</v>
      </c>
      <c r="L51" s="197">
        <f t="shared" si="9"/>
        <v>475</v>
      </c>
      <c r="M51" s="197">
        <f t="shared" si="9"/>
        <v>387</v>
      </c>
      <c r="N51" s="197">
        <f t="shared" si="9"/>
        <v>0</v>
      </c>
      <c r="O51" s="197">
        <f t="shared" si="9"/>
        <v>0</v>
      </c>
      <c r="P51" s="197">
        <f t="shared" si="9"/>
        <v>422</v>
      </c>
      <c r="Q51" s="197">
        <f t="shared" si="9"/>
        <v>0</v>
      </c>
      <c r="R51" s="197">
        <f t="shared" si="9"/>
        <v>1</v>
      </c>
      <c r="S51" s="197">
        <f t="shared" si="9"/>
        <v>0</v>
      </c>
      <c r="T51" s="197">
        <f t="shared" si="9"/>
        <v>0</v>
      </c>
      <c r="U51" s="197">
        <f t="shared" si="9"/>
        <v>483</v>
      </c>
      <c r="V51" s="197">
        <f t="shared" si="8"/>
        <v>348</v>
      </c>
      <c r="W51" s="197">
        <f t="shared" si="8"/>
        <v>0</v>
      </c>
      <c r="X51" s="197">
        <f t="shared" si="8"/>
        <v>0</v>
      </c>
      <c r="Y51" s="197">
        <f t="shared" si="8"/>
        <v>419</v>
      </c>
      <c r="Z51" s="197">
        <f t="shared" si="8"/>
        <v>0</v>
      </c>
      <c r="AA51" s="197">
        <f t="shared" si="8"/>
        <v>96</v>
      </c>
      <c r="AB51" s="197">
        <f t="shared" si="8"/>
        <v>0</v>
      </c>
      <c r="AC51" s="197">
        <f t="shared" si="8"/>
        <v>0</v>
      </c>
      <c r="AD51" s="197">
        <f t="shared" si="8"/>
        <v>450</v>
      </c>
      <c r="AE51" s="197">
        <f t="shared" si="8"/>
        <v>304</v>
      </c>
      <c r="AF51" s="197">
        <f t="shared" si="10"/>
        <v>3</v>
      </c>
      <c r="AG51" s="197">
        <f t="shared" si="10"/>
        <v>0</v>
      </c>
      <c r="AH51" s="197">
        <f t="shared" si="10"/>
        <v>360</v>
      </c>
      <c r="AI51" s="197">
        <f t="shared" si="10"/>
        <v>0</v>
      </c>
      <c r="AJ51" s="197">
        <f t="shared" si="10"/>
        <v>84</v>
      </c>
      <c r="AK51" s="197">
        <f t="shared" si="10"/>
        <v>0</v>
      </c>
      <c r="AL51" s="197">
        <f t="shared" si="10"/>
        <v>0</v>
      </c>
    </row>
    <row r="52" spans="1:38">
      <c r="A52" s="11" t="str">
        <f t="shared" si="1"/>
        <v>05-302448582012</v>
      </c>
      <c r="B52" t="s">
        <v>137</v>
      </c>
      <c r="C52" t="s">
        <v>138</v>
      </c>
      <c r="D52">
        <v>2012</v>
      </c>
      <c r="E52" s="196" t="s">
        <v>106</v>
      </c>
      <c r="F52">
        <v>21811.54</v>
      </c>
      <c r="G52">
        <v>14</v>
      </c>
      <c r="H52" s="11" t="str">
        <f t="shared" si="5"/>
        <v>count</v>
      </c>
      <c r="I52" s="197" t="s">
        <v>287</v>
      </c>
      <c r="J52" s="197" t="s">
        <v>288</v>
      </c>
      <c r="K52" s="197" t="s">
        <v>146</v>
      </c>
      <c r="L52" s="197">
        <f t="shared" si="9"/>
        <v>375116.12</v>
      </c>
      <c r="M52" s="197">
        <f t="shared" si="9"/>
        <v>191302.42</v>
      </c>
      <c r="N52" s="197">
        <f t="shared" si="9"/>
        <v>34827.300000000003</v>
      </c>
      <c r="O52" s="197">
        <f t="shared" si="9"/>
        <v>0</v>
      </c>
      <c r="P52" s="197">
        <f t="shared" si="9"/>
        <v>0</v>
      </c>
      <c r="Q52" s="197">
        <f t="shared" si="9"/>
        <v>0</v>
      </c>
      <c r="R52" s="197">
        <f t="shared" si="9"/>
        <v>0</v>
      </c>
      <c r="S52" s="197">
        <f t="shared" si="9"/>
        <v>0</v>
      </c>
      <c r="T52" s="197">
        <f t="shared" si="9"/>
        <v>0</v>
      </c>
      <c r="U52" s="197">
        <f t="shared" si="9"/>
        <v>352900.72</v>
      </c>
      <c r="V52" s="197">
        <f t="shared" si="8"/>
        <v>181872.61</v>
      </c>
      <c r="W52" s="197">
        <f t="shared" si="8"/>
        <v>42550.3</v>
      </c>
      <c r="X52" s="197">
        <f t="shared" si="8"/>
        <v>0</v>
      </c>
      <c r="Y52" s="197">
        <f t="shared" si="8"/>
        <v>0</v>
      </c>
      <c r="Z52" s="197">
        <f t="shared" si="8"/>
        <v>0</v>
      </c>
      <c r="AA52" s="197">
        <f t="shared" si="8"/>
        <v>58288.3</v>
      </c>
      <c r="AB52" s="197">
        <f t="shared" si="8"/>
        <v>0</v>
      </c>
      <c r="AC52" s="197">
        <f t="shared" si="8"/>
        <v>0</v>
      </c>
      <c r="AD52" s="197">
        <f t="shared" si="8"/>
        <v>384016.99</v>
      </c>
      <c r="AE52" s="197">
        <f t="shared" si="8"/>
        <v>171251.56</v>
      </c>
      <c r="AF52" s="197">
        <f t="shared" si="10"/>
        <v>58420.6</v>
      </c>
      <c r="AG52" s="197">
        <f t="shared" si="10"/>
        <v>0</v>
      </c>
      <c r="AH52" s="197">
        <f t="shared" si="10"/>
        <v>0</v>
      </c>
      <c r="AI52" s="197">
        <f t="shared" si="10"/>
        <v>0</v>
      </c>
      <c r="AJ52" s="197">
        <f t="shared" si="10"/>
        <v>89509.86</v>
      </c>
      <c r="AK52" s="197">
        <f t="shared" si="10"/>
        <v>0</v>
      </c>
      <c r="AL52" s="197">
        <f t="shared" si="10"/>
        <v>0</v>
      </c>
    </row>
    <row r="53" spans="1:38">
      <c r="A53" s="11" t="str">
        <f t="shared" si="1"/>
        <v>05-302448582012</v>
      </c>
      <c r="B53" t="s">
        <v>137</v>
      </c>
      <c r="C53" t="s">
        <v>138</v>
      </c>
      <c r="D53">
        <v>2012</v>
      </c>
      <c r="E53" s="196" t="s">
        <v>105</v>
      </c>
      <c r="F53">
        <v>21879.62</v>
      </c>
      <c r="G53">
        <v>17</v>
      </c>
      <c r="H53" s="11" t="str">
        <f t="shared" si="5"/>
        <v>count</v>
      </c>
      <c r="I53" s="197" t="s">
        <v>287</v>
      </c>
      <c r="J53" s="197" t="s">
        <v>288</v>
      </c>
      <c r="K53" s="197" t="s">
        <v>145</v>
      </c>
      <c r="L53" s="197">
        <f t="shared" si="9"/>
        <v>378</v>
      </c>
      <c r="M53" s="197">
        <f t="shared" si="9"/>
        <v>214</v>
      </c>
      <c r="N53" s="197">
        <f t="shared" si="9"/>
        <v>43</v>
      </c>
      <c r="O53" s="197">
        <f t="shared" si="9"/>
        <v>0</v>
      </c>
      <c r="P53" s="197">
        <f t="shared" si="9"/>
        <v>0</v>
      </c>
      <c r="Q53" s="197">
        <f t="shared" si="9"/>
        <v>0</v>
      </c>
      <c r="R53" s="197">
        <f t="shared" si="9"/>
        <v>0</v>
      </c>
      <c r="S53" s="197">
        <f t="shared" si="9"/>
        <v>0</v>
      </c>
      <c r="T53" s="197">
        <f t="shared" si="9"/>
        <v>0</v>
      </c>
      <c r="U53" s="197">
        <f t="shared" si="9"/>
        <v>344</v>
      </c>
      <c r="V53" s="197">
        <f t="shared" si="8"/>
        <v>187</v>
      </c>
      <c r="W53" s="197">
        <f t="shared" si="8"/>
        <v>42</v>
      </c>
      <c r="X53" s="197">
        <f t="shared" si="8"/>
        <v>0</v>
      </c>
      <c r="Y53" s="197">
        <f t="shared" si="8"/>
        <v>0</v>
      </c>
      <c r="Z53" s="197">
        <f t="shared" si="8"/>
        <v>0</v>
      </c>
      <c r="AA53" s="197">
        <f t="shared" si="8"/>
        <v>81</v>
      </c>
      <c r="AB53" s="197">
        <f t="shared" si="8"/>
        <v>0</v>
      </c>
      <c r="AC53" s="197">
        <f t="shared" si="8"/>
        <v>0</v>
      </c>
      <c r="AD53" s="197">
        <f t="shared" si="8"/>
        <v>347</v>
      </c>
      <c r="AE53" s="197">
        <f t="shared" si="8"/>
        <v>173</v>
      </c>
      <c r="AF53" s="197">
        <f t="shared" si="10"/>
        <v>51</v>
      </c>
      <c r="AG53" s="197">
        <f t="shared" si="10"/>
        <v>0</v>
      </c>
      <c r="AH53" s="197">
        <f t="shared" si="10"/>
        <v>0</v>
      </c>
      <c r="AI53" s="197">
        <f t="shared" si="10"/>
        <v>0</v>
      </c>
      <c r="AJ53" s="197">
        <f t="shared" si="10"/>
        <v>95</v>
      </c>
      <c r="AK53" s="197">
        <f t="shared" si="10"/>
        <v>0</v>
      </c>
      <c r="AL53" s="197">
        <f t="shared" si="10"/>
        <v>0</v>
      </c>
    </row>
    <row r="54" spans="1:38">
      <c r="A54" s="11" t="str">
        <f t="shared" si="1"/>
        <v>05-302489282011</v>
      </c>
      <c r="B54" t="s">
        <v>139</v>
      </c>
      <c r="C54" t="s">
        <v>140</v>
      </c>
      <c r="D54">
        <v>2011</v>
      </c>
      <c r="E54" s="196" t="s">
        <v>69</v>
      </c>
      <c r="F54">
        <v>2043.86</v>
      </c>
      <c r="G54">
        <v>4</v>
      </c>
      <c r="H54" s="11" t="str">
        <f t="shared" si="5"/>
        <v>volume</v>
      </c>
      <c r="I54" s="197" t="s">
        <v>294</v>
      </c>
      <c r="J54" s="197" t="s">
        <v>295</v>
      </c>
      <c r="K54" s="197" t="s">
        <v>146</v>
      </c>
      <c r="L54" s="197">
        <f t="shared" si="9"/>
        <v>434834.39</v>
      </c>
      <c r="M54" s="197">
        <f t="shared" si="9"/>
        <v>166342.28</v>
      </c>
      <c r="N54" s="197">
        <f t="shared" si="9"/>
        <v>10772.04</v>
      </c>
      <c r="O54" s="197">
        <f t="shared" si="9"/>
        <v>111</v>
      </c>
      <c r="P54" s="197">
        <f t="shared" si="9"/>
        <v>98392</v>
      </c>
      <c r="Q54" s="197">
        <f t="shared" si="9"/>
        <v>0</v>
      </c>
      <c r="R54" s="197">
        <f t="shared" si="9"/>
        <v>0</v>
      </c>
      <c r="S54" s="197">
        <f t="shared" si="9"/>
        <v>0</v>
      </c>
      <c r="T54" s="197">
        <f t="shared" si="9"/>
        <v>0</v>
      </c>
      <c r="U54" s="197">
        <f t="shared" si="9"/>
        <v>312675.01</v>
      </c>
      <c r="V54" s="197">
        <f t="shared" si="8"/>
        <v>134077.24</v>
      </c>
      <c r="W54" s="197">
        <f t="shared" si="8"/>
        <v>16827.099999999999</v>
      </c>
      <c r="X54" s="197">
        <f t="shared" si="8"/>
        <v>0</v>
      </c>
      <c r="Y54" s="197">
        <f t="shared" si="8"/>
        <v>115004.73</v>
      </c>
      <c r="Z54" s="197">
        <f t="shared" si="8"/>
        <v>0</v>
      </c>
      <c r="AA54" s="197">
        <f t="shared" si="8"/>
        <v>101883.22</v>
      </c>
      <c r="AB54" s="197">
        <f t="shared" si="8"/>
        <v>0</v>
      </c>
      <c r="AC54" s="197">
        <f t="shared" si="8"/>
        <v>0</v>
      </c>
      <c r="AD54" s="197">
        <f t="shared" si="8"/>
        <v>286163.23</v>
      </c>
      <c r="AE54" s="197">
        <f t="shared" si="8"/>
        <v>132981.66</v>
      </c>
      <c r="AF54" s="197">
        <f t="shared" si="10"/>
        <v>15925.46</v>
      </c>
      <c r="AG54" s="197">
        <f t="shared" si="10"/>
        <v>0</v>
      </c>
      <c r="AH54" s="197">
        <f t="shared" si="10"/>
        <v>114800.44</v>
      </c>
      <c r="AI54" s="197">
        <f t="shared" si="10"/>
        <v>0</v>
      </c>
      <c r="AJ54" s="197">
        <f t="shared" si="10"/>
        <v>98893.37</v>
      </c>
      <c r="AK54" s="197">
        <f t="shared" si="10"/>
        <v>0</v>
      </c>
      <c r="AL54" s="197">
        <f t="shared" si="10"/>
        <v>0</v>
      </c>
    </row>
    <row r="55" spans="1:38">
      <c r="A55" s="11" t="str">
        <f t="shared" si="1"/>
        <v>05-302489282012</v>
      </c>
      <c r="B55" t="s">
        <v>139</v>
      </c>
      <c r="C55" t="s">
        <v>140</v>
      </c>
      <c r="D55">
        <v>2012</v>
      </c>
      <c r="E55" s="196" t="s">
        <v>63</v>
      </c>
      <c r="F55">
        <v>923183.28</v>
      </c>
      <c r="G55">
        <v>1875</v>
      </c>
      <c r="H55" s="11" t="str">
        <f t="shared" si="5"/>
        <v>count</v>
      </c>
      <c r="I55" s="197" t="s">
        <v>294</v>
      </c>
      <c r="J55" s="197" t="s">
        <v>295</v>
      </c>
      <c r="K55" s="197" t="s">
        <v>145</v>
      </c>
      <c r="L55" s="197">
        <f t="shared" si="9"/>
        <v>570</v>
      </c>
      <c r="M55" s="197">
        <f t="shared" si="9"/>
        <v>197</v>
      </c>
      <c r="N55" s="197">
        <f t="shared" si="9"/>
        <v>13</v>
      </c>
      <c r="O55" s="197">
        <f t="shared" si="9"/>
        <v>1</v>
      </c>
      <c r="P55" s="197">
        <f t="shared" si="9"/>
        <v>117</v>
      </c>
      <c r="Q55" s="197">
        <f t="shared" si="9"/>
        <v>0</v>
      </c>
      <c r="R55" s="197">
        <f t="shared" si="9"/>
        <v>0</v>
      </c>
      <c r="S55" s="197">
        <f t="shared" si="9"/>
        <v>0</v>
      </c>
      <c r="T55" s="197">
        <f t="shared" si="9"/>
        <v>0</v>
      </c>
      <c r="U55" s="197">
        <f t="shared" si="9"/>
        <v>381</v>
      </c>
      <c r="V55" s="197">
        <f t="shared" si="8"/>
        <v>156</v>
      </c>
      <c r="W55" s="197">
        <f t="shared" si="8"/>
        <v>20</v>
      </c>
      <c r="X55" s="197">
        <f t="shared" si="8"/>
        <v>0</v>
      </c>
      <c r="Y55" s="197">
        <f t="shared" si="8"/>
        <v>110</v>
      </c>
      <c r="Z55" s="197">
        <f t="shared" si="8"/>
        <v>0</v>
      </c>
      <c r="AA55" s="197">
        <f t="shared" si="8"/>
        <v>132</v>
      </c>
      <c r="AB55" s="197">
        <f t="shared" si="8"/>
        <v>0</v>
      </c>
      <c r="AC55" s="197">
        <f t="shared" si="8"/>
        <v>0</v>
      </c>
      <c r="AD55" s="197">
        <f t="shared" si="8"/>
        <v>305</v>
      </c>
      <c r="AE55" s="197">
        <f t="shared" si="8"/>
        <v>140</v>
      </c>
      <c r="AF55" s="197">
        <f t="shared" si="10"/>
        <v>14</v>
      </c>
      <c r="AG55" s="197">
        <f t="shared" si="10"/>
        <v>0</v>
      </c>
      <c r="AH55" s="197">
        <f t="shared" si="10"/>
        <v>103</v>
      </c>
      <c r="AI55" s="197">
        <f t="shared" si="10"/>
        <v>0</v>
      </c>
      <c r="AJ55" s="197">
        <f t="shared" si="10"/>
        <v>115</v>
      </c>
      <c r="AK55" s="197">
        <f t="shared" si="10"/>
        <v>0</v>
      </c>
      <c r="AL55" s="197">
        <f t="shared" si="10"/>
        <v>0</v>
      </c>
    </row>
    <row r="56" spans="1:38">
      <c r="A56" s="11" t="str">
        <f t="shared" si="1"/>
        <v>05-302489282011</v>
      </c>
      <c r="B56" t="s">
        <v>139</v>
      </c>
      <c r="C56" t="s">
        <v>140</v>
      </c>
      <c r="D56">
        <v>2011</v>
      </c>
      <c r="E56" t="s">
        <v>104</v>
      </c>
      <c r="F56">
        <v>600776.17000000004</v>
      </c>
      <c r="G56">
        <v>1376</v>
      </c>
      <c r="H56" s="11" t="str">
        <f t="shared" si="5"/>
        <v>count</v>
      </c>
      <c r="I56" s="197" t="s">
        <v>296</v>
      </c>
      <c r="J56" s="197" t="s">
        <v>297</v>
      </c>
      <c r="K56" s="197" t="s">
        <v>146</v>
      </c>
      <c r="L56" s="197">
        <f t="shared" si="9"/>
        <v>614499.27</v>
      </c>
      <c r="M56" s="197">
        <f t="shared" si="9"/>
        <v>274193.09000000003</v>
      </c>
      <c r="N56" s="197">
        <f t="shared" si="9"/>
        <v>58614.86</v>
      </c>
      <c r="O56" s="197">
        <f t="shared" si="9"/>
        <v>11343</v>
      </c>
      <c r="P56" s="197">
        <f t="shared" si="9"/>
        <v>722.4</v>
      </c>
      <c r="Q56" s="197">
        <f t="shared" si="9"/>
        <v>0</v>
      </c>
      <c r="R56" s="197">
        <f t="shared" si="9"/>
        <v>1132</v>
      </c>
      <c r="S56" s="197">
        <f t="shared" si="9"/>
        <v>0</v>
      </c>
      <c r="T56" s="197">
        <f t="shared" si="9"/>
        <v>0</v>
      </c>
      <c r="U56" s="197">
        <f t="shared" si="9"/>
        <v>434162.3</v>
      </c>
      <c r="V56" s="197">
        <f t="shared" si="8"/>
        <v>217444.56</v>
      </c>
      <c r="W56" s="197">
        <f t="shared" si="8"/>
        <v>62598.18</v>
      </c>
      <c r="X56" s="197">
        <f t="shared" si="8"/>
        <v>19314.599999999999</v>
      </c>
      <c r="Y56" s="197">
        <f t="shared" si="8"/>
        <v>4487</v>
      </c>
      <c r="Z56" s="197">
        <f t="shared" si="8"/>
        <v>0</v>
      </c>
      <c r="AA56" s="197">
        <f t="shared" si="8"/>
        <v>184104.21</v>
      </c>
      <c r="AB56" s="197">
        <f t="shared" si="8"/>
        <v>0</v>
      </c>
      <c r="AC56" s="197">
        <f t="shared" si="8"/>
        <v>0</v>
      </c>
      <c r="AD56" s="197">
        <f t="shared" si="8"/>
        <v>259027.79</v>
      </c>
      <c r="AE56" s="197">
        <f t="shared" si="8"/>
        <v>163084.49</v>
      </c>
      <c r="AF56" s="197">
        <f t="shared" si="10"/>
        <v>40760.949999999997</v>
      </c>
      <c r="AG56" s="197">
        <f t="shared" si="10"/>
        <v>38055.42</v>
      </c>
      <c r="AH56" s="197">
        <f t="shared" si="10"/>
        <v>0</v>
      </c>
      <c r="AI56" s="197">
        <f t="shared" si="10"/>
        <v>0</v>
      </c>
      <c r="AJ56" s="197">
        <f t="shared" si="10"/>
        <v>130031.62</v>
      </c>
      <c r="AK56" s="197">
        <f t="shared" si="10"/>
        <v>0</v>
      </c>
      <c r="AL56" s="197">
        <f t="shared" si="10"/>
        <v>0</v>
      </c>
    </row>
    <row r="57" spans="1:38">
      <c r="A57" s="11" t="str">
        <f t="shared" si="1"/>
        <v>05-302489282011</v>
      </c>
      <c r="B57" t="s">
        <v>139</v>
      </c>
      <c r="C57" t="s">
        <v>140</v>
      </c>
      <c r="D57">
        <v>2011</v>
      </c>
      <c r="E57" t="s">
        <v>133</v>
      </c>
      <c r="F57">
        <v>206146.24</v>
      </c>
      <c r="G57">
        <v>473</v>
      </c>
      <c r="H57" s="11" t="str">
        <f t="shared" si="5"/>
        <v>count</v>
      </c>
      <c r="I57" s="197" t="s">
        <v>296</v>
      </c>
      <c r="J57" s="197" t="s">
        <v>297</v>
      </c>
      <c r="K57" s="197" t="s">
        <v>145</v>
      </c>
      <c r="L57" s="197">
        <f t="shared" si="9"/>
        <v>725</v>
      </c>
      <c r="M57" s="197">
        <f t="shared" si="9"/>
        <v>296</v>
      </c>
      <c r="N57" s="197">
        <f t="shared" si="9"/>
        <v>74</v>
      </c>
      <c r="O57" s="197">
        <f t="shared" si="9"/>
        <v>9</v>
      </c>
      <c r="P57" s="197">
        <f t="shared" si="9"/>
        <v>1</v>
      </c>
      <c r="Q57" s="197">
        <f t="shared" si="9"/>
        <v>0</v>
      </c>
      <c r="R57" s="197">
        <f t="shared" si="9"/>
        <v>2</v>
      </c>
      <c r="S57" s="197">
        <f t="shared" si="9"/>
        <v>0</v>
      </c>
      <c r="T57" s="197">
        <f t="shared" si="9"/>
        <v>0</v>
      </c>
      <c r="U57" s="197">
        <f t="shared" si="9"/>
        <v>448</v>
      </c>
      <c r="V57" s="197">
        <f t="shared" si="8"/>
        <v>243</v>
      </c>
      <c r="W57" s="197">
        <f t="shared" si="8"/>
        <v>66</v>
      </c>
      <c r="X57" s="197">
        <f t="shared" si="8"/>
        <v>4</v>
      </c>
      <c r="Y57" s="197">
        <f t="shared" si="8"/>
        <v>5</v>
      </c>
      <c r="Z57" s="197">
        <f t="shared" si="8"/>
        <v>0</v>
      </c>
      <c r="AA57" s="197">
        <f t="shared" si="8"/>
        <v>247</v>
      </c>
      <c r="AB57" s="197">
        <f t="shared" si="8"/>
        <v>0</v>
      </c>
      <c r="AC57" s="197">
        <f t="shared" si="8"/>
        <v>0</v>
      </c>
      <c r="AD57" s="197">
        <f t="shared" si="8"/>
        <v>268</v>
      </c>
      <c r="AE57" s="197">
        <f t="shared" si="8"/>
        <v>180</v>
      </c>
      <c r="AF57" s="197">
        <f t="shared" si="10"/>
        <v>47</v>
      </c>
      <c r="AG57" s="197">
        <f t="shared" si="10"/>
        <v>26</v>
      </c>
      <c r="AH57" s="197">
        <f t="shared" si="10"/>
        <v>0</v>
      </c>
      <c r="AI57" s="197">
        <f t="shared" si="10"/>
        <v>0</v>
      </c>
      <c r="AJ57" s="197">
        <f t="shared" si="10"/>
        <v>163</v>
      </c>
      <c r="AK57" s="197">
        <f t="shared" si="10"/>
        <v>0</v>
      </c>
      <c r="AL57" s="197">
        <f t="shared" si="10"/>
        <v>0</v>
      </c>
    </row>
    <row r="58" spans="1:38">
      <c r="A58" s="11" t="str">
        <f t="shared" si="1"/>
        <v>05-302489282013</v>
      </c>
      <c r="B58" t="s">
        <v>139</v>
      </c>
      <c r="C58" t="s">
        <v>140</v>
      </c>
      <c r="D58">
        <v>2013</v>
      </c>
      <c r="E58" t="s">
        <v>133</v>
      </c>
      <c r="F58">
        <v>303512.78000000003</v>
      </c>
      <c r="G58">
        <v>515</v>
      </c>
      <c r="H58" s="11" t="str">
        <f t="shared" si="5"/>
        <v>count</v>
      </c>
      <c r="I58" s="197" t="s">
        <v>298</v>
      </c>
      <c r="J58" s="197" t="s">
        <v>299</v>
      </c>
      <c r="K58" s="197" t="s">
        <v>146</v>
      </c>
      <c r="L58" s="197">
        <f t="shared" si="9"/>
        <v>354974.46</v>
      </c>
      <c r="M58" s="197">
        <f t="shared" si="9"/>
        <v>185046.44</v>
      </c>
      <c r="N58" s="197">
        <f t="shared" si="9"/>
        <v>20149.46</v>
      </c>
      <c r="O58" s="197">
        <f t="shared" si="9"/>
        <v>1252.8800000000001</v>
      </c>
      <c r="P58" s="197">
        <f t="shared" si="9"/>
        <v>71101.33</v>
      </c>
      <c r="Q58" s="197">
        <f t="shared" si="9"/>
        <v>0</v>
      </c>
      <c r="R58" s="197">
        <f t="shared" si="9"/>
        <v>0</v>
      </c>
      <c r="S58" s="197">
        <f t="shared" si="9"/>
        <v>0</v>
      </c>
      <c r="T58" s="197">
        <f t="shared" si="9"/>
        <v>0</v>
      </c>
      <c r="U58" s="197">
        <f t="shared" si="9"/>
        <v>141867.51</v>
      </c>
      <c r="V58" s="197">
        <f t="shared" si="8"/>
        <v>116365.93</v>
      </c>
      <c r="W58" s="197">
        <f t="shared" si="8"/>
        <v>24620.35</v>
      </c>
      <c r="X58" s="197">
        <f t="shared" si="8"/>
        <v>11935.69</v>
      </c>
      <c r="Y58" s="197">
        <f t="shared" si="8"/>
        <v>35694.69</v>
      </c>
      <c r="Z58" s="197">
        <f t="shared" si="8"/>
        <v>0</v>
      </c>
      <c r="AA58" s="197">
        <f t="shared" si="8"/>
        <v>216496.33</v>
      </c>
      <c r="AB58" s="197">
        <f t="shared" si="8"/>
        <v>0</v>
      </c>
      <c r="AC58" s="197">
        <f t="shared" si="8"/>
        <v>0</v>
      </c>
      <c r="AD58" s="197">
        <f t="shared" si="8"/>
        <v>141608.97</v>
      </c>
      <c r="AE58" s="197">
        <f t="shared" si="8"/>
        <v>73835.839999999997</v>
      </c>
      <c r="AF58" s="197">
        <f t="shared" si="10"/>
        <v>12909.6</v>
      </c>
      <c r="AG58" s="197">
        <f t="shared" si="10"/>
        <v>20899.14</v>
      </c>
      <c r="AH58" s="197">
        <f t="shared" si="10"/>
        <v>37103.21</v>
      </c>
      <c r="AI58" s="197">
        <f t="shared" si="10"/>
        <v>0</v>
      </c>
      <c r="AJ58" s="197">
        <f t="shared" si="10"/>
        <v>168922.93</v>
      </c>
      <c r="AK58" s="197">
        <f t="shared" si="10"/>
        <v>0</v>
      </c>
      <c r="AL58" s="197">
        <f t="shared" si="10"/>
        <v>0</v>
      </c>
    </row>
    <row r="59" spans="1:38">
      <c r="A59" s="11" t="str">
        <f t="shared" si="1"/>
        <v>05-302489282012</v>
      </c>
      <c r="B59" t="s">
        <v>139</v>
      </c>
      <c r="C59" t="s">
        <v>140</v>
      </c>
      <c r="D59">
        <v>2012</v>
      </c>
      <c r="E59" t="s">
        <v>104</v>
      </c>
      <c r="F59">
        <v>585475.59</v>
      </c>
      <c r="G59">
        <v>1180</v>
      </c>
      <c r="H59" s="11" t="str">
        <f t="shared" si="5"/>
        <v>count</v>
      </c>
      <c r="I59" s="197" t="s">
        <v>298</v>
      </c>
      <c r="J59" s="197" t="s">
        <v>299</v>
      </c>
      <c r="K59" s="197" t="s">
        <v>145</v>
      </c>
      <c r="L59" s="197">
        <f t="shared" si="9"/>
        <v>689</v>
      </c>
      <c r="M59" s="197">
        <f t="shared" si="9"/>
        <v>305</v>
      </c>
      <c r="N59" s="197">
        <f t="shared" si="9"/>
        <v>44</v>
      </c>
      <c r="O59" s="197">
        <f t="shared" si="9"/>
        <v>3</v>
      </c>
      <c r="P59" s="197">
        <f t="shared" si="9"/>
        <v>125</v>
      </c>
      <c r="Q59" s="197">
        <f t="shared" si="9"/>
        <v>0</v>
      </c>
      <c r="R59" s="197">
        <f t="shared" si="9"/>
        <v>0</v>
      </c>
      <c r="S59" s="197">
        <f t="shared" si="9"/>
        <v>0</v>
      </c>
      <c r="T59" s="197">
        <f t="shared" si="9"/>
        <v>0</v>
      </c>
      <c r="U59" s="197">
        <f t="shared" si="9"/>
        <v>238</v>
      </c>
      <c r="V59" s="197">
        <f t="shared" si="8"/>
        <v>214</v>
      </c>
      <c r="W59" s="197">
        <f t="shared" si="8"/>
        <v>42</v>
      </c>
      <c r="X59" s="197">
        <f t="shared" si="8"/>
        <v>14</v>
      </c>
      <c r="Y59" s="197">
        <f t="shared" si="8"/>
        <v>68</v>
      </c>
      <c r="Z59" s="197">
        <f t="shared" si="8"/>
        <v>0</v>
      </c>
      <c r="AA59" s="197">
        <f t="shared" si="8"/>
        <v>453</v>
      </c>
      <c r="AB59" s="197">
        <f t="shared" si="8"/>
        <v>0</v>
      </c>
      <c r="AC59" s="197">
        <f t="shared" si="8"/>
        <v>0</v>
      </c>
      <c r="AD59" s="197">
        <f t="shared" si="8"/>
        <v>210</v>
      </c>
      <c r="AE59" s="197">
        <f t="shared" si="8"/>
        <v>126</v>
      </c>
      <c r="AF59" s="197">
        <f t="shared" si="10"/>
        <v>25</v>
      </c>
      <c r="AG59" s="197">
        <f t="shared" si="10"/>
        <v>40</v>
      </c>
      <c r="AH59" s="197">
        <f t="shared" si="10"/>
        <v>62</v>
      </c>
      <c r="AI59" s="197">
        <f t="shared" si="10"/>
        <v>0</v>
      </c>
      <c r="AJ59" s="197">
        <f t="shared" si="10"/>
        <v>398</v>
      </c>
      <c r="AK59" s="197">
        <f t="shared" si="10"/>
        <v>0</v>
      </c>
      <c r="AL59" s="197">
        <f t="shared" si="10"/>
        <v>0</v>
      </c>
    </row>
    <row r="60" spans="1:38">
      <c r="A60" s="11" t="str">
        <f t="shared" si="1"/>
        <v>05-302489282013</v>
      </c>
      <c r="B60" t="s">
        <v>139</v>
      </c>
      <c r="C60" t="s">
        <v>140</v>
      </c>
      <c r="D60">
        <v>2013</v>
      </c>
      <c r="E60" t="s">
        <v>69</v>
      </c>
      <c r="F60">
        <v>498833.82</v>
      </c>
      <c r="G60">
        <v>942</v>
      </c>
      <c r="H60" s="11" t="str">
        <f t="shared" si="5"/>
        <v>count</v>
      </c>
      <c r="I60" s="197" t="s">
        <v>300</v>
      </c>
      <c r="J60" s="197" t="s">
        <v>301</v>
      </c>
      <c r="K60" s="197" t="s">
        <v>146</v>
      </c>
      <c r="L60" s="197">
        <f t="shared" si="9"/>
        <v>408476.2</v>
      </c>
      <c r="M60" s="197">
        <f t="shared" si="9"/>
        <v>211905.29</v>
      </c>
      <c r="N60" s="197">
        <f t="shared" si="9"/>
        <v>39480.239999999998</v>
      </c>
      <c r="O60" s="197">
        <f t="shared" si="9"/>
        <v>0</v>
      </c>
      <c r="P60" s="197">
        <f t="shared" si="9"/>
        <v>128572.45</v>
      </c>
      <c r="Q60" s="197">
        <f t="shared" si="9"/>
        <v>0</v>
      </c>
      <c r="R60" s="197">
        <f t="shared" si="9"/>
        <v>975</v>
      </c>
      <c r="S60" s="197">
        <f t="shared" si="9"/>
        <v>0</v>
      </c>
      <c r="T60" s="197">
        <f t="shared" si="9"/>
        <v>0</v>
      </c>
      <c r="U60" s="197">
        <f t="shared" si="9"/>
        <v>454097.77</v>
      </c>
      <c r="V60" s="197">
        <f t="shared" si="8"/>
        <v>275810.11</v>
      </c>
      <c r="W60" s="197">
        <f t="shared" si="8"/>
        <v>60117.71</v>
      </c>
      <c r="X60" s="197">
        <f t="shared" si="8"/>
        <v>0</v>
      </c>
      <c r="Y60" s="197">
        <f t="shared" si="8"/>
        <v>115542.87</v>
      </c>
      <c r="Z60" s="197">
        <f t="shared" si="8"/>
        <v>0</v>
      </c>
      <c r="AA60" s="197">
        <f t="shared" si="8"/>
        <v>166072.69</v>
      </c>
      <c r="AB60" s="197">
        <f t="shared" si="8"/>
        <v>0</v>
      </c>
      <c r="AC60" s="197">
        <f t="shared" si="8"/>
        <v>0</v>
      </c>
      <c r="AD60" s="197">
        <f t="shared" si="8"/>
        <v>350891.24</v>
      </c>
      <c r="AE60" s="197">
        <f t="shared" si="8"/>
        <v>213200.89</v>
      </c>
      <c r="AF60" s="197">
        <f t="shared" si="10"/>
        <v>47438.81</v>
      </c>
      <c r="AG60" s="197">
        <f t="shared" si="10"/>
        <v>0</v>
      </c>
      <c r="AH60" s="197">
        <f t="shared" si="10"/>
        <v>111896.95</v>
      </c>
      <c r="AI60" s="197">
        <f t="shared" si="10"/>
        <v>0</v>
      </c>
      <c r="AJ60" s="197">
        <f t="shared" si="10"/>
        <v>209906.23</v>
      </c>
      <c r="AK60" s="197">
        <f t="shared" si="10"/>
        <v>0</v>
      </c>
      <c r="AL60" s="197">
        <f t="shared" si="10"/>
        <v>0</v>
      </c>
    </row>
    <row r="61" spans="1:38">
      <c r="A61" s="11" t="str">
        <f t="shared" si="1"/>
        <v>05-302489282012</v>
      </c>
      <c r="B61" t="s">
        <v>139</v>
      </c>
      <c r="C61" t="s">
        <v>140</v>
      </c>
      <c r="D61">
        <v>2012</v>
      </c>
      <c r="E61" t="s">
        <v>133</v>
      </c>
      <c r="F61">
        <v>278234.17</v>
      </c>
      <c r="G61">
        <v>579</v>
      </c>
      <c r="H61" s="11" t="str">
        <f t="shared" si="5"/>
        <v>count</v>
      </c>
      <c r="I61" s="197" t="s">
        <v>300</v>
      </c>
      <c r="J61" s="197" t="s">
        <v>301</v>
      </c>
      <c r="K61" s="197" t="s">
        <v>145</v>
      </c>
      <c r="L61" s="197">
        <f t="shared" si="9"/>
        <v>570</v>
      </c>
      <c r="M61" s="197">
        <f t="shared" si="9"/>
        <v>313</v>
      </c>
      <c r="N61" s="197">
        <f t="shared" si="9"/>
        <v>53</v>
      </c>
      <c r="O61" s="197">
        <f t="shared" si="9"/>
        <v>0</v>
      </c>
      <c r="P61" s="197">
        <f t="shared" si="9"/>
        <v>162</v>
      </c>
      <c r="Q61" s="197">
        <f t="shared" ref="Q61:AF76" si="11">SUMIFS(IF($K61="volume",$F:$F,$G:$G),$D:$D,Q$2,$B:$B,$I61,$E:$E,Q$3)</f>
        <v>0</v>
      </c>
      <c r="R61" s="197">
        <f t="shared" si="11"/>
        <v>2</v>
      </c>
      <c r="S61" s="197">
        <f t="shared" si="11"/>
        <v>0</v>
      </c>
      <c r="T61" s="197">
        <f t="shared" si="11"/>
        <v>0</v>
      </c>
      <c r="U61" s="197">
        <f t="shared" si="11"/>
        <v>628</v>
      </c>
      <c r="V61" s="197">
        <f t="shared" si="11"/>
        <v>403</v>
      </c>
      <c r="W61" s="197">
        <f t="shared" si="11"/>
        <v>83</v>
      </c>
      <c r="X61" s="197">
        <f t="shared" si="11"/>
        <v>0</v>
      </c>
      <c r="Y61" s="197">
        <f t="shared" si="11"/>
        <v>139</v>
      </c>
      <c r="Z61" s="197">
        <f t="shared" si="11"/>
        <v>0</v>
      </c>
      <c r="AA61" s="197">
        <f t="shared" si="11"/>
        <v>301</v>
      </c>
      <c r="AB61" s="197">
        <f t="shared" si="11"/>
        <v>0</v>
      </c>
      <c r="AC61" s="197">
        <f t="shared" si="11"/>
        <v>0</v>
      </c>
      <c r="AD61" s="197">
        <f t="shared" si="11"/>
        <v>508</v>
      </c>
      <c r="AE61" s="197">
        <f t="shared" si="11"/>
        <v>308</v>
      </c>
      <c r="AF61" s="197">
        <f t="shared" si="10"/>
        <v>66</v>
      </c>
      <c r="AG61" s="197">
        <f t="shared" si="10"/>
        <v>0</v>
      </c>
      <c r="AH61" s="197">
        <f t="shared" si="10"/>
        <v>165</v>
      </c>
      <c r="AI61" s="197">
        <f t="shared" si="10"/>
        <v>0</v>
      </c>
      <c r="AJ61" s="197">
        <f t="shared" si="10"/>
        <v>363</v>
      </c>
      <c r="AK61" s="197">
        <f t="shared" si="10"/>
        <v>0</v>
      </c>
      <c r="AL61" s="197">
        <f t="shared" si="10"/>
        <v>0</v>
      </c>
    </row>
    <row r="62" spans="1:38">
      <c r="A62" s="11" t="str">
        <f t="shared" si="1"/>
        <v>05-302489282013</v>
      </c>
      <c r="B62" t="s">
        <v>139</v>
      </c>
      <c r="C62" t="s">
        <v>140</v>
      </c>
      <c r="D62">
        <v>2013</v>
      </c>
      <c r="E62" t="s">
        <v>63</v>
      </c>
      <c r="F62">
        <v>968789.31</v>
      </c>
      <c r="G62">
        <v>1627</v>
      </c>
      <c r="H62" s="11" t="str">
        <f t="shared" si="5"/>
        <v>count</v>
      </c>
      <c r="I62" s="197" t="s">
        <v>303</v>
      </c>
      <c r="J62" s="197" t="s">
        <v>304</v>
      </c>
      <c r="K62" s="197" t="s">
        <v>146</v>
      </c>
      <c r="L62" s="197">
        <f t="shared" ref="L62:AA77" si="12">SUMIFS(IF($K62="volume",$F:$F,$G:$G),$D:$D,L$2,$B:$B,$I62,$E:$E,L$3)</f>
        <v>305625.05</v>
      </c>
      <c r="M62" s="197">
        <f t="shared" si="12"/>
        <v>169347.88</v>
      </c>
      <c r="N62" s="197">
        <f t="shared" si="12"/>
        <v>0</v>
      </c>
      <c r="O62" s="197">
        <f t="shared" si="12"/>
        <v>0</v>
      </c>
      <c r="P62" s="197">
        <f t="shared" si="12"/>
        <v>0</v>
      </c>
      <c r="Q62" s="197">
        <f t="shared" si="12"/>
        <v>0</v>
      </c>
      <c r="R62" s="197">
        <f t="shared" si="12"/>
        <v>0</v>
      </c>
      <c r="S62" s="197">
        <f t="shared" si="12"/>
        <v>0</v>
      </c>
      <c r="T62" s="197">
        <f t="shared" si="12"/>
        <v>0</v>
      </c>
      <c r="U62" s="197">
        <f t="shared" si="12"/>
        <v>283299.23</v>
      </c>
      <c r="V62" s="197">
        <f t="shared" si="11"/>
        <v>189287.61</v>
      </c>
      <c r="W62" s="197">
        <f t="shared" si="11"/>
        <v>0</v>
      </c>
      <c r="X62" s="197">
        <f t="shared" si="11"/>
        <v>0</v>
      </c>
      <c r="Y62" s="197">
        <f t="shared" si="11"/>
        <v>0</v>
      </c>
      <c r="Z62" s="197">
        <f t="shared" si="11"/>
        <v>0</v>
      </c>
      <c r="AA62" s="197">
        <f t="shared" si="11"/>
        <v>68729.84</v>
      </c>
      <c r="AB62" s="197">
        <f t="shared" si="11"/>
        <v>0</v>
      </c>
      <c r="AC62" s="197">
        <f t="shared" si="11"/>
        <v>0</v>
      </c>
      <c r="AD62" s="197">
        <f t="shared" si="11"/>
        <v>302402.13</v>
      </c>
      <c r="AE62" s="197">
        <f t="shared" si="11"/>
        <v>206935.28</v>
      </c>
      <c r="AF62" s="197">
        <f t="shared" si="10"/>
        <v>0</v>
      </c>
      <c r="AG62" s="197">
        <f t="shared" si="10"/>
        <v>0</v>
      </c>
      <c r="AH62" s="197">
        <f t="shared" si="10"/>
        <v>0</v>
      </c>
      <c r="AI62" s="197">
        <f t="shared" si="10"/>
        <v>0</v>
      </c>
      <c r="AJ62" s="197">
        <f t="shared" si="10"/>
        <v>111366.66</v>
      </c>
      <c r="AK62" s="197">
        <f t="shared" si="10"/>
        <v>0</v>
      </c>
      <c r="AL62" s="197">
        <f t="shared" si="10"/>
        <v>0</v>
      </c>
    </row>
    <row r="63" spans="1:38">
      <c r="A63" s="11" t="str">
        <f t="shared" si="1"/>
        <v>05-302489282012</v>
      </c>
      <c r="B63" t="s">
        <v>139</v>
      </c>
      <c r="C63" t="s">
        <v>140</v>
      </c>
      <c r="D63">
        <v>2012</v>
      </c>
      <c r="E63" t="s">
        <v>69</v>
      </c>
      <c r="F63">
        <v>443226.96</v>
      </c>
      <c r="G63">
        <v>1020</v>
      </c>
      <c r="H63" s="11" t="str">
        <f t="shared" si="5"/>
        <v>count</v>
      </c>
      <c r="I63" s="197" t="s">
        <v>303</v>
      </c>
      <c r="J63" s="197" t="s">
        <v>304</v>
      </c>
      <c r="K63" s="197" t="s">
        <v>145</v>
      </c>
      <c r="L63" s="197">
        <f t="shared" si="12"/>
        <v>662</v>
      </c>
      <c r="M63" s="197">
        <f t="shared" si="12"/>
        <v>349</v>
      </c>
      <c r="N63" s="197">
        <f t="shared" si="12"/>
        <v>0</v>
      </c>
      <c r="O63" s="197">
        <f t="shared" si="12"/>
        <v>0</v>
      </c>
      <c r="P63" s="197">
        <f t="shared" si="12"/>
        <v>0</v>
      </c>
      <c r="Q63" s="197">
        <f t="shared" si="12"/>
        <v>0</v>
      </c>
      <c r="R63" s="197">
        <f t="shared" si="12"/>
        <v>0</v>
      </c>
      <c r="S63" s="197">
        <f t="shared" si="12"/>
        <v>0</v>
      </c>
      <c r="T63" s="197">
        <f t="shared" si="12"/>
        <v>0</v>
      </c>
      <c r="U63" s="197">
        <f t="shared" si="12"/>
        <v>660</v>
      </c>
      <c r="V63" s="197">
        <f t="shared" si="11"/>
        <v>385</v>
      </c>
      <c r="W63" s="197">
        <f t="shared" si="11"/>
        <v>0</v>
      </c>
      <c r="X63" s="197">
        <f t="shared" si="11"/>
        <v>0</v>
      </c>
      <c r="Y63" s="197">
        <f t="shared" si="11"/>
        <v>0</v>
      </c>
      <c r="Z63" s="197">
        <f t="shared" si="11"/>
        <v>0</v>
      </c>
      <c r="AA63" s="197">
        <f t="shared" si="11"/>
        <v>177</v>
      </c>
      <c r="AB63" s="197">
        <f t="shared" si="11"/>
        <v>0</v>
      </c>
      <c r="AC63" s="197">
        <f t="shared" si="11"/>
        <v>0</v>
      </c>
      <c r="AD63" s="197">
        <f t="shared" si="11"/>
        <v>678</v>
      </c>
      <c r="AE63" s="197">
        <f t="shared" si="11"/>
        <v>415</v>
      </c>
      <c r="AF63" s="197">
        <f t="shared" si="10"/>
        <v>0</v>
      </c>
      <c r="AG63" s="197">
        <f t="shared" si="10"/>
        <v>0</v>
      </c>
      <c r="AH63" s="197">
        <f t="shared" si="10"/>
        <v>0</v>
      </c>
      <c r="AI63" s="197">
        <f t="shared" si="10"/>
        <v>0</v>
      </c>
      <c r="AJ63" s="197">
        <f t="shared" si="10"/>
        <v>237</v>
      </c>
      <c r="AK63" s="197">
        <f t="shared" si="10"/>
        <v>0</v>
      </c>
      <c r="AL63" s="197">
        <f t="shared" si="10"/>
        <v>0</v>
      </c>
    </row>
    <row r="64" spans="1:38">
      <c r="A64" s="11" t="str">
        <f t="shared" si="1"/>
        <v>05-302489282013</v>
      </c>
      <c r="B64" t="s">
        <v>139</v>
      </c>
      <c r="C64" t="s">
        <v>140</v>
      </c>
      <c r="D64">
        <v>2013</v>
      </c>
      <c r="E64" t="s">
        <v>104</v>
      </c>
      <c r="F64">
        <v>502139.65</v>
      </c>
      <c r="G64">
        <v>811</v>
      </c>
      <c r="H64" s="11" t="str">
        <f t="shared" si="5"/>
        <v>count</v>
      </c>
      <c r="I64" s="197" t="s">
        <v>306</v>
      </c>
      <c r="J64" s="197" t="s">
        <v>307</v>
      </c>
      <c r="K64" s="197" t="s">
        <v>146</v>
      </c>
      <c r="L64" s="197">
        <f t="shared" si="12"/>
        <v>233086.44</v>
      </c>
      <c r="M64" s="197">
        <f t="shared" si="12"/>
        <v>73366.13</v>
      </c>
      <c r="N64" s="197">
        <f t="shared" si="12"/>
        <v>8407.35</v>
      </c>
      <c r="O64" s="197">
        <f t="shared" si="12"/>
        <v>24802</v>
      </c>
      <c r="P64" s="197">
        <f t="shared" si="12"/>
        <v>0</v>
      </c>
      <c r="Q64" s="197">
        <f t="shared" si="12"/>
        <v>0</v>
      </c>
      <c r="R64" s="197">
        <f t="shared" si="12"/>
        <v>1933</v>
      </c>
      <c r="S64" s="197">
        <f t="shared" si="12"/>
        <v>0</v>
      </c>
      <c r="T64" s="197">
        <f t="shared" si="12"/>
        <v>0</v>
      </c>
      <c r="U64" s="197">
        <f t="shared" si="12"/>
        <v>89423.81</v>
      </c>
      <c r="V64" s="197">
        <f t="shared" si="11"/>
        <v>70464.649999999994</v>
      </c>
      <c r="W64" s="197">
        <f t="shared" si="11"/>
        <v>11800.66</v>
      </c>
      <c r="X64" s="197">
        <f t="shared" si="11"/>
        <v>51247.8</v>
      </c>
      <c r="Y64" s="197">
        <f t="shared" si="11"/>
        <v>0</v>
      </c>
      <c r="Z64" s="197">
        <f t="shared" si="11"/>
        <v>0</v>
      </c>
      <c r="AA64" s="197">
        <f t="shared" si="11"/>
        <v>192416.26</v>
      </c>
      <c r="AB64" s="197">
        <f t="shared" si="11"/>
        <v>0</v>
      </c>
      <c r="AC64" s="197">
        <f t="shared" si="11"/>
        <v>0</v>
      </c>
      <c r="AD64" s="197">
        <f t="shared" si="11"/>
        <v>94985.12</v>
      </c>
      <c r="AE64" s="197">
        <f t="shared" si="11"/>
        <v>57232.55</v>
      </c>
      <c r="AF64" s="197">
        <f t="shared" si="10"/>
        <v>7370.14</v>
      </c>
      <c r="AG64" s="197">
        <f t="shared" si="10"/>
        <v>55703.24</v>
      </c>
      <c r="AH64" s="197">
        <f t="shared" si="10"/>
        <v>0</v>
      </c>
      <c r="AI64" s="197">
        <f t="shared" si="10"/>
        <v>0</v>
      </c>
      <c r="AJ64" s="197">
        <f t="shared" si="10"/>
        <v>217067.25</v>
      </c>
      <c r="AK64" s="197">
        <f t="shared" si="10"/>
        <v>0</v>
      </c>
      <c r="AL64" s="197">
        <f t="shared" si="10"/>
        <v>0</v>
      </c>
    </row>
    <row r="65" spans="1:38">
      <c r="A65" s="11" t="str">
        <f t="shared" si="1"/>
        <v>05-302489282011</v>
      </c>
      <c r="B65" t="s">
        <v>139</v>
      </c>
      <c r="C65" t="s">
        <v>140</v>
      </c>
      <c r="D65">
        <v>2011</v>
      </c>
      <c r="E65" t="s">
        <v>63</v>
      </c>
      <c r="F65">
        <v>979680.76</v>
      </c>
      <c r="G65">
        <v>2391</v>
      </c>
      <c r="H65" s="11" t="str">
        <f t="shared" si="5"/>
        <v>count</v>
      </c>
      <c r="I65" s="197" t="s">
        <v>306</v>
      </c>
      <c r="J65" s="197" t="s">
        <v>307</v>
      </c>
      <c r="K65" s="197" t="s">
        <v>145</v>
      </c>
      <c r="L65" s="197">
        <f t="shared" si="12"/>
        <v>1700</v>
      </c>
      <c r="M65" s="197">
        <f t="shared" si="12"/>
        <v>627</v>
      </c>
      <c r="N65" s="197">
        <f t="shared" si="12"/>
        <v>63</v>
      </c>
      <c r="O65" s="197">
        <f t="shared" si="12"/>
        <v>151</v>
      </c>
      <c r="P65" s="197">
        <f t="shared" si="12"/>
        <v>0</v>
      </c>
      <c r="Q65" s="197">
        <f t="shared" si="12"/>
        <v>0</v>
      </c>
      <c r="R65" s="197">
        <f t="shared" si="12"/>
        <v>16</v>
      </c>
      <c r="S65" s="197">
        <f t="shared" si="12"/>
        <v>0</v>
      </c>
      <c r="T65" s="197">
        <f t="shared" si="12"/>
        <v>0</v>
      </c>
      <c r="U65" s="197">
        <f t="shared" si="12"/>
        <v>528</v>
      </c>
      <c r="V65" s="197">
        <f t="shared" si="11"/>
        <v>554</v>
      </c>
      <c r="W65" s="197">
        <f t="shared" si="11"/>
        <v>85</v>
      </c>
      <c r="X65" s="197">
        <f t="shared" si="11"/>
        <v>264</v>
      </c>
      <c r="Y65" s="197">
        <f t="shared" si="11"/>
        <v>0</v>
      </c>
      <c r="Z65" s="197">
        <f t="shared" si="11"/>
        <v>0</v>
      </c>
      <c r="AA65" s="197">
        <f t="shared" si="11"/>
        <v>1597</v>
      </c>
      <c r="AB65" s="197">
        <f t="shared" si="11"/>
        <v>0</v>
      </c>
      <c r="AC65" s="197">
        <f t="shared" si="11"/>
        <v>0</v>
      </c>
      <c r="AD65" s="197">
        <f t="shared" si="11"/>
        <v>561</v>
      </c>
      <c r="AE65" s="197">
        <f t="shared" si="11"/>
        <v>468</v>
      </c>
      <c r="AF65" s="197">
        <f t="shared" si="10"/>
        <v>53</v>
      </c>
      <c r="AG65" s="197">
        <f t="shared" si="10"/>
        <v>307</v>
      </c>
      <c r="AH65" s="197">
        <f t="shared" si="10"/>
        <v>0</v>
      </c>
      <c r="AI65" s="197">
        <f t="shared" si="10"/>
        <v>0</v>
      </c>
      <c r="AJ65" s="197">
        <f t="shared" si="10"/>
        <v>1853</v>
      </c>
      <c r="AK65" s="197">
        <f t="shared" si="10"/>
        <v>0</v>
      </c>
      <c r="AL65" s="197">
        <f t="shared" si="10"/>
        <v>0</v>
      </c>
    </row>
    <row r="66" spans="1:38">
      <c r="A66" s="11" t="str">
        <f t="shared" si="1"/>
        <v>05-302873652013</v>
      </c>
      <c r="B66" t="s">
        <v>141</v>
      </c>
      <c r="C66" t="s">
        <v>142</v>
      </c>
      <c r="D66">
        <v>2013</v>
      </c>
      <c r="E66" t="s">
        <v>69</v>
      </c>
      <c r="F66">
        <v>196504.7</v>
      </c>
      <c r="G66">
        <v>238</v>
      </c>
      <c r="H66" s="11" t="str">
        <f t="shared" ref="H66:H129" si="13">IF(B66=B65,"count","volume")</f>
        <v>volume</v>
      </c>
      <c r="I66" s="197" t="s">
        <v>314</v>
      </c>
      <c r="J66" s="197" t="s">
        <v>315</v>
      </c>
      <c r="K66" s="197" t="s">
        <v>146</v>
      </c>
      <c r="L66" s="197">
        <f t="shared" si="12"/>
        <v>762387.45</v>
      </c>
      <c r="M66" s="197">
        <f t="shared" si="12"/>
        <v>310195.01</v>
      </c>
      <c r="N66" s="197">
        <f t="shared" si="12"/>
        <v>114573.57</v>
      </c>
      <c r="O66" s="197">
        <f t="shared" si="12"/>
        <v>765.89</v>
      </c>
      <c r="P66" s="197">
        <f t="shared" si="12"/>
        <v>134079.67999999999</v>
      </c>
      <c r="Q66" s="197">
        <f t="shared" si="12"/>
        <v>0</v>
      </c>
      <c r="R66" s="197">
        <f t="shared" si="12"/>
        <v>0</v>
      </c>
      <c r="S66" s="197">
        <f t="shared" si="12"/>
        <v>0</v>
      </c>
      <c r="T66" s="197">
        <f t="shared" si="12"/>
        <v>0</v>
      </c>
      <c r="U66" s="197">
        <f t="shared" si="12"/>
        <v>716754.63</v>
      </c>
      <c r="V66" s="197">
        <f t="shared" si="11"/>
        <v>265792.89</v>
      </c>
      <c r="W66" s="197">
        <f t="shared" si="11"/>
        <v>103572.09</v>
      </c>
      <c r="X66" s="197">
        <f t="shared" si="11"/>
        <v>309.58</v>
      </c>
      <c r="Y66" s="197">
        <f t="shared" si="11"/>
        <v>126855.8</v>
      </c>
      <c r="Z66" s="197">
        <f t="shared" si="11"/>
        <v>0</v>
      </c>
      <c r="AA66" s="197">
        <f t="shared" si="11"/>
        <v>243872.01</v>
      </c>
      <c r="AB66" s="197">
        <f t="shared" si="11"/>
        <v>0</v>
      </c>
      <c r="AC66" s="197">
        <f t="shared" si="11"/>
        <v>0</v>
      </c>
      <c r="AD66" s="197">
        <f t="shared" si="11"/>
        <v>663458.88</v>
      </c>
      <c r="AE66" s="197">
        <f t="shared" si="11"/>
        <v>277218.62</v>
      </c>
      <c r="AF66" s="197">
        <f t="shared" si="10"/>
        <v>130083.76</v>
      </c>
      <c r="AG66" s="197">
        <f t="shared" si="10"/>
        <v>1981.78</v>
      </c>
      <c r="AH66" s="197">
        <f t="shared" si="10"/>
        <v>117469.49</v>
      </c>
      <c r="AI66" s="197">
        <f t="shared" si="10"/>
        <v>0</v>
      </c>
      <c r="AJ66" s="197">
        <f t="shared" si="10"/>
        <v>225381.35</v>
      </c>
      <c r="AK66" s="197">
        <f t="shared" si="10"/>
        <v>0</v>
      </c>
      <c r="AL66" s="197">
        <f t="shared" si="10"/>
        <v>0</v>
      </c>
    </row>
    <row r="67" spans="1:38">
      <c r="A67" s="11" t="str">
        <f t="shared" ref="A67:A130" si="14">B67&amp;D67</f>
        <v>05-302873652011</v>
      </c>
      <c r="B67" t="s">
        <v>141</v>
      </c>
      <c r="C67" t="s">
        <v>142</v>
      </c>
      <c r="D67">
        <v>2011</v>
      </c>
      <c r="E67" t="s">
        <v>105</v>
      </c>
      <c r="F67">
        <v>81168.44</v>
      </c>
      <c r="G67">
        <v>93</v>
      </c>
      <c r="H67" s="11" t="str">
        <f t="shared" si="13"/>
        <v>count</v>
      </c>
      <c r="I67" s="197" t="s">
        <v>314</v>
      </c>
      <c r="J67" s="197" t="s">
        <v>315</v>
      </c>
      <c r="K67" s="197" t="s">
        <v>145</v>
      </c>
      <c r="L67" s="197">
        <f t="shared" si="12"/>
        <v>752</v>
      </c>
      <c r="M67" s="197">
        <f t="shared" si="12"/>
        <v>325</v>
      </c>
      <c r="N67" s="197">
        <f t="shared" si="12"/>
        <v>106</v>
      </c>
      <c r="O67" s="197">
        <f t="shared" si="12"/>
        <v>1</v>
      </c>
      <c r="P67" s="197">
        <f t="shared" si="12"/>
        <v>118</v>
      </c>
      <c r="Q67" s="197">
        <f t="shared" si="12"/>
        <v>0</v>
      </c>
      <c r="R67" s="197">
        <f t="shared" si="12"/>
        <v>0</v>
      </c>
      <c r="S67" s="197">
        <f t="shared" si="12"/>
        <v>0</v>
      </c>
      <c r="T67" s="197">
        <f t="shared" si="12"/>
        <v>0</v>
      </c>
      <c r="U67" s="197">
        <f t="shared" si="12"/>
        <v>625</v>
      </c>
      <c r="V67" s="197">
        <f t="shared" si="11"/>
        <v>256</v>
      </c>
      <c r="W67" s="197">
        <f t="shared" si="11"/>
        <v>106</v>
      </c>
      <c r="X67" s="197">
        <f t="shared" si="11"/>
        <v>1</v>
      </c>
      <c r="Y67" s="197">
        <f t="shared" si="11"/>
        <v>102</v>
      </c>
      <c r="Z67" s="197">
        <f t="shared" si="11"/>
        <v>0</v>
      </c>
      <c r="AA67" s="197">
        <f t="shared" si="11"/>
        <v>273</v>
      </c>
      <c r="AB67" s="197">
        <f t="shared" si="11"/>
        <v>0</v>
      </c>
      <c r="AC67" s="197">
        <f t="shared" si="11"/>
        <v>0</v>
      </c>
      <c r="AD67" s="197">
        <f t="shared" si="11"/>
        <v>531</v>
      </c>
      <c r="AE67" s="197">
        <f t="shared" si="11"/>
        <v>250</v>
      </c>
      <c r="AF67" s="197">
        <f t="shared" si="11"/>
        <v>112</v>
      </c>
      <c r="AG67" s="197">
        <f t="shared" ref="AF67:AL103" si="15">SUMIFS(IF($K67="volume",$F:$F,$G:$G),$D:$D,AG$2,$B:$B,$I67,$E:$E,AG$3)</f>
        <v>2</v>
      </c>
      <c r="AH67" s="197">
        <f t="shared" si="15"/>
        <v>85</v>
      </c>
      <c r="AI67" s="197">
        <f t="shared" si="15"/>
        <v>0</v>
      </c>
      <c r="AJ67" s="197">
        <f t="shared" si="15"/>
        <v>257</v>
      </c>
      <c r="AK67" s="197">
        <f t="shared" si="15"/>
        <v>0</v>
      </c>
      <c r="AL67" s="197">
        <f t="shared" si="15"/>
        <v>0</v>
      </c>
    </row>
    <row r="68" spans="1:38">
      <c r="A68" s="11" t="str">
        <f t="shared" si="14"/>
        <v>05-302873652013</v>
      </c>
      <c r="B68" t="s">
        <v>141</v>
      </c>
      <c r="C68" t="s">
        <v>142</v>
      </c>
      <c r="D68">
        <v>2013</v>
      </c>
      <c r="E68" t="s">
        <v>63</v>
      </c>
      <c r="F68">
        <v>2122673.4900000002</v>
      </c>
      <c r="G68">
        <v>2127</v>
      </c>
      <c r="H68" s="11" t="str">
        <f t="shared" si="13"/>
        <v>count</v>
      </c>
      <c r="I68" s="197" t="s">
        <v>316</v>
      </c>
      <c r="J68" s="197" t="s">
        <v>317</v>
      </c>
      <c r="K68" s="197" t="s">
        <v>146</v>
      </c>
      <c r="L68" s="197">
        <f t="shared" si="12"/>
        <v>15637214.359999999</v>
      </c>
      <c r="M68" s="197">
        <f t="shared" si="12"/>
        <v>8488390.8200000003</v>
      </c>
      <c r="N68" s="197">
        <f t="shared" si="12"/>
        <v>0</v>
      </c>
      <c r="O68" s="197">
        <f t="shared" si="12"/>
        <v>514222.35</v>
      </c>
      <c r="P68" s="197">
        <f t="shared" si="12"/>
        <v>0</v>
      </c>
      <c r="Q68" s="197">
        <f t="shared" si="12"/>
        <v>0</v>
      </c>
      <c r="R68" s="197">
        <f t="shared" si="12"/>
        <v>0</v>
      </c>
      <c r="S68" s="197">
        <f t="shared" si="12"/>
        <v>0</v>
      </c>
      <c r="T68" s="197">
        <f t="shared" si="12"/>
        <v>0</v>
      </c>
      <c r="U68" s="197">
        <f t="shared" si="12"/>
        <v>0</v>
      </c>
      <c r="V68" s="197">
        <f t="shared" si="11"/>
        <v>0</v>
      </c>
      <c r="W68" s="197">
        <f t="shared" si="11"/>
        <v>0</v>
      </c>
      <c r="X68" s="197">
        <f t="shared" si="11"/>
        <v>109</v>
      </c>
      <c r="Y68" s="197">
        <f t="shared" si="11"/>
        <v>0</v>
      </c>
      <c r="Z68" s="197">
        <f t="shared" si="11"/>
        <v>0</v>
      </c>
      <c r="AA68" s="197">
        <f t="shared" si="11"/>
        <v>0</v>
      </c>
      <c r="AB68" s="197">
        <f t="shared" si="11"/>
        <v>0</v>
      </c>
      <c r="AC68" s="197">
        <f t="shared" si="11"/>
        <v>0</v>
      </c>
      <c r="AD68" s="197">
        <f t="shared" si="11"/>
        <v>0</v>
      </c>
      <c r="AE68" s="197">
        <f t="shared" si="11"/>
        <v>0</v>
      </c>
      <c r="AF68" s="197">
        <f t="shared" si="15"/>
        <v>0</v>
      </c>
      <c r="AG68" s="197">
        <f t="shared" si="15"/>
        <v>0</v>
      </c>
      <c r="AH68" s="197">
        <f t="shared" si="15"/>
        <v>0</v>
      </c>
      <c r="AI68" s="197">
        <f t="shared" si="15"/>
        <v>0</v>
      </c>
      <c r="AJ68" s="197">
        <f t="shared" si="15"/>
        <v>0</v>
      </c>
      <c r="AK68" s="197">
        <f t="shared" si="15"/>
        <v>0</v>
      </c>
      <c r="AL68" s="197">
        <f t="shared" si="15"/>
        <v>0</v>
      </c>
    </row>
    <row r="69" spans="1:38">
      <c r="A69" s="11" t="str">
        <f t="shared" si="14"/>
        <v>05-302873652012</v>
      </c>
      <c r="B69" t="s">
        <v>141</v>
      </c>
      <c r="C69" t="s">
        <v>142</v>
      </c>
      <c r="D69">
        <v>2012</v>
      </c>
      <c r="E69" t="s">
        <v>69</v>
      </c>
      <c r="F69">
        <v>131178.13</v>
      </c>
      <c r="G69">
        <v>166</v>
      </c>
      <c r="H69" s="11" t="str">
        <f t="shared" si="13"/>
        <v>count</v>
      </c>
      <c r="I69" s="197" t="s">
        <v>316</v>
      </c>
      <c r="J69" s="197" t="s">
        <v>317</v>
      </c>
      <c r="K69" s="197" t="s">
        <v>145</v>
      </c>
      <c r="L69" s="197">
        <f t="shared" si="12"/>
        <v>10295</v>
      </c>
      <c r="M69" s="197">
        <f t="shared" si="12"/>
        <v>5270</v>
      </c>
      <c r="N69" s="197">
        <f t="shared" si="12"/>
        <v>0</v>
      </c>
      <c r="O69" s="197">
        <f t="shared" si="12"/>
        <v>347</v>
      </c>
      <c r="P69" s="197">
        <f t="shared" si="12"/>
        <v>0</v>
      </c>
      <c r="Q69" s="197">
        <f t="shared" si="12"/>
        <v>0</v>
      </c>
      <c r="R69" s="197">
        <f t="shared" si="12"/>
        <v>0</v>
      </c>
      <c r="S69" s="197">
        <f t="shared" si="12"/>
        <v>0</v>
      </c>
      <c r="T69" s="197">
        <f t="shared" si="12"/>
        <v>0</v>
      </c>
      <c r="U69" s="197">
        <f t="shared" si="12"/>
        <v>0</v>
      </c>
      <c r="V69" s="197">
        <f t="shared" si="11"/>
        <v>0</v>
      </c>
      <c r="W69" s="197">
        <f t="shared" si="11"/>
        <v>0</v>
      </c>
      <c r="X69" s="197">
        <f t="shared" si="11"/>
        <v>1</v>
      </c>
      <c r="Y69" s="197">
        <f t="shared" si="11"/>
        <v>0</v>
      </c>
      <c r="Z69" s="197">
        <f t="shared" si="11"/>
        <v>0</v>
      </c>
      <c r="AA69" s="197">
        <f t="shared" si="11"/>
        <v>0</v>
      </c>
      <c r="AB69" s="197">
        <f t="shared" si="11"/>
        <v>0</v>
      </c>
      <c r="AC69" s="197">
        <f t="shared" si="11"/>
        <v>0</v>
      </c>
      <c r="AD69" s="197">
        <f t="shared" si="11"/>
        <v>0</v>
      </c>
      <c r="AE69" s="197">
        <f t="shared" si="11"/>
        <v>0</v>
      </c>
      <c r="AF69" s="197">
        <f t="shared" si="15"/>
        <v>0</v>
      </c>
      <c r="AG69" s="197">
        <f t="shared" si="15"/>
        <v>0</v>
      </c>
      <c r="AH69" s="197">
        <f t="shared" si="15"/>
        <v>0</v>
      </c>
      <c r="AI69" s="197">
        <f t="shared" si="15"/>
        <v>0</v>
      </c>
      <c r="AJ69" s="197">
        <f t="shared" si="15"/>
        <v>0</v>
      </c>
      <c r="AK69" s="197">
        <f t="shared" si="15"/>
        <v>0</v>
      </c>
      <c r="AL69" s="197">
        <f t="shared" si="15"/>
        <v>0</v>
      </c>
    </row>
    <row r="70" spans="1:38">
      <c r="A70" s="11" t="str">
        <f t="shared" si="14"/>
        <v>05-302873652013</v>
      </c>
      <c r="B70" t="s">
        <v>141</v>
      </c>
      <c r="C70" t="s">
        <v>142</v>
      </c>
      <c r="D70">
        <v>2013</v>
      </c>
      <c r="E70" t="s">
        <v>104</v>
      </c>
      <c r="F70">
        <v>734359.11</v>
      </c>
      <c r="G70">
        <v>734</v>
      </c>
      <c r="H70" s="11" t="str">
        <f t="shared" si="13"/>
        <v>count</v>
      </c>
      <c r="I70" s="197" t="s">
        <v>319</v>
      </c>
      <c r="J70" s="197" t="s">
        <v>320</v>
      </c>
      <c r="K70" s="197" t="s">
        <v>146</v>
      </c>
      <c r="L70" s="197">
        <f t="shared" si="12"/>
        <v>3208779.96</v>
      </c>
      <c r="M70" s="197">
        <f t="shared" si="12"/>
        <v>1612073.39</v>
      </c>
      <c r="N70" s="197">
        <f t="shared" si="12"/>
        <v>462798.41</v>
      </c>
      <c r="O70" s="197">
        <f t="shared" si="12"/>
        <v>0</v>
      </c>
      <c r="P70" s="197">
        <f t="shared" si="12"/>
        <v>1415496.22</v>
      </c>
      <c r="Q70" s="197">
        <f t="shared" si="12"/>
        <v>0</v>
      </c>
      <c r="R70" s="197">
        <f t="shared" si="12"/>
        <v>0</v>
      </c>
      <c r="S70" s="197">
        <f t="shared" si="12"/>
        <v>0</v>
      </c>
      <c r="T70" s="197">
        <f t="shared" si="12"/>
        <v>0</v>
      </c>
      <c r="U70" s="197">
        <f t="shared" si="12"/>
        <v>3075283.82</v>
      </c>
      <c r="V70" s="197">
        <f t="shared" si="11"/>
        <v>1756162.81</v>
      </c>
      <c r="W70" s="197">
        <f t="shared" si="11"/>
        <v>446777.7</v>
      </c>
      <c r="X70" s="197">
        <f t="shared" si="11"/>
        <v>0</v>
      </c>
      <c r="Y70" s="197">
        <f t="shared" si="11"/>
        <v>1568287.88</v>
      </c>
      <c r="Z70" s="197">
        <f t="shared" si="11"/>
        <v>0</v>
      </c>
      <c r="AA70" s="197">
        <f t="shared" si="11"/>
        <v>691408.89</v>
      </c>
      <c r="AB70" s="197">
        <f t="shared" si="11"/>
        <v>0</v>
      </c>
      <c r="AC70" s="197">
        <f t="shared" si="11"/>
        <v>0</v>
      </c>
      <c r="AD70" s="197">
        <f t="shared" si="11"/>
        <v>3041327.13</v>
      </c>
      <c r="AE70" s="197">
        <f t="shared" si="11"/>
        <v>1588225.28</v>
      </c>
      <c r="AF70" s="197">
        <f t="shared" si="15"/>
        <v>470913.77</v>
      </c>
      <c r="AG70" s="197">
        <f t="shared" si="15"/>
        <v>0</v>
      </c>
      <c r="AH70" s="197">
        <f t="shared" si="15"/>
        <v>1609298.45</v>
      </c>
      <c r="AI70" s="197">
        <f t="shared" si="15"/>
        <v>0</v>
      </c>
      <c r="AJ70" s="197">
        <f t="shared" si="15"/>
        <v>742190.12</v>
      </c>
      <c r="AK70" s="197">
        <f t="shared" si="15"/>
        <v>0</v>
      </c>
      <c r="AL70" s="197">
        <f t="shared" si="15"/>
        <v>0</v>
      </c>
    </row>
    <row r="71" spans="1:38">
      <c r="A71" s="11" t="str">
        <f t="shared" si="14"/>
        <v>05-302873652012</v>
      </c>
      <c r="B71" t="s">
        <v>141</v>
      </c>
      <c r="C71" t="s">
        <v>142</v>
      </c>
      <c r="D71">
        <v>2012</v>
      </c>
      <c r="E71" t="s">
        <v>105</v>
      </c>
      <c r="F71">
        <v>104919.95</v>
      </c>
      <c r="G71">
        <v>123</v>
      </c>
      <c r="H71" s="11" t="str">
        <f t="shared" si="13"/>
        <v>count</v>
      </c>
      <c r="I71" s="197" t="s">
        <v>319</v>
      </c>
      <c r="J71" s="197" t="s">
        <v>320</v>
      </c>
      <c r="K71" s="197" t="s">
        <v>145</v>
      </c>
      <c r="L71" s="197">
        <f t="shared" si="12"/>
        <v>2789</v>
      </c>
      <c r="M71" s="197">
        <f t="shared" si="12"/>
        <v>1427</v>
      </c>
      <c r="N71" s="197">
        <f t="shared" si="12"/>
        <v>417</v>
      </c>
      <c r="O71" s="197">
        <f t="shared" si="12"/>
        <v>0</v>
      </c>
      <c r="P71" s="197">
        <f t="shared" si="12"/>
        <v>1070</v>
      </c>
      <c r="Q71" s="197">
        <f t="shared" si="12"/>
        <v>0</v>
      </c>
      <c r="R71" s="197">
        <f t="shared" si="12"/>
        <v>0</v>
      </c>
      <c r="S71" s="197">
        <f t="shared" si="12"/>
        <v>0</v>
      </c>
      <c r="T71" s="197">
        <f t="shared" si="12"/>
        <v>0</v>
      </c>
      <c r="U71" s="197">
        <f t="shared" si="12"/>
        <v>2788</v>
      </c>
      <c r="V71" s="197">
        <f t="shared" si="11"/>
        <v>1674</v>
      </c>
      <c r="W71" s="197">
        <f t="shared" si="11"/>
        <v>430</v>
      </c>
      <c r="X71" s="197">
        <f t="shared" si="11"/>
        <v>0</v>
      </c>
      <c r="Y71" s="197">
        <f t="shared" si="11"/>
        <v>1265</v>
      </c>
      <c r="Z71" s="197">
        <f t="shared" si="11"/>
        <v>0</v>
      </c>
      <c r="AA71" s="197">
        <f t="shared" si="11"/>
        <v>851</v>
      </c>
      <c r="AB71" s="197">
        <f t="shared" si="11"/>
        <v>0</v>
      </c>
      <c r="AC71" s="197">
        <f t="shared" si="11"/>
        <v>0</v>
      </c>
      <c r="AD71" s="197">
        <f t="shared" si="11"/>
        <v>2891</v>
      </c>
      <c r="AE71" s="197">
        <f t="shared" si="11"/>
        <v>1531</v>
      </c>
      <c r="AF71" s="197">
        <f t="shared" si="15"/>
        <v>460</v>
      </c>
      <c r="AG71" s="197">
        <f t="shared" si="15"/>
        <v>0</v>
      </c>
      <c r="AH71" s="197">
        <f t="shared" si="15"/>
        <v>1328</v>
      </c>
      <c r="AI71" s="197">
        <f t="shared" si="15"/>
        <v>0</v>
      </c>
      <c r="AJ71" s="197">
        <f t="shared" si="15"/>
        <v>970</v>
      </c>
      <c r="AK71" s="197">
        <f t="shared" si="15"/>
        <v>0</v>
      </c>
      <c r="AL71" s="197">
        <f t="shared" si="15"/>
        <v>0</v>
      </c>
    </row>
    <row r="72" spans="1:38">
      <c r="A72" s="11" t="str">
        <f t="shared" si="14"/>
        <v>05-302873652011</v>
      </c>
      <c r="B72" t="s">
        <v>141</v>
      </c>
      <c r="C72" t="s">
        <v>142</v>
      </c>
      <c r="D72">
        <v>2011</v>
      </c>
      <c r="E72" t="s">
        <v>104</v>
      </c>
      <c r="F72">
        <v>744894.53</v>
      </c>
      <c r="G72">
        <v>782</v>
      </c>
      <c r="H72" s="11" t="str">
        <f t="shared" si="13"/>
        <v>count</v>
      </c>
      <c r="I72" s="197" t="s">
        <v>323</v>
      </c>
      <c r="J72" s="197" t="s">
        <v>324</v>
      </c>
      <c r="K72" s="197" t="s">
        <v>146</v>
      </c>
      <c r="L72" s="197">
        <f t="shared" si="12"/>
        <v>555419.56999999995</v>
      </c>
      <c r="M72" s="197">
        <f t="shared" si="12"/>
        <v>271275.89</v>
      </c>
      <c r="N72" s="197">
        <f t="shared" si="12"/>
        <v>66767.839999999997</v>
      </c>
      <c r="O72" s="197">
        <f t="shared" si="12"/>
        <v>2700</v>
      </c>
      <c r="P72" s="197">
        <f t="shared" si="12"/>
        <v>0</v>
      </c>
      <c r="Q72" s="197">
        <f t="shared" si="12"/>
        <v>0</v>
      </c>
      <c r="R72" s="197">
        <f t="shared" si="12"/>
        <v>241.98</v>
      </c>
      <c r="S72" s="197">
        <f t="shared" si="12"/>
        <v>0</v>
      </c>
      <c r="T72" s="197">
        <f t="shared" si="12"/>
        <v>0</v>
      </c>
      <c r="U72" s="197">
        <f t="shared" si="12"/>
        <v>496061.66</v>
      </c>
      <c r="V72" s="197">
        <f t="shared" si="11"/>
        <v>315688.13</v>
      </c>
      <c r="W72" s="197">
        <f t="shared" si="11"/>
        <v>62678.47</v>
      </c>
      <c r="X72" s="197">
        <f t="shared" si="11"/>
        <v>0</v>
      </c>
      <c r="Y72" s="197">
        <f t="shared" si="11"/>
        <v>0</v>
      </c>
      <c r="Z72" s="197">
        <f t="shared" si="11"/>
        <v>0</v>
      </c>
      <c r="AA72" s="197">
        <f t="shared" si="11"/>
        <v>125775.69</v>
      </c>
      <c r="AB72" s="197">
        <f t="shared" si="11"/>
        <v>0</v>
      </c>
      <c r="AC72" s="197">
        <f t="shared" si="11"/>
        <v>0</v>
      </c>
      <c r="AD72" s="197">
        <f t="shared" si="11"/>
        <v>478550.96</v>
      </c>
      <c r="AE72" s="197">
        <f t="shared" si="11"/>
        <v>284599.38</v>
      </c>
      <c r="AF72" s="197">
        <f t="shared" si="15"/>
        <v>86447.45</v>
      </c>
      <c r="AG72" s="197">
        <f t="shared" si="15"/>
        <v>0</v>
      </c>
      <c r="AH72" s="197">
        <f t="shared" si="15"/>
        <v>0</v>
      </c>
      <c r="AI72" s="197">
        <f t="shared" si="15"/>
        <v>0</v>
      </c>
      <c r="AJ72" s="197">
        <f t="shared" si="15"/>
        <v>144924.44</v>
      </c>
      <c r="AK72" s="197">
        <f t="shared" si="15"/>
        <v>0</v>
      </c>
      <c r="AL72" s="197">
        <f t="shared" si="15"/>
        <v>0</v>
      </c>
    </row>
    <row r="73" spans="1:38">
      <c r="A73" s="11" t="str">
        <f t="shared" si="14"/>
        <v>05-302873652011</v>
      </c>
      <c r="B73" t="s">
        <v>141</v>
      </c>
      <c r="C73" t="s">
        <v>142</v>
      </c>
      <c r="D73">
        <v>2011</v>
      </c>
      <c r="E73" t="s">
        <v>63</v>
      </c>
      <c r="F73">
        <v>2234726.5099999998</v>
      </c>
      <c r="G73">
        <v>2187</v>
      </c>
      <c r="H73" s="11" t="str">
        <f t="shared" si="13"/>
        <v>count</v>
      </c>
      <c r="I73" s="197" t="s">
        <v>323</v>
      </c>
      <c r="J73" s="197" t="s">
        <v>324</v>
      </c>
      <c r="K73" s="197" t="s">
        <v>145</v>
      </c>
      <c r="L73" s="197">
        <f t="shared" si="12"/>
        <v>1528</v>
      </c>
      <c r="M73" s="197">
        <f t="shared" si="12"/>
        <v>731</v>
      </c>
      <c r="N73" s="197">
        <f t="shared" si="12"/>
        <v>173</v>
      </c>
      <c r="O73" s="197">
        <f t="shared" si="12"/>
        <v>1</v>
      </c>
      <c r="P73" s="197">
        <f t="shared" si="12"/>
        <v>0</v>
      </c>
      <c r="Q73" s="197">
        <f t="shared" si="12"/>
        <v>0</v>
      </c>
      <c r="R73" s="197">
        <f t="shared" si="12"/>
        <v>1</v>
      </c>
      <c r="S73" s="197">
        <f t="shared" si="12"/>
        <v>0</v>
      </c>
      <c r="T73" s="197">
        <f t="shared" si="12"/>
        <v>0</v>
      </c>
      <c r="U73" s="197">
        <f t="shared" si="12"/>
        <v>1125</v>
      </c>
      <c r="V73" s="197">
        <f t="shared" si="11"/>
        <v>730</v>
      </c>
      <c r="W73" s="197">
        <f t="shared" si="11"/>
        <v>155</v>
      </c>
      <c r="X73" s="197">
        <f t="shared" si="11"/>
        <v>0</v>
      </c>
      <c r="Y73" s="197">
        <f t="shared" si="11"/>
        <v>0</v>
      </c>
      <c r="Z73" s="197">
        <f t="shared" si="11"/>
        <v>0</v>
      </c>
      <c r="AA73" s="197">
        <f t="shared" si="11"/>
        <v>463</v>
      </c>
      <c r="AB73" s="197">
        <f t="shared" si="11"/>
        <v>0</v>
      </c>
      <c r="AC73" s="197">
        <f t="shared" si="11"/>
        <v>0</v>
      </c>
      <c r="AD73" s="197">
        <f t="shared" si="11"/>
        <v>1039</v>
      </c>
      <c r="AE73" s="197">
        <f t="shared" si="11"/>
        <v>601</v>
      </c>
      <c r="AF73" s="197">
        <f t="shared" si="15"/>
        <v>176</v>
      </c>
      <c r="AG73" s="197">
        <f t="shared" si="15"/>
        <v>0</v>
      </c>
      <c r="AH73" s="197">
        <f t="shared" si="15"/>
        <v>0</v>
      </c>
      <c r="AI73" s="197">
        <f t="shared" si="15"/>
        <v>0</v>
      </c>
      <c r="AJ73" s="197">
        <f t="shared" si="15"/>
        <v>502</v>
      </c>
      <c r="AK73" s="197">
        <f t="shared" si="15"/>
        <v>0</v>
      </c>
      <c r="AL73" s="197">
        <f t="shared" si="15"/>
        <v>0</v>
      </c>
    </row>
    <row r="74" spans="1:38">
      <c r="A74" s="11" t="str">
        <f t="shared" si="14"/>
        <v>05-302873652012</v>
      </c>
      <c r="B74" t="s">
        <v>141</v>
      </c>
      <c r="C74" t="s">
        <v>142</v>
      </c>
      <c r="D74">
        <v>2012</v>
      </c>
      <c r="E74" t="s">
        <v>104</v>
      </c>
      <c r="F74">
        <v>790790.89</v>
      </c>
      <c r="G74">
        <v>772</v>
      </c>
      <c r="H74" s="11" t="str">
        <f t="shared" si="13"/>
        <v>count</v>
      </c>
      <c r="I74" s="197" t="s">
        <v>325</v>
      </c>
      <c r="J74" s="197" t="s">
        <v>326</v>
      </c>
      <c r="K74" s="197" t="s">
        <v>146</v>
      </c>
      <c r="L74" s="197">
        <f t="shared" si="12"/>
        <v>181166.35</v>
      </c>
      <c r="M74" s="197">
        <f t="shared" si="12"/>
        <v>105603.14</v>
      </c>
      <c r="N74" s="197">
        <f t="shared" si="12"/>
        <v>9762.49</v>
      </c>
      <c r="O74" s="197">
        <f t="shared" si="12"/>
        <v>209245.74</v>
      </c>
      <c r="P74" s="197">
        <f t="shared" si="12"/>
        <v>0</v>
      </c>
      <c r="Q74" s="197">
        <f t="shared" si="12"/>
        <v>0</v>
      </c>
      <c r="R74" s="197">
        <f t="shared" si="12"/>
        <v>0</v>
      </c>
      <c r="S74" s="197">
        <f t="shared" si="12"/>
        <v>0</v>
      </c>
      <c r="T74" s="197">
        <f t="shared" si="12"/>
        <v>0</v>
      </c>
      <c r="U74" s="197">
        <f t="shared" si="12"/>
        <v>350332.84</v>
      </c>
      <c r="V74" s="197">
        <f t="shared" si="11"/>
        <v>234771.55</v>
      </c>
      <c r="W74" s="197">
        <f t="shared" si="11"/>
        <v>27902.82</v>
      </c>
      <c r="X74" s="197">
        <f t="shared" si="11"/>
        <v>366155.96</v>
      </c>
      <c r="Y74" s="197">
        <f t="shared" si="11"/>
        <v>0</v>
      </c>
      <c r="Z74" s="197">
        <f t="shared" si="11"/>
        <v>0</v>
      </c>
      <c r="AA74" s="197">
        <f t="shared" si="11"/>
        <v>89246.29</v>
      </c>
      <c r="AB74" s="197">
        <f t="shared" si="11"/>
        <v>0</v>
      </c>
      <c r="AC74" s="197">
        <f t="shared" si="11"/>
        <v>0</v>
      </c>
      <c r="AD74" s="197">
        <f t="shared" si="11"/>
        <v>432813.18</v>
      </c>
      <c r="AE74" s="197">
        <f t="shared" si="11"/>
        <v>256502.64</v>
      </c>
      <c r="AF74" s="197">
        <f t="shared" si="15"/>
        <v>44876.18</v>
      </c>
      <c r="AG74" s="197">
        <f t="shared" si="15"/>
        <v>156891.70000000001</v>
      </c>
      <c r="AH74" s="197">
        <f t="shared" si="15"/>
        <v>0</v>
      </c>
      <c r="AI74" s="197">
        <f t="shared" si="15"/>
        <v>0</v>
      </c>
      <c r="AJ74" s="197">
        <f t="shared" si="15"/>
        <v>125027.29</v>
      </c>
      <c r="AK74" s="197">
        <f t="shared" si="15"/>
        <v>0</v>
      </c>
      <c r="AL74" s="197">
        <f t="shared" si="15"/>
        <v>0</v>
      </c>
    </row>
    <row r="75" spans="1:38">
      <c r="A75" s="11" t="str">
        <f t="shared" si="14"/>
        <v>05-302873652013</v>
      </c>
      <c r="B75" t="s">
        <v>141</v>
      </c>
      <c r="C75" t="s">
        <v>142</v>
      </c>
      <c r="D75">
        <v>2013</v>
      </c>
      <c r="E75" t="s">
        <v>105</v>
      </c>
      <c r="F75">
        <v>70593.25</v>
      </c>
      <c r="G75">
        <v>85</v>
      </c>
      <c r="H75" s="11" t="str">
        <f t="shared" si="13"/>
        <v>count</v>
      </c>
      <c r="I75" s="197" t="s">
        <v>325</v>
      </c>
      <c r="J75" s="197" t="s">
        <v>326</v>
      </c>
      <c r="K75" s="197" t="s">
        <v>145</v>
      </c>
      <c r="L75" s="197">
        <f t="shared" si="12"/>
        <v>249</v>
      </c>
      <c r="M75" s="197">
        <f t="shared" si="12"/>
        <v>117</v>
      </c>
      <c r="N75" s="197">
        <f t="shared" si="12"/>
        <v>18</v>
      </c>
      <c r="O75" s="197">
        <f t="shared" si="12"/>
        <v>144</v>
      </c>
      <c r="P75" s="197">
        <f t="shared" si="12"/>
        <v>0</v>
      </c>
      <c r="Q75" s="197">
        <f t="shared" si="12"/>
        <v>0</v>
      </c>
      <c r="R75" s="197">
        <f t="shared" si="12"/>
        <v>0</v>
      </c>
      <c r="S75" s="197">
        <f t="shared" si="12"/>
        <v>0</v>
      </c>
      <c r="T75" s="197">
        <f t="shared" si="12"/>
        <v>0</v>
      </c>
      <c r="U75" s="197">
        <f t="shared" si="12"/>
        <v>387</v>
      </c>
      <c r="V75" s="197">
        <f t="shared" si="11"/>
        <v>274</v>
      </c>
      <c r="W75" s="197">
        <f t="shared" si="11"/>
        <v>33</v>
      </c>
      <c r="X75" s="197">
        <f t="shared" si="11"/>
        <v>239</v>
      </c>
      <c r="Y75" s="197">
        <f t="shared" si="11"/>
        <v>0</v>
      </c>
      <c r="Z75" s="197">
        <f t="shared" si="11"/>
        <v>0</v>
      </c>
      <c r="AA75" s="197">
        <f t="shared" si="11"/>
        <v>119</v>
      </c>
      <c r="AB75" s="197">
        <f t="shared" si="11"/>
        <v>0</v>
      </c>
      <c r="AC75" s="197">
        <f t="shared" si="11"/>
        <v>0</v>
      </c>
      <c r="AD75" s="197">
        <f t="shared" si="11"/>
        <v>484</v>
      </c>
      <c r="AE75" s="197">
        <f t="shared" si="11"/>
        <v>278</v>
      </c>
      <c r="AF75" s="197">
        <f t="shared" si="15"/>
        <v>61</v>
      </c>
      <c r="AG75" s="197">
        <f t="shared" si="15"/>
        <v>101</v>
      </c>
      <c r="AH75" s="197">
        <f t="shared" si="15"/>
        <v>0</v>
      </c>
      <c r="AI75" s="197">
        <f t="shared" si="15"/>
        <v>0</v>
      </c>
      <c r="AJ75" s="197">
        <f t="shared" si="15"/>
        <v>169</v>
      </c>
      <c r="AK75" s="197">
        <f t="shared" si="15"/>
        <v>0</v>
      </c>
      <c r="AL75" s="197">
        <f t="shared" si="15"/>
        <v>0</v>
      </c>
    </row>
    <row r="76" spans="1:38">
      <c r="A76" s="11" t="str">
        <f t="shared" si="14"/>
        <v>05-302873652011</v>
      </c>
      <c r="B76" t="s">
        <v>141</v>
      </c>
      <c r="C76" t="s">
        <v>142</v>
      </c>
      <c r="D76">
        <v>2011</v>
      </c>
      <c r="E76" t="s">
        <v>69</v>
      </c>
      <c r="F76">
        <v>757.5</v>
      </c>
      <c r="G76">
        <v>1</v>
      </c>
      <c r="H76" s="11" t="str">
        <f t="shared" si="13"/>
        <v>count</v>
      </c>
      <c r="I76" s="197" t="s">
        <v>13</v>
      </c>
      <c r="J76" s="197" t="s">
        <v>9</v>
      </c>
      <c r="K76" s="197" t="s">
        <v>146</v>
      </c>
      <c r="L76" s="197">
        <f t="shared" si="12"/>
        <v>1847367.34</v>
      </c>
      <c r="M76" s="197">
        <f t="shared" si="12"/>
        <v>942591.69</v>
      </c>
      <c r="N76" s="197">
        <f t="shared" si="12"/>
        <v>198745.52</v>
      </c>
      <c r="O76" s="197">
        <f t="shared" si="12"/>
        <v>0</v>
      </c>
      <c r="P76" s="197">
        <f t="shared" si="12"/>
        <v>0</v>
      </c>
      <c r="Q76" s="197">
        <f t="shared" si="12"/>
        <v>0</v>
      </c>
      <c r="R76" s="197">
        <f t="shared" si="12"/>
        <v>302.39999999999998</v>
      </c>
      <c r="S76" s="197">
        <f t="shared" si="12"/>
        <v>0</v>
      </c>
      <c r="T76" s="197">
        <f t="shared" si="12"/>
        <v>0</v>
      </c>
      <c r="U76" s="197">
        <f t="shared" si="12"/>
        <v>1901268.53</v>
      </c>
      <c r="V76" s="197">
        <f t="shared" si="11"/>
        <v>1196328.1100000001</v>
      </c>
      <c r="W76" s="197">
        <f t="shared" si="11"/>
        <v>256267.01</v>
      </c>
      <c r="X76" s="197">
        <f t="shared" si="11"/>
        <v>0</v>
      </c>
      <c r="Y76" s="197">
        <f t="shared" si="11"/>
        <v>0</v>
      </c>
      <c r="Z76" s="197">
        <f t="shared" si="11"/>
        <v>0</v>
      </c>
      <c r="AA76" s="197">
        <f t="shared" si="11"/>
        <v>350809.17</v>
      </c>
      <c r="AB76" s="197">
        <f t="shared" si="11"/>
        <v>0</v>
      </c>
      <c r="AC76" s="197">
        <f t="shared" si="11"/>
        <v>0</v>
      </c>
      <c r="AD76" s="197">
        <f t="shared" si="11"/>
        <v>1894928.41</v>
      </c>
      <c r="AE76" s="197">
        <f t="shared" si="11"/>
        <v>1045712.12</v>
      </c>
      <c r="AF76" s="197">
        <f t="shared" si="15"/>
        <v>253609.03</v>
      </c>
      <c r="AG76" s="197">
        <f t="shared" si="15"/>
        <v>0</v>
      </c>
      <c r="AH76" s="197">
        <f t="shared" si="15"/>
        <v>0</v>
      </c>
      <c r="AI76" s="197">
        <f t="shared" si="15"/>
        <v>0</v>
      </c>
      <c r="AJ76" s="197">
        <f t="shared" si="15"/>
        <v>394386.68</v>
      </c>
      <c r="AK76" s="197">
        <f t="shared" si="15"/>
        <v>0</v>
      </c>
      <c r="AL76" s="197">
        <f t="shared" si="15"/>
        <v>0</v>
      </c>
    </row>
    <row r="77" spans="1:38">
      <c r="A77" s="11" t="str">
        <f t="shared" si="14"/>
        <v>05-302873652012</v>
      </c>
      <c r="B77" t="s">
        <v>141</v>
      </c>
      <c r="C77" t="s">
        <v>142</v>
      </c>
      <c r="D77">
        <v>2012</v>
      </c>
      <c r="E77" t="s">
        <v>63</v>
      </c>
      <c r="F77">
        <v>2107287.9500000002</v>
      </c>
      <c r="G77">
        <v>2048</v>
      </c>
      <c r="H77" s="11" t="str">
        <f t="shared" si="13"/>
        <v>count</v>
      </c>
      <c r="I77" s="197" t="s">
        <v>13</v>
      </c>
      <c r="J77" s="197" t="s">
        <v>9</v>
      </c>
      <c r="K77" s="197" t="s">
        <v>145</v>
      </c>
      <c r="L77" s="197">
        <f t="shared" si="12"/>
        <v>1746</v>
      </c>
      <c r="M77" s="197">
        <f t="shared" si="12"/>
        <v>895</v>
      </c>
      <c r="N77" s="197">
        <f t="shared" si="12"/>
        <v>195</v>
      </c>
      <c r="O77" s="197">
        <f t="shared" si="12"/>
        <v>0</v>
      </c>
      <c r="P77" s="197">
        <f t="shared" si="12"/>
        <v>0</v>
      </c>
      <c r="Q77" s="197">
        <f t="shared" si="12"/>
        <v>0</v>
      </c>
      <c r="R77" s="197">
        <f t="shared" si="12"/>
        <v>1</v>
      </c>
      <c r="S77" s="197">
        <f t="shared" si="12"/>
        <v>0</v>
      </c>
      <c r="T77" s="197">
        <f t="shared" si="12"/>
        <v>0</v>
      </c>
      <c r="U77" s="197">
        <f t="shared" si="12"/>
        <v>1703</v>
      </c>
      <c r="V77" s="197">
        <f t="shared" si="12"/>
        <v>1080</v>
      </c>
      <c r="W77" s="197">
        <f t="shared" si="12"/>
        <v>280</v>
      </c>
      <c r="X77" s="197">
        <f t="shared" si="12"/>
        <v>0</v>
      </c>
      <c r="Y77" s="197">
        <f t="shared" si="12"/>
        <v>0</v>
      </c>
      <c r="Z77" s="197">
        <f t="shared" si="12"/>
        <v>0</v>
      </c>
      <c r="AA77" s="197">
        <f t="shared" si="12"/>
        <v>427</v>
      </c>
      <c r="AB77" s="197">
        <f t="shared" ref="V77:AE103" si="16">SUMIFS(IF($K77="volume",$F:$F,$G:$G),$D:$D,AB$2,$B:$B,$I77,$E:$E,AB$3)</f>
        <v>0</v>
      </c>
      <c r="AC77" s="197">
        <f t="shared" si="16"/>
        <v>0</v>
      </c>
      <c r="AD77" s="197">
        <f t="shared" si="16"/>
        <v>1741</v>
      </c>
      <c r="AE77" s="197">
        <f t="shared" si="16"/>
        <v>967</v>
      </c>
      <c r="AF77" s="197">
        <f t="shared" si="15"/>
        <v>246</v>
      </c>
      <c r="AG77" s="197">
        <f t="shared" si="15"/>
        <v>0</v>
      </c>
      <c r="AH77" s="197">
        <f t="shared" si="15"/>
        <v>0</v>
      </c>
      <c r="AI77" s="197">
        <f t="shared" si="15"/>
        <v>0</v>
      </c>
      <c r="AJ77" s="197">
        <f t="shared" si="15"/>
        <v>478</v>
      </c>
      <c r="AK77" s="197">
        <f t="shared" si="15"/>
        <v>0</v>
      </c>
      <c r="AL77" s="197">
        <f t="shared" si="15"/>
        <v>0</v>
      </c>
    </row>
    <row r="78" spans="1:38">
      <c r="A78" s="11" t="str">
        <f t="shared" si="14"/>
        <v>05-303193302012</v>
      </c>
      <c r="B78" t="s">
        <v>152</v>
      </c>
      <c r="C78" t="s">
        <v>153</v>
      </c>
      <c r="D78">
        <v>2012</v>
      </c>
      <c r="E78" t="s">
        <v>69</v>
      </c>
      <c r="F78">
        <v>295177.42</v>
      </c>
      <c r="G78">
        <v>264</v>
      </c>
      <c r="H78" s="11" t="str">
        <f t="shared" si="13"/>
        <v>volume</v>
      </c>
      <c r="I78" s="197" t="s">
        <v>327</v>
      </c>
      <c r="J78" s="197" t="s">
        <v>328</v>
      </c>
      <c r="K78" s="197" t="s">
        <v>146</v>
      </c>
      <c r="L78" s="197">
        <f t="shared" ref="L78:U103" si="17">SUMIFS(IF($K78="volume",$F:$F,$G:$G),$D:$D,L$2,$B:$B,$I78,$E:$E,L$3)</f>
        <v>1903918.87</v>
      </c>
      <c r="M78" s="197">
        <f t="shared" si="17"/>
        <v>1022275.57</v>
      </c>
      <c r="N78" s="197">
        <f t="shared" si="17"/>
        <v>206044.94</v>
      </c>
      <c r="O78" s="197">
        <f t="shared" si="17"/>
        <v>0</v>
      </c>
      <c r="P78" s="197">
        <f t="shared" si="17"/>
        <v>0</v>
      </c>
      <c r="Q78" s="197">
        <f t="shared" si="17"/>
        <v>0</v>
      </c>
      <c r="R78" s="197">
        <f t="shared" si="17"/>
        <v>0</v>
      </c>
      <c r="S78" s="197">
        <f t="shared" si="17"/>
        <v>0</v>
      </c>
      <c r="T78" s="197">
        <f t="shared" si="17"/>
        <v>0</v>
      </c>
      <c r="U78" s="197">
        <f t="shared" si="17"/>
        <v>1667366.76</v>
      </c>
      <c r="V78" s="197">
        <f t="shared" si="16"/>
        <v>973503.79</v>
      </c>
      <c r="W78" s="197">
        <f t="shared" si="16"/>
        <v>229510.73</v>
      </c>
      <c r="X78" s="197">
        <f t="shared" si="16"/>
        <v>0</v>
      </c>
      <c r="Y78" s="197">
        <f t="shared" si="16"/>
        <v>0</v>
      </c>
      <c r="Z78" s="197">
        <f t="shared" si="16"/>
        <v>0</v>
      </c>
      <c r="AA78" s="197">
        <f t="shared" si="16"/>
        <v>402957.64</v>
      </c>
      <c r="AB78" s="197">
        <f t="shared" si="16"/>
        <v>0</v>
      </c>
      <c r="AC78" s="197">
        <f t="shared" si="16"/>
        <v>0</v>
      </c>
      <c r="AD78" s="197">
        <f t="shared" si="16"/>
        <v>1641519.09</v>
      </c>
      <c r="AE78" s="197">
        <f t="shared" si="16"/>
        <v>865338.32</v>
      </c>
      <c r="AF78" s="197">
        <f t="shared" si="15"/>
        <v>253790.21</v>
      </c>
      <c r="AG78" s="197">
        <f t="shared" si="15"/>
        <v>0</v>
      </c>
      <c r="AH78" s="197">
        <f t="shared" si="15"/>
        <v>0</v>
      </c>
      <c r="AI78" s="197">
        <f t="shared" si="15"/>
        <v>0</v>
      </c>
      <c r="AJ78" s="197">
        <f t="shared" si="15"/>
        <v>441640.23</v>
      </c>
      <c r="AK78" s="197">
        <f t="shared" si="15"/>
        <v>0</v>
      </c>
      <c r="AL78" s="197">
        <f t="shared" si="15"/>
        <v>0</v>
      </c>
    </row>
    <row r="79" spans="1:38">
      <c r="A79" s="11" t="str">
        <f t="shared" si="14"/>
        <v>05-303193302012</v>
      </c>
      <c r="B79" t="s">
        <v>152</v>
      </c>
      <c r="C79" t="s">
        <v>153</v>
      </c>
      <c r="D79">
        <v>2012</v>
      </c>
      <c r="E79" t="s">
        <v>133</v>
      </c>
      <c r="F79">
        <v>51949.59</v>
      </c>
      <c r="G79">
        <v>50</v>
      </c>
      <c r="H79" s="11" t="str">
        <f t="shared" si="13"/>
        <v>count</v>
      </c>
      <c r="I79" s="197" t="s">
        <v>327</v>
      </c>
      <c r="J79" s="197" t="s">
        <v>328</v>
      </c>
      <c r="K79" s="197" t="s">
        <v>145</v>
      </c>
      <c r="L79" s="197">
        <f t="shared" si="17"/>
        <v>1362</v>
      </c>
      <c r="M79" s="197">
        <f t="shared" si="17"/>
        <v>672</v>
      </c>
      <c r="N79" s="197">
        <f t="shared" si="17"/>
        <v>153</v>
      </c>
      <c r="O79" s="197">
        <f t="shared" si="17"/>
        <v>0</v>
      </c>
      <c r="P79" s="197">
        <f t="shared" si="17"/>
        <v>0</v>
      </c>
      <c r="Q79" s="197">
        <f t="shared" si="17"/>
        <v>0</v>
      </c>
      <c r="R79" s="197">
        <f t="shared" si="17"/>
        <v>0</v>
      </c>
      <c r="S79" s="197">
        <f t="shared" si="17"/>
        <v>0</v>
      </c>
      <c r="T79" s="197">
        <f t="shared" si="17"/>
        <v>0</v>
      </c>
      <c r="U79" s="197">
        <f t="shared" si="17"/>
        <v>1073</v>
      </c>
      <c r="V79" s="197">
        <f t="shared" si="16"/>
        <v>658</v>
      </c>
      <c r="W79" s="197">
        <f t="shared" si="16"/>
        <v>175</v>
      </c>
      <c r="X79" s="197">
        <f t="shared" si="16"/>
        <v>0</v>
      </c>
      <c r="Y79" s="197">
        <f t="shared" si="16"/>
        <v>0</v>
      </c>
      <c r="Z79" s="197">
        <f t="shared" si="16"/>
        <v>0</v>
      </c>
      <c r="AA79" s="197">
        <f t="shared" si="16"/>
        <v>354</v>
      </c>
      <c r="AB79" s="197">
        <f t="shared" si="16"/>
        <v>0</v>
      </c>
      <c r="AC79" s="197">
        <f t="shared" si="16"/>
        <v>0</v>
      </c>
      <c r="AD79" s="197">
        <f t="shared" si="16"/>
        <v>1070</v>
      </c>
      <c r="AE79" s="197">
        <f t="shared" si="16"/>
        <v>597</v>
      </c>
      <c r="AF79" s="197">
        <f t="shared" si="15"/>
        <v>168</v>
      </c>
      <c r="AG79" s="197">
        <f t="shared" si="15"/>
        <v>0</v>
      </c>
      <c r="AH79" s="197">
        <f t="shared" si="15"/>
        <v>0</v>
      </c>
      <c r="AI79" s="197">
        <f t="shared" si="15"/>
        <v>0</v>
      </c>
      <c r="AJ79" s="197">
        <f t="shared" si="15"/>
        <v>376</v>
      </c>
      <c r="AK79" s="197">
        <f t="shared" si="15"/>
        <v>0</v>
      </c>
      <c r="AL79" s="197">
        <f t="shared" si="15"/>
        <v>0</v>
      </c>
    </row>
    <row r="80" spans="1:38">
      <c r="A80" s="11" t="str">
        <f t="shared" si="14"/>
        <v>05-303193302013</v>
      </c>
      <c r="B80" t="s">
        <v>152</v>
      </c>
      <c r="C80" t="s">
        <v>153</v>
      </c>
      <c r="D80">
        <v>2013</v>
      </c>
      <c r="E80" t="s">
        <v>104</v>
      </c>
      <c r="F80">
        <v>525895.24</v>
      </c>
      <c r="G80">
        <v>441</v>
      </c>
      <c r="H80" s="11" t="str">
        <f t="shared" si="13"/>
        <v>count</v>
      </c>
      <c r="I80" s="197" t="s">
        <v>333</v>
      </c>
      <c r="J80" s="197" t="s">
        <v>334</v>
      </c>
      <c r="K80" s="197" t="s">
        <v>146</v>
      </c>
      <c r="L80" s="197">
        <f t="shared" si="17"/>
        <v>263611.09999999998</v>
      </c>
      <c r="M80" s="197">
        <f t="shared" si="17"/>
        <v>140038.51</v>
      </c>
      <c r="N80" s="197">
        <f t="shared" si="17"/>
        <v>18934.38</v>
      </c>
      <c r="O80" s="197">
        <f t="shared" si="17"/>
        <v>0</v>
      </c>
      <c r="P80" s="197">
        <f t="shared" si="17"/>
        <v>0</v>
      </c>
      <c r="Q80" s="197">
        <f t="shared" si="17"/>
        <v>0</v>
      </c>
      <c r="R80" s="197">
        <f t="shared" si="17"/>
        <v>0</v>
      </c>
      <c r="S80" s="197">
        <f t="shared" si="17"/>
        <v>0</v>
      </c>
      <c r="T80" s="197">
        <f t="shared" si="17"/>
        <v>0</v>
      </c>
      <c r="U80" s="197">
        <f t="shared" si="17"/>
        <v>237419.09</v>
      </c>
      <c r="V80" s="197">
        <f t="shared" si="16"/>
        <v>136671.07999999999</v>
      </c>
      <c r="W80" s="197">
        <f t="shared" si="16"/>
        <v>30242.71</v>
      </c>
      <c r="X80" s="197">
        <f t="shared" si="16"/>
        <v>0</v>
      </c>
      <c r="Y80" s="197">
        <f t="shared" si="16"/>
        <v>0</v>
      </c>
      <c r="Z80" s="197">
        <f t="shared" si="16"/>
        <v>0</v>
      </c>
      <c r="AA80" s="197">
        <f t="shared" si="16"/>
        <v>74932.899999999994</v>
      </c>
      <c r="AB80" s="197">
        <f t="shared" si="16"/>
        <v>0</v>
      </c>
      <c r="AC80" s="197">
        <f t="shared" si="16"/>
        <v>0</v>
      </c>
      <c r="AD80" s="197">
        <f t="shared" si="16"/>
        <v>305172.93</v>
      </c>
      <c r="AE80" s="197">
        <f t="shared" si="16"/>
        <v>151780.68</v>
      </c>
      <c r="AF80" s="197">
        <f t="shared" si="15"/>
        <v>31194.53</v>
      </c>
      <c r="AG80" s="197">
        <f t="shared" si="15"/>
        <v>0</v>
      </c>
      <c r="AH80" s="197">
        <f t="shared" si="15"/>
        <v>0</v>
      </c>
      <c r="AI80" s="197">
        <f t="shared" si="15"/>
        <v>0</v>
      </c>
      <c r="AJ80" s="197">
        <f t="shared" si="15"/>
        <v>142669.97</v>
      </c>
      <c r="AK80" s="197">
        <f t="shared" si="15"/>
        <v>0</v>
      </c>
      <c r="AL80" s="197">
        <f t="shared" si="15"/>
        <v>0</v>
      </c>
    </row>
    <row r="81" spans="1:38">
      <c r="A81" s="11" t="str">
        <f t="shared" si="14"/>
        <v>05-303193302013</v>
      </c>
      <c r="B81" t="s">
        <v>152</v>
      </c>
      <c r="C81" t="s">
        <v>153</v>
      </c>
      <c r="D81">
        <v>2013</v>
      </c>
      <c r="E81" t="s">
        <v>63</v>
      </c>
      <c r="F81">
        <v>1490156.9</v>
      </c>
      <c r="G81">
        <v>1152</v>
      </c>
      <c r="H81" s="11" t="str">
        <f t="shared" si="13"/>
        <v>count</v>
      </c>
      <c r="I81" s="197" t="s">
        <v>333</v>
      </c>
      <c r="J81" s="197" t="s">
        <v>334</v>
      </c>
      <c r="K81" s="197" t="s">
        <v>145</v>
      </c>
      <c r="L81" s="197">
        <f t="shared" si="17"/>
        <v>139</v>
      </c>
      <c r="M81" s="197">
        <f t="shared" si="17"/>
        <v>68</v>
      </c>
      <c r="N81" s="197">
        <f t="shared" si="17"/>
        <v>9</v>
      </c>
      <c r="O81" s="197">
        <f t="shared" si="17"/>
        <v>0</v>
      </c>
      <c r="P81" s="197">
        <f t="shared" si="17"/>
        <v>0</v>
      </c>
      <c r="Q81" s="197">
        <f t="shared" si="17"/>
        <v>0</v>
      </c>
      <c r="R81" s="197">
        <f t="shared" si="17"/>
        <v>0</v>
      </c>
      <c r="S81" s="197">
        <f t="shared" si="17"/>
        <v>0</v>
      </c>
      <c r="T81" s="197">
        <f t="shared" si="17"/>
        <v>0</v>
      </c>
      <c r="U81" s="197">
        <f t="shared" si="17"/>
        <v>138</v>
      </c>
      <c r="V81" s="197">
        <f t="shared" si="16"/>
        <v>81</v>
      </c>
      <c r="W81" s="197">
        <f t="shared" si="16"/>
        <v>20</v>
      </c>
      <c r="X81" s="197">
        <f t="shared" si="16"/>
        <v>0</v>
      </c>
      <c r="Y81" s="197">
        <f t="shared" si="16"/>
        <v>0</v>
      </c>
      <c r="Z81" s="197">
        <f t="shared" si="16"/>
        <v>0</v>
      </c>
      <c r="AA81" s="197">
        <f t="shared" si="16"/>
        <v>56</v>
      </c>
      <c r="AB81" s="197">
        <f t="shared" si="16"/>
        <v>0</v>
      </c>
      <c r="AC81" s="197">
        <f t="shared" si="16"/>
        <v>0</v>
      </c>
      <c r="AD81" s="197">
        <f t="shared" si="16"/>
        <v>196</v>
      </c>
      <c r="AE81" s="197">
        <f t="shared" si="16"/>
        <v>89</v>
      </c>
      <c r="AF81" s="197">
        <f t="shared" si="15"/>
        <v>21</v>
      </c>
      <c r="AG81" s="197">
        <f t="shared" si="15"/>
        <v>0</v>
      </c>
      <c r="AH81" s="197">
        <f t="shared" si="15"/>
        <v>0</v>
      </c>
      <c r="AI81" s="197">
        <f t="shared" si="15"/>
        <v>0</v>
      </c>
      <c r="AJ81" s="197">
        <f t="shared" si="15"/>
        <v>95</v>
      </c>
      <c r="AK81" s="197">
        <f t="shared" si="15"/>
        <v>0</v>
      </c>
      <c r="AL81" s="197">
        <f t="shared" si="15"/>
        <v>0</v>
      </c>
    </row>
    <row r="82" spans="1:38">
      <c r="A82" s="11" t="str">
        <f t="shared" si="14"/>
        <v>05-303193302011</v>
      </c>
      <c r="B82" t="s">
        <v>152</v>
      </c>
      <c r="C82" t="s">
        <v>153</v>
      </c>
      <c r="D82">
        <v>2011</v>
      </c>
      <c r="E82" t="s">
        <v>63</v>
      </c>
      <c r="F82">
        <v>1864609.89</v>
      </c>
      <c r="G82">
        <v>1425</v>
      </c>
      <c r="H82" s="11" t="str">
        <f t="shared" si="13"/>
        <v>count</v>
      </c>
      <c r="I82" s="197" t="s">
        <v>335</v>
      </c>
      <c r="J82" s="197" t="s">
        <v>336</v>
      </c>
      <c r="K82" s="197" t="s">
        <v>146</v>
      </c>
      <c r="L82" s="197">
        <f t="shared" si="17"/>
        <v>59546.3</v>
      </c>
      <c r="M82" s="197">
        <f t="shared" si="17"/>
        <v>21436.880000000001</v>
      </c>
      <c r="N82" s="197">
        <f t="shared" si="17"/>
        <v>688.97</v>
      </c>
      <c r="O82" s="197">
        <f t="shared" si="17"/>
        <v>35210.730000000003</v>
      </c>
      <c r="P82" s="197">
        <f t="shared" si="17"/>
        <v>0</v>
      </c>
      <c r="Q82" s="197">
        <f t="shared" si="17"/>
        <v>0</v>
      </c>
      <c r="R82" s="197">
        <f t="shared" si="17"/>
        <v>808.33</v>
      </c>
      <c r="S82" s="197">
        <f t="shared" si="17"/>
        <v>0</v>
      </c>
      <c r="T82" s="197">
        <f t="shared" si="17"/>
        <v>0</v>
      </c>
      <c r="U82" s="197">
        <f t="shared" si="17"/>
        <v>60090.38</v>
      </c>
      <c r="V82" s="197">
        <f t="shared" si="16"/>
        <v>41868.82</v>
      </c>
      <c r="W82" s="197">
        <f t="shared" si="16"/>
        <v>11305.8</v>
      </c>
      <c r="X82" s="197">
        <f t="shared" si="16"/>
        <v>74698.97</v>
      </c>
      <c r="Y82" s="197">
        <f t="shared" si="16"/>
        <v>0</v>
      </c>
      <c r="Z82" s="197">
        <f t="shared" si="16"/>
        <v>0</v>
      </c>
      <c r="AA82" s="197">
        <f t="shared" si="16"/>
        <v>121273.01</v>
      </c>
      <c r="AB82" s="197">
        <f t="shared" si="16"/>
        <v>0</v>
      </c>
      <c r="AC82" s="197">
        <f t="shared" si="16"/>
        <v>0</v>
      </c>
      <c r="AD82" s="197">
        <f t="shared" si="16"/>
        <v>17842.349999999999</v>
      </c>
      <c r="AE82" s="197">
        <f t="shared" si="16"/>
        <v>9532.76</v>
      </c>
      <c r="AF82" s="197">
        <f t="shared" si="15"/>
        <v>2591.15</v>
      </c>
      <c r="AG82" s="197">
        <f t="shared" si="15"/>
        <v>14028.56</v>
      </c>
      <c r="AH82" s="197">
        <f t="shared" si="15"/>
        <v>0</v>
      </c>
      <c r="AI82" s="197">
        <f t="shared" si="15"/>
        <v>0</v>
      </c>
      <c r="AJ82" s="197">
        <f t="shared" si="15"/>
        <v>32457.93</v>
      </c>
      <c r="AK82" s="197">
        <f t="shared" si="15"/>
        <v>0</v>
      </c>
      <c r="AL82" s="197">
        <f t="shared" si="15"/>
        <v>0</v>
      </c>
    </row>
    <row r="83" spans="1:38">
      <c r="A83" s="11" t="str">
        <f t="shared" si="14"/>
        <v>05-303193302012</v>
      </c>
      <c r="B83" t="s">
        <v>152</v>
      </c>
      <c r="C83" t="s">
        <v>153</v>
      </c>
      <c r="D83">
        <v>2012</v>
      </c>
      <c r="E83" t="s">
        <v>105</v>
      </c>
      <c r="F83">
        <v>89282.39</v>
      </c>
      <c r="G83">
        <v>69</v>
      </c>
      <c r="H83" s="11" t="str">
        <f t="shared" si="13"/>
        <v>count</v>
      </c>
      <c r="I83" s="197" t="s">
        <v>335</v>
      </c>
      <c r="J83" s="197" t="s">
        <v>336</v>
      </c>
      <c r="K83" s="197" t="s">
        <v>145</v>
      </c>
      <c r="L83" s="197">
        <f t="shared" si="17"/>
        <v>351</v>
      </c>
      <c r="M83" s="197">
        <f t="shared" si="17"/>
        <v>119</v>
      </c>
      <c r="N83" s="197">
        <f t="shared" si="17"/>
        <v>7</v>
      </c>
      <c r="O83" s="197">
        <f t="shared" si="17"/>
        <v>269</v>
      </c>
      <c r="P83" s="197">
        <f t="shared" si="17"/>
        <v>0</v>
      </c>
      <c r="Q83" s="197">
        <f t="shared" si="17"/>
        <v>0</v>
      </c>
      <c r="R83" s="197">
        <f t="shared" si="17"/>
        <v>6</v>
      </c>
      <c r="S83" s="197">
        <f t="shared" si="17"/>
        <v>0</v>
      </c>
      <c r="T83" s="197">
        <f t="shared" si="17"/>
        <v>0</v>
      </c>
      <c r="U83" s="197">
        <f t="shared" si="17"/>
        <v>619</v>
      </c>
      <c r="V83" s="197">
        <f t="shared" si="16"/>
        <v>425</v>
      </c>
      <c r="W83" s="197">
        <f t="shared" si="16"/>
        <v>144</v>
      </c>
      <c r="X83" s="197">
        <f t="shared" si="16"/>
        <v>824</v>
      </c>
      <c r="Y83" s="197">
        <f t="shared" si="16"/>
        <v>0</v>
      </c>
      <c r="Z83" s="197">
        <f t="shared" si="16"/>
        <v>0</v>
      </c>
      <c r="AA83" s="197">
        <f t="shared" si="16"/>
        <v>1157</v>
      </c>
      <c r="AB83" s="197">
        <f t="shared" si="16"/>
        <v>0</v>
      </c>
      <c r="AC83" s="197">
        <f t="shared" si="16"/>
        <v>0</v>
      </c>
      <c r="AD83" s="197">
        <f t="shared" si="16"/>
        <v>180</v>
      </c>
      <c r="AE83" s="197">
        <f t="shared" si="16"/>
        <v>104</v>
      </c>
      <c r="AF83" s="197">
        <f t="shared" si="15"/>
        <v>35</v>
      </c>
      <c r="AG83" s="197">
        <f t="shared" si="15"/>
        <v>181</v>
      </c>
      <c r="AH83" s="197">
        <f t="shared" si="15"/>
        <v>0</v>
      </c>
      <c r="AI83" s="197">
        <f t="shared" si="15"/>
        <v>0</v>
      </c>
      <c r="AJ83" s="197">
        <f t="shared" si="15"/>
        <v>366</v>
      </c>
      <c r="AK83" s="197">
        <f t="shared" si="15"/>
        <v>0</v>
      </c>
      <c r="AL83" s="197">
        <f t="shared" si="15"/>
        <v>0</v>
      </c>
    </row>
    <row r="84" spans="1:38">
      <c r="A84" s="11" t="str">
        <f t="shared" si="14"/>
        <v>05-303193302011</v>
      </c>
      <c r="B84" t="s">
        <v>152</v>
      </c>
      <c r="C84" t="s">
        <v>153</v>
      </c>
      <c r="D84">
        <v>2011</v>
      </c>
      <c r="E84" t="s">
        <v>104</v>
      </c>
      <c r="F84">
        <v>728967.14</v>
      </c>
      <c r="G84">
        <v>609</v>
      </c>
      <c r="H84" s="11" t="str">
        <f t="shared" si="13"/>
        <v>count</v>
      </c>
      <c r="I84" s="197" t="s">
        <v>342</v>
      </c>
      <c r="J84" s="197" t="s">
        <v>343</v>
      </c>
      <c r="K84" s="197" t="s">
        <v>146</v>
      </c>
      <c r="L84" s="197">
        <f t="shared" si="17"/>
        <v>2027349.43</v>
      </c>
      <c r="M84" s="197">
        <f t="shared" si="17"/>
        <v>1101643.82</v>
      </c>
      <c r="N84" s="197">
        <f t="shared" si="17"/>
        <v>366792.1</v>
      </c>
      <c r="O84" s="197">
        <f t="shared" si="17"/>
        <v>0</v>
      </c>
      <c r="P84" s="197">
        <f t="shared" si="17"/>
        <v>0</v>
      </c>
      <c r="Q84" s="197">
        <f t="shared" si="17"/>
        <v>0</v>
      </c>
      <c r="R84" s="197">
        <f t="shared" si="17"/>
        <v>0</v>
      </c>
      <c r="S84" s="197">
        <f t="shared" si="17"/>
        <v>0</v>
      </c>
      <c r="T84" s="197">
        <f t="shared" si="17"/>
        <v>0</v>
      </c>
      <c r="U84" s="197">
        <f t="shared" si="17"/>
        <v>2291547.37</v>
      </c>
      <c r="V84" s="197">
        <f t="shared" si="16"/>
        <v>1308868.78</v>
      </c>
      <c r="W84" s="197">
        <f t="shared" si="16"/>
        <v>518991.76</v>
      </c>
      <c r="X84" s="197">
        <f t="shared" si="16"/>
        <v>600</v>
      </c>
      <c r="Y84" s="197">
        <f t="shared" si="16"/>
        <v>0</v>
      </c>
      <c r="Z84" s="197">
        <f t="shared" si="16"/>
        <v>0</v>
      </c>
      <c r="AA84" s="197">
        <f t="shared" si="16"/>
        <v>706565.74</v>
      </c>
      <c r="AB84" s="197">
        <f t="shared" si="16"/>
        <v>0</v>
      </c>
      <c r="AC84" s="197">
        <f t="shared" si="16"/>
        <v>0</v>
      </c>
      <c r="AD84" s="197">
        <f t="shared" si="16"/>
        <v>2411549.8199999998</v>
      </c>
      <c r="AE84" s="197">
        <f t="shared" si="16"/>
        <v>1292818.99</v>
      </c>
      <c r="AF84" s="197">
        <f t="shared" si="15"/>
        <v>539003.05000000005</v>
      </c>
      <c r="AG84" s="197">
        <f t="shared" si="15"/>
        <v>0</v>
      </c>
      <c r="AH84" s="197">
        <f t="shared" si="15"/>
        <v>0</v>
      </c>
      <c r="AI84" s="197">
        <f t="shared" si="15"/>
        <v>0</v>
      </c>
      <c r="AJ84" s="197">
        <f t="shared" si="15"/>
        <v>1238816.19</v>
      </c>
      <c r="AK84" s="197">
        <f t="shared" si="15"/>
        <v>0</v>
      </c>
      <c r="AL84" s="197">
        <f t="shared" si="15"/>
        <v>0</v>
      </c>
    </row>
    <row r="85" spans="1:38">
      <c r="A85" s="11" t="str">
        <f t="shared" si="14"/>
        <v>05-303193302013</v>
      </c>
      <c r="B85" t="s">
        <v>152</v>
      </c>
      <c r="C85" t="s">
        <v>153</v>
      </c>
      <c r="D85">
        <v>2013</v>
      </c>
      <c r="E85" t="s">
        <v>105</v>
      </c>
      <c r="F85">
        <v>67619.77</v>
      </c>
      <c r="G85">
        <v>57</v>
      </c>
      <c r="H85" s="11" t="str">
        <f t="shared" si="13"/>
        <v>count</v>
      </c>
      <c r="I85" s="197" t="s">
        <v>342</v>
      </c>
      <c r="J85" s="197" t="s">
        <v>343</v>
      </c>
      <c r="K85" s="197" t="s">
        <v>145</v>
      </c>
      <c r="L85" s="197">
        <f t="shared" si="17"/>
        <v>1805</v>
      </c>
      <c r="M85" s="197">
        <f t="shared" si="17"/>
        <v>940</v>
      </c>
      <c r="N85" s="197">
        <f t="shared" si="17"/>
        <v>312</v>
      </c>
      <c r="O85" s="197">
        <f t="shared" si="17"/>
        <v>0</v>
      </c>
      <c r="P85" s="197">
        <f t="shared" si="17"/>
        <v>0</v>
      </c>
      <c r="Q85" s="197">
        <f t="shared" si="17"/>
        <v>0</v>
      </c>
      <c r="R85" s="197">
        <f t="shared" si="17"/>
        <v>0</v>
      </c>
      <c r="S85" s="197">
        <f t="shared" si="17"/>
        <v>0</v>
      </c>
      <c r="T85" s="197">
        <f t="shared" si="17"/>
        <v>0</v>
      </c>
      <c r="U85" s="197">
        <f t="shared" si="17"/>
        <v>2066</v>
      </c>
      <c r="V85" s="197">
        <f t="shared" si="16"/>
        <v>1212</v>
      </c>
      <c r="W85" s="197">
        <f t="shared" si="16"/>
        <v>475</v>
      </c>
      <c r="X85" s="197">
        <f t="shared" si="16"/>
        <v>1</v>
      </c>
      <c r="Y85" s="197">
        <f t="shared" si="16"/>
        <v>0</v>
      </c>
      <c r="Z85" s="197">
        <f t="shared" si="16"/>
        <v>0</v>
      </c>
      <c r="AA85" s="197">
        <f t="shared" si="16"/>
        <v>852</v>
      </c>
      <c r="AB85" s="197">
        <f t="shared" si="16"/>
        <v>0</v>
      </c>
      <c r="AC85" s="197">
        <f t="shared" si="16"/>
        <v>0</v>
      </c>
      <c r="AD85" s="197">
        <f t="shared" si="16"/>
        <v>2127</v>
      </c>
      <c r="AE85" s="197">
        <f t="shared" si="16"/>
        <v>1187</v>
      </c>
      <c r="AF85" s="197">
        <f t="shared" si="15"/>
        <v>466</v>
      </c>
      <c r="AG85" s="197">
        <f t="shared" si="15"/>
        <v>0</v>
      </c>
      <c r="AH85" s="197">
        <f t="shared" si="15"/>
        <v>0</v>
      </c>
      <c r="AI85" s="197">
        <f t="shared" si="15"/>
        <v>0</v>
      </c>
      <c r="AJ85" s="197">
        <f t="shared" si="15"/>
        <v>1361</v>
      </c>
      <c r="AK85" s="197">
        <f t="shared" si="15"/>
        <v>0</v>
      </c>
      <c r="AL85" s="197">
        <f t="shared" si="15"/>
        <v>0</v>
      </c>
    </row>
    <row r="86" spans="1:38">
      <c r="A86" s="11" t="str">
        <f t="shared" si="14"/>
        <v>05-303193302011</v>
      </c>
      <c r="B86" t="s">
        <v>152</v>
      </c>
      <c r="C86" t="s">
        <v>153</v>
      </c>
      <c r="D86">
        <v>2011</v>
      </c>
      <c r="E86" t="s">
        <v>133</v>
      </c>
      <c r="F86">
        <v>33861.4</v>
      </c>
      <c r="G86">
        <v>23</v>
      </c>
      <c r="H86" s="11" t="str">
        <f t="shared" si="13"/>
        <v>count</v>
      </c>
      <c r="I86" s="197" t="s">
        <v>344</v>
      </c>
      <c r="J86" s="197" t="s">
        <v>345</v>
      </c>
      <c r="K86" s="197" t="s">
        <v>146</v>
      </c>
      <c r="L86" s="197">
        <f t="shared" si="17"/>
        <v>522106.24</v>
      </c>
      <c r="M86" s="197">
        <f t="shared" si="17"/>
        <v>210802.42</v>
      </c>
      <c r="N86" s="197">
        <f t="shared" si="17"/>
        <v>56367.59</v>
      </c>
      <c r="O86" s="197">
        <f t="shared" si="17"/>
        <v>0</v>
      </c>
      <c r="P86" s="197">
        <f t="shared" si="17"/>
        <v>119682.59</v>
      </c>
      <c r="Q86" s="197">
        <f t="shared" si="17"/>
        <v>0</v>
      </c>
      <c r="R86" s="197">
        <f t="shared" si="17"/>
        <v>1982.78</v>
      </c>
      <c r="S86" s="197">
        <f t="shared" si="17"/>
        <v>0</v>
      </c>
      <c r="T86" s="197">
        <f t="shared" si="17"/>
        <v>0</v>
      </c>
      <c r="U86" s="197">
        <f t="shared" si="17"/>
        <v>353837.64</v>
      </c>
      <c r="V86" s="197">
        <f t="shared" si="16"/>
        <v>205802.76</v>
      </c>
      <c r="W86" s="197">
        <f t="shared" si="16"/>
        <v>58891.9</v>
      </c>
      <c r="X86" s="197">
        <f t="shared" si="16"/>
        <v>0</v>
      </c>
      <c r="Y86" s="197">
        <f t="shared" si="16"/>
        <v>145704.14000000001</v>
      </c>
      <c r="Z86" s="197">
        <f t="shared" si="16"/>
        <v>0</v>
      </c>
      <c r="AA86" s="197">
        <f t="shared" si="16"/>
        <v>254695.04000000001</v>
      </c>
      <c r="AB86" s="197">
        <f t="shared" si="16"/>
        <v>0</v>
      </c>
      <c r="AC86" s="197">
        <f t="shared" si="16"/>
        <v>0</v>
      </c>
      <c r="AD86" s="197">
        <f t="shared" si="16"/>
        <v>282620.02</v>
      </c>
      <c r="AE86" s="197">
        <f t="shared" si="16"/>
        <v>175515.19</v>
      </c>
      <c r="AF86" s="197">
        <f t="shared" si="15"/>
        <v>59556.25</v>
      </c>
      <c r="AG86" s="197">
        <f t="shared" si="15"/>
        <v>0</v>
      </c>
      <c r="AH86" s="197">
        <f t="shared" si="15"/>
        <v>125496.31</v>
      </c>
      <c r="AI86" s="197">
        <f t="shared" si="15"/>
        <v>0</v>
      </c>
      <c r="AJ86" s="197">
        <f t="shared" si="15"/>
        <v>260873.62</v>
      </c>
      <c r="AK86" s="197">
        <f t="shared" si="15"/>
        <v>0</v>
      </c>
      <c r="AL86" s="197">
        <f t="shared" si="15"/>
        <v>0</v>
      </c>
    </row>
    <row r="87" spans="1:38">
      <c r="A87" s="11" t="str">
        <f t="shared" si="14"/>
        <v>05-303193302011</v>
      </c>
      <c r="B87" t="s">
        <v>152</v>
      </c>
      <c r="C87" t="s">
        <v>153</v>
      </c>
      <c r="D87">
        <v>2011</v>
      </c>
      <c r="E87" t="s">
        <v>69</v>
      </c>
      <c r="F87">
        <v>1575.99</v>
      </c>
      <c r="G87">
        <v>1</v>
      </c>
      <c r="H87" s="11" t="str">
        <f t="shared" si="13"/>
        <v>count</v>
      </c>
      <c r="I87" s="197" t="s">
        <v>344</v>
      </c>
      <c r="J87" s="197" t="s">
        <v>345</v>
      </c>
      <c r="K87" s="197" t="s">
        <v>145</v>
      </c>
      <c r="L87" s="197">
        <f t="shared" si="17"/>
        <v>1273</v>
      </c>
      <c r="M87" s="197">
        <f t="shared" si="17"/>
        <v>490</v>
      </c>
      <c r="N87" s="197">
        <f t="shared" si="17"/>
        <v>115</v>
      </c>
      <c r="O87" s="197">
        <f t="shared" si="17"/>
        <v>0</v>
      </c>
      <c r="P87" s="197">
        <f t="shared" si="17"/>
        <v>281</v>
      </c>
      <c r="Q87" s="197">
        <f t="shared" si="17"/>
        <v>0</v>
      </c>
      <c r="R87" s="197">
        <f t="shared" si="17"/>
        <v>4</v>
      </c>
      <c r="S87" s="197">
        <f t="shared" si="17"/>
        <v>0</v>
      </c>
      <c r="T87" s="197">
        <f t="shared" si="17"/>
        <v>0</v>
      </c>
      <c r="U87" s="197">
        <f t="shared" si="17"/>
        <v>898</v>
      </c>
      <c r="V87" s="197">
        <f t="shared" si="16"/>
        <v>531</v>
      </c>
      <c r="W87" s="197">
        <f t="shared" si="16"/>
        <v>134</v>
      </c>
      <c r="X87" s="197">
        <f t="shared" si="16"/>
        <v>0</v>
      </c>
      <c r="Y87" s="197">
        <f t="shared" si="16"/>
        <v>366</v>
      </c>
      <c r="Z87" s="197">
        <f t="shared" si="16"/>
        <v>0</v>
      </c>
      <c r="AA87" s="197">
        <f t="shared" si="16"/>
        <v>667</v>
      </c>
      <c r="AB87" s="197">
        <f t="shared" si="16"/>
        <v>0</v>
      </c>
      <c r="AC87" s="197">
        <f t="shared" si="16"/>
        <v>0</v>
      </c>
      <c r="AD87" s="197">
        <f t="shared" si="16"/>
        <v>671</v>
      </c>
      <c r="AE87" s="197">
        <f t="shared" si="16"/>
        <v>415</v>
      </c>
      <c r="AF87" s="197">
        <f t="shared" si="15"/>
        <v>122</v>
      </c>
      <c r="AG87" s="197">
        <f t="shared" si="15"/>
        <v>0</v>
      </c>
      <c r="AH87" s="197">
        <f t="shared" si="15"/>
        <v>301</v>
      </c>
      <c r="AI87" s="197">
        <f t="shared" si="15"/>
        <v>0</v>
      </c>
      <c r="AJ87" s="197">
        <f t="shared" si="15"/>
        <v>669</v>
      </c>
      <c r="AK87" s="197">
        <f t="shared" si="15"/>
        <v>0</v>
      </c>
      <c r="AL87" s="197">
        <f t="shared" si="15"/>
        <v>0</v>
      </c>
    </row>
    <row r="88" spans="1:38">
      <c r="A88" s="11" t="str">
        <f t="shared" si="14"/>
        <v>05-303193302012</v>
      </c>
      <c r="B88" t="s">
        <v>152</v>
      </c>
      <c r="C88" t="s">
        <v>153</v>
      </c>
      <c r="D88">
        <v>2012</v>
      </c>
      <c r="E88" t="s">
        <v>63</v>
      </c>
      <c r="F88">
        <v>1747078.5</v>
      </c>
      <c r="G88">
        <v>1357</v>
      </c>
      <c r="H88" s="11" t="str">
        <f t="shared" si="13"/>
        <v>count</v>
      </c>
      <c r="I88" s="197" t="s">
        <v>353</v>
      </c>
      <c r="J88" s="197" t="s">
        <v>354</v>
      </c>
      <c r="K88" s="197" t="s">
        <v>146</v>
      </c>
      <c r="L88" s="197">
        <f t="shared" si="17"/>
        <v>91926.24</v>
      </c>
      <c r="M88" s="197">
        <f t="shared" si="17"/>
        <v>39705.050000000003</v>
      </c>
      <c r="N88" s="197">
        <f t="shared" si="17"/>
        <v>10014.18</v>
      </c>
      <c r="O88" s="197">
        <f t="shared" si="17"/>
        <v>0</v>
      </c>
      <c r="P88" s="197">
        <f t="shared" si="17"/>
        <v>0</v>
      </c>
      <c r="Q88" s="197">
        <f t="shared" si="17"/>
        <v>0</v>
      </c>
      <c r="R88" s="197">
        <f t="shared" si="17"/>
        <v>475.2</v>
      </c>
      <c r="S88" s="197">
        <f t="shared" si="17"/>
        <v>0</v>
      </c>
      <c r="T88" s="197">
        <f t="shared" si="17"/>
        <v>0</v>
      </c>
      <c r="U88" s="197">
        <f t="shared" si="17"/>
        <v>193547.1</v>
      </c>
      <c r="V88" s="197">
        <f t="shared" si="16"/>
        <v>109802.13</v>
      </c>
      <c r="W88" s="197">
        <f t="shared" si="16"/>
        <v>20973.89</v>
      </c>
      <c r="X88" s="197">
        <f t="shared" si="16"/>
        <v>0</v>
      </c>
      <c r="Y88" s="197">
        <f t="shared" si="16"/>
        <v>0</v>
      </c>
      <c r="Z88" s="197">
        <f t="shared" si="16"/>
        <v>0</v>
      </c>
      <c r="AA88" s="197">
        <f t="shared" si="16"/>
        <v>59417.38</v>
      </c>
      <c r="AB88" s="197">
        <f t="shared" si="16"/>
        <v>0</v>
      </c>
      <c r="AC88" s="197">
        <f t="shared" si="16"/>
        <v>0</v>
      </c>
      <c r="AD88" s="197">
        <f t="shared" si="16"/>
        <v>204008.04</v>
      </c>
      <c r="AE88" s="197">
        <f t="shared" si="16"/>
        <v>95390.24</v>
      </c>
      <c r="AF88" s="197">
        <f t="shared" si="15"/>
        <v>24759.27</v>
      </c>
      <c r="AG88" s="197">
        <f t="shared" si="15"/>
        <v>0</v>
      </c>
      <c r="AH88" s="197">
        <f t="shared" si="15"/>
        <v>0</v>
      </c>
      <c r="AI88" s="197">
        <f t="shared" si="15"/>
        <v>0</v>
      </c>
      <c r="AJ88" s="197">
        <f t="shared" si="15"/>
        <v>60371.88</v>
      </c>
      <c r="AK88" s="197">
        <f t="shared" si="15"/>
        <v>0</v>
      </c>
      <c r="AL88" s="197">
        <f t="shared" si="15"/>
        <v>0</v>
      </c>
    </row>
    <row r="89" spans="1:38">
      <c r="A89" s="11" t="str">
        <f t="shared" si="14"/>
        <v>05-303193302012</v>
      </c>
      <c r="B89" t="s">
        <v>152</v>
      </c>
      <c r="C89" t="s">
        <v>153</v>
      </c>
      <c r="D89">
        <v>2012</v>
      </c>
      <c r="E89" t="s">
        <v>104</v>
      </c>
      <c r="F89">
        <v>803507.96</v>
      </c>
      <c r="G89">
        <v>638</v>
      </c>
      <c r="H89" s="11" t="str">
        <f t="shared" si="13"/>
        <v>count</v>
      </c>
      <c r="I89" s="197" t="s">
        <v>353</v>
      </c>
      <c r="J89" s="197" t="s">
        <v>354</v>
      </c>
      <c r="K89" s="197" t="s">
        <v>145</v>
      </c>
      <c r="L89" s="197">
        <f t="shared" si="17"/>
        <v>203</v>
      </c>
      <c r="M89" s="197">
        <f t="shared" si="17"/>
        <v>87</v>
      </c>
      <c r="N89" s="197">
        <f t="shared" si="17"/>
        <v>20</v>
      </c>
      <c r="O89" s="197">
        <f t="shared" si="17"/>
        <v>0</v>
      </c>
      <c r="P89" s="197">
        <f t="shared" si="17"/>
        <v>0</v>
      </c>
      <c r="Q89" s="197">
        <f t="shared" si="17"/>
        <v>0</v>
      </c>
      <c r="R89" s="197">
        <f t="shared" si="17"/>
        <v>2</v>
      </c>
      <c r="S89" s="197">
        <f t="shared" si="17"/>
        <v>0</v>
      </c>
      <c r="T89" s="197">
        <f t="shared" si="17"/>
        <v>0</v>
      </c>
      <c r="U89" s="197">
        <f t="shared" si="17"/>
        <v>514</v>
      </c>
      <c r="V89" s="197">
        <f t="shared" si="16"/>
        <v>285</v>
      </c>
      <c r="W89" s="197">
        <f t="shared" si="16"/>
        <v>50</v>
      </c>
      <c r="X89" s="197">
        <f t="shared" si="16"/>
        <v>0</v>
      </c>
      <c r="Y89" s="197">
        <f t="shared" si="16"/>
        <v>0</v>
      </c>
      <c r="Z89" s="197">
        <f t="shared" si="16"/>
        <v>0</v>
      </c>
      <c r="AA89" s="197">
        <f t="shared" si="16"/>
        <v>205</v>
      </c>
      <c r="AB89" s="197">
        <f t="shared" si="16"/>
        <v>0</v>
      </c>
      <c r="AC89" s="197">
        <f t="shared" si="16"/>
        <v>0</v>
      </c>
      <c r="AD89" s="197">
        <f t="shared" si="16"/>
        <v>521</v>
      </c>
      <c r="AE89" s="197">
        <f t="shared" si="16"/>
        <v>231</v>
      </c>
      <c r="AF89" s="197">
        <f t="shared" si="15"/>
        <v>52</v>
      </c>
      <c r="AG89" s="197">
        <f t="shared" si="15"/>
        <v>0</v>
      </c>
      <c r="AH89" s="197">
        <f t="shared" si="15"/>
        <v>0</v>
      </c>
      <c r="AI89" s="197">
        <f t="shared" si="15"/>
        <v>0</v>
      </c>
      <c r="AJ89" s="197">
        <f t="shared" si="15"/>
        <v>218</v>
      </c>
      <c r="AK89" s="197">
        <f t="shared" si="15"/>
        <v>0</v>
      </c>
      <c r="AL89" s="197">
        <f t="shared" si="15"/>
        <v>0</v>
      </c>
    </row>
    <row r="90" spans="1:38">
      <c r="A90" s="11" t="str">
        <f t="shared" si="14"/>
        <v>05-303193302013</v>
      </c>
      <c r="B90" t="s">
        <v>152</v>
      </c>
      <c r="C90" t="s">
        <v>153</v>
      </c>
      <c r="D90">
        <v>2013</v>
      </c>
      <c r="E90" t="s">
        <v>133</v>
      </c>
      <c r="F90">
        <v>362840.7</v>
      </c>
      <c r="G90">
        <v>296</v>
      </c>
      <c r="H90" s="11" t="str">
        <f t="shared" si="13"/>
        <v>count</v>
      </c>
      <c r="I90" s="197" t="s">
        <v>355</v>
      </c>
      <c r="J90" s="197" t="s">
        <v>356</v>
      </c>
      <c r="K90" s="197" t="s">
        <v>146</v>
      </c>
      <c r="L90" s="197">
        <f t="shared" si="17"/>
        <v>150975.57999999999</v>
      </c>
      <c r="M90" s="197">
        <f t="shared" si="17"/>
        <v>92324.800000000003</v>
      </c>
      <c r="N90" s="197">
        <f t="shared" si="17"/>
        <v>22706.78</v>
      </c>
      <c r="O90" s="197">
        <f t="shared" si="17"/>
        <v>0</v>
      </c>
      <c r="P90" s="197">
        <f t="shared" si="17"/>
        <v>0</v>
      </c>
      <c r="Q90" s="197">
        <f t="shared" si="17"/>
        <v>0</v>
      </c>
      <c r="R90" s="197">
        <f t="shared" si="17"/>
        <v>0</v>
      </c>
      <c r="S90" s="197">
        <f t="shared" si="17"/>
        <v>0</v>
      </c>
      <c r="T90" s="197">
        <f t="shared" si="17"/>
        <v>0</v>
      </c>
      <c r="U90" s="197">
        <f t="shared" si="17"/>
        <v>227265.82</v>
      </c>
      <c r="V90" s="197">
        <f t="shared" si="16"/>
        <v>170660.37</v>
      </c>
      <c r="W90" s="197">
        <f t="shared" si="16"/>
        <v>38339.089999999997</v>
      </c>
      <c r="X90" s="197">
        <f t="shared" si="16"/>
        <v>0</v>
      </c>
      <c r="Y90" s="197">
        <f t="shared" si="16"/>
        <v>0</v>
      </c>
      <c r="Z90" s="197">
        <f t="shared" si="16"/>
        <v>0</v>
      </c>
      <c r="AA90" s="197">
        <f t="shared" si="16"/>
        <v>98949.86</v>
      </c>
      <c r="AB90" s="197">
        <f t="shared" si="16"/>
        <v>0</v>
      </c>
      <c r="AC90" s="197">
        <f t="shared" si="16"/>
        <v>0</v>
      </c>
      <c r="AD90" s="197">
        <f t="shared" si="16"/>
        <v>220699.94</v>
      </c>
      <c r="AE90" s="197">
        <f t="shared" si="16"/>
        <v>139945.04999999999</v>
      </c>
      <c r="AF90" s="197">
        <f t="shared" si="15"/>
        <v>31805.93</v>
      </c>
      <c r="AG90" s="197">
        <f t="shared" si="15"/>
        <v>0</v>
      </c>
      <c r="AH90" s="197">
        <f t="shared" si="15"/>
        <v>25689.64</v>
      </c>
      <c r="AI90" s="197">
        <f t="shared" si="15"/>
        <v>0</v>
      </c>
      <c r="AJ90" s="197">
        <f t="shared" si="15"/>
        <v>105084.46</v>
      </c>
      <c r="AK90" s="197">
        <f t="shared" si="15"/>
        <v>0</v>
      </c>
      <c r="AL90" s="197">
        <f t="shared" si="15"/>
        <v>0</v>
      </c>
    </row>
    <row r="91" spans="1:38">
      <c r="A91" s="11" t="str">
        <f t="shared" si="14"/>
        <v>05-303193302011</v>
      </c>
      <c r="B91" t="s">
        <v>152</v>
      </c>
      <c r="C91" t="s">
        <v>153</v>
      </c>
      <c r="D91">
        <v>2011</v>
      </c>
      <c r="E91" t="s">
        <v>105</v>
      </c>
      <c r="F91">
        <v>68441.53</v>
      </c>
      <c r="G91">
        <v>59</v>
      </c>
      <c r="H91" s="11" t="str">
        <f t="shared" si="13"/>
        <v>count</v>
      </c>
      <c r="I91" s="197" t="s">
        <v>355</v>
      </c>
      <c r="J91" s="197" t="s">
        <v>356</v>
      </c>
      <c r="K91" s="197" t="s">
        <v>145</v>
      </c>
      <c r="L91" s="197">
        <f t="shared" si="17"/>
        <v>571</v>
      </c>
      <c r="M91" s="197">
        <f t="shared" si="17"/>
        <v>354</v>
      </c>
      <c r="N91" s="197">
        <f t="shared" si="17"/>
        <v>81</v>
      </c>
      <c r="O91" s="197">
        <f t="shared" si="17"/>
        <v>0</v>
      </c>
      <c r="P91" s="197">
        <f t="shared" si="17"/>
        <v>0</v>
      </c>
      <c r="Q91" s="197">
        <f t="shared" si="17"/>
        <v>0</v>
      </c>
      <c r="R91" s="197">
        <f t="shared" si="17"/>
        <v>0</v>
      </c>
      <c r="S91" s="197">
        <f t="shared" si="17"/>
        <v>0</v>
      </c>
      <c r="T91" s="197">
        <f t="shared" si="17"/>
        <v>0</v>
      </c>
      <c r="U91" s="197">
        <f t="shared" si="17"/>
        <v>832</v>
      </c>
      <c r="V91" s="197">
        <f t="shared" si="16"/>
        <v>667</v>
      </c>
      <c r="W91" s="197">
        <f t="shared" si="16"/>
        <v>141</v>
      </c>
      <c r="X91" s="197">
        <f t="shared" si="16"/>
        <v>0</v>
      </c>
      <c r="Y91" s="197">
        <f t="shared" si="16"/>
        <v>0</v>
      </c>
      <c r="Z91" s="197">
        <f t="shared" si="16"/>
        <v>0</v>
      </c>
      <c r="AA91" s="197">
        <f t="shared" si="16"/>
        <v>407</v>
      </c>
      <c r="AB91" s="197">
        <f t="shared" si="16"/>
        <v>0</v>
      </c>
      <c r="AC91" s="197">
        <f t="shared" si="16"/>
        <v>0</v>
      </c>
      <c r="AD91" s="197">
        <f t="shared" si="16"/>
        <v>781</v>
      </c>
      <c r="AE91" s="197">
        <f t="shared" si="16"/>
        <v>500</v>
      </c>
      <c r="AF91" s="197">
        <f t="shared" si="15"/>
        <v>122</v>
      </c>
      <c r="AG91" s="197">
        <f t="shared" si="15"/>
        <v>0</v>
      </c>
      <c r="AH91" s="197">
        <f t="shared" si="15"/>
        <v>96</v>
      </c>
      <c r="AI91" s="197">
        <f t="shared" si="15"/>
        <v>0</v>
      </c>
      <c r="AJ91" s="197">
        <f t="shared" si="15"/>
        <v>379</v>
      </c>
      <c r="AK91" s="197">
        <f t="shared" si="15"/>
        <v>0</v>
      </c>
      <c r="AL91" s="197">
        <f t="shared" si="15"/>
        <v>0</v>
      </c>
    </row>
    <row r="92" spans="1:38">
      <c r="A92" s="11" t="str">
        <f t="shared" si="14"/>
        <v>05-303193302013</v>
      </c>
      <c r="B92" t="s">
        <v>152</v>
      </c>
      <c r="C92" t="s">
        <v>153</v>
      </c>
      <c r="D92">
        <v>2013</v>
      </c>
      <c r="E92" t="s">
        <v>69</v>
      </c>
      <c r="F92">
        <v>234021.32</v>
      </c>
      <c r="G92">
        <v>261</v>
      </c>
      <c r="H92" s="11" t="str">
        <f t="shared" si="13"/>
        <v>count</v>
      </c>
      <c r="I92" s="197" t="s">
        <v>357</v>
      </c>
      <c r="J92" s="197" t="s">
        <v>358</v>
      </c>
      <c r="K92" s="197" t="s">
        <v>146</v>
      </c>
      <c r="L92" s="197">
        <f t="shared" si="17"/>
        <v>408688.2</v>
      </c>
      <c r="M92" s="197">
        <f t="shared" si="17"/>
        <v>178845.75</v>
      </c>
      <c r="N92" s="197">
        <f t="shared" si="17"/>
        <v>50954.34</v>
      </c>
      <c r="O92" s="197">
        <f t="shared" si="17"/>
        <v>0</v>
      </c>
      <c r="P92" s="197">
        <f t="shared" si="17"/>
        <v>0</v>
      </c>
      <c r="Q92" s="197">
        <f t="shared" si="17"/>
        <v>0</v>
      </c>
      <c r="R92" s="197">
        <f t="shared" si="17"/>
        <v>1562.24</v>
      </c>
      <c r="S92" s="197">
        <f t="shared" si="17"/>
        <v>0</v>
      </c>
      <c r="T92" s="197">
        <f t="shared" si="17"/>
        <v>0</v>
      </c>
      <c r="U92" s="197">
        <f t="shared" si="17"/>
        <v>690159.52</v>
      </c>
      <c r="V92" s="197">
        <f t="shared" si="16"/>
        <v>396293.04</v>
      </c>
      <c r="W92" s="197">
        <f t="shared" si="16"/>
        <v>112634</v>
      </c>
      <c r="X92" s="197">
        <f t="shared" si="16"/>
        <v>0</v>
      </c>
      <c r="Y92" s="197">
        <f t="shared" si="16"/>
        <v>0</v>
      </c>
      <c r="Z92" s="197">
        <f t="shared" si="16"/>
        <v>0</v>
      </c>
      <c r="AA92" s="197">
        <f t="shared" si="16"/>
        <v>267647.95</v>
      </c>
      <c r="AB92" s="197">
        <f t="shared" si="16"/>
        <v>0</v>
      </c>
      <c r="AC92" s="197">
        <f t="shared" si="16"/>
        <v>0</v>
      </c>
      <c r="AD92" s="197">
        <f t="shared" si="16"/>
        <v>636902.14</v>
      </c>
      <c r="AE92" s="197">
        <f t="shared" si="16"/>
        <v>362735.01</v>
      </c>
      <c r="AF92" s="197">
        <f t="shared" si="15"/>
        <v>94381.18</v>
      </c>
      <c r="AG92" s="197">
        <f t="shared" si="15"/>
        <v>0</v>
      </c>
      <c r="AH92" s="197">
        <f t="shared" si="15"/>
        <v>0</v>
      </c>
      <c r="AI92" s="197">
        <f t="shared" si="15"/>
        <v>0</v>
      </c>
      <c r="AJ92" s="197">
        <f t="shared" si="15"/>
        <v>356114.57</v>
      </c>
      <c r="AK92" s="197">
        <f t="shared" si="15"/>
        <v>0</v>
      </c>
      <c r="AL92" s="197">
        <f t="shared" si="15"/>
        <v>0</v>
      </c>
    </row>
    <row r="93" spans="1:38">
      <c r="A93" s="11" t="str">
        <f t="shared" si="14"/>
        <v>05-303229412012</v>
      </c>
      <c r="B93" t="s">
        <v>154</v>
      </c>
      <c r="C93" t="s">
        <v>155</v>
      </c>
      <c r="D93">
        <v>2012</v>
      </c>
      <c r="E93" t="s">
        <v>69</v>
      </c>
      <c r="F93">
        <v>177707.57</v>
      </c>
      <c r="G93">
        <v>410</v>
      </c>
      <c r="H93" s="11" t="str">
        <f t="shared" si="13"/>
        <v>volume</v>
      </c>
      <c r="I93" s="197" t="s">
        <v>357</v>
      </c>
      <c r="J93" s="197" t="s">
        <v>358</v>
      </c>
      <c r="K93" s="197" t="s">
        <v>145</v>
      </c>
      <c r="L93" s="197">
        <f t="shared" si="17"/>
        <v>1008</v>
      </c>
      <c r="M93" s="197">
        <f t="shared" si="17"/>
        <v>458</v>
      </c>
      <c r="N93" s="197">
        <f t="shared" si="17"/>
        <v>120</v>
      </c>
      <c r="O93" s="197">
        <f t="shared" si="17"/>
        <v>0</v>
      </c>
      <c r="P93" s="197">
        <f t="shared" si="17"/>
        <v>0</v>
      </c>
      <c r="Q93" s="197">
        <f t="shared" si="17"/>
        <v>0</v>
      </c>
      <c r="R93" s="197">
        <f t="shared" si="17"/>
        <v>4</v>
      </c>
      <c r="S93" s="197">
        <f t="shared" si="17"/>
        <v>0</v>
      </c>
      <c r="T93" s="197">
        <f t="shared" si="17"/>
        <v>0</v>
      </c>
      <c r="U93" s="197">
        <f t="shared" si="17"/>
        <v>1681</v>
      </c>
      <c r="V93" s="197">
        <f t="shared" si="16"/>
        <v>938</v>
      </c>
      <c r="W93" s="197">
        <f t="shared" si="16"/>
        <v>280</v>
      </c>
      <c r="X93" s="197">
        <f t="shared" si="16"/>
        <v>0</v>
      </c>
      <c r="Y93" s="197">
        <f t="shared" si="16"/>
        <v>0</v>
      </c>
      <c r="Z93" s="197">
        <f t="shared" si="16"/>
        <v>0</v>
      </c>
      <c r="AA93" s="197">
        <f t="shared" si="16"/>
        <v>691</v>
      </c>
      <c r="AB93" s="197">
        <f t="shared" si="16"/>
        <v>0</v>
      </c>
      <c r="AC93" s="197">
        <f t="shared" si="16"/>
        <v>0</v>
      </c>
      <c r="AD93" s="197">
        <f t="shared" si="16"/>
        <v>1571</v>
      </c>
      <c r="AE93" s="197">
        <f t="shared" si="16"/>
        <v>878</v>
      </c>
      <c r="AF93" s="197">
        <f t="shared" si="15"/>
        <v>227</v>
      </c>
      <c r="AG93" s="197">
        <f t="shared" si="15"/>
        <v>0</v>
      </c>
      <c r="AH93" s="197">
        <f t="shared" si="15"/>
        <v>0</v>
      </c>
      <c r="AI93" s="197">
        <f t="shared" si="15"/>
        <v>0</v>
      </c>
      <c r="AJ93" s="197">
        <f t="shared" si="15"/>
        <v>943</v>
      </c>
      <c r="AK93" s="197">
        <f t="shared" si="15"/>
        <v>0</v>
      </c>
      <c r="AL93" s="197">
        <f t="shared" si="15"/>
        <v>0</v>
      </c>
    </row>
    <row r="94" spans="1:38">
      <c r="A94" s="11" t="str">
        <f t="shared" si="14"/>
        <v>05-303229412011</v>
      </c>
      <c r="B94" t="s">
        <v>154</v>
      </c>
      <c r="C94" t="s">
        <v>155</v>
      </c>
      <c r="D94">
        <v>2011</v>
      </c>
      <c r="E94" t="s">
        <v>104</v>
      </c>
      <c r="F94">
        <v>120496.32000000001</v>
      </c>
      <c r="G94">
        <v>225</v>
      </c>
      <c r="H94" s="11" t="str">
        <f t="shared" si="13"/>
        <v>count</v>
      </c>
      <c r="I94" s="197" t="s">
        <v>360</v>
      </c>
      <c r="J94" s="197" t="s">
        <v>361</v>
      </c>
      <c r="K94" s="197" t="s">
        <v>146</v>
      </c>
      <c r="L94" s="197">
        <f t="shared" si="17"/>
        <v>9144</v>
      </c>
      <c r="M94" s="197">
        <f t="shared" si="17"/>
        <v>9222</v>
      </c>
      <c r="N94" s="197">
        <f t="shared" si="17"/>
        <v>4792</v>
      </c>
      <c r="O94" s="197">
        <f t="shared" si="17"/>
        <v>469618.38</v>
      </c>
      <c r="P94" s="197">
        <f t="shared" si="17"/>
        <v>0</v>
      </c>
      <c r="Q94" s="197">
        <f t="shared" si="17"/>
        <v>0</v>
      </c>
      <c r="R94" s="197">
        <f t="shared" si="17"/>
        <v>2076</v>
      </c>
      <c r="S94" s="197">
        <f t="shared" si="17"/>
        <v>0</v>
      </c>
      <c r="T94" s="197">
        <f t="shared" si="17"/>
        <v>0</v>
      </c>
      <c r="U94" s="197">
        <f t="shared" si="17"/>
        <v>117488.19</v>
      </c>
      <c r="V94" s="197">
        <f t="shared" si="16"/>
        <v>80901.070000000007</v>
      </c>
      <c r="W94" s="197">
        <f t="shared" si="16"/>
        <v>16941.310000000001</v>
      </c>
      <c r="X94" s="197">
        <f t="shared" si="16"/>
        <v>5377782.6900000004</v>
      </c>
      <c r="Y94" s="197">
        <f t="shared" si="16"/>
        <v>0</v>
      </c>
      <c r="Z94" s="197">
        <f t="shared" si="16"/>
        <v>0</v>
      </c>
      <c r="AA94" s="197">
        <f t="shared" si="16"/>
        <v>141309.07999999999</v>
      </c>
      <c r="AB94" s="197">
        <f t="shared" si="16"/>
        <v>0</v>
      </c>
      <c r="AC94" s="197">
        <f t="shared" si="16"/>
        <v>0</v>
      </c>
      <c r="AD94" s="197">
        <f t="shared" si="16"/>
        <v>197663.4</v>
      </c>
      <c r="AE94" s="197">
        <f t="shared" si="16"/>
        <v>77945.42</v>
      </c>
      <c r="AF94" s="197">
        <f t="shared" si="15"/>
        <v>22505.5</v>
      </c>
      <c r="AG94" s="197">
        <f t="shared" si="15"/>
        <v>4877094.63</v>
      </c>
      <c r="AH94" s="197">
        <f t="shared" si="15"/>
        <v>0</v>
      </c>
      <c r="AI94" s="197">
        <f t="shared" si="15"/>
        <v>0</v>
      </c>
      <c r="AJ94" s="197">
        <f t="shared" si="15"/>
        <v>376356.81</v>
      </c>
      <c r="AK94" s="197">
        <f t="shared" si="15"/>
        <v>0</v>
      </c>
      <c r="AL94" s="197">
        <f t="shared" si="15"/>
        <v>0</v>
      </c>
    </row>
    <row r="95" spans="1:38">
      <c r="A95" s="11" t="str">
        <f t="shared" si="14"/>
        <v>05-303229412011</v>
      </c>
      <c r="B95" t="s">
        <v>154</v>
      </c>
      <c r="C95" t="s">
        <v>155</v>
      </c>
      <c r="D95">
        <v>2011</v>
      </c>
      <c r="E95" t="s">
        <v>63</v>
      </c>
      <c r="F95">
        <v>453108.59</v>
      </c>
      <c r="G95">
        <v>894</v>
      </c>
      <c r="H95" s="11" t="str">
        <f t="shared" si="13"/>
        <v>count</v>
      </c>
      <c r="I95" s="197" t="s">
        <v>360</v>
      </c>
      <c r="J95" s="197" t="s">
        <v>361</v>
      </c>
      <c r="K95" s="197" t="s">
        <v>145</v>
      </c>
      <c r="L95" s="197">
        <f t="shared" si="17"/>
        <v>11</v>
      </c>
      <c r="M95" s="197">
        <f t="shared" si="17"/>
        <v>13</v>
      </c>
      <c r="N95" s="197">
        <f t="shared" si="17"/>
        <v>6</v>
      </c>
      <c r="O95" s="197">
        <f t="shared" si="17"/>
        <v>629</v>
      </c>
      <c r="P95" s="197">
        <f t="shared" si="17"/>
        <v>0</v>
      </c>
      <c r="Q95" s="197">
        <f t="shared" si="17"/>
        <v>0</v>
      </c>
      <c r="R95" s="197">
        <f t="shared" si="17"/>
        <v>2</v>
      </c>
      <c r="S95" s="197">
        <f t="shared" si="17"/>
        <v>0</v>
      </c>
      <c r="T95" s="197">
        <f t="shared" si="17"/>
        <v>0</v>
      </c>
      <c r="U95" s="197">
        <f t="shared" si="17"/>
        <v>149</v>
      </c>
      <c r="V95" s="197">
        <f t="shared" si="16"/>
        <v>96</v>
      </c>
      <c r="W95" s="197">
        <f t="shared" si="16"/>
        <v>21</v>
      </c>
      <c r="X95" s="197">
        <f t="shared" si="16"/>
        <v>7512</v>
      </c>
      <c r="Y95" s="197">
        <f t="shared" si="16"/>
        <v>0</v>
      </c>
      <c r="Z95" s="197">
        <f t="shared" si="16"/>
        <v>0</v>
      </c>
      <c r="AA95" s="197">
        <f t="shared" si="16"/>
        <v>179</v>
      </c>
      <c r="AB95" s="197">
        <f t="shared" si="16"/>
        <v>0</v>
      </c>
      <c r="AC95" s="197">
        <f t="shared" si="16"/>
        <v>0</v>
      </c>
      <c r="AD95" s="197">
        <f t="shared" si="16"/>
        <v>252</v>
      </c>
      <c r="AE95" s="197">
        <f t="shared" si="16"/>
        <v>102</v>
      </c>
      <c r="AF95" s="197">
        <f t="shared" si="15"/>
        <v>27</v>
      </c>
      <c r="AG95" s="197">
        <f t="shared" si="15"/>
        <v>6817</v>
      </c>
      <c r="AH95" s="197">
        <f t="shared" si="15"/>
        <v>0</v>
      </c>
      <c r="AI95" s="197">
        <f t="shared" si="15"/>
        <v>0</v>
      </c>
      <c r="AJ95" s="197">
        <f t="shared" si="15"/>
        <v>495</v>
      </c>
      <c r="AK95" s="197">
        <f t="shared" si="15"/>
        <v>0</v>
      </c>
      <c r="AL95" s="197">
        <f t="shared" si="15"/>
        <v>0</v>
      </c>
    </row>
    <row r="96" spans="1:38">
      <c r="A96" s="11" t="str">
        <f t="shared" si="14"/>
        <v>05-303229412012</v>
      </c>
      <c r="B96" t="s">
        <v>154</v>
      </c>
      <c r="C96" t="s">
        <v>155</v>
      </c>
      <c r="D96">
        <v>2012</v>
      </c>
      <c r="E96" t="s">
        <v>104</v>
      </c>
      <c r="F96">
        <v>121134.91</v>
      </c>
      <c r="G96">
        <v>236</v>
      </c>
      <c r="H96" s="11" t="str">
        <f t="shared" si="13"/>
        <v>count</v>
      </c>
      <c r="I96" s="197" t="s">
        <v>369</v>
      </c>
      <c r="J96" s="197" t="s">
        <v>370</v>
      </c>
      <c r="K96" s="197" t="s">
        <v>146</v>
      </c>
      <c r="L96" s="197">
        <f t="shared" si="17"/>
        <v>4620.75</v>
      </c>
      <c r="M96" s="197">
        <f t="shared" si="17"/>
        <v>2751.64</v>
      </c>
      <c r="N96" s="197">
        <f t="shared" si="17"/>
        <v>0</v>
      </c>
      <c r="O96" s="197">
        <f t="shared" si="17"/>
        <v>190889.64</v>
      </c>
      <c r="P96" s="197">
        <f t="shared" si="17"/>
        <v>0</v>
      </c>
      <c r="Q96" s="197">
        <f t="shared" si="17"/>
        <v>182030.22</v>
      </c>
      <c r="R96" s="197">
        <f t="shared" si="17"/>
        <v>210</v>
      </c>
      <c r="S96" s="197">
        <f t="shared" si="17"/>
        <v>0</v>
      </c>
      <c r="T96" s="197">
        <f t="shared" si="17"/>
        <v>0</v>
      </c>
      <c r="U96" s="197">
        <f t="shared" si="17"/>
        <v>168184.98</v>
      </c>
      <c r="V96" s="197">
        <f t="shared" si="16"/>
        <v>67332.009999999995</v>
      </c>
      <c r="W96" s="197">
        <f t="shared" si="16"/>
        <v>6028.75</v>
      </c>
      <c r="X96" s="197">
        <f t="shared" si="16"/>
        <v>2980930.92</v>
      </c>
      <c r="Y96" s="197">
        <f t="shared" si="16"/>
        <v>0</v>
      </c>
      <c r="Z96" s="197">
        <f t="shared" si="16"/>
        <v>0</v>
      </c>
      <c r="AA96" s="197">
        <f t="shared" si="16"/>
        <v>157826.22</v>
      </c>
      <c r="AB96" s="197">
        <f t="shared" si="16"/>
        <v>0</v>
      </c>
      <c r="AC96" s="197">
        <f t="shared" si="16"/>
        <v>0</v>
      </c>
      <c r="AD96" s="197">
        <f t="shared" si="16"/>
        <v>331261.78000000003</v>
      </c>
      <c r="AE96" s="197">
        <f t="shared" si="16"/>
        <v>153215.19</v>
      </c>
      <c r="AF96" s="197">
        <f t="shared" si="15"/>
        <v>24154.46</v>
      </c>
      <c r="AG96" s="197">
        <f t="shared" si="15"/>
        <v>4358101.2699999996</v>
      </c>
      <c r="AH96" s="197">
        <f t="shared" si="15"/>
        <v>0</v>
      </c>
      <c r="AI96" s="197">
        <f t="shared" si="15"/>
        <v>0</v>
      </c>
      <c r="AJ96" s="197">
        <f t="shared" si="15"/>
        <v>551881.09</v>
      </c>
      <c r="AK96" s="197">
        <f t="shared" si="15"/>
        <v>0</v>
      </c>
      <c r="AL96" s="197">
        <f t="shared" si="15"/>
        <v>0</v>
      </c>
    </row>
    <row r="97" spans="1:38">
      <c r="A97" s="11" t="str">
        <f t="shared" si="14"/>
        <v>05-303229412012</v>
      </c>
      <c r="B97" t="s">
        <v>154</v>
      </c>
      <c r="C97" t="s">
        <v>155</v>
      </c>
      <c r="D97">
        <v>2012</v>
      </c>
      <c r="E97" t="s">
        <v>63</v>
      </c>
      <c r="F97">
        <v>292626.09000000003</v>
      </c>
      <c r="G97">
        <v>583</v>
      </c>
      <c r="H97" s="11" t="str">
        <f t="shared" si="13"/>
        <v>count</v>
      </c>
      <c r="I97" s="197" t="s">
        <v>369</v>
      </c>
      <c r="J97" s="197" t="s">
        <v>370</v>
      </c>
      <c r="K97" s="197" t="s">
        <v>145</v>
      </c>
      <c r="L97" s="197">
        <f t="shared" si="17"/>
        <v>8</v>
      </c>
      <c r="M97" s="197">
        <f t="shared" si="17"/>
        <v>3</v>
      </c>
      <c r="N97" s="197">
        <f t="shared" si="17"/>
        <v>0</v>
      </c>
      <c r="O97" s="197">
        <f t="shared" si="17"/>
        <v>242</v>
      </c>
      <c r="P97" s="197">
        <f t="shared" si="17"/>
        <v>0</v>
      </c>
      <c r="Q97" s="197">
        <f t="shared" si="17"/>
        <v>301</v>
      </c>
      <c r="R97" s="197">
        <f t="shared" si="17"/>
        <v>1</v>
      </c>
      <c r="S97" s="197">
        <f t="shared" si="17"/>
        <v>0</v>
      </c>
      <c r="T97" s="197">
        <f t="shared" si="17"/>
        <v>0</v>
      </c>
      <c r="U97" s="197">
        <f t="shared" si="17"/>
        <v>234</v>
      </c>
      <c r="V97" s="197">
        <f t="shared" si="16"/>
        <v>96</v>
      </c>
      <c r="W97" s="197">
        <f t="shared" si="16"/>
        <v>6</v>
      </c>
      <c r="X97" s="197">
        <f t="shared" si="16"/>
        <v>3623</v>
      </c>
      <c r="Y97" s="197">
        <f t="shared" si="16"/>
        <v>0</v>
      </c>
      <c r="Z97" s="197">
        <f t="shared" si="16"/>
        <v>0</v>
      </c>
      <c r="AA97" s="197">
        <f t="shared" si="16"/>
        <v>267</v>
      </c>
      <c r="AB97" s="197">
        <f t="shared" si="16"/>
        <v>0</v>
      </c>
      <c r="AC97" s="197">
        <f t="shared" si="16"/>
        <v>0</v>
      </c>
      <c r="AD97" s="197">
        <f t="shared" si="16"/>
        <v>402</v>
      </c>
      <c r="AE97" s="197">
        <f t="shared" si="16"/>
        <v>202</v>
      </c>
      <c r="AF97" s="197">
        <f t="shared" si="15"/>
        <v>30</v>
      </c>
      <c r="AG97" s="197">
        <f t="shared" si="15"/>
        <v>4881</v>
      </c>
      <c r="AH97" s="197">
        <f t="shared" si="15"/>
        <v>0</v>
      </c>
      <c r="AI97" s="197">
        <f t="shared" si="15"/>
        <v>0</v>
      </c>
      <c r="AJ97" s="197">
        <f t="shared" si="15"/>
        <v>818</v>
      </c>
      <c r="AK97" s="197">
        <f t="shared" si="15"/>
        <v>0</v>
      </c>
      <c r="AL97" s="197">
        <f t="shared" si="15"/>
        <v>0</v>
      </c>
    </row>
    <row r="98" spans="1:38">
      <c r="A98" s="11" t="str">
        <f t="shared" si="14"/>
        <v>05-303229412013</v>
      </c>
      <c r="B98" t="s">
        <v>154</v>
      </c>
      <c r="C98" t="s">
        <v>155</v>
      </c>
      <c r="D98">
        <v>2013</v>
      </c>
      <c r="E98" t="s">
        <v>106</v>
      </c>
      <c r="F98">
        <v>6915</v>
      </c>
      <c r="G98">
        <v>4</v>
      </c>
      <c r="H98" s="11" t="str">
        <f t="shared" si="13"/>
        <v>count</v>
      </c>
      <c r="I98" s="197" t="s">
        <v>373</v>
      </c>
      <c r="J98" s="197" t="s">
        <v>374</v>
      </c>
      <c r="K98" s="197" t="s">
        <v>146</v>
      </c>
      <c r="L98" s="197">
        <f t="shared" si="17"/>
        <v>1036.3800000000001</v>
      </c>
      <c r="M98" s="197">
        <f t="shared" si="17"/>
        <v>4474.3900000000003</v>
      </c>
      <c r="N98" s="197">
        <f t="shared" si="17"/>
        <v>0</v>
      </c>
      <c r="O98" s="197">
        <f t="shared" si="17"/>
        <v>0</v>
      </c>
      <c r="P98" s="197">
        <f t="shared" si="17"/>
        <v>0</v>
      </c>
      <c r="Q98" s="197">
        <f t="shared" si="17"/>
        <v>0</v>
      </c>
      <c r="R98" s="197">
        <f t="shared" si="17"/>
        <v>0</v>
      </c>
      <c r="S98" s="197">
        <f t="shared" si="17"/>
        <v>0</v>
      </c>
      <c r="T98" s="197">
        <f t="shared" si="17"/>
        <v>0</v>
      </c>
      <c r="U98" s="197">
        <f t="shared" si="17"/>
        <v>1305.5</v>
      </c>
      <c r="V98" s="197">
        <f t="shared" si="16"/>
        <v>298</v>
      </c>
      <c r="W98" s="197">
        <f t="shared" si="16"/>
        <v>0</v>
      </c>
      <c r="X98" s="197">
        <f t="shared" si="16"/>
        <v>0</v>
      </c>
      <c r="Y98" s="197">
        <f t="shared" si="16"/>
        <v>0</v>
      </c>
      <c r="Z98" s="197">
        <f t="shared" si="16"/>
        <v>0</v>
      </c>
      <c r="AA98" s="197">
        <f t="shared" si="16"/>
        <v>0</v>
      </c>
      <c r="AB98" s="197">
        <f t="shared" si="16"/>
        <v>0</v>
      </c>
      <c r="AC98" s="197">
        <f t="shared" si="16"/>
        <v>0</v>
      </c>
      <c r="AD98" s="197">
        <f t="shared" si="16"/>
        <v>0</v>
      </c>
      <c r="AE98" s="197">
        <f t="shared" si="16"/>
        <v>0</v>
      </c>
      <c r="AF98" s="197">
        <f t="shared" si="15"/>
        <v>0</v>
      </c>
      <c r="AG98" s="197">
        <f t="shared" si="15"/>
        <v>0</v>
      </c>
      <c r="AH98" s="197">
        <f t="shared" si="15"/>
        <v>0</v>
      </c>
      <c r="AI98" s="197">
        <f t="shared" si="15"/>
        <v>0</v>
      </c>
      <c r="AJ98" s="197">
        <f t="shared" si="15"/>
        <v>0</v>
      </c>
      <c r="AK98" s="197">
        <f t="shared" si="15"/>
        <v>0</v>
      </c>
      <c r="AL98" s="197">
        <f t="shared" si="15"/>
        <v>0</v>
      </c>
    </row>
    <row r="99" spans="1:38">
      <c r="A99" s="11" t="str">
        <f t="shared" si="14"/>
        <v>05-303229412013</v>
      </c>
      <c r="B99" t="s">
        <v>154</v>
      </c>
      <c r="C99" t="s">
        <v>155</v>
      </c>
      <c r="D99">
        <v>2013</v>
      </c>
      <c r="E99" t="s">
        <v>63</v>
      </c>
      <c r="F99">
        <v>302554.71000000002</v>
      </c>
      <c r="G99">
        <v>553</v>
      </c>
      <c r="H99" s="11" t="str">
        <f t="shared" si="13"/>
        <v>count</v>
      </c>
      <c r="I99" s="197" t="s">
        <v>373</v>
      </c>
      <c r="J99" s="197" t="s">
        <v>374</v>
      </c>
      <c r="K99" s="197" t="s">
        <v>145</v>
      </c>
      <c r="L99" s="197">
        <f t="shared" si="17"/>
        <v>2</v>
      </c>
      <c r="M99" s="197">
        <f t="shared" si="17"/>
        <v>5</v>
      </c>
      <c r="N99" s="197">
        <f t="shared" si="17"/>
        <v>0</v>
      </c>
      <c r="O99" s="197">
        <f t="shared" si="17"/>
        <v>0</v>
      </c>
      <c r="P99" s="197">
        <f t="shared" si="17"/>
        <v>0</v>
      </c>
      <c r="Q99" s="197">
        <f t="shared" si="17"/>
        <v>0</v>
      </c>
      <c r="R99" s="197">
        <f t="shared" si="17"/>
        <v>0</v>
      </c>
      <c r="S99" s="197">
        <f t="shared" si="17"/>
        <v>0</v>
      </c>
      <c r="T99" s="197">
        <f t="shared" si="17"/>
        <v>0</v>
      </c>
      <c r="U99" s="197">
        <f t="shared" si="17"/>
        <v>2</v>
      </c>
      <c r="V99" s="197">
        <f t="shared" si="16"/>
        <v>2</v>
      </c>
      <c r="W99" s="197">
        <f t="shared" si="16"/>
        <v>0</v>
      </c>
      <c r="X99" s="197">
        <f t="shared" si="16"/>
        <v>0</v>
      </c>
      <c r="Y99" s="197">
        <f t="shared" si="16"/>
        <v>0</v>
      </c>
      <c r="Z99" s="197">
        <f t="shared" si="16"/>
        <v>0</v>
      </c>
      <c r="AA99" s="197">
        <f t="shared" si="16"/>
        <v>0</v>
      </c>
      <c r="AB99" s="197">
        <f t="shared" si="16"/>
        <v>0</v>
      </c>
      <c r="AC99" s="197">
        <f t="shared" si="16"/>
        <v>0</v>
      </c>
      <c r="AD99" s="197">
        <f t="shared" si="16"/>
        <v>0</v>
      </c>
      <c r="AE99" s="197">
        <f t="shared" si="16"/>
        <v>0</v>
      </c>
      <c r="AF99" s="197">
        <f t="shared" si="15"/>
        <v>0</v>
      </c>
      <c r="AG99" s="197">
        <f t="shared" si="15"/>
        <v>0</v>
      </c>
      <c r="AH99" s="197">
        <f t="shared" si="15"/>
        <v>0</v>
      </c>
      <c r="AI99" s="197">
        <f t="shared" si="15"/>
        <v>0</v>
      </c>
      <c r="AJ99" s="197">
        <f t="shared" si="15"/>
        <v>0</v>
      </c>
      <c r="AK99" s="197">
        <f t="shared" si="15"/>
        <v>0</v>
      </c>
      <c r="AL99" s="197">
        <f t="shared" si="15"/>
        <v>0</v>
      </c>
    </row>
    <row r="100" spans="1:38">
      <c r="A100" s="11" t="str">
        <f t="shared" si="14"/>
        <v>05-303229412013</v>
      </c>
      <c r="B100" t="s">
        <v>154</v>
      </c>
      <c r="C100" t="s">
        <v>155</v>
      </c>
      <c r="D100">
        <v>2013</v>
      </c>
      <c r="E100" t="s">
        <v>104</v>
      </c>
      <c r="F100">
        <v>140256.24</v>
      </c>
      <c r="G100">
        <v>254</v>
      </c>
      <c r="H100" s="11" t="str">
        <f t="shared" si="13"/>
        <v>count</v>
      </c>
      <c r="I100" s="197" t="s">
        <v>376</v>
      </c>
      <c r="J100" s="197" t="s">
        <v>377</v>
      </c>
      <c r="K100" s="197" t="s">
        <v>146</v>
      </c>
      <c r="L100" s="197">
        <f t="shared" si="17"/>
        <v>70</v>
      </c>
      <c r="M100" s="197">
        <f t="shared" si="17"/>
        <v>1</v>
      </c>
      <c r="N100" s="197">
        <f t="shared" si="17"/>
        <v>0</v>
      </c>
      <c r="O100" s="197">
        <f t="shared" si="17"/>
        <v>0</v>
      </c>
      <c r="P100" s="197">
        <f t="shared" si="17"/>
        <v>0</v>
      </c>
      <c r="Q100" s="197">
        <f t="shared" si="17"/>
        <v>0</v>
      </c>
      <c r="R100" s="197">
        <f t="shared" si="17"/>
        <v>0</v>
      </c>
      <c r="S100" s="197">
        <f t="shared" si="17"/>
        <v>0</v>
      </c>
      <c r="T100" s="197">
        <f t="shared" si="17"/>
        <v>0</v>
      </c>
      <c r="U100" s="197">
        <f t="shared" si="17"/>
        <v>170310.81</v>
      </c>
      <c r="V100" s="197">
        <f t="shared" si="16"/>
        <v>99211.77</v>
      </c>
      <c r="W100" s="197">
        <f t="shared" si="16"/>
        <v>24994</v>
      </c>
      <c r="X100" s="197">
        <f t="shared" si="16"/>
        <v>1469.58</v>
      </c>
      <c r="Y100" s="197">
        <f t="shared" si="16"/>
        <v>0</v>
      </c>
      <c r="Z100" s="197">
        <f t="shared" si="16"/>
        <v>0</v>
      </c>
      <c r="AA100" s="197">
        <f t="shared" si="16"/>
        <v>261950.87</v>
      </c>
      <c r="AB100" s="197">
        <f t="shared" si="16"/>
        <v>0</v>
      </c>
      <c r="AC100" s="197">
        <f t="shared" si="16"/>
        <v>0</v>
      </c>
      <c r="AD100" s="197">
        <f t="shared" si="16"/>
        <v>159649.42000000001</v>
      </c>
      <c r="AE100" s="197">
        <f t="shared" si="16"/>
        <v>155954.92000000001</v>
      </c>
      <c r="AF100" s="197">
        <f t="shared" si="15"/>
        <v>44232</v>
      </c>
      <c r="AG100" s="197">
        <f t="shared" si="15"/>
        <v>2694.23</v>
      </c>
      <c r="AH100" s="197">
        <f t="shared" si="15"/>
        <v>0</v>
      </c>
      <c r="AI100" s="197">
        <f t="shared" si="15"/>
        <v>0</v>
      </c>
      <c r="AJ100" s="197">
        <f t="shared" si="15"/>
        <v>438232.71</v>
      </c>
      <c r="AK100" s="197">
        <f t="shared" si="15"/>
        <v>0</v>
      </c>
      <c r="AL100" s="197">
        <f t="shared" si="15"/>
        <v>0</v>
      </c>
    </row>
    <row r="101" spans="1:38">
      <c r="A101" s="11" t="str">
        <f t="shared" si="14"/>
        <v>05-303229412013</v>
      </c>
      <c r="B101" t="s">
        <v>154</v>
      </c>
      <c r="C101" t="s">
        <v>155</v>
      </c>
      <c r="D101">
        <v>2013</v>
      </c>
      <c r="E101" t="s">
        <v>69</v>
      </c>
      <c r="F101">
        <v>205881.35</v>
      </c>
      <c r="G101">
        <v>401</v>
      </c>
      <c r="H101" s="11" t="str">
        <f t="shared" si="13"/>
        <v>count</v>
      </c>
      <c r="I101" s="197" t="s">
        <v>376</v>
      </c>
      <c r="J101" s="197" t="s">
        <v>377</v>
      </c>
      <c r="K101" s="197" t="s">
        <v>145</v>
      </c>
      <c r="L101" s="197">
        <f t="shared" si="17"/>
        <v>1</v>
      </c>
      <c r="M101" s="197">
        <f t="shared" si="17"/>
        <v>1</v>
      </c>
      <c r="N101" s="197">
        <f t="shared" si="17"/>
        <v>0</v>
      </c>
      <c r="O101" s="197">
        <f t="shared" si="17"/>
        <v>0</v>
      </c>
      <c r="P101" s="197">
        <f t="shared" si="17"/>
        <v>0</v>
      </c>
      <c r="Q101" s="197">
        <f t="shared" si="17"/>
        <v>0</v>
      </c>
      <c r="R101" s="197">
        <f t="shared" si="17"/>
        <v>0</v>
      </c>
      <c r="S101" s="197">
        <f t="shared" si="17"/>
        <v>0</v>
      </c>
      <c r="T101" s="197">
        <f t="shared" si="17"/>
        <v>0</v>
      </c>
      <c r="U101" s="197">
        <f t="shared" si="17"/>
        <v>179</v>
      </c>
      <c r="V101" s="197">
        <f t="shared" si="16"/>
        <v>111</v>
      </c>
      <c r="W101" s="197">
        <f t="shared" si="16"/>
        <v>24</v>
      </c>
      <c r="X101" s="197">
        <f t="shared" si="16"/>
        <v>6</v>
      </c>
      <c r="Y101" s="197">
        <f t="shared" si="16"/>
        <v>0</v>
      </c>
      <c r="Z101" s="197">
        <f t="shared" si="16"/>
        <v>0</v>
      </c>
      <c r="AA101" s="197">
        <f t="shared" si="16"/>
        <v>317</v>
      </c>
      <c r="AB101" s="197">
        <f t="shared" si="16"/>
        <v>0</v>
      </c>
      <c r="AC101" s="197">
        <f t="shared" si="16"/>
        <v>0</v>
      </c>
      <c r="AD101" s="197">
        <f t="shared" si="16"/>
        <v>210</v>
      </c>
      <c r="AE101" s="197">
        <f t="shared" si="16"/>
        <v>161</v>
      </c>
      <c r="AF101" s="197">
        <f t="shared" si="15"/>
        <v>42</v>
      </c>
      <c r="AG101" s="197">
        <f t="shared" si="15"/>
        <v>11</v>
      </c>
      <c r="AH101" s="197">
        <f t="shared" si="15"/>
        <v>0</v>
      </c>
      <c r="AI101" s="197">
        <f t="shared" si="15"/>
        <v>0</v>
      </c>
      <c r="AJ101" s="197">
        <f t="shared" si="15"/>
        <v>550</v>
      </c>
      <c r="AK101" s="197">
        <f t="shared" si="15"/>
        <v>0</v>
      </c>
      <c r="AL101" s="197">
        <f t="shared" si="15"/>
        <v>0</v>
      </c>
    </row>
    <row r="102" spans="1:38">
      <c r="A102" s="11" t="str">
        <f t="shared" si="14"/>
        <v>05-303889302012</v>
      </c>
      <c r="B102" t="s">
        <v>157</v>
      </c>
      <c r="C102" t="s">
        <v>158</v>
      </c>
      <c r="D102">
        <v>2012</v>
      </c>
      <c r="E102" t="s">
        <v>105</v>
      </c>
      <c r="F102">
        <v>101624.32000000001</v>
      </c>
      <c r="G102">
        <v>199</v>
      </c>
      <c r="H102" s="11" t="str">
        <f t="shared" si="13"/>
        <v>volume</v>
      </c>
      <c r="I102" s="197" t="s">
        <v>379</v>
      </c>
      <c r="J102" s="197" t="s">
        <v>380</v>
      </c>
      <c r="K102" s="197" t="s">
        <v>146</v>
      </c>
      <c r="L102" s="197">
        <f t="shared" si="17"/>
        <v>173222.16</v>
      </c>
      <c r="M102" s="197">
        <f t="shared" si="17"/>
        <v>82189.539999999994</v>
      </c>
      <c r="N102" s="197">
        <f t="shared" si="17"/>
        <v>15313.38</v>
      </c>
      <c r="O102" s="197">
        <f t="shared" si="17"/>
        <v>0</v>
      </c>
      <c r="P102" s="197">
        <f t="shared" si="17"/>
        <v>0</v>
      </c>
      <c r="Q102" s="197">
        <f t="shared" si="17"/>
        <v>0</v>
      </c>
      <c r="R102" s="197">
        <f t="shared" si="17"/>
        <v>200</v>
      </c>
      <c r="S102" s="197">
        <f t="shared" si="17"/>
        <v>0</v>
      </c>
      <c r="T102" s="197">
        <f t="shared" si="17"/>
        <v>0</v>
      </c>
      <c r="U102" s="197">
        <f t="shared" si="17"/>
        <v>984672.74</v>
      </c>
      <c r="V102" s="197">
        <f t="shared" si="16"/>
        <v>585322.05000000005</v>
      </c>
      <c r="W102" s="197">
        <f t="shared" si="16"/>
        <v>120089.26</v>
      </c>
      <c r="X102" s="197">
        <f t="shared" si="16"/>
        <v>0</v>
      </c>
      <c r="Y102" s="197">
        <f t="shared" si="16"/>
        <v>0</v>
      </c>
      <c r="Z102" s="197">
        <f t="shared" si="16"/>
        <v>0</v>
      </c>
      <c r="AA102" s="197">
        <f t="shared" si="16"/>
        <v>203943.35</v>
      </c>
      <c r="AB102" s="197">
        <f t="shared" si="16"/>
        <v>0</v>
      </c>
      <c r="AC102" s="197">
        <f t="shared" si="16"/>
        <v>0</v>
      </c>
      <c r="AD102" s="197">
        <f t="shared" si="16"/>
        <v>1165804.8999999999</v>
      </c>
      <c r="AE102" s="197">
        <f t="shared" si="16"/>
        <v>581081.84</v>
      </c>
      <c r="AF102" s="197">
        <f t="shared" si="15"/>
        <v>143659.81</v>
      </c>
      <c r="AG102" s="197">
        <f t="shared" si="15"/>
        <v>0</v>
      </c>
      <c r="AH102" s="197">
        <f t="shared" si="15"/>
        <v>0</v>
      </c>
      <c r="AI102" s="197">
        <f t="shared" si="15"/>
        <v>0</v>
      </c>
      <c r="AJ102" s="197">
        <f t="shared" si="15"/>
        <v>268493.15999999997</v>
      </c>
      <c r="AK102" s="197">
        <f t="shared" si="15"/>
        <v>0</v>
      </c>
      <c r="AL102" s="197">
        <f t="shared" si="15"/>
        <v>0</v>
      </c>
    </row>
    <row r="103" spans="1:38">
      <c r="A103" s="11" t="str">
        <f t="shared" si="14"/>
        <v>05-303889302011</v>
      </c>
      <c r="B103" t="s">
        <v>157</v>
      </c>
      <c r="C103" t="s">
        <v>158</v>
      </c>
      <c r="D103">
        <v>2011</v>
      </c>
      <c r="E103" t="s">
        <v>104</v>
      </c>
      <c r="F103">
        <v>613230.68999999994</v>
      </c>
      <c r="G103">
        <v>1525</v>
      </c>
      <c r="H103" s="11" t="str">
        <f t="shared" si="13"/>
        <v>count</v>
      </c>
      <c r="I103" s="197" t="s">
        <v>379</v>
      </c>
      <c r="J103" s="197" t="s">
        <v>380</v>
      </c>
      <c r="K103" s="197" t="s">
        <v>145</v>
      </c>
      <c r="L103" s="197">
        <f t="shared" si="17"/>
        <v>177</v>
      </c>
      <c r="M103" s="197">
        <f t="shared" si="17"/>
        <v>116</v>
      </c>
      <c r="N103" s="197">
        <f t="shared" si="17"/>
        <v>19</v>
      </c>
      <c r="O103" s="197">
        <f t="shared" si="17"/>
        <v>0</v>
      </c>
      <c r="P103" s="197">
        <f t="shared" si="17"/>
        <v>0</v>
      </c>
      <c r="Q103" s="197">
        <f t="shared" ref="L103:U128" si="18">SUMIFS(IF($K103="volume",$F:$F,$G:$G),$D:$D,Q$2,$B:$B,$I103,$E:$E,Q$3)</f>
        <v>0</v>
      </c>
      <c r="R103" s="197">
        <f t="shared" si="18"/>
        <v>1</v>
      </c>
      <c r="S103" s="197">
        <f t="shared" si="18"/>
        <v>0</v>
      </c>
      <c r="T103" s="197">
        <f t="shared" si="18"/>
        <v>0</v>
      </c>
      <c r="U103" s="197">
        <f t="shared" si="18"/>
        <v>1080</v>
      </c>
      <c r="V103" s="197">
        <f t="shared" si="16"/>
        <v>672</v>
      </c>
      <c r="W103" s="197">
        <f t="shared" ref="V103:AE128" si="19">SUMIFS(IF($K103="volume",$F:$F,$G:$G),$D:$D,W$2,$B:$B,$I103,$E:$E,W$3)</f>
        <v>135</v>
      </c>
      <c r="X103" s="197">
        <f t="shared" si="19"/>
        <v>0</v>
      </c>
      <c r="Y103" s="197">
        <f t="shared" si="19"/>
        <v>0</v>
      </c>
      <c r="Z103" s="197">
        <f t="shared" si="19"/>
        <v>0</v>
      </c>
      <c r="AA103" s="197">
        <f t="shared" si="19"/>
        <v>325</v>
      </c>
      <c r="AB103" s="197">
        <f t="shared" si="19"/>
        <v>0</v>
      </c>
      <c r="AC103" s="197">
        <f t="shared" si="19"/>
        <v>0</v>
      </c>
      <c r="AD103" s="197">
        <f t="shared" si="19"/>
        <v>1187</v>
      </c>
      <c r="AE103" s="197">
        <f t="shared" si="19"/>
        <v>645</v>
      </c>
      <c r="AF103" s="197">
        <f t="shared" si="15"/>
        <v>163</v>
      </c>
      <c r="AG103" s="197">
        <f t="shared" si="15"/>
        <v>0</v>
      </c>
      <c r="AH103" s="197">
        <f t="shared" si="15"/>
        <v>0</v>
      </c>
      <c r="AI103" s="197">
        <f t="shared" si="15"/>
        <v>0</v>
      </c>
      <c r="AJ103" s="197">
        <f t="shared" ref="AF103:AL139" si="20">SUMIFS(IF($K103="volume",$F:$F,$G:$G),$D:$D,AJ$2,$B:$B,$I103,$E:$E,AJ$3)</f>
        <v>393</v>
      </c>
      <c r="AK103" s="197">
        <f t="shared" si="20"/>
        <v>0</v>
      </c>
      <c r="AL103" s="197">
        <f t="shared" si="20"/>
        <v>0</v>
      </c>
    </row>
    <row r="104" spans="1:38">
      <c r="A104" s="11" t="str">
        <f t="shared" si="14"/>
        <v>05-303889302011</v>
      </c>
      <c r="B104" t="s">
        <v>157</v>
      </c>
      <c r="C104" t="s">
        <v>158</v>
      </c>
      <c r="D104">
        <v>2011</v>
      </c>
      <c r="E104" t="s">
        <v>63</v>
      </c>
      <c r="F104">
        <v>1243108.76</v>
      </c>
      <c r="G104">
        <v>3088</v>
      </c>
      <c r="H104" s="11" t="str">
        <f t="shared" si="13"/>
        <v>count</v>
      </c>
      <c r="I104" s="197" t="s">
        <v>391</v>
      </c>
      <c r="J104" s="197" t="s">
        <v>392</v>
      </c>
      <c r="K104" s="197" t="s">
        <v>146</v>
      </c>
      <c r="L104" s="197">
        <f t="shared" si="18"/>
        <v>11382.4</v>
      </c>
      <c r="M104" s="197">
        <f t="shared" si="18"/>
        <v>2309.5300000000002</v>
      </c>
      <c r="N104" s="197">
        <f t="shared" si="18"/>
        <v>2427.02</v>
      </c>
      <c r="O104" s="197">
        <f t="shared" si="18"/>
        <v>0</v>
      </c>
      <c r="P104" s="197">
        <f t="shared" si="18"/>
        <v>0</v>
      </c>
      <c r="Q104" s="197">
        <f t="shared" si="18"/>
        <v>0</v>
      </c>
      <c r="R104" s="197">
        <f t="shared" si="18"/>
        <v>0</v>
      </c>
      <c r="S104" s="197">
        <f t="shared" si="18"/>
        <v>0</v>
      </c>
      <c r="T104" s="197">
        <f t="shared" si="18"/>
        <v>0</v>
      </c>
      <c r="U104" s="197">
        <f t="shared" si="18"/>
        <v>49828.639999999999</v>
      </c>
      <c r="V104" s="197">
        <f t="shared" si="19"/>
        <v>11145.66</v>
      </c>
      <c r="W104" s="197">
        <f t="shared" si="19"/>
        <v>4940.6099999999997</v>
      </c>
      <c r="X104" s="197">
        <f t="shared" si="19"/>
        <v>0</v>
      </c>
      <c r="Y104" s="197">
        <f t="shared" si="19"/>
        <v>0</v>
      </c>
      <c r="Z104" s="197">
        <f t="shared" si="19"/>
        <v>0</v>
      </c>
      <c r="AA104" s="197">
        <f t="shared" si="19"/>
        <v>21073.99</v>
      </c>
      <c r="AB104" s="197">
        <f t="shared" si="19"/>
        <v>0</v>
      </c>
      <c r="AC104" s="197">
        <f t="shared" si="19"/>
        <v>0</v>
      </c>
      <c r="AD104" s="197">
        <f t="shared" si="19"/>
        <v>44657.61</v>
      </c>
      <c r="AE104" s="197">
        <f t="shared" si="19"/>
        <v>19412.830000000002</v>
      </c>
      <c r="AF104" s="197">
        <f t="shared" si="20"/>
        <v>4761.7</v>
      </c>
      <c r="AG104" s="197">
        <f t="shared" si="20"/>
        <v>0</v>
      </c>
      <c r="AH104" s="197">
        <f t="shared" si="20"/>
        <v>0</v>
      </c>
      <c r="AI104" s="197">
        <f t="shared" si="20"/>
        <v>0</v>
      </c>
      <c r="AJ104" s="197">
        <f t="shared" si="20"/>
        <v>19077.5</v>
      </c>
      <c r="AK104" s="197">
        <f t="shared" si="20"/>
        <v>0</v>
      </c>
      <c r="AL104" s="197">
        <f t="shared" si="20"/>
        <v>0</v>
      </c>
    </row>
    <row r="105" spans="1:38">
      <c r="A105" s="11" t="str">
        <f t="shared" si="14"/>
        <v>05-303889302012</v>
      </c>
      <c r="B105" t="s">
        <v>157</v>
      </c>
      <c r="C105" t="s">
        <v>158</v>
      </c>
      <c r="D105">
        <v>2012</v>
      </c>
      <c r="E105" t="s">
        <v>133</v>
      </c>
      <c r="F105">
        <v>249435.48</v>
      </c>
      <c r="G105">
        <v>454</v>
      </c>
      <c r="H105" s="11" t="str">
        <f t="shared" si="13"/>
        <v>count</v>
      </c>
      <c r="I105" s="197" t="s">
        <v>391</v>
      </c>
      <c r="J105" s="197" t="s">
        <v>392</v>
      </c>
      <c r="K105" s="197" t="s">
        <v>145</v>
      </c>
      <c r="L105" s="197">
        <f t="shared" si="18"/>
        <v>12</v>
      </c>
      <c r="M105" s="197">
        <f t="shared" si="18"/>
        <v>1</v>
      </c>
      <c r="N105" s="197">
        <f t="shared" si="18"/>
        <v>2</v>
      </c>
      <c r="O105" s="197">
        <f t="shared" si="18"/>
        <v>0</v>
      </c>
      <c r="P105" s="197">
        <f t="shared" si="18"/>
        <v>0</v>
      </c>
      <c r="Q105" s="197">
        <f t="shared" si="18"/>
        <v>0</v>
      </c>
      <c r="R105" s="197">
        <f t="shared" si="18"/>
        <v>0</v>
      </c>
      <c r="S105" s="197">
        <f t="shared" si="18"/>
        <v>0</v>
      </c>
      <c r="T105" s="197">
        <f t="shared" si="18"/>
        <v>0</v>
      </c>
      <c r="U105" s="197">
        <f t="shared" si="18"/>
        <v>41</v>
      </c>
      <c r="V105" s="197">
        <f t="shared" si="19"/>
        <v>13</v>
      </c>
      <c r="W105" s="197">
        <f t="shared" si="19"/>
        <v>3</v>
      </c>
      <c r="X105" s="197">
        <f t="shared" si="19"/>
        <v>0</v>
      </c>
      <c r="Y105" s="197">
        <f t="shared" si="19"/>
        <v>0</v>
      </c>
      <c r="Z105" s="197">
        <f t="shared" si="19"/>
        <v>0</v>
      </c>
      <c r="AA105" s="197">
        <f t="shared" si="19"/>
        <v>24</v>
      </c>
      <c r="AB105" s="197">
        <f t="shared" si="19"/>
        <v>0</v>
      </c>
      <c r="AC105" s="197">
        <f t="shared" si="19"/>
        <v>0</v>
      </c>
      <c r="AD105" s="197">
        <f t="shared" si="19"/>
        <v>33</v>
      </c>
      <c r="AE105" s="197">
        <f t="shared" si="19"/>
        <v>18</v>
      </c>
      <c r="AF105" s="197">
        <f t="shared" si="20"/>
        <v>4</v>
      </c>
      <c r="AG105" s="197">
        <f t="shared" si="20"/>
        <v>0</v>
      </c>
      <c r="AH105" s="197">
        <f t="shared" si="20"/>
        <v>0</v>
      </c>
      <c r="AI105" s="197">
        <f t="shared" si="20"/>
        <v>0</v>
      </c>
      <c r="AJ105" s="197">
        <f t="shared" si="20"/>
        <v>10</v>
      </c>
      <c r="AK105" s="197">
        <f t="shared" si="20"/>
        <v>0</v>
      </c>
      <c r="AL105" s="197">
        <f t="shared" si="20"/>
        <v>0</v>
      </c>
    </row>
    <row r="106" spans="1:38">
      <c r="A106" s="11" t="str">
        <f t="shared" si="14"/>
        <v>05-303889302012</v>
      </c>
      <c r="B106" t="s">
        <v>157</v>
      </c>
      <c r="C106" t="s">
        <v>158</v>
      </c>
      <c r="D106">
        <v>2012</v>
      </c>
      <c r="E106" t="s">
        <v>69</v>
      </c>
      <c r="F106">
        <v>391503.58</v>
      </c>
      <c r="G106">
        <v>929</v>
      </c>
      <c r="H106" s="11" t="str">
        <f t="shared" si="13"/>
        <v>count</v>
      </c>
      <c r="I106" s="197" t="s">
        <v>393</v>
      </c>
      <c r="J106" s="197" t="s">
        <v>394</v>
      </c>
      <c r="K106" s="197" t="s">
        <v>146</v>
      </c>
      <c r="L106" s="197">
        <f t="shared" si="18"/>
        <v>2275.75</v>
      </c>
      <c r="M106" s="197">
        <f t="shared" si="18"/>
        <v>0</v>
      </c>
      <c r="N106" s="197">
        <f t="shared" si="18"/>
        <v>0</v>
      </c>
      <c r="O106" s="197">
        <f t="shared" si="18"/>
        <v>6671.15</v>
      </c>
      <c r="P106" s="197">
        <f t="shared" si="18"/>
        <v>0</v>
      </c>
      <c r="Q106" s="197">
        <f t="shared" si="18"/>
        <v>0</v>
      </c>
      <c r="R106" s="197">
        <f t="shared" si="18"/>
        <v>0</v>
      </c>
      <c r="S106" s="197">
        <f t="shared" si="18"/>
        <v>0</v>
      </c>
      <c r="T106" s="197">
        <f t="shared" si="18"/>
        <v>0</v>
      </c>
      <c r="U106" s="197">
        <f t="shared" si="18"/>
        <v>86162.52</v>
      </c>
      <c r="V106" s="197">
        <f t="shared" si="19"/>
        <v>44075.42</v>
      </c>
      <c r="W106" s="197">
        <f t="shared" si="19"/>
        <v>5718.9</v>
      </c>
      <c r="X106" s="197">
        <f t="shared" si="19"/>
        <v>5917.9</v>
      </c>
      <c r="Y106" s="197">
        <f t="shared" si="19"/>
        <v>0</v>
      </c>
      <c r="Z106" s="197">
        <f t="shared" si="19"/>
        <v>0</v>
      </c>
      <c r="AA106" s="197">
        <f t="shared" si="19"/>
        <v>24324.58</v>
      </c>
      <c r="AB106" s="197">
        <f t="shared" si="19"/>
        <v>0</v>
      </c>
      <c r="AC106" s="197">
        <f t="shared" si="19"/>
        <v>0</v>
      </c>
      <c r="AD106" s="197">
        <f t="shared" si="19"/>
        <v>64191.23</v>
      </c>
      <c r="AE106" s="197">
        <f t="shared" si="19"/>
        <v>39185.769999999997</v>
      </c>
      <c r="AF106" s="197">
        <f t="shared" si="20"/>
        <v>5512.27</v>
      </c>
      <c r="AG106" s="197">
        <f t="shared" si="20"/>
        <v>1195</v>
      </c>
      <c r="AH106" s="197">
        <f t="shared" si="20"/>
        <v>0</v>
      </c>
      <c r="AI106" s="197">
        <f t="shared" si="20"/>
        <v>0</v>
      </c>
      <c r="AJ106" s="197">
        <f t="shared" si="20"/>
        <v>34817.230000000003</v>
      </c>
      <c r="AK106" s="197">
        <f t="shared" si="20"/>
        <v>0</v>
      </c>
      <c r="AL106" s="197">
        <f t="shared" si="20"/>
        <v>0</v>
      </c>
    </row>
    <row r="107" spans="1:38">
      <c r="A107" s="11" t="str">
        <f t="shared" si="14"/>
        <v>05-303889302012</v>
      </c>
      <c r="B107" t="s">
        <v>157</v>
      </c>
      <c r="C107" t="s">
        <v>158</v>
      </c>
      <c r="D107">
        <v>2012</v>
      </c>
      <c r="E107" t="s">
        <v>104</v>
      </c>
      <c r="F107">
        <v>461808.21</v>
      </c>
      <c r="G107">
        <v>927</v>
      </c>
      <c r="H107" s="11" t="str">
        <f t="shared" si="13"/>
        <v>count</v>
      </c>
      <c r="I107" s="197" t="s">
        <v>393</v>
      </c>
      <c r="J107" s="197" t="s">
        <v>394</v>
      </c>
      <c r="K107" s="197" t="s">
        <v>145</v>
      </c>
      <c r="L107" s="197">
        <f t="shared" si="18"/>
        <v>3</v>
      </c>
      <c r="M107" s="197">
        <f t="shared" si="18"/>
        <v>0</v>
      </c>
      <c r="N107" s="197">
        <f t="shared" si="18"/>
        <v>0</v>
      </c>
      <c r="O107" s="197">
        <f t="shared" si="18"/>
        <v>11</v>
      </c>
      <c r="P107" s="197">
        <f t="shared" si="18"/>
        <v>0</v>
      </c>
      <c r="Q107" s="197">
        <f t="shared" si="18"/>
        <v>0</v>
      </c>
      <c r="R107" s="197">
        <f t="shared" si="18"/>
        <v>0</v>
      </c>
      <c r="S107" s="197">
        <f t="shared" si="18"/>
        <v>0</v>
      </c>
      <c r="T107" s="197">
        <f t="shared" si="18"/>
        <v>0</v>
      </c>
      <c r="U107" s="197">
        <f t="shared" si="18"/>
        <v>150</v>
      </c>
      <c r="V107" s="197">
        <f t="shared" si="19"/>
        <v>80</v>
      </c>
      <c r="W107" s="197">
        <f t="shared" si="19"/>
        <v>10</v>
      </c>
      <c r="X107" s="197">
        <f t="shared" si="19"/>
        <v>8</v>
      </c>
      <c r="Y107" s="197">
        <f t="shared" si="19"/>
        <v>0</v>
      </c>
      <c r="Z107" s="197">
        <f t="shared" si="19"/>
        <v>0</v>
      </c>
      <c r="AA107" s="197">
        <f t="shared" si="19"/>
        <v>54</v>
      </c>
      <c r="AB107" s="197">
        <f t="shared" si="19"/>
        <v>0</v>
      </c>
      <c r="AC107" s="197">
        <f t="shared" si="19"/>
        <v>0</v>
      </c>
      <c r="AD107" s="197">
        <f t="shared" si="19"/>
        <v>144</v>
      </c>
      <c r="AE107" s="197">
        <f t="shared" si="19"/>
        <v>76</v>
      </c>
      <c r="AF107" s="197">
        <f t="shared" si="20"/>
        <v>13</v>
      </c>
      <c r="AG107" s="197">
        <f t="shared" si="20"/>
        <v>2</v>
      </c>
      <c r="AH107" s="197">
        <f t="shared" si="20"/>
        <v>0</v>
      </c>
      <c r="AI107" s="197">
        <f t="shared" si="20"/>
        <v>0</v>
      </c>
      <c r="AJ107" s="197">
        <f t="shared" si="20"/>
        <v>73</v>
      </c>
      <c r="AK107" s="197">
        <f t="shared" si="20"/>
        <v>0</v>
      </c>
      <c r="AL107" s="197">
        <f t="shared" si="20"/>
        <v>0</v>
      </c>
    </row>
    <row r="108" spans="1:38">
      <c r="A108" s="11" t="str">
        <f t="shared" si="14"/>
        <v>05-303889302012</v>
      </c>
      <c r="B108" t="s">
        <v>157</v>
      </c>
      <c r="C108" t="s">
        <v>158</v>
      </c>
      <c r="D108">
        <v>2012</v>
      </c>
      <c r="E108" t="s">
        <v>63</v>
      </c>
      <c r="F108">
        <v>723651.48</v>
      </c>
      <c r="G108">
        <v>1469</v>
      </c>
      <c r="H108" s="11" t="str">
        <f t="shared" si="13"/>
        <v>count</v>
      </c>
      <c r="I108" s="197" t="s">
        <v>402</v>
      </c>
      <c r="J108" s="197" t="s">
        <v>403</v>
      </c>
      <c r="K108" s="197" t="s">
        <v>146</v>
      </c>
      <c r="L108" s="197">
        <f t="shared" si="18"/>
        <v>0</v>
      </c>
      <c r="M108" s="197">
        <f t="shared" si="18"/>
        <v>0</v>
      </c>
      <c r="N108" s="197">
        <f t="shared" si="18"/>
        <v>0</v>
      </c>
      <c r="O108" s="197">
        <f t="shared" si="18"/>
        <v>0</v>
      </c>
      <c r="P108" s="197">
        <f t="shared" si="18"/>
        <v>0</v>
      </c>
      <c r="Q108" s="197">
        <f t="shared" si="18"/>
        <v>0</v>
      </c>
      <c r="R108" s="197">
        <f t="shared" si="18"/>
        <v>0</v>
      </c>
      <c r="S108" s="197">
        <f t="shared" si="18"/>
        <v>0</v>
      </c>
      <c r="T108" s="197">
        <f t="shared" si="18"/>
        <v>0</v>
      </c>
      <c r="U108" s="197">
        <f t="shared" si="18"/>
        <v>299089.40000000002</v>
      </c>
      <c r="V108" s="197">
        <f t="shared" si="19"/>
        <v>185420.58</v>
      </c>
      <c r="W108" s="197">
        <f t="shared" si="19"/>
        <v>39687.39</v>
      </c>
      <c r="X108" s="197">
        <f t="shared" si="19"/>
        <v>0</v>
      </c>
      <c r="Y108" s="197">
        <f t="shared" si="19"/>
        <v>0</v>
      </c>
      <c r="Z108" s="197">
        <f t="shared" si="19"/>
        <v>0</v>
      </c>
      <c r="AA108" s="197">
        <f t="shared" si="19"/>
        <v>86980.02</v>
      </c>
      <c r="AB108" s="197">
        <f t="shared" si="19"/>
        <v>0</v>
      </c>
      <c r="AC108" s="197">
        <f t="shared" si="19"/>
        <v>0</v>
      </c>
      <c r="AD108" s="197">
        <f t="shared" si="19"/>
        <v>310205.40000000002</v>
      </c>
      <c r="AE108" s="197">
        <f t="shared" si="19"/>
        <v>169164.22</v>
      </c>
      <c r="AF108" s="197">
        <f t="shared" si="20"/>
        <v>40873.839999999997</v>
      </c>
      <c r="AG108" s="197">
        <f t="shared" si="20"/>
        <v>0</v>
      </c>
      <c r="AH108" s="197">
        <f t="shared" si="20"/>
        <v>0</v>
      </c>
      <c r="AI108" s="197">
        <f t="shared" si="20"/>
        <v>0</v>
      </c>
      <c r="AJ108" s="197">
        <f t="shared" si="20"/>
        <v>140017.01999999999</v>
      </c>
      <c r="AK108" s="197">
        <f t="shared" si="20"/>
        <v>0</v>
      </c>
      <c r="AL108" s="197">
        <f t="shared" si="20"/>
        <v>0</v>
      </c>
    </row>
    <row r="109" spans="1:38">
      <c r="A109" s="11" t="str">
        <f t="shared" si="14"/>
        <v>05-303889302011</v>
      </c>
      <c r="B109" t="s">
        <v>157</v>
      </c>
      <c r="C109" t="s">
        <v>158</v>
      </c>
      <c r="D109">
        <v>2011</v>
      </c>
      <c r="E109" t="s">
        <v>69</v>
      </c>
      <c r="F109">
        <v>1947.86</v>
      </c>
      <c r="G109">
        <v>6</v>
      </c>
      <c r="H109" s="11" t="str">
        <f t="shared" si="13"/>
        <v>count</v>
      </c>
      <c r="I109" s="197" t="s">
        <v>402</v>
      </c>
      <c r="J109" s="197" t="s">
        <v>403</v>
      </c>
      <c r="K109" s="197" t="s">
        <v>145</v>
      </c>
      <c r="L109" s="197">
        <f t="shared" si="18"/>
        <v>0</v>
      </c>
      <c r="M109" s="197">
        <f t="shared" si="18"/>
        <v>0</v>
      </c>
      <c r="N109" s="197">
        <f t="shared" si="18"/>
        <v>0</v>
      </c>
      <c r="O109" s="197">
        <f t="shared" si="18"/>
        <v>0</v>
      </c>
      <c r="P109" s="197">
        <f t="shared" si="18"/>
        <v>0</v>
      </c>
      <c r="Q109" s="197">
        <f t="shared" si="18"/>
        <v>0</v>
      </c>
      <c r="R109" s="197">
        <f t="shared" si="18"/>
        <v>0</v>
      </c>
      <c r="S109" s="197">
        <f t="shared" si="18"/>
        <v>0</v>
      </c>
      <c r="T109" s="197">
        <f t="shared" si="18"/>
        <v>0</v>
      </c>
      <c r="U109" s="197">
        <f t="shared" si="18"/>
        <v>308</v>
      </c>
      <c r="V109" s="197">
        <f t="shared" si="19"/>
        <v>201</v>
      </c>
      <c r="W109" s="197">
        <f t="shared" si="19"/>
        <v>41</v>
      </c>
      <c r="X109" s="197">
        <f t="shared" si="19"/>
        <v>0</v>
      </c>
      <c r="Y109" s="197">
        <f t="shared" si="19"/>
        <v>0</v>
      </c>
      <c r="Z109" s="197">
        <f t="shared" si="19"/>
        <v>0</v>
      </c>
      <c r="AA109" s="197">
        <f t="shared" si="19"/>
        <v>95</v>
      </c>
      <c r="AB109" s="197">
        <f t="shared" si="19"/>
        <v>0</v>
      </c>
      <c r="AC109" s="197">
        <f t="shared" si="19"/>
        <v>0</v>
      </c>
      <c r="AD109" s="197">
        <f t="shared" si="19"/>
        <v>460</v>
      </c>
      <c r="AE109" s="197">
        <f t="shared" si="19"/>
        <v>247</v>
      </c>
      <c r="AF109" s="197">
        <f t="shared" si="20"/>
        <v>67</v>
      </c>
      <c r="AG109" s="197">
        <f t="shared" si="20"/>
        <v>0</v>
      </c>
      <c r="AH109" s="197">
        <f t="shared" si="20"/>
        <v>0</v>
      </c>
      <c r="AI109" s="197">
        <f t="shared" si="20"/>
        <v>0</v>
      </c>
      <c r="AJ109" s="197">
        <f t="shared" si="20"/>
        <v>202</v>
      </c>
      <c r="AK109" s="197">
        <f t="shared" si="20"/>
        <v>0</v>
      </c>
      <c r="AL109" s="197">
        <f t="shared" si="20"/>
        <v>0</v>
      </c>
    </row>
    <row r="110" spans="1:38">
      <c r="A110" s="11" t="str">
        <f t="shared" si="14"/>
        <v>05-303889302011</v>
      </c>
      <c r="B110" t="s">
        <v>157</v>
      </c>
      <c r="C110" t="s">
        <v>158</v>
      </c>
      <c r="D110">
        <v>2011</v>
      </c>
      <c r="E110" t="s">
        <v>133</v>
      </c>
      <c r="F110">
        <v>328278.65000000002</v>
      </c>
      <c r="G110">
        <v>704</v>
      </c>
      <c r="H110" s="11" t="str">
        <f t="shared" si="13"/>
        <v>count</v>
      </c>
      <c r="I110" s="197" t="s">
        <v>406</v>
      </c>
      <c r="J110" s="197" t="s">
        <v>407</v>
      </c>
      <c r="K110" s="197" t="s">
        <v>146</v>
      </c>
      <c r="L110" s="197">
        <f t="shared" si="18"/>
        <v>0</v>
      </c>
      <c r="M110" s="197">
        <f t="shared" si="18"/>
        <v>0</v>
      </c>
      <c r="N110" s="197">
        <f t="shared" si="18"/>
        <v>0</v>
      </c>
      <c r="O110" s="197">
        <f t="shared" si="18"/>
        <v>0</v>
      </c>
      <c r="P110" s="197">
        <f t="shared" si="18"/>
        <v>0</v>
      </c>
      <c r="Q110" s="197">
        <f t="shared" si="18"/>
        <v>0</v>
      </c>
      <c r="R110" s="197">
        <f t="shared" si="18"/>
        <v>0</v>
      </c>
      <c r="S110" s="197">
        <f t="shared" si="18"/>
        <v>0</v>
      </c>
      <c r="T110" s="197">
        <f t="shared" si="18"/>
        <v>0</v>
      </c>
      <c r="U110" s="197">
        <f t="shared" si="18"/>
        <v>170416.58</v>
      </c>
      <c r="V110" s="197">
        <f t="shared" si="19"/>
        <v>99702.35</v>
      </c>
      <c r="W110" s="197">
        <f t="shared" si="19"/>
        <v>0</v>
      </c>
      <c r="X110" s="197">
        <f t="shared" si="19"/>
        <v>0</v>
      </c>
      <c r="Y110" s="197">
        <f t="shared" si="19"/>
        <v>0</v>
      </c>
      <c r="Z110" s="197">
        <f t="shared" si="19"/>
        <v>0</v>
      </c>
      <c r="AA110" s="197">
        <f t="shared" si="19"/>
        <v>48934.45</v>
      </c>
      <c r="AB110" s="197">
        <f t="shared" si="19"/>
        <v>0</v>
      </c>
      <c r="AC110" s="197">
        <f t="shared" si="19"/>
        <v>0</v>
      </c>
      <c r="AD110" s="197">
        <f t="shared" si="19"/>
        <v>229794.59</v>
      </c>
      <c r="AE110" s="197">
        <f t="shared" si="19"/>
        <v>140826.87</v>
      </c>
      <c r="AF110" s="197">
        <f t="shared" si="20"/>
        <v>0</v>
      </c>
      <c r="AG110" s="197">
        <f t="shared" si="20"/>
        <v>0</v>
      </c>
      <c r="AH110" s="197">
        <f t="shared" si="20"/>
        <v>0</v>
      </c>
      <c r="AI110" s="197">
        <f t="shared" si="20"/>
        <v>0</v>
      </c>
      <c r="AJ110" s="197">
        <f t="shared" si="20"/>
        <v>47810.64</v>
      </c>
      <c r="AK110" s="197">
        <f t="shared" si="20"/>
        <v>0</v>
      </c>
      <c r="AL110" s="197">
        <f t="shared" si="20"/>
        <v>0</v>
      </c>
    </row>
    <row r="111" spans="1:38">
      <c r="A111" s="11" t="str">
        <f t="shared" si="14"/>
        <v>05-303889302011</v>
      </c>
      <c r="B111" t="s">
        <v>157</v>
      </c>
      <c r="C111" t="s">
        <v>158</v>
      </c>
      <c r="D111">
        <v>2011</v>
      </c>
      <c r="E111" t="s">
        <v>105</v>
      </c>
      <c r="F111">
        <v>176867.29</v>
      </c>
      <c r="G111">
        <v>373</v>
      </c>
      <c r="H111" s="11" t="str">
        <f t="shared" si="13"/>
        <v>count</v>
      </c>
      <c r="I111" s="197" t="s">
        <v>406</v>
      </c>
      <c r="J111" s="197" t="s">
        <v>407</v>
      </c>
      <c r="K111" s="197" t="s">
        <v>145</v>
      </c>
      <c r="L111" s="197">
        <f t="shared" si="18"/>
        <v>0</v>
      </c>
      <c r="M111" s="197">
        <f t="shared" si="18"/>
        <v>0</v>
      </c>
      <c r="N111" s="197">
        <f t="shared" si="18"/>
        <v>0</v>
      </c>
      <c r="O111" s="197">
        <f t="shared" si="18"/>
        <v>0</v>
      </c>
      <c r="P111" s="197">
        <f t="shared" si="18"/>
        <v>0</v>
      </c>
      <c r="Q111" s="197">
        <f t="shared" si="18"/>
        <v>0</v>
      </c>
      <c r="R111" s="197">
        <f t="shared" si="18"/>
        <v>0</v>
      </c>
      <c r="S111" s="197">
        <f t="shared" si="18"/>
        <v>0</v>
      </c>
      <c r="T111" s="197">
        <f t="shared" si="18"/>
        <v>0</v>
      </c>
      <c r="U111" s="197">
        <f t="shared" si="18"/>
        <v>131</v>
      </c>
      <c r="V111" s="197">
        <f t="shared" si="19"/>
        <v>74</v>
      </c>
      <c r="W111" s="197">
        <f t="shared" si="19"/>
        <v>0</v>
      </c>
      <c r="X111" s="197">
        <f t="shared" si="19"/>
        <v>0</v>
      </c>
      <c r="Y111" s="197">
        <f t="shared" si="19"/>
        <v>0</v>
      </c>
      <c r="Z111" s="197">
        <f t="shared" si="19"/>
        <v>0</v>
      </c>
      <c r="AA111" s="197">
        <f t="shared" si="19"/>
        <v>52</v>
      </c>
      <c r="AB111" s="197">
        <f t="shared" si="19"/>
        <v>0</v>
      </c>
      <c r="AC111" s="197">
        <f t="shared" si="19"/>
        <v>0</v>
      </c>
      <c r="AD111" s="197">
        <f t="shared" si="19"/>
        <v>173</v>
      </c>
      <c r="AE111" s="197">
        <f t="shared" si="19"/>
        <v>95</v>
      </c>
      <c r="AF111" s="197">
        <f t="shared" si="20"/>
        <v>0</v>
      </c>
      <c r="AG111" s="197">
        <f t="shared" si="20"/>
        <v>0</v>
      </c>
      <c r="AH111" s="197">
        <f t="shared" si="20"/>
        <v>0</v>
      </c>
      <c r="AI111" s="197">
        <f t="shared" si="20"/>
        <v>0</v>
      </c>
      <c r="AJ111" s="197">
        <f t="shared" si="20"/>
        <v>44</v>
      </c>
      <c r="AK111" s="197">
        <f t="shared" si="20"/>
        <v>0</v>
      </c>
      <c r="AL111" s="197">
        <f t="shared" si="20"/>
        <v>0</v>
      </c>
    </row>
    <row r="112" spans="1:38">
      <c r="A112" s="11" t="str">
        <f t="shared" si="14"/>
        <v>05-305479752013</v>
      </c>
      <c r="B112" t="s">
        <v>162</v>
      </c>
      <c r="C112" t="s">
        <v>163</v>
      </c>
      <c r="D112">
        <v>2013</v>
      </c>
      <c r="E112" t="s">
        <v>69</v>
      </c>
      <c r="F112">
        <v>190038.83</v>
      </c>
      <c r="G112">
        <v>844</v>
      </c>
      <c r="H112" s="11" t="str">
        <f t="shared" si="13"/>
        <v>volume</v>
      </c>
      <c r="I112" s="197" t="s">
        <v>410</v>
      </c>
      <c r="J112" s="197" t="s">
        <v>411</v>
      </c>
      <c r="K112" s="197" t="s">
        <v>146</v>
      </c>
      <c r="L112" s="197">
        <f t="shared" si="18"/>
        <v>1517036.78</v>
      </c>
      <c r="M112" s="197">
        <f t="shared" si="18"/>
        <v>506455.47</v>
      </c>
      <c r="N112" s="197">
        <f t="shared" si="18"/>
        <v>0</v>
      </c>
      <c r="O112" s="197">
        <f t="shared" si="18"/>
        <v>9377857.4700000007</v>
      </c>
      <c r="P112" s="197">
        <f t="shared" si="18"/>
        <v>25814.33</v>
      </c>
      <c r="Q112" s="197">
        <f t="shared" si="18"/>
        <v>51623558.210000001</v>
      </c>
      <c r="R112" s="197">
        <f t="shared" si="18"/>
        <v>0</v>
      </c>
      <c r="S112" s="197">
        <f t="shared" si="18"/>
        <v>0</v>
      </c>
      <c r="T112" s="197">
        <f t="shared" si="18"/>
        <v>0</v>
      </c>
      <c r="U112" s="197">
        <f t="shared" si="18"/>
        <v>3887069.85</v>
      </c>
      <c r="V112" s="197">
        <f t="shared" si="19"/>
        <v>1814057.97</v>
      </c>
      <c r="W112" s="197">
        <f t="shared" si="19"/>
        <v>134277.82999999999</v>
      </c>
      <c r="X112" s="197">
        <f t="shared" si="19"/>
        <v>29429056.460000001</v>
      </c>
      <c r="Y112" s="197">
        <f t="shared" si="19"/>
        <v>19730.939999999999</v>
      </c>
      <c r="Z112" s="197">
        <f t="shared" si="19"/>
        <v>167956391.38999999</v>
      </c>
      <c r="AA112" s="197">
        <f t="shared" si="19"/>
        <v>1885434.35</v>
      </c>
      <c r="AB112" s="197">
        <f t="shared" si="19"/>
        <v>0</v>
      </c>
      <c r="AC112" s="197">
        <f t="shared" si="19"/>
        <v>0</v>
      </c>
      <c r="AD112" s="197">
        <f t="shared" si="19"/>
        <v>3208014.37</v>
      </c>
      <c r="AE112" s="197">
        <f t="shared" si="19"/>
        <v>1624450.15</v>
      </c>
      <c r="AF112" s="197">
        <f t="shared" si="20"/>
        <v>106024.21</v>
      </c>
      <c r="AG112" s="197">
        <f t="shared" si="20"/>
        <v>29608450.18</v>
      </c>
      <c r="AH112" s="197">
        <f t="shared" si="20"/>
        <v>0</v>
      </c>
      <c r="AI112" s="197">
        <f t="shared" si="20"/>
        <v>161415801.38</v>
      </c>
      <c r="AJ112" s="197">
        <f t="shared" si="20"/>
        <v>2772470.88</v>
      </c>
      <c r="AK112" s="197">
        <f t="shared" si="20"/>
        <v>0</v>
      </c>
      <c r="AL112" s="197">
        <f t="shared" si="20"/>
        <v>0</v>
      </c>
    </row>
    <row r="113" spans="1:38">
      <c r="A113" s="11" t="str">
        <f t="shared" si="14"/>
        <v>05-305479752011</v>
      </c>
      <c r="B113" t="s">
        <v>162</v>
      </c>
      <c r="C113" t="s">
        <v>163</v>
      </c>
      <c r="D113">
        <v>2011</v>
      </c>
      <c r="E113" t="s">
        <v>63</v>
      </c>
      <c r="F113">
        <v>387772.99</v>
      </c>
      <c r="G113">
        <v>1725</v>
      </c>
      <c r="H113" s="11" t="str">
        <f t="shared" si="13"/>
        <v>count</v>
      </c>
      <c r="I113" s="197" t="s">
        <v>410</v>
      </c>
      <c r="J113" s="197" t="s">
        <v>411</v>
      </c>
      <c r="K113" s="197" t="s">
        <v>145</v>
      </c>
      <c r="L113" s="197">
        <f t="shared" si="18"/>
        <v>1642</v>
      </c>
      <c r="M113" s="197">
        <f t="shared" si="18"/>
        <v>484</v>
      </c>
      <c r="N113" s="197">
        <f t="shared" si="18"/>
        <v>0</v>
      </c>
      <c r="O113" s="197">
        <f t="shared" si="18"/>
        <v>5588</v>
      </c>
      <c r="P113" s="197">
        <f t="shared" si="18"/>
        <v>24</v>
      </c>
      <c r="Q113" s="197">
        <f t="shared" si="18"/>
        <v>44502</v>
      </c>
      <c r="R113" s="197">
        <f t="shared" si="18"/>
        <v>0</v>
      </c>
      <c r="S113" s="197">
        <f t="shared" si="18"/>
        <v>0</v>
      </c>
      <c r="T113" s="197">
        <f t="shared" si="18"/>
        <v>0</v>
      </c>
      <c r="U113" s="197">
        <f t="shared" si="18"/>
        <v>3758</v>
      </c>
      <c r="V113" s="197">
        <f t="shared" si="19"/>
        <v>1743</v>
      </c>
      <c r="W113" s="197">
        <f t="shared" si="19"/>
        <v>106</v>
      </c>
      <c r="X113" s="197">
        <f t="shared" si="19"/>
        <v>16872</v>
      </c>
      <c r="Y113" s="197">
        <f t="shared" si="19"/>
        <v>20</v>
      </c>
      <c r="Z113" s="197">
        <f t="shared" si="19"/>
        <v>138822</v>
      </c>
      <c r="AA113" s="197">
        <f t="shared" si="19"/>
        <v>2385</v>
      </c>
      <c r="AB113" s="197">
        <f t="shared" si="19"/>
        <v>0</v>
      </c>
      <c r="AC113" s="197">
        <f t="shared" si="19"/>
        <v>0</v>
      </c>
      <c r="AD113" s="197">
        <f t="shared" si="19"/>
        <v>2961</v>
      </c>
      <c r="AE113" s="197">
        <f t="shared" si="19"/>
        <v>1333</v>
      </c>
      <c r="AF113" s="197">
        <f t="shared" si="20"/>
        <v>107</v>
      </c>
      <c r="AG113" s="197">
        <f t="shared" si="20"/>
        <v>16651</v>
      </c>
      <c r="AH113" s="197">
        <f t="shared" si="20"/>
        <v>0</v>
      </c>
      <c r="AI113" s="197">
        <f t="shared" si="20"/>
        <v>123722</v>
      </c>
      <c r="AJ113" s="197">
        <f t="shared" si="20"/>
        <v>3506</v>
      </c>
      <c r="AK113" s="197">
        <f t="shared" si="20"/>
        <v>0</v>
      </c>
      <c r="AL113" s="197">
        <f t="shared" si="20"/>
        <v>0</v>
      </c>
    </row>
    <row r="114" spans="1:38">
      <c r="A114" s="11" t="str">
        <f t="shared" si="14"/>
        <v>05-305479752013</v>
      </c>
      <c r="B114" t="s">
        <v>162</v>
      </c>
      <c r="C114" t="s">
        <v>163</v>
      </c>
      <c r="D114">
        <v>2013</v>
      </c>
      <c r="E114" t="s">
        <v>133</v>
      </c>
      <c r="F114">
        <v>68396.44</v>
      </c>
      <c r="G114">
        <v>236</v>
      </c>
      <c r="H114" s="11" t="str">
        <f t="shared" si="13"/>
        <v>count</v>
      </c>
      <c r="I114" s="197" t="s">
        <v>413</v>
      </c>
      <c r="J114" s="197" t="s">
        <v>414</v>
      </c>
      <c r="K114" s="197" t="s">
        <v>146</v>
      </c>
      <c r="L114" s="197">
        <f t="shared" si="18"/>
        <v>0</v>
      </c>
      <c r="M114" s="197">
        <f t="shared" si="18"/>
        <v>0</v>
      </c>
      <c r="N114" s="197">
        <f t="shared" si="18"/>
        <v>0</v>
      </c>
      <c r="O114" s="197">
        <f t="shared" si="18"/>
        <v>0</v>
      </c>
      <c r="P114" s="197">
        <f t="shared" si="18"/>
        <v>0</v>
      </c>
      <c r="Q114" s="197">
        <f t="shared" si="18"/>
        <v>0</v>
      </c>
      <c r="R114" s="197">
        <f t="shared" si="18"/>
        <v>0</v>
      </c>
      <c r="S114" s="197">
        <f t="shared" si="18"/>
        <v>0</v>
      </c>
      <c r="T114" s="197">
        <f t="shared" si="18"/>
        <v>0</v>
      </c>
      <c r="U114" s="197">
        <f t="shared" si="18"/>
        <v>545688.27</v>
      </c>
      <c r="V114" s="197">
        <f t="shared" si="19"/>
        <v>368421.54</v>
      </c>
      <c r="W114" s="197">
        <f t="shared" si="19"/>
        <v>22112.560000000001</v>
      </c>
      <c r="X114" s="197">
        <f t="shared" si="19"/>
        <v>0</v>
      </c>
      <c r="Y114" s="197">
        <f t="shared" si="19"/>
        <v>162690.62</v>
      </c>
      <c r="Z114" s="197">
        <f t="shared" si="19"/>
        <v>0</v>
      </c>
      <c r="AA114" s="197">
        <f t="shared" si="19"/>
        <v>81857.539999999994</v>
      </c>
      <c r="AB114" s="197">
        <f t="shared" si="19"/>
        <v>0</v>
      </c>
      <c r="AC114" s="197">
        <f t="shared" si="19"/>
        <v>0</v>
      </c>
      <c r="AD114" s="197">
        <f t="shared" si="19"/>
        <v>634818.03</v>
      </c>
      <c r="AE114" s="197">
        <f t="shared" si="19"/>
        <v>385325.74</v>
      </c>
      <c r="AF114" s="197">
        <f t="shared" si="20"/>
        <v>24910.9</v>
      </c>
      <c r="AG114" s="197">
        <f t="shared" si="20"/>
        <v>0</v>
      </c>
      <c r="AH114" s="197">
        <f t="shared" si="20"/>
        <v>192149.11</v>
      </c>
      <c r="AI114" s="197">
        <f t="shared" si="20"/>
        <v>0</v>
      </c>
      <c r="AJ114" s="197">
        <f t="shared" si="20"/>
        <v>23256.18</v>
      </c>
      <c r="AK114" s="197">
        <f t="shared" si="20"/>
        <v>0</v>
      </c>
      <c r="AL114" s="197">
        <f t="shared" si="20"/>
        <v>0</v>
      </c>
    </row>
    <row r="115" spans="1:38">
      <c r="A115" s="11" t="str">
        <f t="shared" si="14"/>
        <v>05-305479752011</v>
      </c>
      <c r="B115" t="s">
        <v>162</v>
      </c>
      <c r="C115" t="s">
        <v>163</v>
      </c>
      <c r="D115">
        <v>2011</v>
      </c>
      <c r="E115" t="s">
        <v>104</v>
      </c>
      <c r="F115">
        <v>201469.51</v>
      </c>
      <c r="G115">
        <v>864</v>
      </c>
      <c r="H115" s="11" t="str">
        <f t="shared" si="13"/>
        <v>count</v>
      </c>
      <c r="I115" s="197" t="s">
        <v>413</v>
      </c>
      <c r="J115" s="197" t="s">
        <v>414</v>
      </c>
      <c r="K115" s="197" t="s">
        <v>145</v>
      </c>
      <c r="L115" s="197">
        <f t="shared" si="18"/>
        <v>0</v>
      </c>
      <c r="M115" s="197">
        <f t="shared" si="18"/>
        <v>0</v>
      </c>
      <c r="N115" s="197">
        <f t="shared" si="18"/>
        <v>0</v>
      </c>
      <c r="O115" s="197">
        <f t="shared" si="18"/>
        <v>0</v>
      </c>
      <c r="P115" s="197">
        <f t="shared" si="18"/>
        <v>0</v>
      </c>
      <c r="Q115" s="197">
        <f t="shared" si="18"/>
        <v>0</v>
      </c>
      <c r="R115" s="197">
        <f t="shared" si="18"/>
        <v>0</v>
      </c>
      <c r="S115" s="197">
        <f t="shared" si="18"/>
        <v>0</v>
      </c>
      <c r="T115" s="197">
        <f t="shared" si="18"/>
        <v>0</v>
      </c>
      <c r="U115" s="197">
        <f t="shared" si="18"/>
        <v>2319</v>
      </c>
      <c r="V115" s="197">
        <f t="shared" si="19"/>
        <v>2087</v>
      </c>
      <c r="W115" s="197">
        <f t="shared" si="19"/>
        <v>85</v>
      </c>
      <c r="X115" s="197">
        <f t="shared" si="19"/>
        <v>0</v>
      </c>
      <c r="Y115" s="197">
        <f t="shared" si="19"/>
        <v>618</v>
      </c>
      <c r="Z115" s="197">
        <f t="shared" si="19"/>
        <v>0</v>
      </c>
      <c r="AA115" s="197">
        <f t="shared" si="19"/>
        <v>394</v>
      </c>
      <c r="AB115" s="197">
        <f t="shared" si="19"/>
        <v>0</v>
      </c>
      <c r="AC115" s="197">
        <f t="shared" si="19"/>
        <v>0</v>
      </c>
      <c r="AD115" s="197">
        <f t="shared" si="19"/>
        <v>2695</v>
      </c>
      <c r="AE115" s="197">
        <f t="shared" si="19"/>
        <v>2238</v>
      </c>
      <c r="AF115" s="197">
        <f t="shared" si="20"/>
        <v>94</v>
      </c>
      <c r="AG115" s="197">
        <f t="shared" si="20"/>
        <v>0</v>
      </c>
      <c r="AH115" s="197">
        <f t="shared" si="20"/>
        <v>698</v>
      </c>
      <c r="AI115" s="197">
        <f t="shared" si="20"/>
        <v>0</v>
      </c>
      <c r="AJ115" s="197">
        <f t="shared" si="20"/>
        <v>145</v>
      </c>
      <c r="AK115" s="197">
        <f t="shared" si="20"/>
        <v>0</v>
      </c>
      <c r="AL115" s="197">
        <f t="shared" si="20"/>
        <v>0</v>
      </c>
    </row>
    <row r="116" spans="1:38">
      <c r="A116" s="11" t="str">
        <f t="shared" si="14"/>
        <v>05-305479752013</v>
      </c>
      <c r="B116" t="s">
        <v>162</v>
      </c>
      <c r="C116" t="s">
        <v>163</v>
      </c>
      <c r="D116">
        <v>2013</v>
      </c>
      <c r="E116" t="s">
        <v>105</v>
      </c>
      <c r="F116">
        <v>40459.360000000001</v>
      </c>
      <c r="G116">
        <v>169</v>
      </c>
      <c r="H116" s="11" t="str">
        <f t="shared" si="13"/>
        <v>count</v>
      </c>
      <c r="I116" s="197" t="s">
        <v>422</v>
      </c>
      <c r="J116" s="197" t="s">
        <v>423</v>
      </c>
      <c r="K116" s="197" t="s">
        <v>146</v>
      </c>
      <c r="L116" s="197">
        <f t="shared" si="18"/>
        <v>0</v>
      </c>
      <c r="M116" s="197">
        <f t="shared" si="18"/>
        <v>0</v>
      </c>
      <c r="N116" s="197">
        <f t="shared" si="18"/>
        <v>0</v>
      </c>
      <c r="O116" s="197">
        <f t="shared" si="18"/>
        <v>0</v>
      </c>
      <c r="P116" s="197">
        <f t="shared" si="18"/>
        <v>0</v>
      </c>
      <c r="Q116" s="197">
        <f t="shared" si="18"/>
        <v>0</v>
      </c>
      <c r="R116" s="197">
        <f t="shared" si="18"/>
        <v>0</v>
      </c>
      <c r="S116" s="197">
        <f t="shared" si="18"/>
        <v>0</v>
      </c>
      <c r="T116" s="197">
        <f t="shared" si="18"/>
        <v>0</v>
      </c>
      <c r="U116" s="197">
        <f t="shared" si="18"/>
        <v>2476282.17</v>
      </c>
      <c r="V116" s="197">
        <f t="shared" si="19"/>
        <v>1728071.12</v>
      </c>
      <c r="W116" s="197">
        <f t="shared" si="19"/>
        <v>545618.42000000004</v>
      </c>
      <c r="X116" s="197">
        <f t="shared" si="19"/>
        <v>0</v>
      </c>
      <c r="Y116" s="197">
        <f t="shared" si="19"/>
        <v>975736.63</v>
      </c>
      <c r="Z116" s="197">
        <f t="shared" si="19"/>
        <v>0</v>
      </c>
      <c r="AA116" s="197">
        <f t="shared" si="19"/>
        <v>1256774.8899999999</v>
      </c>
      <c r="AB116" s="197">
        <f t="shared" si="19"/>
        <v>0</v>
      </c>
      <c r="AC116" s="197">
        <f t="shared" si="19"/>
        <v>0</v>
      </c>
      <c r="AD116" s="197">
        <f t="shared" si="19"/>
        <v>3279922.48</v>
      </c>
      <c r="AE116" s="197">
        <f t="shared" si="19"/>
        <v>1886917.54</v>
      </c>
      <c r="AF116" s="197">
        <f t="shared" si="20"/>
        <v>668850.36</v>
      </c>
      <c r="AG116" s="197">
        <f t="shared" si="20"/>
        <v>0</v>
      </c>
      <c r="AH116" s="197">
        <f t="shared" si="20"/>
        <v>1042720.06</v>
      </c>
      <c r="AI116" s="197">
        <f t="shared" si="20"/>
        <v>0</v>
      </c>
      <c r="AJ116" s="197">
        <f t="shared" si="20"/>
        <v>1863956.23</v>
      </c>
      <c r="AK116" s="197">
        <f t="shared" si="20"/>
        <v>0</v>
      </c>
      <c r="AL116" s="197">
        <f t="shared" si="20"/>
        <v>0</v>
      </c>
    </row>
    <row r="117" spans="1:38">
      <c r="A117" s="11" t="str">
        <f t="shared" si="14"/>
        <v>05-305479752012</v>
      </c>
      <c r="B117" t="s">
        <v>162</v>
      </c>
      <c r="C117" t="s">
        <v>163</v>
      </c>
      <c r="D117">
        <v>2012</v>
      </c>
      <c r="E117" t="s">
        <v>105</v>
      </c>
      <c r="F117">
        <v>54976.25</v>
      </c>
      <c r="G117">
        <v>220</v>
      </c>
      <c r="H117" s="11" t="str">
        <f t="shared" si="13"/>
        <v>count</v>
      </c>
      <c r="I117" s="197" t="s">
        <v>422</v>
      </c>
      <c r="J117" s="197" t="s">
        <v>423</v>
      </c>
      <c r="K117" s="197" t="s">
        <v>145</v>
      </c>
      <c r="L117" s="197">
        <f t="shared" si="18"/>
        <v>0</v>
      </c>
      <c r="M117" s="197">
        <f t="shared" si="18"/>
        <v>0</v>
      </c>
      <c r="N117" s="197">
        <f t="shared" si="18"/>
        <v>0</v>
      </c>
      <c r="O117" s="197">
        <f t="shared" si="18"/>
        <v>0</v>
      </c>
      <c r="P117" s="197">
        <f t="shared" si="18"/>
        <v>0</v>
      </c>
      <c r="Q117" s="197">
        <f t="shared" si="18"/>
        <v>0</v>
      </c>
      <c r="R117" s="197">
        <f t="shared" si="18"/>
        <v>0</v>
      </c>
      <c r="S117" s="197">
        <f t="shared" si="18"/>
        <v>0</v>
      </c>
      <c r="T117" s="197">
        <f t="shared" si="18"/>
        <v>0</v>
      </c>
      <c r="U117" s="197">
        <f t="shared" si="18"/>
        <v>3346</v>
      </c>
      <c r="V117" s="197">
        <f t="shared" si="19"/>
        <v>2359</v>
      </c>
      <c r="W117" s="197">
        <f t="shared" si="19"/>
        <v>703</v>
      </c>
      <c r="X117" s="197">
        <f t="shared" si="19"/>
        <v>0</v>
      </c>
      <c r="Y117" s="197">
        <f t="shared" si="19"/>
        <v>1207</v>
      </c>
      <c r="Z117" s="197">
        <f t="shared" si="19"/>
        <v>0</v>
      </c>
      <c r="AA117" s="197">
        <f t="shared" si="19"/>
        <v>2018</v>
      </c>
      <c r="AB117" s="197">
        <f t="shared" si="19"/>
        <v>0</v>
      </c>
      <c r="AC117" s="197">
        <f t="shared" si="19"/>
        <v>0</v>
      </c>
      <c r="AD117" s="197">
        <f t="shared" si="19"/>
        <v>4090</v>
      </c>
      <c r="AE117" s="197">
        <f t="shared" si="19"/>
        <v>2428</v>
      </c>
      <c r="AF117" s="197">
        <f t="shared" si="20"/>
        <v>838</v>
      </c>
      <c r="AG117" s="197">
        <f t="shared" si="20"/>
        <v>0</v>
      </c>
      <c r="AH117" s="197">
        <f t="shared" si="20"/>
        <v>1307</v>
      </c>
      <c r="AI117" s="197">
        <f t="shared" si="20"/>
        <v>0</v>
      </c>
      <c r="AJ117" s="197">
        <f t="shared" si="20"/>
        <v>2888</v>
      </c>
      <c r="AK117" s="197">
        <f t="shared" si="20"/>
        <v>0</v>
      </c>
      <c r="AL117" s="197">
        <f t="shared" si="20"/>
        <v>0</v>
      </c>
    </row>
    <row r="118" spans="1:38">
      <c r="A118" s="11" t="str">
        <f t="shared" si="14"/>
        <v>05-305479752011</v>
      </c>
      <c r="B118" t="s">
        <v>162</v>
      </c>
      <c r="C118" t="s">
        <v>163</v>
      </c>
      <c r="D118">
        <v>2011</v>
      </c>
      <c r="E118" t="s">
        <v>105</v>
      </c>
      <c r="F118">
        <v>44277.01</v>
      </c>
      <c r="G118">
        <v>199</v>
      </c>
      <c r="H118" s="11" t="str">
        <f t="shared" si="13"/>
        <v>count</v>
      </c>
      <c r="I118" s="197" t="s">
        <v>425</v>
      </c>
      <c r="J118" s="197" t="s">
        <v>426</v>
      </c>
      <c r="K118" s="197" t="s">
        <v>146</v>
      </c>
      <c r="L118" s="197">
        <f t="shared" si="18"/>
        <v>0</v>
      </c>
      <c r="M118" s="197">
        <f t="shared" si="18"/>
        <v>0</v>
      </c>
      <c r="N118" s="197">
        <f t="shared" si="18"/>
        <v>0</v>
      </c>
      <c r="O118" s="197">
        <f t="shared" si="18"/>
        <v>0</v>
      </c>
      <c r="P118" s="197">
        <f t="shared" si="18"/>
        <v>0</v>
      </c>
      <c r="Q118" s="197">
        <f t="shared" si="18"/>
        <v>0</v>
      </c>
      <c r="R118" s="197">
        <f t="shared" si="18"/>
        <v>0</v>
      </c>
      <c r="S118" s="197">
        <f t="shared" si="18"/>
        <v>0</v>
      </c>
      <c r="T118" s="197">
        <f t="shared" si="18"/>
        <v>0</v>
      </c>
      <c r="U118" s="197">
        <f t="shared" si="18"/>
        <v>5936581.4000000004</v>
      </c>
      <c r="V118" s="197">
        <f t="shared" si="19"/>
        <v>3770418.37</v>
      </c>
      <c r="W118" s="197">
        <f t="shared" si="19"/>
        <v>693104.04</v>
      </c>
      <c r="X118" s="197">
        <f t="shared" si="19"/>
        <v>7725.44</v>
      </c>
      <c r="Y118" s="197">
        <f t="shared" si="19"/>
        <v>0</v>
      </c>
      <c r="Z118" s="197">
        <f t="shared" si="19"/>
        <v>0</v>
      </c>
      <c r="AA118" s="197">
        <f t="shared" si="19"/>
        <v>1905125.82</v>
      </c>
      <c r="AB118" s="197">
        <f t="shared" si="19"/>
        <v>0</v>
      </c>
      <c r="AC118" s="197">
        <f t="shared" si="19"/>
        <v>0</v>
      </c>
      <c r="AD118" s="197">
        <f t="shared" si="19"/>
        <v>6777308.0099999998</v>
      </c>
      <c r="AE118" s="197">
        <f t="shared" si="19"/>
        <v>3783909.04</v>
      </c>
      <c r="AF118" s="197">
        <f t="shared" si="20"/>
        <v>1100528.1399999999</v>
      </c>
      <c r="AG118" s="197">
        <f t="shared" si="20"/>
        <v>0</v>
      </c>
      <c r="AH118" s="197">
        <f t="shared" si="20"/>
        <v>0</v>
      </c>
      <c r="AI118" s="197">
        <f t="shared" si="20"/>
        <v>0</v>
      </c>
      <c r="AJ118" s="197">
        <f t="shared" si="20"/>
        <v>2466274.23</v>
      </c>
      <c r="AK118" s="197">
        <f t="shared" si="20"/>
        <v>0</v>
      </c>
      <c r="AL118" s="197">
        <f t="shared" si="20"/>
        <v>0</v>
      </c>
    </row>
    <row r="119" spans="1:38">
      <c r="A119" s="11" t="str">
        <f t="shared" si="14"/>
        <v>05-305479752013</v>
      </c>
      <c r="B119" t="s">
        <v>162</v>
      </c>
      <c r="C119" t="s">
        <v>163</v>
      </c>
      <c r="D119">
        <v>2013</v>
      </c>
      <c r="E119" t="s">
        <v>63</v>
      </c>
      <c r="F119">
        <v>217192.48</v>
      </c>
      <c r="G119">
        <v>933</v>
      </c>
      <c r="H119" s="11" t="str">
        <f t="shared" si="13"/>
        <v>count</v>
      </c>
      <c r="I119" s="197" t="s">
        <v>425</v>
      </c>
      <c r="J119" s="197" t="s">
        <v>426</v>
      </c>
      <c r="K119" s="197" t="s">
        <v>145</v>
      </c>
      <c r="L119" s="197">
        <f t="shared" si="18"/>
        <v>0</v>
      </c>
      <c r="M119" s="197">
        <f t="shared" si="18"/>
        <v>0</v>
      </c>
      <c r="N119" s="197">
        <f t="shared" si="18"/>
        <v>0</v>
      </c>
      <c r="O119" s="197">
        <f t="shared" si="18"/>
        <v>0</v>
      </c>
      <c r="P119" s="197">
        <f t="shared" si="18"/>
        <v>0</v>
      </c>
      <c r="Q119" s="197">
        <f t="shared" si="18"/>
        <v>0</v>
      </c>
      <c r="R119" s="197">
        <f t="shared" si="18"/>
        <v>0</v>
      </c>
      <c r="S119" s="197">
        <f t="shared" si="18"/>
        <v>0</v>
      </c>
      <c r="T119" s="197">
        <f t="shared" si="18"/>
        <v>0</v>
      </c>
      <c r="U119" s="197">
        <f t="shared" si="18"/>
        <v>4451</v>
      </c>
      <c r="V119" s="197">
        <f t="shared" si="19"/>
        <v>2900</v>
      </c>
      <c r="W119" s="197">
        <f t="shared" si="19"/>
        <v>537</v>
      </c>
      <c r="X119" s="197">
        <f t="shared" si="19"/>
        <v>8</v>
      </c>
      <c r="Y119" s="197">
        <f t="shared" si="19"/>
        <v>0</v>
      </c>
      <c r="Z119" s="197">
        <f t="shared" si="19"/>
        <v>0</v>
      </c>
      <c r="AA119" s="197">
        <f t="shared" si="19"/>
        <v>1939</v>
      </c>
      <c r="AB119" s="197">
        <f t="shared" si="19"/>
        <v>0</v>
      </c>
      <c r="AC119" s="197">
        <f t="shared" si="19"/>
        <v>0</v>
      </c>
      <c r="AD119" s="197">
        <f t="shared" si="19"/>
        <v>5154</v>
      </c>
      <c r="AE119" s="197">
        <f t="shared" si="19"/>
        <v>2872</v>
      </c>
      <c r="AF119" s="197">
        <f t="shared" si="20"/>
        <v>813</v>
      </c>
      <c r="AG119" s="197">
        <f t="shared" si="20"/>
        <v>0</v>
      </c>
      <c r="AH119" s="197">
        <f t="shared" si="20"/>
        <v>0</v>
      </c>
      <c r="AI119" s="197">
        <f t="shared" si="20"/>
        <v>0</v>
      </c>
      <c r="AJ119" s="197">
        <f t="shared" si="20"/>
        <v>2484</v>
      </c>
      <c r="AK119" s="197">
        <f t="shared" si="20"/>
        <v>0</v>
      </c>
      <c r="AL119" s="197">
        <f t="shared" si="20"/>
        <v>0</v>
      </c>
    </row>
    <row r="120" spans="1:38">
      <c r="A120" s="11" t="str">
        <f t="shared" si="14"/>
        <v>05-305479752011</v>
      </c>
      <c r="B120" t="s">
        <v>162</v>
      </c>
      <c r="C120" t="s">
        <v>163</v>
      </c>
      <c r="D120">
        <v>2011</v>
      </c>
      <c r="E120" t="s">
        <v>133</v>
      </c>
      <c r="F120">
        <v>83810.789999999994</v>
      </c>
      <c r="G120">
        <v>261</v>
      </c>
      <c r="H120" s="11" t="str">
        <f t="shared" si="13"/>
        <v>count</v>
      </c>
      <c r="I120" s="197" t="s">
        <v>427</v>
      </c>
      <c r="J120" s="197" t="s">
        <v>428</v>
      </c>
      <c r="K120" s="197" t="s">
        <v>146</v>
      </c>
      <c r="L120" s="197">
        <f t="shared" si="18"/>
        <v>0</v>
      </c>
      <c r="M120" s="197">
        <f t="shared" si="18"/>
        <v>0</v>
      </c>
      <c r="N120" s="197">
        <f t="shared" si="18"/>
        <v>0</v>
      </c>
      <c r="O120" s="197">
        <f t="shared" si="18"/>
        <v>0</v>
      </c>
      <c r="P120" s="197">
        <f t="shared" si="18"/>
        <v>0</v>
      </c>
      <c r="Q120" s="197">
        <f t="shared" si="18"/>
        <v>0</v>
      </c>
      <c r="R120" s="197">
        <f t="shared" si="18"/>
        <v>0</v>
      </c>
      <c r="S120" s="197">
        <f t="shared" si="18"/>
        <v>0</v>
      </c>
      <c r="T120" s="197">
        <f t="shared" si="18"/>
        <v>0</v>
      </c>
      <c r="U120" s="197">
        <f t="shared" si="18"/>
        <v>1271.33</v>
      </c>
      <c r="V120" s="197">
        <f t="shared" si="19"/>
        <v>5511.22</v>
      </c>
      <c r="W120" s="197">
        <f t="shared" si="19"/>
        <v>0</v>
      </c>
      <c r="X120" s="197">
        <f t="shared" si="19"/>
        <v>0</v>
      </c>
      <c r="Y120" s="197">
        <f t="shared" si="19"/>
        <v>462.91</v>
      </c>
      <c r="Z120" s="197">
        <f t="shared" si="19"/>
        <v>0</v>
      </c>
      <c r="AA120" s="197">
        <f t="shared" si="19"/>
        <v>526.66</v>
      </c>
      <c r="AB120" s="197">
        <f t="shared" si="19"/>
        <v>0</v>
      </c>
      <c r="AC120" s="197">
        <f t="shared" si="19"/>
        <v>0</v>
      </c>
      <c r="AD120" s="197">
        <f t="shared" si="19"/>
        <v>43838.400000000001</v>
      </c>
      <c r="AE120" s="197">
        <f t="shared" si="19"/>
        <v>34303.599999999999</v>
      </c>
      <c r="AF120" s="197">
        <f t="shared" si="20"/>
        <v>2404.0700000000002</v>
      </c>
      <c r="AG120" s="197">
        <f t="shared" si="20"/>
        <v>0</v>
      </c>
      <c r="AH120" s="197">
        <f t="shared" si="20"/>
        <v>22718.36</v>
      </c>
      <c r="AI120" s="197">
        <f t="shared" si="20"/>
        <v>0</v>
      </c>
      <c r="AJ120" s="197">
        <f t="shared" si="20"/>
        <v>23042.52</v>
      </c>
      <c r="AK120" s="197">
        <f t="shared" si="20"/>
        <v>0</v>
      </c>
      <c r="AL120" s="197">
        <f t="shared" si="20"/>
        <v>0</v>
      </c>
    </row>
    <row r="121" spans="1:38">
      <c r="A121" s="11" t="str">
        <f t="shared" si="14"/>
        <v>05-305479752013</v>
      </c>
      <c r="B121" t="s">
        <v>162</v>
      </c>
      <c r="C121" t="s">
        <v>163</v>
      </c>
      <c r="D121">
        <v>2013</v>
      </c>
      <c r="E121" t="s">
        <v>104</v>
      </c>
      <c r="F121">
        <v>145653.13</v>
      </c>
      <c r="G121">
        <v>570</v>
      </c>
      <c r="H121" s="11" t="str">
        <f t="shared" si="13"/>
        <v>count</v>
      </c>
      <c r="I121" s="197" t="s">
        <v>427</v>
      </c>
      <c r="J121" s="197" t="s">
        <v>428</v>
      </c>
      <c r="K121" s="197" t="s">
        <v>145</v>
      </c>
      <c r="L121" s="197">
        <f t="shared" si="18"/>
        <v>0</v>
      </c>
      <c r="M121" s="197">
        <f t="shared" si="18"/>
        <v>0</v>
      </c>
      <c r="N121" s="197">
        <f t="shared" si="18"/>
        <v>0</v>
      </c>
      <c r="O121" s="197">
        <f t="shared" si="18"/>
        <v>0</v>
      </c>
      <c r="P121" s="197">
        <f t="shared" si="18"/>
        <v>0</v>
      </c>
      <c r="Q121" s="197">
        <f t="shared" si="18"/>
        <v>0</v>
      </c>
      <c r="R121" s="197">
        <f t="shared" si="18"/>
        <v>0</v>
      </c>
      <c r="S121" s="197">
        <f t="shared" si="18"/>
        <v>0</v>
      </c>
      <c r="T121" s="197">
        <f t="shared" si="18"/>
        <v>0</v>
      </c>
      <c r="U121" s="197">
        <f t="shared" si="18"/>
        <v>12</v>
      </c>
      <c r="V121" s="197">
        <f t="shared" si="19"/>
        <v>22</v>
      </c>
      <c r="W121" s="197">
        <f t="shared" si="19"/>
        <v>0</v>
      </c>
      <c r="X121" s="197">
        <f t="shared" si="19"/>
        <v>0</v>
      </c>
      <c r="Y121" s="197">
        <f t="shared" si="19"/>
        <v>7</v>
      </c>
      <c r="Z121" s="197">
        <f t="shared" si="19"/>
        <v>0</v>
      </c>
      <c r="AA121" s="197">
        <f t="shared" si="19"/>
        <v>7</v>
      </c>
      <c r="AB121" s="197">
        <f t="shared" si="19"/>
        <v>0</v>
      </c>
      <c r="AC121" s="197">
        <f t="shared" si="19"/>
        <v>0</v>
      </c>
      <c r="AD121" s="197">
        <f t="shared" si="19"/>
        <v>356</v>
      </c>
      <c r="AE121" s="197">
        <f t="shared" si="19"/>
        <v>227</v>
      </c>
      <c r="AF121" s="197">
        <f t="shared" si="20"/>
        <v>24</v>
      </c>
      <c r="AG121" s="197">
        <f t="shared" si="20"/>
        <v>0</v>
      </c>
      <c r="AH121" s="197">
        <f t="shared" si="20"/>
        <v>171</v>
      </c>
      <c r="AI121" s="197">
        <f t="shared" si="20"/>
        <v>0</v>
      </c>
      <c r="AJ121" s="197">
        <f t="shared" si="20"/>
        <v>239</v>
      </c>
      <c r="AK121" s="197">
        <f t="shared" si="20"/>
        <v>0</v>
      </c>
      <c r="AL121" s="197">
        <f t="shared" si="20"/>
        <v>0</v>
      </c>
    </row>
    <row r="122" spans="1:38">
      <c r="A122" s="11" t="str">
        <f t="shared" si="14"/>
        <v>05-305479752011</v>
      </c>
      <c r="B122" t="s">
        <v>162</v>
      </c>
      <c r="C122" t="s">
        <v>163</v>
      </c>
      <c r="D122">
        <v>2011</v>
      </c>
      <c r="E122" t="s">
        <v>69</v>
      </c>
      <c r="F122">
        <v>1187.69</v>
      </c>
      <c r="G122">
        <v>6</v>
      </c>
      <c r="H122" s="11" t="str">
        <f t="shared" si="13"/>
        <v>count</v>
      </c>
      <c r="I122" s="197" t="s">
        <v>429</v>
      </c>
      <c r="J122" s="197" t="s">
        <v>430</v>
      </c>
      <c r="K122" s="197" t="s">
        <v>146</v>
      </c>
      <c r="L122" s="197">
        <f t="shared" si="18"/>
        <v>0</v>
      </c>
      <c r="M122" s="197">
        <f t="shared" si="18"/>
        <v>0</v>
      </c>
      <c r="N122" s="197">
        <f t="shared" si="18"/>
        <v>0</v>
      </c>
      <c r="O122" s="197">
        <f t="shared" si="18"/>
        <v>0</v>
      </c>
      <c r="P122" s="197">
        <f t="shared" si="18"/>
        <v>0</v>
      </c>
      <c r="Q122" s="197">
        <f t="shared" si="18"/>
        <v>0</v>
      </c>
      <c r="R122" s="197">
        <f t="shared" si="18"/>
        <v>0</v>
      </c>
      <c r="S122" s="197">
        <f t="shared" si="18"/>
        <v>0</v>
      </c>
      <c r="T122" s="197">
        <f t="shared" si="18"/>
        <v>0</v>
      </c>
      <c r="U122" s="197">
        <f t="shared" si="18"/>
        <v>943902.04</v>
      </c>
      <c r="V122" s="197">
        <f t="shared" si="19"/>
        <v>502664.24</v>
      </c>
      <c r="W122" s="197">
        <f t="shared" si="19"/>
        <v>170404.87</v>
      </c>
      <c r="X122" s="197">
        <f t="shared" si="19"/>
        <v>0</v>
      </c>
      <c r="Y122" s="197">
        <f t="shared" si="19"/>
        <v>533388.6</v>
      </c>
      <c r="Z122" s="197">
        <f t="shared" si="19"/>
        <v>0</v>
      </c>
      <c r="AA122" s="197">
        <f t="shared" si="19"/>
        <v>337161.2</v>
      </c>
      <c r="AB122" s="197">
        <f t="shared" si="19"/>
        <v>0</v>
      </c>
      <c r="AC122" s="197">
        <f t="shared" si="19"/>
        <v>0</v>
      </c>
      <c r="AD122" s="197">
        <f t="shared" si="19"/>
        <v>1064859.71</v>
      </c>
      <c r="AE122" s="197">
        <f t="shared" si="19"/>
        <v>630232.80000000005</v>
      </c>
      <c r="AF122" s="197">
        <f t="shared" si="20"/>
        <v>192244.52</v>
      </c>
      <c r="AG122" s="197">
        <f t="shared" si="20"/>
        <v>0</v>
      </c>
      <c r="AH122" s="197">
        <f t="shared" si="20"/>
        <v>553881.65</v>
      </c>
      <c r="AI122" s="197">
        <f t="shared" si="20"/>
        <v>0</v>
      </c>
      <c r="AJ122" s="197">
        <f t="shared" si="20"/>
        <v>409682.68</v>
      </c>
      <c r="AK122" s="197">
        <f t="shared" si="20"/>
        <v>0</v>
      </c>
      <c r="AL122" s="197">
        <f t="shared" si="20"/>
        <v>0</v>
      </c>
    </row>
    <row r="123" spans="1:38">
      <c r="A123" s="11" t="str">
        <f t="shared" si="14"/>
        <v>05-305479752012</v>
      </c>
      <c r="B123" t="s">
        <v>162</v>
      </c>
      <c r="C123" t="s">
        <v>163</v>
      </c>
      <c r="D123">
        <v>2012</v>
      </c>
      <c r="E123" t="s">
        <v>69</v>
      </c>
      <c r="F123">
        <v>125306.24000000001</v>
      </c>
      <c r="G123">
        <v>564</v>
      </c>
      <c r="H123" s="11" t="str">
        <f t="shared" si="13"/>
        <v>count</v>
      </c>
      <c r="I123" s="197" t="s">
        <v>429</v>
      </c>
      <c r="J123" s="197" t="s">
        <v>430</v>
      </c>
      <c r="K123" s="197" t="s">
        <v>145</v>
      </c>
      <c r="L123" s="197">
        <f t="shared" si="18"/>
        <v>0</v>
      </c>
      <c r="M123" s="197">
        <f t="shared" si="18"/>
        <v>0</v>
      </c>
      <c r="N123" s="197">
        <f t="shared" si="18"/>
        <v>0</v>
      </c>
      <c r="O123" s="197">
        <f t="shared" si="18"/>
        <v>0</v>
      </c>
      <c r="P123" s="197">
        <f t="shared" si="18"/>
        <v>0</v>
      </c>
      <c r="Q123" s="197">
        <f t="shared" si="18"/>
        <v>0</v>
      </c>
      <c r="R123" s="197">
        <f t="shared" si="18"/>
        <v>0</v>
      </c>
      <c r="S123" s="197">
        <f t="shared" si="18"/>
        <v>0</v>
      </c>
      <c r="T123" s="197">
        <f t="shared" si="18"/>
        <v>0</v>
      </c>
      <c r="U123" s="197">
        <f t="shared" si="18"/>
        <v>738</v>
      </c>
      <c r="V123" s="197">
        <f t="shared" si="19"/>
        <v>427</v>
      </c>
      <c r="W123" s="197">
        <f t="shared" si="19"/>
        <v>108</v>
      </c>
      <c r="X123" s="197">
        <f t="shared" si="19"/>
        <v>0</v>
      </c>
      <c r="Y123" s="197">
        <f t="shared" si="19"/>
        <v>361</v>
      </c>
      <c r="Z123" s="197">
        <f t="shared" si="19"/>
        <v>0</v>
      </c>
      <c r="AA123" s="197">
        <f t="shared" si="19"/>
        <v>323</v>
      </c>
      <c r="AB123" s="197">
        <f t="shared" si="19"/>
        <v>0</v>
      </c>
      <c r="AC123" s="197">
        <f t="shared" si="19"/>
        <v>0</v>
      </c>
      <c r="AD123" s="197">
        <f t="shared" si="19"/>
        <v>766</v>
      </c>
      <c r="AE123" s="197">
        <f t="shared" si="19"/>
        <v>431</v>
      </c>
      <c r="AF123" s="197">
        <f t="shared" si="20"/>
        <v>121</v>
      </c>
      <c r="AG123" s="197">
        <f t="shared" si="20"/>
        <v>0</v>
      </c>
      <c r="AH123" s="197">
        <f t="shared" si="20"/>
        <v>359</v>
      </c>
      <c r="AI123" s="197">
        <f t="shared" si="20"/>
        <v>0</v>
      </c>
      <c r="AJ123" s="197">
        <f t="shared" si="20"/>
        <v>362</v>
      </c>
      <c r="AK123" s="197">
        <f t="shared" si="20"/>
        <v>0</v>
      </c>
      <c r="AL123" s="197">
        <f t="shared" si="20"/>
        <v>0</v>
      </c>
    </row>
    <row r="124" spans="1:38">
      <c r="A124" s="11" t="str">
        <f t="shared" si="14"/>
        <v>05-305479752012</v>
      </c>
      <c r="B124" t="s">
        <v>162</v>
      </c>
      <c r="C124" t="s">
        <v>163</v>
      </c>
      <c r="D124">
        <v>2012</v>
      </c>
      <c r="E124" t="s">
        <v>133</v>
      </c>
      <c r="F124">
        <v>91545.61</v>
      </c>
      <c r="G124">
        <v>290</v>
      </c>
      <c r="H124" s="11" t="str">
        <f t="shared" si="13"/>
        <v>count</v>
      </c>
      <c r="I124" s="197" t="s">
        <v>431</v>
      </c>
      <c r="J124" s="197" t="s">
        <v>432</v>
      </c>
      <c r="K124" s="197" t="s">
        <v>146</v>
      </c>
      <c r="L124" s="197">
        <f t="shared" si="18"/>
        <v>0</v>
      </c>
      <c r="M124" s="197">
        <f t="shared" si="18"/>
        <v>0</v>
      </c>
      <c r="N124" s="197">
        <f t="shared" si="18"/>
        <v>0</v>
      </c>
      <c r="O124" s="197">
        <f t="shared" si="18"/>
        <v>0</v>
      </c>
      <c r="P124" s="197">
        <f t="shared" si="18"/>
        <v>0</v>
      </c>
      <c r="Q124" s="197">
        <f t="shared" si="18"/>
        <v>0</v>
      </c>
      <c r="R124" s="197">
        <f t="shared" si="18"/>
        <v>0</v>
      </c>
      <c r="S124" s="197">
        <f t="shared" si="18"/>
        <v>0</v>
      </c>
      <c r="T124" s="197">
        <f t="shared" si="18"/>
        <v>0</v>
      </c>
      <c r="U124" s="197">
        <f t="shared" si="18"/>
        <v>134733.15</v>
      </c>
      <c r="V124" s="197">
        <f t="shared" si="19"/>
        <v>89234.65</v>
      </c>
      <c r="W124" s="197">
        <f t="shared" si="19"/>
        <v>28593.33</v>
      </c>
      <c r="X124" s="197">
        <f t="shared" si="19"/>
        <v>0</v>
      </c>
      <c r="Y124" s="197">
        <f t="shared" si="19"/>
        <v>49128.74</v>
      </c>
      <c r="Z124" s="197">
        <f t="shared" si="19"/>
        <v>0</v>
      </c>
      <c r="AA124" s="197">
        <f t="shared" si="19"/>
        <v>71502.41</v>
      </c>
      <c r="AB124" s="197">
        <f t="shared" si="19"/>
        <v>0</v>
      </c>
      <c r="AC124" s="197">
        <f t="shared" si="19"/>
        <v>0</v>
      </c>
      <c r="AD124" s="197">
        <f t="shared" si="19"/>
        <v>198072.48</v>
      </c>
      <c r="AE124" s="197">
        <f t="shared" si="19"/>
        <v>80074.3</v>
      </c>
      <c r="AF124" s="197">
        <f t="shared" si="20"/>
        <v>50888.5</v>
      </c>
      <c r="AG124" s="197">
        <f t="shared" si="20"/>
        <v>0</v>
      </c>
      <c r="AH124" s="197">
        <f t="shared" si="20"/>
        <v>47903.8</v>
      </c>
      <c r="AI124" s="197">
        <f t="shared" si="20"/>
        <v>0</v>
      </c>
      <c r="AJ124" s="197">
        <f t="shared" si="20"/>
        <v>113064.41</v>
      </c>
      <c r="AK124" s="197">
        <f t="shared" si="20"/>
        <v>0</v>
      </c>
      <c r="AL124" s="197">
        <f t="shared" si="20"/>
        <v>0</v>
      </c>
    </row>
    <row r="125" spans="1:38">
      <c r="A125" s="11" t="str">
        <f t="shared" si="14"/>
        <v>05-305479752012</v>
      </c>
      <c r="B125" t="s">
        <v>162</v>
      </c>
      <c r="C125" t="s">
        <v>163</v>
      </c>
      <c r="D125">
        <v>2012</v>
      </c>
      <c r="E125" t="s">
        <v>164</v>
      </c>
      <c r="F125">
        <v>51322.57</v>
      </c>
      <c r="G125">
        <v>267</v>
      </c>
      <c r="H125" s="11" t="str">
        <f t="shared" si="13"/>
        <v>count</v>
      </c>
      <c r="I125" s="197" t="s">
        <v>431</v>
      </c>
      <c r="J125" s="197" t="s">
        <v>432</v>
      </c>
      <c r="K125" s="197" t="s">
        <v>145</v>
      </c>
      <c r="L125" s="197">
        <f t="shared" si="18"/>
        <v>0</v>
      </c>
      <c r="M125" s="197">
        <f t="shared" si="18"/>
        <v>0</v>
      </c>
      <c r="N125" s="197">
        <f t="shared" si="18"/>
        <v>0</v>
      </c>
      <c r="O125" s="197">
        <f t="shared" si="18"/>
        <v>0</v>
      </c>
      <c r="P125" s="197">
        <f t="shared" si="18"/>
        <v>0</v>
      </c>
      <c r="Q125" s="197">
        <f t="shared" si="18"/>
        <v>0</v>
      </c>
      <c r="R125" s="197">
        <f t="shared" si="18"/>
        <v>0</v>
      </c>
      <c r="S125" s="197">
        <f t="shared" si="18"/>
        <v>0</v>
      </c>
      <c r="T125" s="197">
        <f t="shared" si="18"/>
        <v>0</v>
      </c>
      <c r="U125" s="197">
        <f t="shared" si="18"/>
        <v>209</v>
      </c>
      <c r="V125" s="197">
        <f t="shared" si="19"/>
        <v>151</v>
      </c>
      <c r="W125" s="197">
        <f t="shared" si="19"/>
        <v>47</v>
      </c>
      <c r="X125" s="197">
        <f t="shared" si="19"/>
        <v>0</v>
      </c>
      <c r="Y125" s="197">
        <f t="shared" si="19"/>
        <v>70</v>
      </c>
      <c r="Z125" s="197">
        <f t="shared" si="19"/>
        <v>0</v>
      </c>
      <c r="AA125" s="197">
        <f t="shared" si="19"/>
        <v>132</v>
      </c>
      <c r="AB125" s="197">
        <f t="shared" si="19"/>
        <v>0</v>
      </c>
      <c r="AC125" s="197">
        <f t="shared" si="19"/>
        <v>0</v>
      </c>
      <c r="AD125" s="197">
        <f t="shared" si="19"/>
        <v>331</v>
      </c>
      <c r="AE125" s="197">
        <f t="shared" si="19"/>
        <v>141</v>
      </c>
      <c r="AF125" s="197">
        <f t="shared" si="20"/>
        <v>87</v>
      </c>
      <c r="AG125" s="197">
        <f t="shared" si="20"/>
        <v>0</v>
      </c>
      <c r="AH125" s="197">
        <f t="shared" si="20"/>
        <v>80</v>
      </c>
      <c r="AI125" s="197">
        <f t="shared" si="20"/>
        <v>0</v>
      </c>
      <c r="AJ125" s="197">
        <f t="shared" si="20"/>
        <v>194</v>
      </c>
      <c r="AK125" s="197">
        <f t="shared" si="20"/>
        <v>0</v>
      </c>
      <c r="AL125" s="197">
        <f t="shared" si="20"/>
        <v>0</v>
      </c>
    </row>
    <row r="126" spans="1:38">
      <c r="A126" s="11" t="str">
        <f t="shared" si="14"/>
        <v>05-305479752012</v>
      </c>
      <c r="B126" t="s">
        <v>162</v>
      </c>
      <c r="C126" t="s">
        <v>163</v>
      </c>
      <c r="D126">
        <v>2012</v>
      </c>
      <c r="E126" t="s">
        <v>63</v>
      </c>
      <c r="F126">
        <v>246219.35</v>
      </c>
      <c r="G126">
        <v>1085</v>
      </c>
      <c r="H126" s="11" t="str">
        <f t="shared" si="13"/>
        <v>count</v>
      </c>
      <c r="I126" s="197" t="s">
        <v>433</v>
      </c>
      <c r="J126" s="197" t="s">
        <v>434</v>
      </c>
      <c r="K126" s="197" t="s">
        <v>146</v>
      </c>
      <c r="L126" s="197">
        <f t="shared" si="18"/>
        <v>0</v>
      </c>
      <c r="M126" s="197">
        <f t="shared" si="18"/>
        <v>0</v>
      </c>
      <c r="N126" s="197">
        <f t="shared" si="18"/>
        <v>0</v>
      </c>
      <c r="O126" s="197">
        <f t="shared" si="18"/>
        <v>0</v>
      </c>
      <c r="P126" s="197">
        <f t="shared" si="18"/>
        <v>0</v>
      </c>
      <c r="Q126" s="197">
        <f t="shared" si="18"/>
        <v>0</v>
      </c>
      <c r="R126" s="197">
        <f t="shared" si="18"/>
        <v>0</v>
      </c>
      <c r="S126" s="197">
        <f t="shared" si="18"/>
        <v>0</v>
      </c>
      <c r="T126" s="197">
        <f t="shared" si="18"/>
        <v>0</v>
      </c>
      <c r="U126" s="197">
        <f t="shared" si="18"/>
        <v>1366782.44</v>
      </c>
      <c r="V126" s="197">
        <f t="shared" si="19"/>
        <v>831288.41</v>
      </c>
      <c r="W126" s="197">
        <f t="shared" si="19"/>
        <v>261439.51</v>
      </c>
      <c r="X126" s="197">
        <f t="shared" si="19"/>
        <v>341706.85</v>
      </c>
      <c r="Y126" s="197">
        <f t="shared" si="19"/>
        <v>0</v>
      </c>
      <c r="Z126" s="197">
        <f t="shared" si="19"/>
        <v>0</v>
      </c>
      <c r="AA126" s="197">
        <f t="shared" si="19"/>
        <v>668858.97</v>
      </c>
      <c r="AB126" s="197">
        <f t="shared" si="19"/>
        <v>0</v>
      </c>
      <c r="AC126" s="197">
        <f t="shared" si="19"/>
        <v>0</v>
      </c>
      <c r="AD126" s="197">
        <f t="shared" si="19"/>
        <v>2146140.5499999998</v>
      </c>
      <c r="AE126" s="197">
        <f t="shared" si="19"/>
        <v>1122619.73</v>
      </c>
      <c r="AF126" s="197">
        <f t="shared" si="20"/>
        <v>408427.58</v>
      </c>
      <c r="AG126" s="197">
        <f t="shared" si="20"/>
        <v>351710.95</v>
      </c>
      <c r="AH126" s="197">
        <f t="shared" si="20"/>
        <v>0</v>
      </c>
      <c r="AI126" s="197">
        <f t="shared" si="20"/>
        <v>0</v>
      </c>
      <c r="AJ126" s="197">
        <f t="shared" si="20"/>
        <v>1102987.5900000001</v>
      </c>
      <c r="AK126" s="197">
        <f t="shared" si="20"/>
        <v>0</v>
      </c>
      <c r="AL126" s="197">
        <f t="shared" si="20"/>
        <v>0</v>
      </c>
    </row>
    <row r="127" spans="1:38">
      <c r="A127" s="11" t="str">
        <f t="shared" si="14"/>
        <v>05-305479752012</v>
      </c>
      <c r="B127" t="s">
        <v>162</v>
      </c>
      <c r="C127" t="s">
        <v>163</v>
      </c>
      <c r="D127">
        <v>2012</v>
      </c>
      <c r="E127" t="s">
        <v>104</v>
      </c>
      <c r="F127">
        <v>205454.24</v>
      </c>
      <c r="G127">
        <v>799</v>
      </c>
      <c r="H127" s="11" t="str">
        <f t="shared" si="13"/>
        <v>count</v>
      </c>
      <c r="I127" s="197" t="s">
        <v>433</v>
      </c>
      <c r="J127" s="197" t="s">
        <v>434</v>
      </c>
      <c r="K127" s="197" t="s">
        <v>145</v>
      </c>
      <c r="L127" s="197">
        <f t="shared" si="18"/>
        <v>0</v>
      </c>
      <c r="M127" s="197">
        <f t="shared" si="18"/>
        <v>0</v>
      </c>
      <c r="N127" s="197">
        <f t="shared" si="18"/>
        <v>0</v>
      </c>
      <c r="O127" s="197">
        <f t="shared" si="18"/>
        <v>0</v>
      </c>
      <c r="P127" s="197">
        <f t="shared" si="18"/>
        <v>0</v>
      </c>
      <c r="Q127" s="197">
        <f t="shared" si="18"/>
        <v>0</v>
      </c>
      <c r="R127" s="197">
        <f t="shared" si="18"/>
        <v>0</v>
      </c>
      <c r="S127" s="197">
        <f t="shared" si="18"/>
        <v>0</v>
      </c>
      <c r="T127" s="197">
        <f t="shared" si="18"/>
        <v>0</v>
      </c>
      <c r="U127" s="197">
        <f t="shared" si="18"/>
        <v>988</v>
      </c>
      <c r="V127" s="197">
        <f t="shared" si="19"/>
        <v>619</v>
      </c>
      <c r="W127" s="197">
        <f t="shared" si="19"/>
        <v>194</v>
      </c>
      <c r="X127" s="197">
        <f t="shared" si="19"/>
        <v>291</v>
      </c>
      <c r="Y127" s="197">
        <f t="shared" si="19"/>
        <v>0</v>
      </c>
      <c r="Z127" s="197">
        <f t="shared" si="19"/>
        <v>0</v>
      </c>
      <c r="AA127" s="197">
        <f t="shared" si="19"/>
        <v>665</v>
      </c>
      <c r="AB127" s="197">
        <f t="shared" si="19"/>
        <v>0</v>
      </c>
      <c r="AC127" s="197">
        <f t="shared" si="19"/>
        <v>0</v>
      </c>
      <c r="AD127" s="197">
        <f t="shared" si="19"/>
        <v>1444</v>
      </c>
      <c r="AE127" s="197">
        <f t="shared" si="19"/>
        <v>837</v>
      </c>
      <c r="AF127" s="197">
        <f t="shared" si="20"/>
        <v>268</v>
      </c>
      <c r="AG127" s="197">
        <f t="shared" si="20"/>
        <v>206</v>
      </c>
      <c r="AH127" s="197">
        <f t="shared" si="20"/>
        <v>0</v>
      </c>
      <c r="AI127" s="197">
        <f t="shared" si="20"/>
        <v>0</v>
      </c>
      <c r="AJ127" s="197">
        <f t="shared" si="20"/>
        <v>1197</v>
      </c>
      <c r="AK127" s="197">
        <f t="shared" si="20"/>
        <v>0</v>
      </c>
      <c r="AL127" s="197">
        <f t="shared" si="20"/>
        <v>0</v>
      </c>
    </row>
    <row r="128" spans="1:38">
      <c r="A128" s="11" t="str">
        <f t="shared" si="14"/>
        <v>05-305531292012</v>
      </c>
      <c r="B128" t="s">
        <v>165</v>
      </c>
      <c r="C128" t="s">
        <v>166</v>
      </c>
      <c r="D128">
        <v>2012</v>
      </c>
      <c r="E128" t="s">
        <v>63</v>
      </c>
      <c r="F128">
        <v>249493.97</v>
      </c>
      <c r="G128">
        <v>525</v>
      </c>
      <c r="H128" s="11" t="str">
        <f t="shared" si="13"/>
        <v>volume</v>
      </c>
      <c r="I128" s="197" t="s">
        <v>448</v>
      </c>
      <c r="J128" s="197" t="s">
        <v>449</v>
      </c>
      <c r="K128" s="197" t="s">
        <v>146</v>
      </c>
      <c r="L128" s="197">
        <f t="shared" si="18"/>
        <v>0</v>
      </c>
      <c r="M128" s="197">
        <f t="shared" si="18"/>
        <v>0</v>
      </c>
      <c r="N128" s="197">
        <f t="shared" si="18"/>
        <v>0</v>
      </c>
      <c r="O128" s="197">
        <f t="shared" si="18"/>
        <v>0</v>
      </c>
      <c r="P128" s="197">
        <f t="shared" si="18"/>
        <v>0</v>
      </c>
      <c r="Q128" s="197">
        <f t="shared" si="18"/>
        <v>0</v>
      </c>
      <c r="R128" s="197">
        <f t="shared" si="18"/>
        <v>0</v>
      </c>
      <c r="S128" s="197">
        <f t="shared" si="18"/>
        <v>0</v>
      </c>
      <c r="T128" s="197">
        <f t="shared" si="18"/>
        <v>0</v>
      </c>
      <c r="U128" s="197">
        <f t="shared" si="18"/>
        <v>6092.91</v>
      </c>
      <c r="V128" s="197">
        <f t="shared" si="19"/>
        <v>5372.84</v>
      </c>
      <c r="W128" s="197">
        <f t="shared" si="19"/>
        <v>0</v>
      </c>
      <c r="X128" s="197">
        <f t="shared" si="19"/>
        <v>0</v>
      </c>
      <c r="Y128" s="197">
        <f t="shared" si="19"/>
        <v>0</v>
      </c>
      <c r="Z128" s="197">
        <f t="shared" si="19"/>
        <v>0</v>
      </c>
      <c r="AA128" s="197">
        <f t="shared" si="19"/>
        <v>4744.8999999999996</v>
      </c>
      <c r="AB128" s="197">
        <f t="shared" ref="V128:AK153" si="21">SUMIFS(IF($K128="volume",$F:$F,$G:$G),$D:$D,AB$2,$B:$B,$I128,$E:$E,AB$3)</f>
        <v>0</v>
      </c>
      <c r="AC128" s="197">
        <f t="shared" si="21"/>
        <v>0</v>
      </c>
      <c r="AD128" s="197">
        <f t="shared" si="21"/>
        <v>26844.76</v>
      </c>
      <c r="AE128" s="197">
        <f t="shared" si="21"/>
        <v>12070.25</v>
      </c>
      <c r="AF128" s="197">
        <f t="shared" si="20"/>
        <v>0</v>
      </c>
      <c r="AG128" s="197">
        <f t="shared" si="20"/>
        <v>0</v>
      </c>
      <c r="AH128" s="197">
        <f t="shared" si="20"/>
        <v>0</v>
      </c>
      <c r="AI128" s="197">
        <f t="shared" si="20"/>
        <v>0</v>
      </c>
      <c r="AJ128" s="197">
        <f t="shared" si="20"/>
        <v>20133.830000000002</v>
      </c>
      <c r="AK128" s="197">
        <f t="shared" si="20"/>
        <v>0</v>
      </c>
      <c r="AL128" s="197">
        <f t="shared" si="20"/>
        <v>0</v>
      </c>
    </row>
    <row r="129" spans="1:38">
      <c r="A129" s="11" t="str">
        <f t="shared" si="14"/>
        <v>05-305531292012</v>
      </c>
      <c r="B129" t="s">
        <v>165</v>
      </c>
      <c r="C129" t="s">
        <v>166</v>
      </c>
      <c r="D129">
        <v>2012</v>
      </c>
      <c r="E129" t="s">
        <v>104</v>
      </c>
      <c r="F129">
        <v>168053.76000000001</v>
      </c>
      <c r="G129">
        <v>363</v>
      </c>
      <c r="H129" s="11" t="str">
        <f t="shared" si="13"/>
        <v>count</v>
      </c>
      <c r="I129" s="197" t="s">
        <v>448</v>
      </c>
      <c r="J129" s="197" t="s">
        <v>449</v>
      </c>
      <c r="K129" s="197" t="s">
        <v>145</v>
      </c>
      <c r="L129" s="197">
        <f t="shared" ref="L129:U154" si="22">SUMIFS(IF($K129="volume",$F:$F,$G:$G),$D:$D,L$2,$B:$B,$I129,$E:$E,L$3)</f>
        <v>0</v>
      </c>
      <c r="M129" s="197">
        <f t="shared" si="22"/>
        <v>0</v>
      </c>
      <c r="N129" s="197">
        <f t="shared" si="22"/>
        <v>0</v>
      </c>
      <c r="O129" s="197">
        <f t="shared" si="22"/>
        <v>0</v>
      </c>
      <c r="P129" s="197">
        <f t="shared" si="22"/>
        <v>0</v>
      </c>
      <c r="Q129" s="197">
        <f t="shared" si="22"/>
        <v>0</v>
      </c>
      <c r="R129" s="197">
        <f t="shared" si="22"/>
        <v>0</v>
      </c>
      <c r="S129" s="197">
        <f t="shared" si="22"/>
        <v>0</v>
      </c>
      <c r="T129" s="197">
        <f t="shared" si="22"/>
        <v>0</v>
      </c>
      <c r="U129" s="197">
        <f t="shared" si="22"/>
        <v>22</v>
      </c>
      <c r="V129" s="197">
        <f t="shared" si="21"/>
        <v>25</v>
      </c>
      <c r="W129" s="197">
        <f t="shared" si="21"/>
        <v>0</v>
      </c>
      <c r="X129" s="197">
        <f t="shared" si="21"/>
        <v>0</v>
      </c>
      <c r="Y129" s="197">
        <f t="shared" si="21"/>
        <v>0</v>
      </c>
      <c r="Z129" s="197">
        <f t="shared" si="21"/>
        <v>0</v>
      </c>
      <c r="AA129" s="197">
        <f t="shared" si="21"/>
        <v>20</v>
      </c>
      <c r="AB129" s="197">
        <f t="shared" si="21"/>
        <v>0</v>
      </c>
      <c r="AC129" s="197">
        <f t="shared" si="21"/>
        <v>0</v>
      </c>
      <c r="AD129" s="197">
        <f t="shared" si="21"/>
        <v>111</v>
      </c>
      <c r="AE129" s="197">
        <f t="shared" si="21"/>
        <v>55</v>
      </c>
      <c r="AF129" s="197">
        <f t="shared" si="20"/>
        <v>0</v>
      </c>
      <c r="AG129" s="197">
        <f t="shared" si="20"/>
        <v>0</v>
      </c>
      <c r="AH129" s="197">
        <f t="shared" si="20"/>
        <v>0</v>
      </c>
      <c r="AI129" s="197">
        <f t="shared" si="20"/>
        <v>0</v>
      </c>
      <c r="AJ129" s="197">
        <f t="shared" si="20"/>
        <v>76</v>
      </c>
      <c r="AK129" s="197">
        <f t="shared" si="20"/>
        <v>0</v>
      </c>
      <c r="AL129" s="197">
        <f t="shared" si="20"/>
        <v>0</v>
      </c>
    </row>
    <row r="130" spans="1:38">
      <c r="A130" s="11" t="str">
        <f t="shared" si="14"/>
        <v>05-305531292011</v>
      </c>
      <c r="B130" t="s">
        <v>165</v>
      </c>
      <c r="C130" t="s">
        <v>166</v>
      </c>
      <c r="D130">
        <v>2011</v>
      </c>
      <c r="E130" t="s">
        <v>69</v>
      </c>
      <c r="F130">
        <v>84.08</v>
      </c>
      <c r="G130">
        <v>1</v>
      </c>
      <c r="H130" s="11" t="str">
        <f t="shared" ref="H130:H193" si="23">IF(B130=B129,"count","volume")</f>
        <v>count</v>
      </c>
      <c r="I130" s="197" t="s">
        <v>453</v>
      </c>
      <c r="J130" s="197" t="s">
        <v>454</v>
      </c>
      <c r="K130" s="197" t="s">
        <v>146</v>
      </c>
      <c r="L130" s="197">
        <f t="shared" si="22"/>
        <v>0</v>
      </c>
      <c r="M130" s="197">
        <f t="shared" si="22"/>
        <v>0</v>
      </c>
      <c r="N130" s="197">
        <f t="shared" si="22"/>
        <v>0</v>
      </c>
      <c r="O130" s="197">
        <f t="shared" si="22"/>
        <v>0</v>
      </c>
      <c r="P130" s="197">
        <f t="shared" si="22"/>
        <v>0</v>
      </c>
      <c r="Q130" s="197">
        <f t="shared" si="22"/>
        <v>0</v>
      </c>
      <c r="R130" s="197">
        <f t="shared" si="22"/>
        <v>0</v>
      </c>
      <c r="S130" s="197">
        <f t="shared" si="22"/>
        <v>0</v>
      </c>
      <c r="T130" s="197">
        <f t="shared" si="22"/>
        <v>0</v>
      </c>
      <c r="U130" s="197">
        <f t="shared" si="22"/>
        <v>51349.17</v>
      </c>
      <c r="V130" s="197">
        <f t="shared" si="21"/>
        <v>37411.730000000003</v>
      </c>
      <c r="W130" s="197">
        <f t="shared" si="21"/>
        <v>0</v>
      </c>
      <c r="X130" s="197">
        <f t="shared" si="21"/>
        <v>0</v>
      </c>
      <c r="Y130" s="197">
        <f t="shared" si="21"/>
        <v>0</v>
      </c>
      <c r="Z130" s="197">
        <f t="shared" si="21"/>
        <v>0</v>
      </c>
      <c r="AA130" s="197">
        <f t="shared" si="21"/>
        <v>51449.63</v>
      </c>
      <c r="AB130" s="197">
        <f t="shared" si="21"/>
        <v>0</v>
      </c>
      <c r="AC130" s="197">
        <f t="shared" si="21"/>
        <v>0</v>
      </c>
      <c r="AD130" s="197">
        <f t="shared" si="21"/>
        <v>141899.76999999999</v>
      </c>
      <c r="AE130" s="197">
        <f t="shared" si="21"/>
        <v>80085.84</v>
      </c>
      <c r="AF130" s="197">
        <f t="shared" si="20"/>
        <v>0</v>
      </c>
      <c r="AG130" s="197">
        <f t="shared" si="20"/>
        <v>0</v>
      </c>
      <c r="AH130" s="197">
        <f t="shared" si="20"/>
        <v>0</v>
      </c>
      <c r="AI130" s="197">
        <f t="shared" si="20"/>
        <v>0</v>
      </c>
      <c r="AJ130" s="197">
        <f t="shared" si="20"/>
        <v>198862.7</v>
      </c>
      <c r="AK130" s="197">
        <f t="shared" si="20"/>
        <v>0</v>
      </c>
      <c r="AL130" s="197">
        <f t="shared" si="20"/>
        <v>0</v>
      </c>
    </row>
    <row r="131" spans="1:38">
      <c r="A131" s="11" t="str">
        <f t="shared" ref="A131:A194" si="24">B131&amp;D131</f>
        <v>05-305531292011</v>
      </c>
      <c r="B131" t="s">
        <v>165</v>
      </c>
      <c r="C131" t="s">
        <v>166</v>
      </c>
      <c r="D131">
        <v>2011</v>
      </c>
      <c r="E131" t="s">
        <v>133</v>
      </c>
      <c r="F131">
        <v>64019.49</v>
      </c>
      <c r="G131">
        <v>128</v>
      </c>
      <c r="H131" s="11" t="str">
        <f t="shared" si="23"/>
        <v>count</v>
      </c>
      <c r="I131" s="197" t="s">
        <v>453</v>
      </c>
      <c r="J131" s="197" t="s">
        <v>454</v>
      </c>
      <c r="K131" s="197" t="s">
        <v>145</v>
      </c>
      <c r="L131" s="197">
        <f t="shared" si="22"/>
        <v>0</v>
      </c>
      <c r="M131" s="197">
        <f t="shared" si="22"/>
        <v>0</v>
      </c>
      <c r="N131" s="197">
        <f t="shared" si="22"/>
        <v>0</v>
      </c>
      <c r="O131" s="197">
        <f t="shared" si="22"/>
        <v>0</v>
      </c>
      <c r="P131" s="197">
        <f t="shared" si="22"/>
        <v>0</v>
      </c>
      <c r="Q131" s="197">
        <f t="shared" si="22"/>
        <v>0</v>
      </c>
      <c r="R131" s="197">
        <f t="shared" si="22"/>
        <v>0</v>
      </c>
      <c r="S131" s="197">
        <f t="shared" si="22"/>
        <v>0</v>
      </c>
      <c r="T131" s="197">
        <f t="shared" si="22"/>
        <v>0</v>
      </c>
      <c r="U131" s="197">
        <f t="shared" si="22"/>
        <v>205</v>
      </c>
      <c r="V131" s="197">
        <f t="shared" si="21"/>
        <v>132</v>
      </c>
      <c r="W131" s="197">
        <f t="shared" si="21"/>
        <v>0</v>
      </c>
      <c r="X131" s="197">
        <f t="shared" si="21"/>
        <v>0</v>
      </c>
      <c r="Y131" s="197">
        <f t="shared" si="21"/>
        <v>0</v>
      </c>
      <c r="Z131" s="197">
        <f t="shared" si="21"/>
        <v>0</v>
      </c>
      <c r="AA131" s="197">
        <f t="shared" si="21"/>
        <v>206</v>
      </c>
      <c r="AB131" s="197">
        <f t="shared" si="21"/>
        <v>0</v>
      </c>
      <c r="AC131" s="197">
        <f t="shared" si="21"/>
        <v>0</v>
      </c>
      <c r="AD131" s="197">
        <f t="shared" si="21"/>
        <v>517</v>
      </c>
      <c r="AE131" s="197">
        <f t="shared" si="21"/>
        <v>299</v>
      </c>
      <c r="AF131" s="197">
        <f t="shared" si="20"/>
        <v>0</v>
      </c>
      <c r="AG131" s="197">
        <f t="shared" si="20"/>
        <v>0</v>
      </c>
      <c r="AH131" s="197">
        <f t="shared" si="20"/>
        <v>0</v>
      </c>
      <c r="AI131" s="197">
        <f t="shared" si="20"/>
        <v>0</v>
      </c>
      <c r="AJ131" s="197">
        <f t="shared" si="20"/>
        <v>759</v>
      </c>
      <c r="AK131" s="197">
        <f t="shared" si="20"/>
        <v>0</v>
      </c>
      <c r="AL131" s="197">
        <f t="shared" si="20"/>
        <v>0</v>
      </c>
    </row>
    <row r="132" spans="1:38">
      <c r="A132" s="11" t="str">
        <f t="shared" si="24"/>
        <v>05-305531292013</v>
      </c>
      <c r="B132" t="s">
        <v>165</v>
      </c>
      <c r="C132" t="s">
        <v>166</v>
      </c>
      <c r="D132">
        <v>2013</v>
      </c>
      <c r="E132" t="s">
        <v>104</v>
      </c>
      <c r="F132">
        <v>9439.19</v>
      </c>
      <c r="G132">
        <v>17</v>
      </c>
      <c r="H132" s="11" t="str">
        <f t="shared" si="23"/>
        <v>count</v>
      </c>
      <c r="I132" s="197" t="s">
        <v>457</v>
      </c>
      <c r="J132" s="197" t="s">
        <v>458</v>
      </c>
      <c r="K132" s="197" t="s">
        <v>146</v>
      </c>
      <c r="L132" s="197">
        <f t="shared" si="22"/>
        <v>0</v>
      </c>
      <c r="M132" s="197">
        <f t="shared" si="22"/>
        <v>0</v>
      </c>
      <c r="N132" s="197">
        <f t="shared" si="22"/>
        <v>0</v>
      </c>
      <c r="O132" s="197">
        <f t="shared" si="22"/>
        <v>0</v>
      </c>
      <c r="P132" s="197">
        <f t="shared" si="22"/>
        <v>0</v>
      </c>
      <c r="Q132" s="197">
        <f t="shared" si="22"/>
        <v>0</v>
      </c>
      <c r="R132" s="197">
        <f t="shared" si="22"/>
        <v>0</v>
      </c>
      <c r="S132" s="197">
        <f t="shared" si="22"/>
        <v>0</v>
      </c>
      <c r="T132" s="197">
        <f t="shared" si="22"/>
        <v>0</v>
      </c>
      <c r="U132" s="197">
        <f t="shared" si="22"/>
        <v>675961.97</v>
      </c>
      <c r="V132" s="197">
        <f t="shared" si="21"/>
        <v>629338.11</v>
      </c>
      <c r="W132" s="197">
        <f t="shared" si="21"/>
        <v>131311.29</v>
      </c>
      <c r="X132" s="197">
        <f t="shared" si="21"/>
        <v>154.13999999999999</v>
      </c>
      <c r="Y132" s="197">
        <f t="shared" si="21"/>
        <v>246704.18</v>
      </c>
      <c r="Z132" s="197">
        <f t="shared" si="21"/>
        <v>0</v>
      </c>
      <c r="AA132" s="197">
        <f t="shared" si="21"/>
        <v>538650.89</v>
      </c>
      <c r="AB132" s="197">
        <f t="shared" si="21"/>
        <v>0</v>
      </c>
      <c r="AC132" s="197">
        <f t="shared" si="21"/>
        <v>0</v>
      </c>
      <c r="AD132" s="197">
        <f t="shared" si="21"/>
        <v>981204.75</v>
      </c>
      <c r="AE132" s="197">
        <f t="shared" si="21"/>
        <v>694731.94</v>
      </c>
      <c r="AF132" s="197">
        <f t="shared" si="20"/>
        <v>154852.73000000001</v>
      </c>
      <c r="AG132" s="197">
        <f t="shared" si="20"/>
        <v>0</v>
      </c>
      <c r="AH132" s="197">
        <f t="shared" si="20"/>
        <v>263199.43</v>
      </c>
      <c r="AI132" s="197">
        <f t="shared" si="20"/>
        <v>0</v>
      </c>
      <c r="AJ132" s="197">
        <f t="shared" si="20"/>
        <v>860128.4</v>
      </c>
      <c r="AK132" s="197">
        <f t="shared" si="20"/>
        <v>0</v>
      </c>
      <c r="AL132" s="197">
        <f t="shared" si="20"/>
        <v>0</v>
      </c>
    </row>
    <row r="133" spans="1:38">
      <c r="A133" s="11" t="str">
        <f t="shared" si="24"/>
        <v>05-305531292013</v>
      </c>
      <c r="B133" t="s">
        <v>165</v>
      </c>
      <c r="C133" t="s">
        <v>166</v>
      </c>
      <c r="D133">
        <v>2013</v>
      </c>
      <c r="E133" t="s">
        <v>133</v>
      </c>
      <c r="F133">
        <v>3649.06</v>
      </c>
      <c r="G133">
        <v>9</v>
      </c>
      <c r="H133" s="11" t="str">
        <f t="shared" si="23"/>
        <v>count</v>
      </c>
      <c r="I133" s="197" t="s">
        <v>457</v>
      </c>
      <c r="J133" s="197" t="s">
        <v>458</v>
      </c>
      <c r="K133" s="197" t="s">
        <v>145</v>
      </c>
      <c r="L133" s="197">
        <f t="shared" si="22"/>
        <v>0</v>
      </c>
      <c r="M133" s="197">
        <f t="shared" si="22"/>
        <v>0</v>
      </c>
      <c r="N133" s="197">
        <f t="shared" si="22"/>
        <v>0</v>
      </c>
      <c r="O133" s="197">
        <f t="shared" si="22"/>
        <v>0</v>
      </c>
      <c r="P133" s="197">
        <f t="shared" si="22"/>
        <v>0</v>
      </c>
      <c r="Q133" s="197">
        <f t="shared" si="22"/>
        <v>0</v>
      </c>
      <c r="R133" s="197">
        <f t="shared" si="22"/>
        <v>0</v>
      </c>
      <c r="S133" s="197">
        <f t="shared" si="22"/>
        <v>0</v>
      </c>
      <c r="T133" s="197">
        <f t="shared" si="22"/>
        <v>0</v>
      </c>
      <c r="U133" s="197">
        <f t="shared" si="22"/>
        <v>2118</v>
      </c>
      <c r="V133" s="197">
        <f t="shared" si="21"/>
        <v>1971</v>
      </c>
      <c r="W133" s="197">
        <f t="shared" si="21"/>
        <v>401</v>
      </c>
      <c r="X133" s="197">
        <f t="shared" si="21"/>
        <v>1</v>
      </c>
      <c r="Y133" s="197">
        <f t="shared" si="21"/>
        <v>641</v>
      </c>
      <c r="Z133" s="197">
        <f t="shared" si="21"/>
        <v>0</v>
      </c>
      <c r="AA133" s="197">
        <f t="shared" si="21"/>
        <v>1805</v>
      </c>
      <c r="AB133" s="197">
        <f t="shared" si="21"/>
        <v>0</v>
      </c>
      <c r="AC133" s="197">
        <f t="shared" si="21"/>
        <v>0</v>
      </c>
      <c r="AD133" s="197">
        <f t="shared" si="21"/>
        <v>2979</v>
      </c>
      <c r="AE133" s="197">
        <f t="shared" si="21"/>
        <v>2125</v>
      </c>
      <c r="AF133" s="197">
        <f t="shared" si="20"/>
        <v>465</v>
      </c>
      <c r="AG133" s="197">
        <f t="shared" si="20"/>
        <v>0</v>
      </c>
      <c r="AH133" s="197">
        <f t="shared" si="20"/>
        <v>625</v>
      </c>
      <c r="AI133" s="197">
        <f t="shared" si="20"/>
        <v>0</v>
      </c>
      <c r="AJ133" s="197">
        <f t="shared" si="20"/>
        <v>2842</v>
      </c>
      <c r="AK133" s="197">
        <f t="shared" si="20"/>
        <v>0</v>
      </c>
      <c r="AL133" s="197">
        <f t="shared" si="20"/>
        <v>0</v>
      </c>
    </row>
    <row r="134" spans="1:38">
      <c r="A134" s="11" t="str">
        <f t="shared" si="24"/>
        <v>05-305531292013</v>
      </c>
      <c r="B134" t="s">
        <v>165</v>
      </c>
      <c r="C134" t="s">
        <v>166</v>
      </c>
      <c r="D134">
        <v>2013</v>
      </c>
      <c r="E134" t="s">
        <v>63</v>
      </c>
      <c r="F134">
        <v>7813.91</v>
      </c>
      <c r="G134">
        <v>16</v>
      </c>
      <c r="H134" s="11" t="str">
        <f t="shared" si="23"/>
        <v>count</v>
      </c>
      <c r="I134" s="197" t="s">
        <v>469</v>
      </c>
      <c r="J134" s="197" t="s">
        <v>470</v>
      </c>
      <c r="K134" s="197" t="s">
        <v>146</v>
      </c>
      <c r="L134" s="197">
        <f t="shared" si="22"/>
        <v>0</v>
      </c>
      <c r="M134" s="197">
        <f t="shared" si="22"/>
        <v>0</v>
      </c>
      <c r="N134" s="197">
        <f t="shared" si="22"/>
        <v>0</v>
      </c>
      <c r="O134" s="197">
        <f t="shared" si="22"/>
        <v>0</v>
      </c>
      <c r="P134" s="197">
        <f t="shared" si="22"/>
        <v>0</v>
      </c>
      <c r="Q134" s="197">
        <f t="shared" si="22"/>
        <v>0</v>
      </c>
      <c r="R134" s="197">
        <f t="shared" si="22"/>
        <v>0</v>
      </c>
      <c r="S134" s="197">
        <f t="shared" si="22"/>
        <v>0</v>
      </c>
      <c r="T134" s="197">
        <f t="shared" si="22"/>
        <v>0</v>
      </c>
      <c r="U134" s="197">
        <f t="shared" si="22"/>
        <v>65945.83</v>
      </c>
      <c r="V134" s="197">
        <f t="shared" si="21"/>
        <v>56561.19</v>
      </c>
      <c r="W134" s="197">
        <f t="shared" si="21"/>
        <v>0</v>
      </c>
      <c r="X134" s="197">
        <f t="shared" si="21"/>
        <v>0</v>
      </c>
      <c r="Y134" s="197">
        <f t="shared" si="21"/>
        <v>0</v>
      </c>
      <c r="Z134" s="197">
        <f t="shared" si="21"/>
        <v>0</v>
      </c>
      <c r="AA134" s="197">
        <f t="shared" si="21"/>
        <v>31505.57</v>
      </c>
      <c r="AB134" s="197">
        <f t="shared" si="21"/>
        <v>0</v>
      </c>
      <c r="AC134" s="197">
        <f t="shared" si="21"/>
        <v>0</v>
      </c>
      <c r="AD134" s="197">
        <f t="shared" si="21"/>
        <v>149755.15</v>
      </c>
      <c r="AE134" s="197">
        <f t="shared" si="21"/>
        <v>51945.15</v>
      </c>
      <c r="AF134" s="197">
        <f t="shared" si="20"/>
        <v>0</v>
      </c>
      <c r="AG134" s="197">
        <f t="shared" si="20"/>
        <v>0</v>
      </c>
      <c r="AH134" s="197">
        <f t="shared" si="20"/>
        <v>0</v>
      </c>
      <c r="AI134" s="197">
        <f t="shared" si="20"/>
        <v>0</v>
      </c>
      <c r="AJ134" s="197">
        <f t="shared" si="20"/>
        <v>38689.32</v>
      </c>
      <c r="AK134" s="197">
        <f t="shared" si="20"/>
        <v>0</v>
      </c>
      <c r="AL134" s="197">
        <f t="shared" si="20"/>
        <v>0</v>
      </c>
    </row>
    <row r="135" spans="1:38">
      <c r="A135" s="11" t="str">
        <f t="shared" si="24"/>
        <v>05-305531292011</v>
      </c>
      <c r="B135" t="s">
        <v>165</v>
      </c>
      <c r="C135" t="s">
        <v>166</v>
      </c>
      <c r="D135">
        <v>2011</v>
      </c>
      <c r="E135" t="s">
        <v>105</v>
      </c>
      <c r="F135">
        <v>88044.92</v>
      </c>
      <c r="G135">
        <v>190</v>
      </c>
      <c r="H135" s="11" t="str">
        <f t="shared" si="23"/>
        <v>count</v>
      </c>
      <c r="I135" s="197" t="s">
        <v>469</v>
      </c>
      <c r="J135" s="197" t="s">
        <v>470</v>
      </c>
      <c r="K135" s="197" t="s">
        <v>145</v>
      </c>
      <c r="L135" s="197">
        <f t="shared" si="22"/>
        <v>0</v>
      </c>
      <c r="M135" s="197">
        <f t="shared" si="22"/>
        <v>0</v>
      </c>
      <c r="N135" s="197">
        <f t="shared" si="22"/>
        <v>0</v>
      </c>
      <c r="O135" s="197">
        <f t="shared" si="22"/>
        <v>0</v>
      </c>
      <c r="P135" s="197">
        <f t="shared" si="22"/>
        <v>0</v>
      </c>
      <c r="Q135" s="197">
        <f t="shared" si="22"/>
        <v>0</v>
      </c>
      <c r="R135" s="197">
        <f t="shared" si="22"/>
        <v>0</v>
      </c>
      <c r="S135" s="197">
        <f t="shared" si="22"/>
        <v>0</v>
      </c>
      <c r="T135" s="197">
        <f t="shared" si="22"/>
        <v>0</v>
      </c>
      <c r="U135" s="197">
        <f t="shared" si="22"/>
        <v>71</v>
      </c>
      <c r="V135" s="197">
        <f t="shared" si="21"/>
        <v>55</v>
      </c>
      <c r="W135" s="197">
        <f t="shared" si="21"/>
        <v>0</v>
      </c>
      <c r="X135" s="197">
        <f t="shared" si="21"/>
        <v>0</v>
      </c>
      <c r="Y135" s="197">
        <f t="shared" si="21"/>
        <v>0</v>
      </c>
      <c r="Z135" s="197">
        <f t="shared" si="21"/>
        <v>0</v>
      </c>
      <c r="AA135" s="197">
        <f t="shared" si="21"/>
        <v>34</v>
      </c>
      <c r="AB135" s="197">
        <f t="shared" si="21"/>
        <v>0</v>
      </c>
      <c r="AC135" s="197">
        <f t="shared" si="21"/>
        <v>0</v>
      </c>
      <c r="AD135" s="197">
        <f t="shared" si="21"/>
        <v>135</v>
      </c>
      <c r="AE135" s="197">
        <f t="shared" si="21"/>
        <v>49</v>
      </c>
      <c r="AF135" s="197">
        <f t="shared" si="20"/>
        <v>0</v>
      </c>
      <c r="AG135" s="197">
        <f t="shared" si="20"/>
        <v>0</v>
      </c>
      <c r="AH135" s="197">
        <f t="shared" si="20"/>
        <v>0</v>
      </c>
      <c r="AI135" s="197">
        <f t="shared" si="20"/>
        <v>0</v>
      </c>
      <c r="AJ135" s="197">
        <f t="shared" si="20"/>
        <v>45</v>
      </c>
      <c r="AK135" s="197">
        <f t="shared" si="20"/>
        <v>0</v>
      </c>
      <c r="AL135" s="197">
        <f t="shared" si="20"/>
        <v>0</v>
      </c>
    </row>
    <row r="136" spans="1:38">
      <c r="A136" s="11" t="str">
        <f t="shared" si="24"/>
        <v>05-305531292013</v>
      </c>
      <c r="B136" t="s">
        <v>165</v>
      </c>
      <c r="C136" t="s">
        <v>166</v>
      </c>
      <c r="D136">
        <v>2013</v>
      </c>
      <c r="E136" t="s">
        <v>69</v>
      </c>
      <c r="F136">
        <v>4148.8100000000004</v>
      </c>
      <c r="G136">
        <v>10</v>
      </c>
      <c r="H136" s="11" t="str">
        <f t="shared" si="23"/>
        <v>count</v>
      </c>
      <c r="I136" s="197" t="s">
        <v>483</v>
      </c>
      <c r="J136" s="197" t="s">
        <v>484</v>
      </c>
      <c r="K136" s="197" t="s">
        <v>146</v>
      </c>
      <c r="L136" s="197">
        <f t="shared" si="22"/>
        <v>0</v>
      </c>
      <c r="M136" s="197">
        <f t="shared" si="22"/>
        <v>0</v>
      </c>
      <c r="N136" s="197">
        <f t="shared" si="22"/>
        <v>0</v>
      </c>
      <c r="O136" s="197">
        <f t="shared" si="22"/>
        <v>0</v>
      </c>
      <c r="P136" s="197">
        <f t="shared" si="22"/>
        <v>0</v>
      </c>
      <c r="Q136" s="197">
        <f t="shared" si="22"/>
        <v>0</v>
      </c>
      <c r="R136" s="197">
        <f t="shared" si="22"/>
        <v>0</v>
      </c>
      <c r="S136" s="197">
        <f t="shared" si="22"/>
        <v>0</v>
      </c>
      <c r="T136" s="197">
        <f t="shared" si="22"/>
        <v>0</v>
      </c>
      <c r="U136" s="197">
        <f t="shared" si="22"/>
        <v>6472.6</v>
      </c>
      <c r="V136" s="197">
        <f t="shared" si="21"/>
        <v>4833.8</v>
      </c>
      <c r="W136" s="197">
        <f t="shared" si="21"/>
        <v>0</v>
      </c>
      <c r="X136" s="197">
        <f t="shared" si="21"/>
        <v>66422.460000000006</v>
      </c>
      <c r="Y136" s="197">
        <f t="shared" si="21"/>
        <v>0</v>
      </c>
      <c r="Z136" s="197">
        <f t="shared" si="21"/>
        <v>1244573.51</v>
      </c>
      <c r="AA136" s="197">
        <f t="shared" si="21"/>
        <v>6277</v>
      </c>
      <c r="AB136" s="197">
        <f t="shared" si="21"/>
        <v>0</v>
      </c>
      <c r="AC136" s="197">
        <f t="shared" si="21"/>
        <v>0</v>
      </c>
      <c r="AD136" s="197">
        <f t="shared" si="21"/>
        <v>135931.53</v>
      </c>
      <c r="AE136" s="197">
        <f t="shared" si="21"/>
        <v>81036.240000000005</v>
      </c>
      <c r="AF136" s="197">
        <f t="shared" si="20"/>
        <v>4336.75</v>
      </c>
      <c r="AG136" s="197">
        <f t="shared" si="20"/>
        <v>4056394.62</v>
      </c>
      <c r="AH136" s="197">
        <f t="shared" si="20"/>
        <v>0</v>
      </c>
      <c r="AI136" s="197">
        <f t="shared" si="20"/>
        <v>11762676.039999999</v>
      </c>
      <c r="AJ136" s="197">
        <f t="shared" si="20"/>
        <v>276579.81</v>
      </c>
      <c r="AK136" s="197">
        <f t="shared" si="20"/>
        <v>0</v>
      </c>
      <c r="AL136" s="197">
        <f t="shared" si="20"/>
        <v>0</v>
      </c>
    </row>
    <row r="137" spans="1:38">
      <c r="A137" s="11" t="str">
        <f t="shared" si="24"/>
        <v>05-305531292012</v>
      </c>
      <c r="B137" t="s">
        <v>165</v>
      </c>
      <c r="C137" t="s">
        <v>166</v>
      </c>
      <c r="D137">
        <v>2012</v>
      </c>
      <c r="E137" t="s">
        <v>105</v>
      </c>
      <c r="F137">
        <v>71538.039999999994</v>
      </c>
      <c r="G137">
        <v>144</v>
      </c>
      <c r="H137" s="11" t="str">
        <f t="shared" si="23"/>
        <v>count</v>
      </c>
      <c r="I137" s="197" t="s">
        <v>483</v>
      </c>
      <c r="J137" s="197" t="s">
        <v>484</v>
      </c>
      <c r="K137" s="197" t="s">
        <v>145</v>
      </c>
      <c r="L137" s="197">
        <f t="shared" si="22"/>
        <v>0</v>
      </c>
      <c r="M137" s="197">
        <f t="shared" si="22"/>
        <v>0</v>
      </c>
      <c r="N137" s="197">
        <f t="shared" si="22"/>
        <v>0</v>
      </c>
      <c r="O137" s="197">
        <f t="shared" si="22"/>
        <v>0</v>
      </c>
      <c r="P137" s="197">
        <f t="shared" si="22"/>
        <v>0</v>
      </c>
      <c r="Q137" s="197">
        <f t="shared" si="22"/>
        <v>0</v>
      </c>
      <c r="R137" s="197">
        <f t="shared" si="22"/>
        <v>0</v>
      </c>
      <c r="S137" s="197">
        <f t="shared" si="22"/>
        <v>0</v>
      </c>
      <c r="T137" s="197">
        <f t="shared" si="22"/>
        <v>0</v>
      </c>
      <c r="U137" s="197">
        <f t="shared" si="22"/>
        <v>7</v>
      </c>
      <c r="V137" s="197">
        <f t="shared" si="21"/>
        <v>4</v>
      </c>
      <c r="W137" s="197">
        <f t="shared" si="21"/>
        <v>0</v>
      </c>
      <c r="X137" s="197">
        <f t="shared" si="21"/>
        <v>96</v>
      </c>
      <c r="Y137" s="197">
        <f t="shared" si="21"/>
        <v>0</v>
      </c>
      <c r="Z137" s="197">
        <f t="shared" si="21"/>
        <v>1524</v>
      </c>
      <c r="AA137" s="197">
        <f t="shared" si="21"/>
        <v>8</v>
      </c>
      <c r="AB137" s="197">
        <f t="shared" si="21"/>
        <v>0</v>
      </c>
      <c r="AC137" s="197">
        <f t="shared" si="21"/>
        <v>0</v>
      </c>
      <c r="AD137" s="197">
        <f t="shared" si="21"/>
        <v>184</v>
      </c>
      <c r="AE137" s="197">
        <f t="shared" si="21"/>
        <v>105</v>
      </c>
      <c r="AF137" s="197">
        <f t="shared" si="20"/>
        <v>5</v>
      </c>
      <c r="AG137" s="197">
        <f t="shared" si="20"/>
        <v>4912</v>
      </c>
      <c r="AH137" s="197">
        <f t="shared" si="20"/>
        <v>0</v>
      </c>
      <c r="AI137" s="197">
        <f t="shared" si="20"/>
        <v>15448</v>
      </c>
      <c r="AJ137" s="197">
        <f t="shared" si="20"/>
        <v>347</v>
      </c>
      <c r="AK137" s="197">
        <f t="shared" si="20"/>
        <v>0</v>
      </c>
      <c r="AL137" s="197">
        <f t="shared" si="20"/>
        <v>0</v>
      </c>
    </row>
    <row r="138" spans="1:38">
      <c r="A138" s="11" t="str">
        <f t="shared" si="24"/>
        <v>05-305531292012</v>
      </c>
      <c r="B138" t="s">
        <v>165</v>
      </c>
      <c r="C138" t="s">
        <v>166</v>
      </c>
      <c r="D138">
        <v>2012</v>
      </c>
      <c r="E138" t="s">
        <v>133</v>
      </c>
      <c r="F138">
        <v>62760.12</v>
      </c>
      <c r="G138">
        <v>126</v>
      </c>
      <c r="H138" s="11" t="str">
        <f t="shared" si="23"/>
        <v>count</v>
      </c>
      <c r="I138" s="197" t="s">
        <v>493</v>
      </c>
      <c r="J138" s="197" t="s">
        <v>494</v>
      </c>
      <c r="K138" s="197" t="s">
        <v>146</v>
      </c>
      <c r="L138" s="197">
        <f t="shared" si="22"/>
        <v>0</v>
      </c>
      <c r="M138" s="197">
        <f t="shared" si="22"/>
        <v>0</v>
      </c>
      <c r="N138" s="197">
        <f t="shared" si="22"/>
        <v>0</v>
      </c>
      <c r="O138" s="197">
        <f t="shared" si="22"/>
        <v>0</v>
      </c>
      <c r="P138" s="197">
        <f t="shared" si="22"/>
        <v>0</v>
      </c>
      <c r="Q138" s="197">
        <f t="shared" si="22"/>
        <v>0</v>
      </c>
      <c r="R138" s="197">
        <f t="shared" si="22"/>
        <v>0</v>
      </c>
      <c r="S138" s="197">
        <f t="shared" si="22"/>
        <v>0</v>
      </c>
      <c r="T138" s="197">
        <f t="shared" si="22"/>
        <v>0</v>
      </c>
      <c r="U138" s="197">
        <f t="shared" si="22"/>
        <v>770.95</v>
      </c>
      <c r="V138" s="197">
        <f t="shared" si="21"/>
        <v>0</v>
      </c>
      <c r="W138" s="197">
        <f t="shared" si="21"/>
        <v>0</v>
      </c>
      <c r="X138" s="197">
        <f t="shared" si="21"/>
        <v>216842.5</v>
      </c>
      <c r="Y138" s="197">
        <f t="shared" si="21"/>
        <v>0</v>
      </c>
      <c r="Z138" s="197">
        <f t="shared" si="21"/>
        <v>0</v>
      </c>
      <c r="AA138" s="197">
        <f t="shared" si="21"/>
        <v>0</v>
      </c>
      <c r="AB138" s="197">
        <f t="shared" si="21"/>
        <v>0</v>
      </c>
      <c r="AC138" s="197">
        <f t="shared" si="21"/>
        <v>0</v>
      </c>
      <c r="AD138" s="197">
        <f t="shared" si="21"/>
        <v>0</v>
      </c>
      <c r="AE138" s="197">
        <f t="shared" si="21"/>
        <v>5580.75</v>
      </c>
      <c r="AF138" s="197">
        <f t="shared" si="20"/>
        <v>0</v>
      </c>
      <c r="AG138" s="197">
        <f t="shared" si="20"/>
        <v>757188.07</v>
      </c>
      <c r="AH138" s="197">
        <f t="shared" si="20"/>
        <v>0</v>
      </c>
      <c r="AI138" s="197">
        <f t="shared" si="20"/>
        <v>0</v>
      </c>
      <c r="AJ138" s="197">
        <f t="shared" si="20"/>
        <v>0</v>
      </c>
      <c r="AK138" s="197">
        <f t="shared" si="20"/>
        <v>0</v>
      </c>
      <c r="AL138" s="197">
        <f t="shared" si="20"/>
        <v>0</v>
      </c>
    </row>
    <row r="139" spans="1:38">
      <c r="A139" s="11" t="str">
        <f t="shared" si="24"/>
        <v>05-305531292011</v>
      </c>
      <c r="B139" t="s">
        <v>165</v>
      </c>
      <c r="C139" t="s">
        <v>166</v>
      </c>
      <c r="D139">
        <v>2011</v>
      </c>
      <c r="E139" t="s">
        <v>104</v>
      </c>
      <c r="F139">
        <v>262129.77</v>
      </c>
      <c r="G139">
        <v>534</v>
      </c>
      <c r="H139" s="11" t="str">
        <f t="shared" si="23"/>
        <v>count</v>
      </c>
      <c r="I139" s="197" t="s">
        <v>493</v>
      </c>
      <c r="J139" s="197" t="s">
        <v>494</v>
      </c>
      <c r="K139" s="197" t="s">
        <v>145</v>
      </c>
      <c r="L139" s="197">
        <f t="shared" si="22"/>
        <v>0</v>
      </c>
      <c r="M139" s="197">
        <f t="shared" si="22"/>
        <v>0</v>
      </c>
      <c r="N139" s="197">
        <f t="shared" si="22"/>
        <v>0</v>
      </c>
      <c r="O139" s="197">
        <f t="shared" si="22"/>
        <v>0</v>
      </c>
      <c r="P139" s="197">
        <f t="shared" si="22"/>
        <v>0</v>
      </c>
      <c r="Q139" s="197">
        <f t="shared" si="22"/>
        <v>0</v>
      </c>
      <c r="R139" s="197">
        <f t="shared" si="22"/>
        <v>0</v>
      </c>
      <c r="S139" s="197">
        <f t="shared" si="22"/>
        <v>0</v>
      </c>
      <c r="T139" s="197">
        <f t="shared" si="22"/>
        <v>0</v>
      </c>
      <c r="U139" s="197">
        <f t="shared" si="22"/>
        <v>1</v>
      </c>
      <c r="V139" s="197">
        <f t="shared" si="21"/>
        <v>0</v>
      </c>
      <c r="W139" s="197">
        <f t="shared" si="21"/>
        <v>0</v>
      </c>
      <c r="X139" s="197">
        <f t="shared" si="21"/>
        <v>202</v>
      </c>
      <c r="Y139" s="197">
        <f t="shared" si="21"/>
        <v>0</v>
      </c>
      <c r="Z139" s="197">
        <f t="shared" si="21"/>
        <v>0</v>
      </c>
      <c r="AA139" s="197">
        <f t="shared" si="21"/>
        <v>0</v>
      </c>
      <c r="AB139" s="197">
        <f t="shared" si="21"/>
        <v>0</v>
      </c>
      <c r="AC139" s="197">
        <f t="shared" si="21"/>
        <v>0</v>
      </c>
      <c r="AD139" s="197">
        <f t="shared" si="21"/>
        <v>0</v>
      </c>
      <c r="AE139" s="197">
        <f t="shared" si="21"/>
        <v>5</v>
      </c>
      <c r="AF139" s="197">
        <f t="shared" si="20"/>
        <v>0</v>
      </c>
      <c r="AG139" s="197">
        <f t="shared" si="20"/>
        <v>581</v>
      </c>
      <c r="AH139" s="197">
        <f t="shared" si="20"/>
        <v>0</v>
      </c>
      <c r="AI139" s="197">
        <f t="shared" si="20"/>
        <v>0</v>
      </c>
      <c r="AJ139" s="197">
        <f t="shared" si="20"/>
        <v>0</v>
      </c>
      <c r="AK139" s="197">
        <f t="shared" si="20"/>
        <v>0</v>
      </c>
      <c r="AL139" s="197">
        <f t="shared" si="20"/>
        <v>0</v>
      </c>
    </row>
    <row r="140" spans="1:38">
      <c r="A140" s="11" t="str">
        <f t="shared" si="24"/>
        <v>05-305531292012</v>
      </c>
      <c r="B140" t="s">
        <v>165</v>
      </c>
      <c r="C140" t="s">
        <v>166</v>
      </c>
      <c r="D140">
        <v>2012</v>
      </c>
      <c r="E140" t="s">
        <v>69</v>
      </c>
      <c r="F140">
        <v>131871.6</v>
      </c>
      <c r="G140">
        <v>306</v>
      </c>
      <c r="H140" s="11" t="str">
        <f t="shared" si="23"/>
        <v>count</v>
      </c>
      <c r="I140" s="197" t="s">
        <v>514</v>
      </c>
      <c r="J140" s="197" t="s">
        <v>515</v>
      </c>
      <c r="K140" s="197" t="s">
        <v>146</v>
      </c>
      <c r="L140" s="197">
        <f t="shared" si="22"/>
        <v>0</v>
      </c>
      <c r="M140" s="197">
        <f t="shared" si="22"/>
        <v>0</v>
      </c>
      <c r="N140" s="197">
        <f t="shared" si="22"/>
        <v>0</v>
      </c>
      <c r="O140" s="197">
        <f t="shared" si="22"/>
        <v>0</v>
      </c>
      <c r="P140" s="197">
        <f t="shared" si="22"/>
        <v>0</v>
      </c>
      <c r="Q140" s="197">
        <f t="shared" si="22"/>
        <v>0</v>
      </c>
      <c r="R140" s="197">
        <f t="shared" si="22"/>
        <v>0</v>
      </c>
      <c r="S140" s="197">
        <f t="shared" si="22"/>
        <v>0</v>
      </c>
      <c r="T140" s="197">
        <f t="shared" si="22"/>
        <v>0</v>
      </c>
      <c r="U140" s="197">
        <f t="shared" si="22"/>
        <v>67460.67</v>
      </c>
      <c r="V140" s="197">
        <f t="shared" si="21"/>
        <v>44472.53</v>
      </c>
      <c r="W140" s="197">
        <f t="shared" si="21"/>
        <v>3772.2</v>
      </c>
      <c r="X140" s="197">
        <f t="shared" si="21"/>
        <v>0</v>
      </c>
      <c r="Y140" s="197">
        <f t="shared" si="21"/>
        <v>0</v>
      </c>
      <c r="Z140" s="197">
        <f t="shared" si="21"/>
        <v>0</v>
      </c>
      <c r="AA140" s="197">
        <f t="shared" si="21"/>
        <v>33372.160000000003</v>
      </c>
      <c r="AB140" s="197">
        <f t="shared" si="21"/>
        <v>0</v>
      </c>
      <c r="AC140" s="197">
        <f t="shared" si="21"/>
        <v>0</v>
      </c>
      <c r="AD140" s="197">
        <f t="shared" si="21"/>
        <v>881242.62</v>
      </c>
      <c r="AE140" s="197">
        <f t="shared" si="21"/>
        <v>507871.15</v>
      </c>
      <c r="AF140" s="197">
        <f t="shared" si="21"/>
        <v>166896.5</v>
      </c>
      <c r="AG140" s="197">
        <f t="shared" si="21"/>
        <v>18753.490000000002</v>
      </c>
      <c r="AH140" s="197">
        <f t="shared" si="21"/>
        <v>0</v>
      </c>
      <c r="AI140" s="197">
        <f t="shared" si="21"/>
        <v>0</v>
      </c>
      <c r="AJ140" s="197">
        <f t="shared" si="21"/>
        <v>568635.41</v>
      </c>
      <c r="AK140" s="197">
        <f t="shared" si="21"/>
        <v>0</v>
      </c>
      <c r="AL140" s="197">
        <f t="shared" ref="AF140:AL177" si="25">SUMIFS(IF($K140="volume",$F:$F,$G:$G),$D:$D,AL$2,$B:$B,$I140,$E:$E,AL$3)</f>
        <v>0</v>
      </c>
    </row>
    <row r="141" spans="1:38">
      <c r="A141" s="11" t="str">
        <f t="shared" si="24"/>
        <v>05-305531292013</v>
      </c>
      <c r="B141" t="s">
        <v>165</v>
      </c>
      <c r="C141" t="s">
        <v>166</v>
      </c>
      <c r="D141">
        <v>2013</v>
      </c>
      <c r="E141" t="s">
        <v>105</v>
      </c>
      <c r="F141">
        <v>1848.7</v>
      </c>
      <c r="G141">
        <v>6</v>
      </c>
      <c r="H141" s="11" t="str">
        <f t="shared" si="23"/>
        <v>count</v>
      </c>
      <c r="I141" s="197" t="s">
        <v>514</v>
      </c>
      <c r="J141" s="197" t="s">
        <v>515</v>
      </c>
      <c r="K141" s="197" t="s">
        <v>145</v>
      </c>
      <c r="L141" s="197">
        <f t="shared" si="22"/>
        <v>0</v>
      </c>
      <c r="M141" s="197">
        <f t="shared" si="22"/>
        <v>0</v>
      </c>
      <c r="N141" s="197">
        <f t="shared" si="22"/>
        <v>0</v>
      </c>
      <c r="O141" s="197">
        <f t="shared" si="22"/>
        <v>0</v>
      </c>
      <c r="P141" s="197">
        <f t="shared" si="22"/>
        <v>0</v>
      </c>
      <c r="Q141" s="197">
        <f t="shared" si="22"/>
        <v>0</v>
      </c>
      <c r="R141" s="197">
        <f t="shared" si="22"/>
        <v>0</v>
      </c>
      <c r="S141" s="197">
        <f t="shared" si="22"/>
        <v>0</v>
      </c>
      <c r="T141" s="197">
        <f t="shared" si="22"/>
        <v>0</v>
      </c>
      <c r="U141" s="197">
        <f t="shared" si="22"/>
        <v>104</v>
      </c>
      <c r="V141" s="197">
        <f t="shared" si="21"/>
        <v>77</v>
      </c>
      <c r="W141" s="197">
        <f t="shared" si="21"/>
        <v>7</v>
      </c>
      <c r="X141" s="197">
        <f t="shared" si="21"/>
        <v>0</v>
      </c>
      <c r="Y141" s="197">
        <f t="shared" si="21"/>
        <v>0</v>
      </c>
      <c r="Z141" s="197">
        <f t="shared" si="21"/>
        <v>0</v>
      </c>
      <c r="AA141" s="197">
        <f t="shared" si="21"/>
        <v>63</v>
      </c>
      <c r="AB141" s="197">
        <f t="shared" si="21"/>
        <v>0</v>
      </c>
      <c r="AC141" s="197">
        <f t="shared" si="21"/>
        <v>0</v>
      </c>
      <c r="AD141" s="197">
        <f t="shared" si="21"/>
        <v>1004</v>
      </c>
      <c r="AE141" s="197">
        <f t="shared" si="21"/>
        <v>604</v>
      </c>
      <c r="AF141" s="197">
        <f t="shared" si="25"/>
        <v>187</v>
      </c>
      <c r="AG141" s="197">
        <f t="shared" si="25"/>
        <v>13</v>
      </c>
      <c r="AH141" s="197">
        <f t="shared" si="25"/>
        <v>0</v>
      </c>
      <c r="AI141" s="197">
        <f t="shared" si="25"/>
        <v>0</v>
      </c>
      <c r="AJ141" s="197">
        <f t="shared" si="25"/>
        <v>745</v>
      </c>
      <c r="AK141" s="197">
        <f t="shared" si="25"/>
        <v>0</v>
      </c>
      <c r="AL141" s="197">
        <f t="shared" si="25"/>
        <v>0</v>
      </c>
    </row>
    <row r="142" spans="1:38">
      <c r="A142" s="11" t="str">
        <f t="shared" si="24"/>
        <v>05-305531292011</v>
      </c>
      <c r="B142" t="s">
        <v>165</v>
      </c>
      <c r="C142" t="s">
        <v>166</v>
      </c>
      <c r="D142">
        <v>2011</v>
      </c>
      <c r="E142" t="s">
        <v>63</v>
      </c>
      <c r="F142">
        <v>439002.61</v>
      </c>
      <c r="G142">
        <v>994</v>
      </c>
      <c r="H142" s="11" t="str">
        <f t="shared" si="23"/>
        <v>count</v>
      </c>
      <c r="I142" s="197" t="s">
        <v>612</v>
      </c>
      <c r="J142" s="197" t="s">
        <v>613</v>
      </c>
      <c r="K142" s="197" t="s">
        <v>146</v>
      </c>
      <c r="L142" s="197">
        <f t="shared" si="22"/>
        <v>11950.93</v>
      </c>
      <c r="M142" s="197">
        <f t="shared" si="22"/>
        <v>4209.47</v>
      </c>
      <c r="N142" s="197">
        <f t="shared" si="22"/>
        <v>0</v>
      </c>
      <c r="O142" s="197">
        <f t="shared" si="22"/>
        <v>226700.83</v>
      </c>
      <c r="P142" s="197">
        <f t="shared" si="22"/>
        <v>0</v>
      </c>
      <c r="Q142" s="197">
        <f t="shared" si="22"/>
        <v>0</v>
      </c>
      <c r="R142" s="197">
        <f t="shared" si="22"/>
        <v>1552</v>
      </c>
      <c r="S142" s="197">
        <f t="shared" si="22"/>
        <v>0</v>
      </c>
      <c r="T142" s="197">
        <f t="shared" si="22"/>
        <v>0</v>
      </c>
      <c r="U142" s="197">
        <f t="shared" si="22"/>
        <v>299133.3</v>
      </c>
      <c r="V142" s="197">
        <f t="shared" si="21"/>
        <v>172944.25</v>
      </c>
      <c r="W142" s="197">
        <f t="shared" si="21"/>
        <v>33698.94</v>
      </c>
      <c r="X142" s="197">
        <f t="shared" si="21"/>
        <v>4318072.8899999997</v>
      </c>
      <c r="Y142" s="197">
        <f t="shared" si="21"/>
        <v>0</v>
      </c>
      <c r="Z142" s="197">
        <f t="shared" si="21"/>
        <v>0</v>
      </c>
      <c r="AA142" s="197">
        <f t="shared" si="21"/>
        <v>231544.45</v>
      </c>
      <c r="AB142" s="197">
        <f t="shared" si="21"/>
        <v>0</v>
      </c>
      <c r="AC142" s="197">
        <f t="shared" si="21"/>
        <v>0</v>
      </c>
      <c r="AD142" s="197">
        <f t="shared" si="21"/>
        <v>468715.97</v>
      </c>
      <c r="AE142" s="197">
        <f t="shared" si="21"/>
        <v>242456.44</v>
      </c>
      <c r="AF142" s="197">
        <f t="shared" si="25"/>
        <v>51721.37</v>
      </c>
      <c r="AG142" s="197">
        <f t="shared" si="25"/>
        <v>5439837.2999999998</v>
      </c>
      <c r="AH142" s="197">
        <f t="shared" si="25"/>
        <v>0</v>
      </c>
      <c r="AI142" s="197">
        <f t="shared" si="25"/>
        <v>0</v>
      </c>
      <c r="AJ142" s="197">
        <f t="shared" si="25"/>
        <v>743853.62</v>
      </c>
      <c r="AK142" s="197">
        <f t="shared" si="25"/>
        <v>0</v>
      </c>
      <c r="AL142" s="197">
        <f t="shared" si="25"/>
        <v>0</v>
      </c>
    </row>
    <row r="143" spans="1:38">
      <c r="A143" s="11" t="str">
        <f t="shared" si="24"/>
        <v>05-308963692011</v>
      </c>
      <c r="B143" t="s">
        <v>177</v>
      </c>
      <c r="C143" t="s">
        <v>178</v>
      </c>
      <c r="D143">
        <v>2011</v>
      </c>
      <c r="E143" t="s">
        <v>69</v>
      </c>
      <c r="F143">
        <v>1133.68</v>
      </c>
      <c r="G143">
        <v>1</v>
      </c>
      <c r="H143" s="11" t="str">
        <f t="shared" si="23"/>
        <v>volume</v>
      </c>
      <c r="I143" s="197" t="s">
        <v>612</v>
      </c>
      <c r="J143" s="197" t="s">
        <v>613</v>
      </c>
      <c r="K143" s="197" t="s">
        <v>145</v>
      </c>
      <c r="L143" s="197">
        <f t="shared" si="22"/>
        <v>21</v>
      </c>
      <c r="M143" s="197">
        <f t="shared" si="22"/>
        <v>4</v>
      </c>
      <c r="N143" s="197">
        <f t="shared" si="22"/>
        <v>0</v>
      </c>
      <c r="O143" s="197">
        <f t="shared" si="22"/>
        <v>338</v>
      </c>
      <c r="P143" s="197">
        <f t="shared" si="22"/>
        <v>0</v>
      </c>
      <c r="Q143" s="197">
        <f t="shared" si="22"/>
        <v>0</v>
      </c>
      <c r="R143" s="197">
        <f t="shared" si="22"/>
        <v>2</v>
      </c>
      <c r="S143" s="197">
        <f t="shared" si="22"/>
        <v>0</v>
      </c>
      <c r="T143" s="197">
        <f t="shared" si="22"/>
        <v>0</v>
      </c>
      <c r="U143" s="197">
        <f t="shared" si="22"/>
        <v>424</v>
      </c>
      <c r="V143" s="197">
        <f t="shared" si="21"/>
        <v>252</v>
      </c>
      <c r="W143" s="197">
        <f t="shared" si="21"/>
        <v>41</v>
      </c>
      <c r="X143" s="197">
        <f t="shared" si="21"/>
        <v>6883</v>
      </c>
      <c r="Y143" s="197">
        <f t="shared" si="21"/>
        <v>0</v>
      </c>
      <c r="Z143" s="197">
        <f t="shared" si="21"/>
        <v>0</v>
      </c>
      <c r="AA143" s="197">
        <f t="shared" si="21"/>
        <v>452</v>
      </c>
      <c r="AB143" s="197">
        <f t="shared" si="21"/>
        <v>0</v>
      </c>
      <c r="AC143" s="197">
        <f t="shared" si="21"/>
        <v>0</v>
      </c>
      <c r="AD143" s="197">
        <f t="shared" si="21"/>
        <v>624</v>
      </c>
      <c r="AE143" s="197">
        <f t="shared" si="21"/>
        <v>333</v>
      </c>
      <c r="AF143" s="197">
        <f t="shared" si="25"/>
        <v>81</v>
      </c>
      <c r="AG143" s="197">
        <f t="shared" si="25"/>
        <v>8129</v>
      </c>
      <c r="AH143" s="197">
        <f t="shared" si="25"/>
        <v>0</v>
      </c>
      <c r="AI143" s="197">
        <f t="shared" si="25"/>
        <v>0</v>
      </c>
      <c r="AJ143" s="197">
        <f t="shared" si="25"/>
        <v>1197</v>
      </c>
      <c r="AK143" s="197">
        <f t="shared" si="25"/>
        <v>0</v>
      </c>
      <c r="AL143" s="197">
        <f t="shared" si="25"/>
        <v>0</v>
      </c>
    </row>
    <row r="144" spans="1:38">
      <c r="A144" s="11" t="str">
        <f t="shared" si="24"/>
        <v>05-308963692013</v>
      </c>
      <c r="B144" t="s">
        <v>177</v>
      </c>
      <c r="C144" t="s">
        <v>178</v>
      </c>
      <c r="D144">
        <v>2013</v>
      </c>
      <c r="E144" t="s">
        <v>106</v>
      </c>
      <c r="F144">
        <v>17161.990000000002</v>
      </c>
      <c r="G144">
        <v>14</v>
      </c>
      <c r="H144" s="11" t="str">
        <f t="shared" si="23"/>
        <v>count</v>
      </c>
      <c r="I144" s="197" t="s">
        <v>616</v>
      </c>
      <c r="J144" s="197" t="s">
        <v>617</v>
      </c>
      <c r="K144" s="197" t="s">
        <v>146</v>
      </c>
      <c r="L144" s="197">
        <f t="shared" si="22"/>
        <v>97322.64</v>
      </c>
      <c r="M144" s="197">
        <f t="shared" si="22"/>
        <v>153761.25</v>
      </c>
      <c r="N144" s="197">
        <f t="shared" si="22"/>
        <v>8488.4500000000007</v>
      </c>
      <c r="O144" s="197">
        <f t="shared" si="22"/>
        <v>9249091.0800000001</v>
      </c>
      <c r="P144" s="197">
        <f t="shared" si="22"/>
        <v>0</v>
      </c>
      <c r="Q144" s="197">
        <f t="shared" si="22"/>
        <v>117212032.36</v>
      </c>
      <c r="R144" s="197">
        <f t="shared" si="22"/>
        <v>18</v>
      </c>
      <c r="S144" s="197">
        <f t="shared" si="22"/>
        <v>0</v>
      </c>
      <c r="T144" s="197">
        <f t="shared" si="22"/>
        <v>0</v>
      </c>
      <c r="U144" s="197">
        <f t="shared" si="22"/>
        <v>384284.14</v>
      </c>
      <c r="V144" s="197">
        <f t="shared" si="21"/>
        <v>252986.32</v>
      </c>
      <c r="W144" s="197">
        <f t="shared" si="21"/>
        <v>29220.15</v>
      </c>
      <c r="X144" s="197">
        <f t="shared" si="21"/>
        <v>10642089.52</v>
      </c>
      <c r="Y144" s="197">
        <f t="shared" si="21"/>
        <v>0</v>
      </c>
      <c r="Z144" s="197">
        <f t="shared" si="21"/>
        <v>112992864.69</v>
      </c>
      <c r="AA144" s="197">
        <f t="shared" si="21"/>
        <v>31320.18</v>
      </c>
      <c r="AB144" s="197">
        <f t="shared" si="21"/>
        <v>0</v>
      </c>
      <c r="AC144" s="197">
        <f t="shared" si="21"/>
        <v>0</v>
      </c>
      <c r="AD144" s="197">
        <f t="shared" si="21"/>
        <v>160428.47</v>
      </c>
      <c r="AE144" s="197">
        <f t="shared" si="21"/>
        <v>61634.58</v>
      </c>
      <c r="AF144" s="197">
        <f t="shared" si="25"/>
        <v>11306</v>
      </c>
      <c r="AG144" s="197">
        <f t="shared" si="25"/>
        <v>10497129.859999999</v>
      </c>
      <c r="AH144" s="197">
        <f t="shared" si="25"/>
        <v>0</v>
      </c>
      <c r="AI144" s="197">
        <f t="shared" si="25"/>
        <v>1006429.29</v>
      </c>
      <c r="AJ144" s="197">
        <f t="shared" si="25"/>
        <v>24745.38</v>
      </c>
      <c r="AK144" s="197">
        <f t="shared" si="25"/>
        <v>0</v>
      </c>
      <c r="AL144" s="197">
        <f t="shared" si="25"/>
        <v>0</v>
      </c>
    </row>
    <row r="145" spans="1:38">
      <c r="A145" s="11" t="str">
        <f t="shared" si="24"/>
        <v>05-308963692013</v>
      </c>
      <c r="B145" t="s">
        <v>177</v>
      </c>
      <c r="C145" t="s">
        <v>178</v>
      </c>
      <c r="D145">
        <v>2013</v>
      </c>
      <c r="E145" t="s">
        <v>63</v>
      </c>
      <c r="F145">
        <v>932590</v>
      </c>
      <c r="G145">
        <v>1028</v>
      </c>
      <c r="H145" s="11" t="str">
        <f t="shared" si="23"/>
        <v>count</v>
      </c>
      <c r="I145" s="197" t="s">
        <v>616</v>
      </c>
      <c r="J145" s="197" t="s">
        <v>617</v>
      </c>
      <c r="K145" s="197" t="s">
        <v>145</v>
      </c>
      <c r="L145" s="197">
        <f t="shared" si="22"/>
        <v>301</v>
      </c>
      <c r="M145" s="197">
        <f t="shared" si="22"/>
        <v>152</v>
      </c>
      <c r="N145" s="197">
        <f t="shared" si="22"/>
        <v>11</v>
      </c>
      <c r="O145" s="197">
        <f t="shared" si="22"/>
        <v>2548</v>
      </c>
      <c r="P145" s="197">
        <f t="shared" si="22"/>
        <v>0</v>
      </c>
      <c r="Q145" s="197">
        <f t="shared" si="22"/>
        <v>36649</v>
      </c>
      <c r="R145" s="197">
        <f t="shared" si="22"/>
        <v>1</v>
      </c>
      <c r="S145" s="197">
        <f t="shared" si="22"/>
        <v>0</v>
      </c>
      <c r="T145" s="197">
        <f t="shared" si="22"/>
        <v>0</v>
      </c>
      <c r="U145" s="197">
        <f t="shared" si="22"/>
        <v>318</v>
      </c>
      <c r="V145" s="197">
        <f t="shared" si="21"/>
        <v>165</v>
      </c>
      <c r="W145" s="197">
        <f t="shared" si="21"/>
        <v>27</v>
      </c>
      <c r="X145" s="197">
        <f t="shared" si="21"/>
        <v>2724</v>
      </c>
      <c r="Y145" s="197">
        <f t="shared" si="21"/>
        <v>0</v>
      </c>
      <c r="Z145" s="197">
        <f t="shared" si="21"/>
        <v>33907</v>
      </c>
      <c r="AA145" s="197">
        <f t="shared" si="21"/>
        <v>149</v>
      </c>
      <c r="AB145" s="197">
        <f t="shared" si="21"/>
        <v>0</v>
      </c>
      <c r="AC145" s="197">
        <f t="shared" si="21"/>
        <v>0</v>
      </c>
      <c r="AD145" s="197">
        <f t="shared" si="21"/>
        <v>200</v>
      </c>
      <c r="AE145" s="197">
        <f t="shared" si="21"/>
        <v>87</v>
      </c>
      <c r="AF145" s="197">
        <f t="shared" si="25"/>
        <v>11</v>
      </c>
      <c r="AG145" s="197">
        <f t="shared" si="25"/>
        <v>2590</v>
      </c>
      <c r="AH145" s="197">
        <f t="shared" si="25"/>
        <v>0</v>
      </c>
      <c r="AI145" s="197">
        <f t="shared" si="25"/>
        <v>275</v>
      </c>
      <c r="AJ145" s="197">
        <f t="shared" si="25"/>
        <v>103</v>
      </c>
      <c r="AK145" s="197">
        <f t="shared" si="25"/>
        <v>0</v>
      </c>
      <c r="AL145" s="197">
        <f t="shared" si="25"/>
        <v>0</v>
      </c>
    </row>
    <row r="146" spans="1:38">
      <c r="A146" s="11" t="str">
        <f t="shared" si="24"/>
        <v>05-308963692011</v>
      </c>
      <c r="B146" t="s">
        <v>177</v>
      </c>
      <c r="C146" t="s">
        <v>178</v>
      </c>
      <c r="D146">
        <v>2011</v>
      </c>
      <c r="E146" t="s">
        <v>105</v>
      </c>
      <c r="F146">
        <v>68748.22</v>
      </c>
      <c r="G146">
        <v>80</v>
      </c>
      <c r="H146" s="11" t="str">
        <f t="shared" si="23"/>
        <v>count</v>
      </c>
      <c r="I146" s="197" t="s">
        <v>622</v>
      </c>
      <c r="J146" s="197" t="s">
        <v>623</v>
      </c>
      <c r="K146" s="197" t="s">
        <v>146</v>
      </c>
      <c r="L146" s="197">
        <f t="shared" si="22"/>
        <v>749001.12</v>
      </c>
      <c r="M146" s="197">
        <f t="shared" si="22"/>
        <v>252177.6</v>
      </c>
      <c r="N146" s="197">
        <f t="shared" si="22"/>
        <v>17179.36</v>
      </c>
      <c r="O146" s="197">
        <f t="shared" si="22"/>
        <v>79265.08</v>
      </c>
      <c r="P146" s="197">
        <f t="shared" si="22"/>
        <v>0</v>
      </c>
      <c r="Q146" s="197">
        <f t="shared" si="22"/>
        <v>0</v>
      </c>
      <c r="R146" s="197">
        <f t="shared" si="22"/>
        <v>0</v>
      </c>
      <c r="S146" s="197">
        <f t="shared" si="22"/>
        <v>0</v>
      </c>
      <c r="T146" s="197">
        <f t="shared" si="22"/>
        <v>0</v>
      </c>
      <c r="U146" s="197">
        <f t="shared" si="22"/>
        <v>950217.41</v>
      </c>
      <c r="V146" s="197">
        <f t="shared" si="21"/>
        <v>522056.34</v>
      </c>
      <c r="W146" s="197">
        <f t="shared" si="21"/>
        <v>10998.87</v>
      </c>
      <c r="X146" s="197">
        <f t="shared" si="21"/>
        <v>125305.75</v>
      </c>
      <c r="Y146" s="197">
        <f t="shared" si="21"/>
        <v>0</v>
      </c>
      <c r="Z146" s="197">
        <f t="shared" si="21"/>
        <v>0</v>
      </c>
      <c r="AA146" s="197">
        <f t="shared" si="21"/>
        <v>335523.24</v>
      </c>
      <c r="AB146" s="197">
        <f t="shared" si="21"/>
        <v>0</v>
      </c>
      <c r="AC146" s="197">
        <f t="shared" si="21"/>
        <v>0</v>
      </c>
      <c r="AD146" s="197">
        <f t="shared" si="21"/>
        <v>813767.6</v>
      </c>
      <c r="AE146" s="197">
        <f t="shared" si="21"/>
        <v>420229.67</v>
      </c>
      <c r="AF146" s="197">
        <f t="shared" si="25"/>
        <v>29811.279999999999</v>
      </c>
      <c r="AG146" s="197">
        <f t="shared" si="25"/>
        <v>51229.23</v>
      </c>
      <c r="AH146" s="197">
        <f t="shared" si="25"/>
        <v>0</v>
      </c>
      <c r="AI146" s="197">
        <f t="shared" si="25"/>
        <v>0</v>
      </c>
      <c r="AJ146" s="197">
        <f t="shared" si="25"/>
        <v>470384.49</v>
      </c>
      <c r="AK146" s="197">
        <f t="shared" si="25"/>
        <v>0</v>
      </c>
      <c r="AL146" s="197">
        <f t="shared" si="25"/>
        <v>0</v>
      </c>
    </row>
    <row r="147" spans="1:38">
      <c r="A147" s="11" t="str">
        <f t="shared" si="24"/>
        <v>05-308963692013</v>
      </c>
      <c r="B147" t="s">
        <v>177</v>
      </c>
      <c r="C147" t="s">
        <v>178</v>
      </c>
      <c r="D147">
        <v>2013</v>
      </c>
      <c r="E147" t="s">
        <v>104</v>
      </c>
      <c r="F147">
        <v>415937.89</v>
      </c>
      <c r="G147">
        <v>477</v>
      </c>
      <c r="H147" s="11" t="str">
        <f t="shared" si="23"/>
        <v>count</v>
      </c>
      <c r="I147" s="197" t="s">
        <v>622</v>
      </c>
      <c r="J147" s="197" t="s">
        <v>623</v>
      </c>
      <c r="K147" s="197" t="s">
        <v>145</v>
      </c>
      <c r="L147" s="197">
        <f t="shared" si="22"/>
        <v>525</v>
      </c>
      <c r="M147" s="197">
        <f t="shared" si="22"/>
        <v>177</v>
      </c>
      <c r="N147" s="197">
        <f t="shared" si="22"/>
        <v>14</v>
      </c>
      <c r="O147" s="197">
        <f t="shared" si="22"/>
        <v>52</v>
      </c>
      <c r="P147" s="197">
        <f t="shared" si="22"/>
        <v>0</v>
      </c>
      <c r="Q147" s="197">
        <f t="shared" si="22"/>
        <v>0</v>
      </c>
      <c r="R147" s="197">
        <f t="shared" si="22"/>
        <v>0</v>
      </c>
      <c r="S147" s="197">
        <f t="shared" si="22"/>
        <v>0</v>
      </c>
      <c r="T147" s="197">
        <f t="shared" si="22"/>
        <v>0</v>
      </c>
      <c r="U147" s="197">
        <f t="shared" si="22"/>
        <v>716</v>
      </c>
      <c r="V147" s="197">
        <f t="shared" si="21"/>
        <v>381</v>
      </c>
      <c r="W147" s="197">
        <f t="shared" si="21"/>
        <v>14</v>
      </c>
      <c r="X147" s="197">
        <f t="shared" si="21"/>
        <v>101</v>
      </c>
      <c r="Y147" s="197">
        <f t="shared" si="21"/>
        <v>0</v>
      </c>
      <c r="Z147" s="197">
        <f t="shared" si="21"/>
        <v>0</v>
      </c>
      <c r="AA147" s="197">
        <f t="shared" si="21"/>
        <v>326</v>
      </c>
      <c r="AB147" s="197">
        <f t="shared" si="21"/>
        <v>0</v>
      </c>
      <c r="AC147" s="197">
        <f t="shared" si="21"/>
        <v>0</v>
      </c>
      <c r="AD147" s="197">
        <f t="shared" si="21"/>
        <v>639</v>
      </c>
      <c r="AE147" s="197">
        <f t="shared" si="21"/>
        <v>329</v>
      </c>
      <c r="AF147" s="197">
        <f t="shared" si="25"/>
        <v>26</v>
      </c>
      <c r="AG147" s="197">
        <f t="shared" si="25"/>
        <v>54</v>
      </c>
      <c r="AH147" s="197">
        <f t="shared" si="25"/>
        <v>0</v>
      </c>
      <c r="AI147" s="197">
        <f t="shared" si="25"/>
        <v>0</v>
      </c>
      <c r="AJ147" s="197">
        <f t="shared" si="25"/>
        <v>377</v>
      </c>
      <c r="AK147" s="197">
        <f t="shared" si="25"/>
        <v>0</v>
      </c>
      <c r="AL147" s="197">
        <f t="shared" si="25"/>
        <v>0</v>
      </c>
    </row>
    <row r="148" spans="1:38">
      <c r="A148" s="11" t="str">
        <f t="shared" si="24"/>
        <v>05-308963692012</v>
      </c>
      <c r="B148" t="s">
        <v>177</v>
      </c>
      <c r="C148" t="s">
        <v>178</v>
      </c>
      <c r="D148">
        <v>2012</v>
      </c>
      <c r="E148" t="s">
        <v>69</v>
      </c>
      <c r="F148">
        <v>456403.97</v>
      </c>
      <c r="G148">
        <v>737</v>
      </c>
      <c r="H148" s="11" t="str">
        <f t="shared" si="23"/>
        <v>count</v>
      </c>
      <c r="I148" s="197" t="s">
        <v>627</v>
      </c>
      <c r="J148" s="197" t="s">
        <v>628</v>
      </c>
      <c r="K148" s="197" t="s">
        <v>146</v>
      </c>
      <c r="L148" s="197">
        <f t="shared" si="22"/>
        <v>577810.9</v>
      </c>
      <c r="M148" s="197">
        <f t="shared" si="22"/>
        <v>247579.88</v>
      </c>
      <c r="N148" s="197">
        <f t="shared" si="22"/>
        <v>0</v>
      </c>
      <c r="O148" s="197">
        <f t="shared" si="22"/>
        <v>0</v>
      </c>
      <c r="P148" s="197">
        <f t="shared" si="22"/>
        <v>0</v>
      </c>
      <c r="Q148" s="197">
        <f t="shared" si="22"/>
        <v>0</v>
      </c>
      <c r="R148" s="197">
        <f t="shared" si="22"/>
        <v>0</v>
      </c>
      <c r="S148" s="197">
        <f t="shared" si="22"/>
        <v>0</v>
      </c>
      <c r="T148" s="197">
        <f t="shared" si="22"/>
        <v>0</v>
      </c>
      <c r="U148" s="197">
        <f t="shared" si="22"/>
        <v>399458.73</v>
      </c>
      <c r="V148" s="197">
        <f t="shared" si="21"/>
        <v>185449.5</v>
      </c>
      <c r="W148" s="197">
        <f t="shared" si="21"/>
        <v>1100</v>
      </c>
      <c r="X148" s="197">
        <f t="shared" si="21"/>
        <v>0</v>
      </c>
      <c r="Y148" s="197">
        <f t="shared" si="21"/>
        <v>0</v>
      </c>
      <c r="Z148" s="197">
        <f t="shared" si="21"/>
        <v>0</v>
      </c>
      <c r="AA148" s="197">
        <f t="shared" si="21"/>
        <v>29480</v>
      </c>
      <c r="AB148" s="197">
        <f t="shared" si="21"/>
        <v>0</v>
      </c>
      <c r="AC148" s="197">
        <f t="shared" si="21"/>
        <v>0</v>
      </c>
      <c r="AD148" s="197">
        <f t="shared" si="21"/>
        <v>2100</v>
      </c>
      <c r="AE148" s="197">
        <f t="shared" si="21"/>
        <v>2700</v>
      </c>
      <c r="AF148" s="197">
        <f t="shared" si="25"/>
        <v>0</v>
      </c>
      <c r="AG148" s="197">
        <f t="shared" si="25"/>
        <v>0</v>
      </c>
      <c r="AH148" s="197">
        <f t="shared" si="25"/>
        <v>0</v>
      </c>
      <c r="AI148" s="197">
        <f t="shared" si="25"/>
        <v>0</v>
      </c>
      <c r="AJ148" s="197">
        <f t="shared" si="25"/>
        <v>0</v>
      </c>
      <c r="AK148" s="197">
        <f t="shared" si="25"/>
        <v>0</v>
      </c>
      <c r="AL148" s="197">
        <f t="shared" si="25"/>
        <v>0</v>
      </c>
    </row>
    <row r="149" spans="1:38">
      <c r="A149" s="11" t="str">
        <f t="shared" si="24"/>
        <v>05-308963692013</v>
      </c>
      <c r="B149" t="s">
        <v>177</v>
      </c>
      <c r="C149" t="s">
        <v>178</v>
      </c>
      <c r="D149">
        <v>2013</v>
      </c>
      <c r="E149" t="s">
        <v>105</v>
      </c>
      <c r="F149">
        <v>108511.76</v>
      </c>
      <c r="G149">
        <v>127</v>
      </c>
      <c r="H149" s="11" t="str">
        <f t="shared" si="23"/>
        <v>count</v>
      </c>
      <c r="I149" s="197" t="s">
        <v>627</v>
      </c>
      <c r="J149" s="197" t="s">
        <v>628</v>
      </c>
      <c r="K149" s="197" t="s">
        <v>145</v>
      </c>
      <c r="L149" s="197">
        <f t="shared" si="22"/>
        <v>491</v>
      </c>
      <c r="M149" s="197">
        <f t="shared" si="22"/>
        <v>203</v>
      </c>
      <c r="N149" s="197">
        <f t="shared" si="22"/>
        <v>0</v>
      </c>
      <c r="O149" s="197">
        <f t="shared" si="22"/>
        <v>0</v>
      </c>
      <c r="P149" s="197">
        <f t="shared" si="22"/>
        <v>0</v>
      </c>
      <c r="Q149" s="197">
        <f t="shared" si="22"/>
        <v>0</v>
      </c>
      <c r="R149" s="197">
        <f t="shared" si="22"/>
        <v>0</v>
      </c>
      <c r="S149" s="197">
        <f t="shared" si="22"/>
        <v>0</v>
      </c>
      <c r="T149" s="197">
        <f t="shared" si="22"/>
        <v>0</v>
      </c>
      <c r="U149" s="197">
        <f t="shared" si="22"/>
        <v>313</v>
      </c>
      <c r="V149" s="197">
        <f t="shared" si="21"/>
        <v>155</v>
      </c>
      <c r="W149" s="197">
        <f t="shared" si="21"/>
        <v>1</v>
      </c>
      <c r="X149" s="197">
        <f t="shared" si="21"/>
        <v>0</v>
      </c>
      <c r="Y149" s="197">
        <f t="shared" si="21"/>
        <v>0</v>
      </c>
      <c r="Z149" s="197">
        <f t="shared" si="21"/>
        <v>0</v>
      </c>
      <c r="AA149" s="197">
        <f t="shared" si="21"/>
        <v>30</v>
      </c>
      <c r="AB149" s="197">
        <f t="shared" si="21"/>
        <v>0</v>
      </c>
      <c r="AC149" s="197">
        <f t="shared" si="21"/>
        <v>0</v>
      </c>
      <c r="AD149" s="197">
        <f t="shared" si="21"/>
        <v>1</v>
      </c>
      <c r="AE149" s="197">
        <f t="shared" si="21"/>
        <v>1</v>
      </c>
      <c r="AF149" s="197">
        <f t="shared" si="25"/>
        <v>0</v>
      </c>
      <c r="AG149" s="197">
        <f t="shared" si="25"/>
        <v>0</v>
      </c>
      <c r="AH149" s="197">
        <f t="shared" si="25"/>
        <v>0</v>
      </c>
      <c r="AI149" s="197">
        <f t="shared" si="25"/>
        <v>0</v>
      </c>
      <c r="AJ149" s="197">
        <f t="shared" si="25"/>
        <v>0</v>
      </c>
      <c r="AK149" s="197">
        <f t="shared" si="25"/>
        <v>0</v>
      </c>
      <c r="AL149" s="197">
        <f t="shared" si="25"/>
        <v>0</v>
      </c>
    </row>
    <row r="150" spans="1:38">
      <c r="A150" s="11" t="str">
        <f t="shared" si="24"/>
        <v>05-308963692012</v>
      </c>
      <c r="B150" t="s">
        <v>177</v>
      </c>
      <c r="C150" t="s">
        <v>178</v>
      </c>
      <c r="D150">
        <v>2012</v>
      </c>
      <c r="E150" t="s">
        <v>63</v>
      </c>
      <c r="F150">
        <v>920937.89</v>
      </c>
      <c r="G150">
        <v>1116</v>
      </c>
      <c r="H150" s="11" t="str">
        <f t="shared" si="23"/>
        <v>count</v>
      </c>
      <c r="I150" s="197" t="s">
        <v>632</v>
      </c>
      <c r="J150" s="197" t="s">
        <v>633</v>
      </c>
      <c r="K150" s="197" t="s">
        <v>146</v>
      </c>
      <c r="L150" s="197">
        <f t="shared" si="22"/>
        <v>2114030.0299999998</v>
      </c>
      <c r="M150" s="197">
        <f t="shared" si="22"/>
        <v>1127531.72</v>
      </c>
      <c r="N150" s="197">
        <f t="shared" si="22"/>
        <v>168715.62</v>
      </c>
      <c r="O150" s="197">
        <f t="shared" si="22"/>
        <v>0</v>
      </c>
      <c r="P150" s="197">
        <f t="shared" si="22"/>
        <v>1191460.6000000001</v>
      </c>
      <c r="Q150" s="197">
        <f t="shared" si="22"/>
        <v>0</v>
      </c>
      <c r="R150" s="197">
        <f t="shared" si="22"/>
        <v>1314.88</v>
      </c>
      <c r="S150" s="197">
        <f t="shared" si="22"/>
        <v>0</v>
      </c>
      <c r="T150" s="197">
        <f t="shared" si="22"/>
        <v>0</v>
      </c>
      <c r="U150" s="197">
        <f t="shared" si="22"/>
        <v>1790071.22</v>
      </c>
      <c r="V150" s="197">
        <f t="shared" si="21"/>
        <v>1009776.54</v>
      </c>
      <c r="W150" s="197">
        <f t="shared" si="21"/>
        <v>219878.87</v>
      </c>
      <c r="X150" s="197">
        <f t="shared" si="21"/>
        <v>0</v>
      </c>
      <c r="Y150" s="197">
        <f t="shared" si="21"/>
        <v>1114969.19</v>
      </c>
      <c r="Z150" s="197">
        <f t="shared" si="21"/>
        <v>0</v>
      </c>
      <c r="AA150" s="197">
        <f t="shared" si="21"/>
        <v>434618.14</v>
      </c>
      <c r="AB150" s="197">
        <f t="shared" si="21"/>
        <v>0</v>
      </c>
      <c r="AC150" s="197">
        <f t="shared" si="21"/>
        <v>0</v>
      </c>
      <c r="AD150" s="197">
        <f t="shared" si="21"/>
        <v>2090061.87</v>
      </c>
      <c r="AE150" s="197">
        <f t="shared" si="21"/>
        <v>1044955.94</v>
      </c>
      <c r="AF150" s="197">
        <f t="shared" si="25"/>
        <v>214752.59</v>
      </c>
      <c r="AG150" s="197">
        <f t="shared" si="25"/>
        <v>0</v>
      </c>
      <c r="AH150" s="197">
        <f t="shared" si="25"/>
        <v>1311031.07</v>
      </c>
      <c r="AI150" s="197">
        <f t="shared" si="25"/>
        <v>0</v>
      </c>
      <c r="AJ150" s="197">
        <f t="shared" si="25"/>
        <v>526148.5</v>
      </c>
      <c r="AK150" s="197">
        <f t="shared" si="25"/>
        <v>0</v>
      </c>
      <c r="AL150" s="197">
        <f t="shared" si="25"/>
        <v>0</v>
      </c>
    </row>
    <row r="151" spans="1:38">
      <c r="A151" s="11" t="str">
        <f t="shared" si="24"/>
        <v>05-308963692012</v>
      </c>
      <c r="B151" t="s">
        <v>177</v>
      </c>
      <c r="C151" t="s">
        <v>178</v>
      </c>
      <c r="D151">
        <v>2012</v>
      </c>
      <c r="E151" t="s">
        <v>104</v>
      </c>
      <c r="F151">
        <v>507618.85</v>
      </c>
      <c r="G151">
        <v>618</v>
      </c>
      <c r="H151" s="11" t="str">
        <f t="shared" si="23"/>
        <v>count</v>
      </c>
      <c r="I151" s="197" t="s">
        <v>632</v>
      </c>
      <c r="J151" s="197" t="s">
        <v>633</v>
      </c>
      <c r="K151" s="197" t="s">
        <v>145</v>
      </c>
      <c r="L151" s="197">
        <f t="shared" si="22"/>
        <v>3027</v>
      </c>
      <c r="M151" s="197">
        <f t="shared" si="22"/>
        <v>1350</v>
      </c>
      <c r="N151" s="197">
        <f t="shared" si="22"/>
        <v>243</v>
      </c>
      <c r="O151" s="197">
        <f t="shared" si="22"/>
        <v>0</v>
      </c>
      <c r="P151" s="197">
        <f t="shared" si="22"/>
        <v>1141</v>
      </c>
      <c r="Q151" s="197">
        <f t="shared" si="22"/>
        <v>0</v>
      </c>
      <c r="R151" s="197">
        <f t="shared" si="22"/>
        <v>4</v>
      </c>
      <c r="S151" s="197">
        <f t="shared" si="22"/>
        <v>0</v>
      </c>
      <c r="T151" s="197">
        <f t="shared" si="22"/>
        <v>0</v>
      </c>
      <c r="U151" s="197">
        <f t="shared" si="22"/>
        <v>2609</v>
      </c>
      <c r="V151" s="197">
        <f t="shared" si="21"/>
        <v>1305</v>
      </c>
      <c r="W151" s="197">
        <f t="shared" si="21"/>
        <v>314</v>
      </c>
      <c r="X151" s="197">
        <f t="shared" si="21"/>
        <v>0</v>
      </c>
      <c r="Y151" s="197">
        <f t="shared" si="21"/>
        <v>1111</v>
      </c>
      <c r="Z151" s="197">
        <f t="shared" si="21"/>
        <v>0</v>
      </c>
      <c r="AA151" s="197">
        <f t="shared" si="21"/>
        <v>929</v>
      </c>
      <c r="AB151" s="197">
        <f t="shared" si="21"/>
        <v>0</v>
      </c>
      <c r="AC151" s="197">
        <f t="shared" si="21"/>
        <v>0</v>
      </c>
      <c r="AD151" s="197">
        <f t="shared" si="21"/>
        <v>2692</v>
      </c>
      <c r="AE151" s="197">
        <f t="shared" si="21"/>
        <v>1227</v>
      </c>
      <c r="AF151" s="197">
        <f t="shared" si="25"/>
        <v>284</v>
      </c>
      <c r="AG151" s="197">
        <f t="shared" si="25"/>
        <v>0</v>
      </c>
      <c r="AH151" s="197">
        <f t="shared" si="25"/>
        <v>1248</v>
      </c>
      <c r="AI151" s="197">
        <f t="shared" si="25"/>
        <v>0</v>
      </c>
      <c r="AJ151" s="197">
        <f t="shared" si="25"/>
        <v>1021</v>
      </c>
      <c r="AK151" s="197">
        <f t="shared" si="25"/>
        <v>0</v>
      </c>
      <c r="AL151" s="197">
        <f t="shared" si="25"/>
        <v>0</v>
      </c>
    </row>
    <row r="152" spans="1:38">
      <c r="A152" s="11" t="str">
        <f t="shared" si="24"/>
        <v>05-308963692011</v>
      </c>
      <c r="B152" t="s">
        <v>177</v>
      </c>
      <c r="C152" t="s">
        <v>178</v>
      </c>
      <c r="D152">
        <v>2011</v>
      </c>
      <c r="E152" t="s">
        <v>106</v>
      </c>
      <c r="F152">
        <v>2507.8000000000002</v>
      </c>
      <c r="G152">
        <v>3</v>
      </c>
      <c r="H152" s="11" t="str">
        <f t="shared" si="23"/>
        <v>count</v>
      </c>
      <c r="I152" s="197" t="s">
        <v>634</v>
      </c>
      <c r="J152" s="197" t="s">
        <v>635</v>
      </c>
      <c r="K152" s="197" t="s">
        <v>146</v>
      </c>
      <c r="L152" s="197">
        <f t="shared" si="22"/>
        <v>3920976.49</v>
      </c>
      <c r="M152" s="197">
        <f t="shared" si="22"/>
        <v>1116049.8600000001</v>
      </c>
      <c r="N152" s="197">
        <f t="shared" si="22"/>
        <v>286484.31</v>
      </c>
      <c r="O152" s="197">
        <f t="shared" si="22"/>
        <v>0</v>
      </c>
      <c r="P152" s="197">
        <f t="shared" si="22"/>
        <v>643454.56999999995</v>
      </c>
      <c r="Q152" s="197">
        <f t="shared" si="22"/>
        <v>0</v>
      </c>
      <c r="R152" s="197">
        <f t="shared" si="22"/>
        <v>5775.91</v>
      </c>
      <c r="S152" s="197">
        <f t="shared" si="22"/>
        <v>0</v>
      </c>
      <c r="T152" s="197">
        <f t="shared" si="22"/>
        <v>0</v>
      </c>
      <c r="U152" s="197">
        <f t="shared" si="22"/>
        <v>4371570.0999999996</v>
      </c>
      <c r="V152" s="197">
        <f t="shared" si="21"/>
        <v>1085610.1299999999</v>
      </c>
      <c r="W152" s="197">
        <f t="shared" si="21"/>
        <v>288188.13</v>
      </c>
      <c r="X152" s="197">
        <f t="shared" si="21"/>
        <v>0</v>
      </c>
      <c r="Y152" s="197">
        <f t="shared" si="21"/>
        <v>786916.75</v>
      </c>
      <c r="Z152" s="197">
        <f t="shared" si="21"/>
        <v>0</v>
      </c>
      <c r="AA152" s="197">
        <f t="shared" si="21"/>
        <v>889922.96</v>
      </c>
      <c r="AB152" s="197">
        <f t="shared" si="21"/>
        <v>0</v>
      </c>
      <c r="AC152" s="197">
        <f t="shared" si="21"/>
        <v>0</v>
      </c>
      <c r="AD152" s="197">
        <f t="shared" si="21"/>
        <v>1081819.07</v>
      </c>
      <c r="AE152" s="197">
        <f t="shared" si="21"/>
        <v>322745.88</v>
      </c>
      <c r="AF152" s="197">
        <f t="shared" si="25"/>
        <v>91569.42</v>
      </c>
      <c r="AG152" s="197">
        <f t="shared" si="25"/>
        <v>0</v>
      </c>
      <c r="AH152" s="197">
        <f t="shared" si="25"/>
        <v>236038.82</v>
      </c>
      <c r="AI152" s="197">
        <f t="shared" si="25"/>
        <v>0</v>
      </c>
      <c r="AJ152" s="197">
        <f t="shared" si="25"/>
        <v>309307.08</v>
      </c>
      <c r="AK152" s="197">
        <f t="shared" si="25"/>
        <v>0</v>
      </c>
      <c r="AL152" s="197">
        <f t="shared" si="25"/>
        <v>0</v>
      </c>
    </row>
    <row r="153" spans="1:38">
      <c r="A153" s="11" t="str">
        <f t="shared" si="24"/>
        <v>05-308963692011</v>
      </c>
      <c r="B153" t="s">
        <v>177</v>
      </c>
      <c r="C153" t="s">
        <v>178</v>
      </c>
      <c r="D153">
        <v>2011</v>
      </c>
      <c r="E153" t="s">
        <v>104</v>
      </c>
      <c r="F153">
        <v>320730.40000000002</v>
      </c>
      <c r="G153">
        <v>421</v>
      </c>
      <c r="H153" s="11" t="str">
        <f t="shared" si="23"/>
        <v>count</v>
      </c>
      <c r="I153" s="197" t="s">
        <v>634</v>
      </c>
      <c r="J153" s="197" t="s">
        <v>635</v>
      </c>
      <c r="K153" s="197" t="s">
        <v>145</v>
      </c>
      <c r="L153" s="197">
        <f t="shared" si="22"/>
        <v>4318</v>
      </c>
      <c r="M153" s="197">
        <f t="shared" si="22"/>
        <v>1692</v>
      </c>
      <c r="N153" s="197">
        <f t="shared" si="22"/>
        <v>417</v>
      </c>
      <c r="O153" s="197">
        <f t="shared" si="22"/>
        <v>0</v>
      </c>
      <c r="P153" s="197">
        <f t="shared" si="22"/>
        <v>771</v>
      </c>
      <c r="Q153" s="197">
        <f t="shared" si="22"/>
        <v>0</v>
      </c>
      <c r="R153" s="197">
        <f t="shared" si="22"/>
        <v>7</v>
      </c>
      <c r="S153" s="197">
        <f t="shared" si="22"/>
        <v>0</v>
      </c>
      <c r="T153" s="197">
        <f t="shared" si="22"/>
        <v>0</v>
      </c>
      <c r="U153" s="197">
        <f t="shared" si="22"/>
        <v>4094</v>
      </c>
      <c r="V153" s="197">
        <f t="shared" si="21"/>
        <v>1627</v>
      </c>
      <c r="W153" s="197">
        <f t="shared" si="21"/>
        <v>419</v>
      </c>
      <c r="X153" s="197">
        <f t="shared" si="21"/>
        <v>0</v>
      </c>
      <c r="Y153" s="197">
        <f t="shared" si="21"/>
        <v>904</v>
      </c>
      <c r="Z153" s="197">
        <f t="shared" si="21"/>
        <v>0</v>
      </c>
      <c r="AA153" s="197">
        <f t="shared" ref="V153:AE178" si="26">SUMIFS(IF($K153="volume",$F:$F,$G:$G),$D:$D,AA$2,$B:$B,$I153,$E:$E,AA$3)</f>
        <v>1644</v>
      </c>
      <c r="AB153" s="197">
        <f t="shared" si="26"/>
        <v>0</v>
      </c>
      <c r="AC153" s="197">
        <f t="shared" si="26"/>
        <v>0</v>
      </c>
      <c r="AD153" s="197">
        <f t="shared" si="26"/>
        <v>1026</v>
      </c>
      <c r="AE153" s="197">
        <f t="shared" si="26"/>
        <v>437</v>
      </c>
      <c r="AF153" s="197">
        <f t="shared" si="25"/>
        <v>121</v>
      </c>
      <c r="AG153" s="197">
        <f t="shared" si="25"/>
        <v>0</v>
      </c>
      <c r="AH153" s="197">
        <f t="shared" si="25"/>
        <v>239</v>
      </c>
      <c r="AI153" s="197">
        <f t="shared" si="25"/>
        <v>0</v>
      </c>
      <c r="AJ153" s="197">
        <f t="shared" si="25"/>
        <v>569</v>
      </c>
      <c r="AK153" s="197">
        <f t="shared" si="25"/>
        <v>0</v>
      </c>
      <c r="AL153" s="197">
        <f t="shared" si="25"/>
        <v>0</v>
      </c>
    </row>
    <row r="154" spans="1:38">
      <c r="A154" s="11" t="str">
        <f t="shared" si="24"/>
        <v>05-308963692011</v>
      </c>
      <c r="B154" t="s">
        <v>177</v>
      </c>
      <c r="C154" t="s">
        <v>178</v>
      </c>
      <c r="D154">
        <v>2011</v>
      </c>
      <c r="E154" t="s">
        <v>63</v>
      </c>
      <c r="F154">
        <v>779846.38</v>
      </c>
      <c r="G154">
        <v>1071</v>
      </c>
      <c r="H154" s="11" t="str">
        <f t="shared" si="23"/>
        <v>count</v>
      </c>
      <c r="I154" s="197" t="s">
        <v>636</v>
      </c>
      <c r="J154" s="197" t="s">
        <v>637</v>
      </c>
      <c r="K154" s="197" t="s">
        <v>146</v>
      </c>
      <c r="L154" s="197">
        <f t="shared" si="22"/>
        <v>496708.96</v>
      </c>
      <c r="M154" s="197">
        <f t="shared" si="22"/>
        <v>242064.44</v>
      </c>
      <c r="N154" s="197">
        <f t="shared" si="22"/>
        <v>22231.13</v>
      </c>
      <c r="O154" s="197">
        <f t="shared" si="22"/>
        <v>0</v>
      </c>
      <c r="P154" s="197">
        <f t="shared" si="22"/>
        <v>115743.16</v>
      </c>
      <c r="Q154" s="197">
        <f t="shared" ref="L154:U179" si="27">SUMIFS(IF($K154="volume",$F:$F,$G:$G),$D:$D,Q$2,$B:$B,$I154,$E:$E,Q$3)</f>
        <v>0</v>
      </c>
      <c r="R154" s="197">
        <f t="shared" si="27"/>
        <v>3650</v>
      </c>
      <c r="S154" s="197">
        <f t="shared" si="27"/>
        <v>0</v>
      </c>
      <c r="T154" s="197">
        <f t="shared" si="27"/>
        <v>0</v>
      </c>
      <c r="U154" s="197">
        <f t="shared" si="27"/>
        <v>326664.55</v>
      </c>
      <c r="V154" s="197">
        <f t="shared" si="26"/>
        <v>161958.6</v>
      </c>
      <c r="W154" s="197">
        <f t="shared" si="26"/>
        <v>31614.61</v>
      </c>
      <c r="X154" s="197">
        <f t="shared" si="26"/>
        <v>0</v>
      </c>
      <c r="Y154" s="197">
        <f t="shared" si="26"/>
        <v>117781.49</v>
      </c>
      <c r="Z154" s="197">
        <f t="shared" si="26"/>
        <v>0</v>
      </c>
      <c r="AA154" s="197">
        <f t="shared" si="26"/>
        <v>76038.19</v>
      </c>
      <c r="AB154" s="197">
        <f t="shared" si="26"/>
        <v>0</v>
      </c>
      <c r="AC154" s="197">
        <f t="shared" si="26"/>
        <v>0</v>
      </c>
      <c r="AD154" s="197">
        <f t="shared" si="26"/>
        <v>242168.04</v>
      </c>
      <c r="AE154" s="197">
        <f t="shared" si="26"/>
        <v>100416.9</v>
      </c>
      <c r="AF154" s="197">
        <f t="shared" si="25"/>
        <v>25114.959999999999</v>
      </c>
      <c r="AG154" s="197">
        <f t="shared" si="25"/>
        <v>0</v>
      </c>
      <c r="AH154" s="197">
        <f t="shared" si="25"/>
        <v>84147.93</v>
      </c>
      <c r="AI154" s="197">
        <f t="shared" si="25"/>
        <v>0</v>
      </c>
      <c r="AJ154" s="197">
        <f t="shared" si="25"/>
        <v>92369.66</v>
      </c>
      <c r="AK154" s="197">
        <f t="shared" si="25"/>
        <v>0</v>
      </c>
      <c r="AL154" s="197">
        <f t="shared" si="25"/>
        <v>0</v>
      </c>
    </row>
    <row r="155" spans="1:38">
      <c r="A155" s="11" t="str">
        <f t="shared" si="24"/>
        <v>05-308963692012</v>
      </c>
      <c r="B155" t="s">
        <v>177</v>
      </c>
      <c r="C155" t="s">
        <v>178</v>
      </c>
      <c r="D155">
        <v>2012</v>
      </c>
      <c r="E155" t="s">
        <v>106</v>
      </c>
      <c r="F155">
        <v>2355.65</v>
      </c>
      <c r="G155">
        <v>4</v>
      </c>
      <c r="H155" s="11" t="str">
        <f t="shared" si="23"/>
        <v>count</v>
      </c>
      <c r="I155" s="197" t="s">
        <v>636</v>
      </c>
      <c r="J155" s="197" t="s">
        <v>637</v>
      </c>
      <c r="K155" s="197" t="s">
        <v>145</v>
      </c>
      <c r="L155" s="197">
        <f t="shared" si="27"/>
        <v>779</v>
      </c>
      <c r="M155" s="197">
        <f t="shared" si="27"/>
        <v>331</v>
      </c>
      <c r="N155" s="197">
        <f t="shared" si="27"/>
        <v>45</v>
      </c>
      <c r="O155" s="197">
        <f t="shared" si="27"/>
        <v>0</v>
      </c>
      <c r="P155" s="197">
        <f t="shared" si="27"/>
        <v>151</v>
      </c>
      <c r="Q155" s="197">
        <f t="shared" si="27"/>
        <v>0</v>
      </c>
      <c r="R155" s="197">
        <f t="shared" si="27"/>
        <v>2</v>
      </c>
      <c r="S155" s="197">
        <f t="shared" si="27"/>
        <v>0</v>
      </c>
      <c r="T155" s="197">
        <f t="shared" si="27"/>
        <v>0</v>
      </c>
      <c r="U155" s="197">
        <f t="shared" si="27"/>
        <v>523</v>
      </c>
      <c r="V155" s="197">
        <f t="shared" si="26"/>
        <v>286</v>
      </c>
      <c r="W155" s="197">
        <f t="shared" si="26"/>
        <v>53</v>
      </c>
      <c r="X155" s="197">
        <f t="shared" si="26"/>
        <v>0</v>
      </c>
      <c r="Y155" s="197">
        <f t="shared" si="26"/>
        <v>162</v>
      </c>
      <c r="Z155" s="197">
        <f t="shared" si="26"/>
        <v>0</v>
      </c>
      <c r="AA155" s="197">
        <f t="shared" si="26"/>
        <v>173</v>
      </c>
      <c r="AB155" s="197">
        <f t="shared" si="26"/>
        <v>0</v>
      </c>
      <c r="AC155" s="197">
        <f t="shared" si="26"/>
        <v>0</v>
      </c>
      <c r="AD155" s="197">
        <f t="shared" si="26"/>
        <v>418</v>
      </c>
      <c r="AE155" s="197">
        <f t="shared" si="26"/>
        <v>183</v>
      </c>
      <c r="AF155" s="197">
        <f t="shared" si="25"/>
        <v>42</v>
      </c>
      <c r="AG155" s="197">
        <f t="shared" si="25"/>
        <v>0</v>
      </c>
      <c r="AH155" s="197">
        <f t="shared" si="25"/>
        <v>115</v>
      </c>
      <c r="AI155" s="197">
        <f t="shared" si="25"/>
        <v>0</v>
      </c>
      <c r="AJ155" s="197">
        <f t="shared" si="25"/>
        <v>198</v>
      </c>
      <c r="AK155" s="197">
        <f t="shared" si="25"/>
        <v>0</v>
      </c>
      <c r="AL155" s="197">
        <f t="shared" si="25"/>
        <v>0</v>
      </c>
    </row>
    <row r="156" spans="1:38">
      <c r="A156" s="11" t="str">
        <f t="shared" si="24"/>
        <v>05-308963692013</v>
      </c>
      <c r="B156" t="s">
        <v>177</v>
      </c>
      <c r="C156" t="s">
        <v>178</v>
      </c>
      <c r="D156">
        <v>2013</v>
      </c>
      <c r="E156" t="s">
        <v>133</v>
      </c>
      <c r="F156">
        <v>238052.27</v>
      </c>
      <c r="G156">
        <v>243</v>
      </c>
      <c r="H156" s="11" t="str">
        <f t="shared" si="23"/>
        <v>count</v>
      </c>
      <c r="I156" s="197" t="s">
        <v>638</v>
      </c>
      <c r="J156" s="197" t="s">
        <v>639</v>
      </c>
      <c r="K156" s="197" t="s">
        <v>146</v>
      </c>
      <c r="L156" s="197">
        <f t="shared" si="27"/>
        <v>370532.54</v>
      </c>
      <c r="M156" s="197">
        <f t="shared" si="27"/>
        <v>403901.55</v>
      </c>
      <c r="N156" s="197">
        <f t="shared" si="27"/>
        <v>37408.93</v>
      </c>
      <c r="O156" s="197">
        <f t="shared" si="27"/>
        <v>0</v>
      </c>
      <c r="P156" s="197">
        <f t="shared" si="27"/>
        <v>113846.98</v>
      </c>
      <c r="Q156" s="197">
        <f t="shared" si="27"/>
        <v>0</v>
      </c>
      <c r="R156" s="197">
        <f t="shared" si="27"/>
        <v>185</v>
      </c>
      <c r="S156" s="197">
        <f t="shared" si="27"/>
        <v>0</v>
      </c>
      <c r="T156" s="197">
        <f t="shared" si="27"/>
        <v>0</v>
      </c>
      <c r="U156" s="197">
        <f t="shared" si="27"/>
        <v>252801.56</v>
      </c>
      <c r="V156" s="197">
        <f t="shared" si="26"/>
        <v>339686.23</v>
      </c>
      <c r="W156" s="197">
        <f t="shared" si="26"/>
        <v>31220.63</v>
      </c>
      <c r="X156" s="197">
        <f t="shared" si="26"/>
        <v>0</v>
      </c>
      <c r="Y156" s="197">
        <f t="shared" si="26"/>
        <v>138931.82999999999</v>
      </c>
      <c r="Z156" s="197">
        <f t="shared" si="26"/>
        <v>0</v>
      </c>
      <c r="AA156" s="197">
        <f t="shared" si="26"/>
        <v>103400.66</v>
      </c>
      <c r="AB156" s="197">
        <f t="shared" si="26"/>
        <v>0</v>
      </c>
      <c r="AC156" s="197">
        <f t="shared" si="26"/>
        <v>0</v>
      </c>
      <c r="AD156" s="197">
        <f t="shared" si="26"/>
        <v>230427.86</v>
      </c>
      <c r="AE156" s="197">
        <f t="shared" si="26"/>
        <v>299885.43</v>
      </c>
      <c r="AF156" s="197">
        <f t="shared" si="25"/>
        <v>32447.06</v>
      </c>
      <c r="AG156" s="197">
        <f t="shared" si="25"/>
        <v>0</v>
      </c>
      <c r="AH156" s="197">
        <f t="shared" si="25"/>
        <v>125716.31</v>
      </c>
      <c r="AI156" s="197">
        <f t="shared" si="25"/>
        <v>0</v>
      </c>
      <c r="AJ156" s="197">
        <f t="shared" si="25"/>
        <v>101855.25</v>
      </c>
      <c r="AK156" s="197">
        <f t="shared" si="25"/>
        <v>0</v>
      </c>
      <c r="AL156" s="197">
        <f t="shared" si="25"/>
        <v>0</v>
      </c>
    </row>
    <row r="157" spans="1:38">
      <c r="A157" s="11" t="str">
        <f t="shared" si="24"/>
        <v>05-308963692012</v>
      </c>
      <c r="B157" t="s">
        <v>177</v>
      </c>
      <c r="C157" t="s">
        <v>178</v>
      </c>
      <c r="D157">
        <v>2012</v>
      </c>
      <c r="E157" t="s">
        <v>105</v>
      </c>
      <c r="F157">
        <v>109533.4</v>
      </c>
      <c r="G157">
        <v>129</v>
      </c>
      <c r="H157" s="11" t="str">
        <f t="shared" si="23"/>
        <v>count</v>
      </c>
      <c r="I157" s="197" t="s">
        <v>638</v>
      </c>
      <c r="J157" s="197" t="s">
        <v>639</v>
      </c>
      <c r="K157" s="197" t="s">
        <v>145</v>
      </c>
      <c r="L157" s="197">
        <f t="shared" si="27"/>
        <v>1047</v>
      </c>
      <c r="M157" s="197">
        <f t="shared" si="27"/>
        <v>1138</v>
      </c>
      <c r="N157" s="197">
        <f t="shared" si="27"/>
        <v>111</v>
      </c>
      <c r="O157" s="197">
        <f t="shared" si="27"/>
        <v>0</v>
      </c>
      <c r="P157" s="197">
        <f t="shared" si="27"/>
        <v>239</v>
      </c>
      <c r="Q157" s="197">
        <f t="shared" si="27"/>
        <v>0</v>
      </c>
      <c r="R157" s="197">
        <f t="shared" si="27"/>
        <v>2</v>
      </c>
      <c r="S157" s="197">
        <f t="shared" si="27"/>
        <v>0</v>
      </c>
      <c r="T157" s="197">
        <f t="shared" si="27"/>
        <v>0</v>
      </c>
      <c r="U157" s="197">
        <f t="shared" si="27"/>
        <v>587</v>
      </c>
      <c r="V157" s="197">
        <f t="shared" si="26"/>
        <v>935</v>
      </c>
      <c r="W157" s="197">
        <f t="shared" si="26"/>
        <v>85</v>
      </c>
      <c r="X157" s="197">
        <f t="shared" si="26"/>
        <v>0</v>
      </c>
      <c r="Y157" s="197">
        <f t="shared" si="26"/>
        <v>265</v>
      </c>
      <c r="Z157" s="197">
        <f t="shared" si="26"/>
        <v>0</v>
      </c>
      <c r="AA157" s="197">
        <f t="shared" si="26"/>
        <v>319</v>
      </c>
      <c r="AB157" s="197">
        <f t="shared" si="26"/>
        <v>0</v>
      </c>
      <c r="AC157" s="197">
        <f t="shared" si="26"/>
        <v>0</v>
      </c>
      <c r="AD157" s="197">
        <f t="shared" si="26"/>
        <v>552</v>
      </c>
      <c r="AE157" s="197">
        <f t="shared" si="26"/>
        <v>794</v>
      </c>
      <c r="AF157" s="197">
        <f t="shared" si="25"/>
        <v>64</v>
      </c>
      <c r="AG157" s="197">
        <f t="shared" si="25"/>
        <v>0</v>
      </c>
      <c r="AH157" s="197">
        <f t="shared" si="25"/>
        <v>237</v>
      </c>
      <c r="AI157" s="197">
        <f t="shared" si="25"/>
        <v>0</v>
      </c>
      <c r="AJ157" s="197">
        <f t="shared" si="25"/>
        <v>302</v>
      </c>
      <c r="AK157" s="197">
        <f t="shared" si="25"/>
        <v>0</v>
      </c>
      <c r="AL157" s="197">
        <f t="shared" si="25"/>
        <v>0</v>
      </c>
    </row>
    <row r="158" spans="1:38">
      <c r="A158" s="11" t="str">
        <f t="shared" si="24"/>
        <v>05-308963692013</v>
      </c>
      <c r="B158" t="s">
        <v>177</v>
      </c>
      <c r="C158" t="s">
        <v>178</v>
      </c>
      <c r="D158">
        <v>2013</v>
      </c>
      <c r="E158" t="s">
        <v>69</v>
      </c>
      <c r="F158">
        <v>509323.53</v>
      </c>
      <c r="G158">
        <v>764</v>
      </c>
      <c r="H158" s="11" t="str">
        <f t="shared" si="23"/>
        <v>count</v>
      </c>
      <c r="I158" s="197" t="s">
        <v>640</v>
      </c>
      <c r="J158" s="197" t="s">
        <v>641</v>
      </c>
      <c r="K158" s="197" t="s">
        <v>146</v>
      </c>
      <c r="L158" s="197">
        <f t="shared" si="27"/>
        <v>178765.79</v>
      </c>
      <c r="M158" s="197">
        <f t="shared" si="27"/>
        <v>89618.75</v>
      </c>
      <c r="N158" s="197">
        <f t="shared" si="27"/>
        <v>0</v>
      </c>
      <c r="O158" s="197">
        <f t="shared" si="27"/>
        <v>7708</v>
      </c>
      <c r="P158" s="197">
        <f t="shared" si="27"/>
        <v>0</v>
      </c>
      <c r="Q158" s="197">
        <f t="shared" si="27"/>
        <v>0</v>
      </c>
      <c r="R158" s="197">
        <f t="shared" si="27"/>
        <v>0</v>
      </c>
      <c r="S158" s="197">
        <f t="shared" si="27"/>
        <v>0</v>
      </c>
      <c r="T158" s="197">
        <f t="shared" si="27"/>
        <v>0</v>
      </c>
      <c r="U158" s="197">
        <f t="shared" si="27"/>
        <v>111960</v>
      </c>
      <c r="V158" s="197">
        <f t="shared" si="26"/>
        <v>42092.480000000003</v>
      </c>
      <c r="W158" s="197">
        <f t="shared" si="26"/>
        <v>0</v>
      </c>
      <c r="X158" s="197">
        <f t="shared" si="26"/>
        <v>1270</v>
      </c>
      <c r="Y158" s="197">
        <f t="shared" si="26"/>
        <v>0</v>
      </c>
      <c r="Z158" s="197">
        <f t="shared" si="26"/>
        <v>0</v>
      </c>
      <c r="AA158" s="197">
        <f t="shared" si="26"/>
        <v>30430.36</v>
      </c>
      <c r="AB158" s="197">
        <f t="shared" si="26"/>
        <v>0</v>
      </c>
      <c r="AC158" s="197">
        <f t="shared" si="26"/>
        <v>0</v>
      </c>
      <c r="AD158" s="197">
        <f t="shared" si="26"/>
        <v>137317.44</v>
      </c>
      <c r="AE158" s="197">
        <f t="shared" si="26"/>
        <v>39418.050000000003</v>
      </c>
      <c r="AF158" s="197">
        <f t="shared" si="25"/>
        <v>0</v>
      </c>
      <c r="AG158" s="197">
        <f t="shared" si="25"/>
        <v>0</v>
      </c>
      <c r="AH158" s="197">
        <f t="shared" si="25"/>
        <v>0</v>
      </c>
      <c r="AI158" s="197">
        <f t="shared" si="25"/>
        <v>0</v>
      </c>
      <c r="AJ158" s="197">
        <f t="shared" si="25"/>
        <v>25604.31</v>
      </c>
      <c r="AK158" s="197">
        <f t="shared" si="25"/>
        <v>0</v>
      </c>
      <c r="AL158" s="197">
        <f t="shared" si="25"/>
        <v>0</v>
      </c>
    </row>
    <row r="159" spans="1:38">
      <c r="A159" s="11" t="str">
        <f t="shared" si="24"/>
        <v>05-310067502012</v>
      </c>
      <c r="B159" t="s">
        <v>186</v>
      </c>
      <c r="C159" t="s">
        <v>187</v>
      </c>
      <c r="D159">
        <v>2012</v>
      </c>
      <c r="E159" t="s">
        <v>104</v>
      </c>
      <c r="F159">
        <v>119237.4</v>
      </c>
      <c r="G159">
        <v>247</v>
      </c>
      <c r="H159" s="11" t="str">
        <f t="shared" si="23"/>
        <v>volume</v>
      </c>
      <c r="I159" s="197" t="s">
        <v>640</v>
      </c>
      <c r="J159" s="197" t="s">
        <v>641</v>
      </c>
      <c r="K159" s="197" t="s">
        <v>145</v>
      </c>
      <c r="L159" s="197">
        <f t="shared" si="27"/>
        <v>156</v>
      </c>
      <c r="M159" s="197">
        <f t="shared" si="27"/>
        <v>68</v>
      </c>
      <c r="N159" s="197">
        <f t="shared" si="27"/>
        <v>0</v>
      </c>
      <c r="O159" s="197">
        <f t="shared" si="27"/>
        <v>3</v>
      </c>
      <c r="P159" s="197">
        <f t="shared" si="27"/>
        <v>0</v>
      </c>
      <c r="Q159" s="197">
        <f t="shared" si="27"/>
        <v>0</v>
      </c>
      <c r="R159" s="197">
        <f t="shared" si="27"/>
        <v>0</v>
      </c>
      <c r="S159" s="197">
        <f t="shared" si="27"/>
        <v>0</v>
      </c>
      <c r="T159" s="197">
        <f t="shared" si="27"/>
        <v>0</v>
      </c>
      <c r="U159" s="197">
        <f t="shared" si="27"/>
        <v>107</v>
      </c>
      <c r="V159" s="197">
        <f t="shared" si="26"/>
        <v>45</v>
      </c>
      <c r="W159" s="197">
        <f t="shared" si="26"/>
        <v>0</v>
      </c>
      <c r="X159" s="197">
        <f t="shared" si="26"/>
        <v>1</v>
      </c>
      <c r="Y159" s="197">
        <f t="shared" si="26"/>
        <v>0</v>
      </c>
      <c r="Z159" s="197">
        <f t="shared" si="26"/>
        <v>0</v>
      </c>
      <c r="AA159" s="197">
        <f t="shared" si="26"/>
        <v>29</v>
      </c>
      <c r="AB159" s="197">
        <f t="shared" si="26"/>
        <v>0</v>
      </c>
      <c r="AC159" s="197">
        <f t="shared" si="26"/>
        <v>0</v>
      </c>
      <c r="AD159" s="197">
        <f t="shared" si="26"/>
        <v>139</v>
      </c>
      <c r="AE159" s="197">
        <f t="shared" si="26"/>
        <v>45</v>
      </c>
      <c r="AF159" s="197">
        <f t="shared" si="25"/>
        <v>0</v>
      </c>
      <c r="AG159" s="197">
        <f t="shared" si="25"/>
        <v>0</v>
      </c>
      <c r="AH159" s="197">
        <f t="shared" si="25"/>
        <v>0</v>
      </c>
      <c r="AI159" s="197">
        <f t="shared" si="25"/>
        <v>0</v>
      </c>
      <c r="AJ159" s="197">
        <f t="shared" si="25"/>
        <v>39</v>
      </c>
      <c r="AK159" s="197">
        <f t="shared" si="25"/>
        <v>0</v>
      </c>
      <c r="AL159" s="197">
        <f t="shared" si="25"/>
        <v>0</v>
      </c>
    </row>
    <row r="160" spans="1:38">
      <c r="A160" s="11" t="str">
        <f t="shared" si="24"/>
        <v>05-310067502012</v>
      </c>
      <c r="B160" t="s">
        <v>186</v>
      </c>
      <c r="C160" t="s">
        <v>187</v>
      </c>
      <c r="D160">
        <v>2012</v>
      </c>
      <c r="E160" t="s">
        <v>164</v>
      </c>
      <c r="F160">
        <v>6368.58</v>
      </c>
      <c r="G160">
        <v>13</v>
      </c>
      <c r="H160" s="11" t="str">
        <f t="shared" si="23"/>
        <v>count</v>
      </c>
      <c r="I160" s="197" t="s">
        <v>643</v>
      </c>
      <c r="J160" s="197" t="s">
        <v>644</v>
      </c>
      <c r="K160" s="197" t="s">
        <v>146</v>
      </c>
      <c r="L160" s="197">
        <f t="shared" si="27"/>
        <v>1634916.51</v>
      </c>
      <c r="M160" s="197">
        <f t="shared" si="27"/>
        <v>793644.89</v>
      </c>
      <c r="N160" s="197">
        <f t="shared" si="27"/>
        <v>0</v>
      </c>
      <c r="O160" s="197">
        <f t="shared" si="27"/>
        <v>0</v>
      </c>
      <c r="P160" s="197">
        <f t="shared" si="27"/>
        <v>473996.11</v>
      </c>
      <c r="Q160" s="197">
        <f t="shared" si="27"/>
        <v>0</v>
      </c>
      <c r="R160" s="197">
        <f t="shared" si="27"/>
        <v>0</v>
      </c>
      <c r="S160" s="197">
        <f t="shared" si="27"/>
        <v>0</v>
      </c>
      <c r="T160" s="197">
        <f t="shared" si="27"/>
        <v>0</v>
      </c>
      <c r="U160" s="197">
        <f t="shared" si="27"/>
        <v>0</v>
      </c>
      <c r="V160" s="197">
        <f t="shared" si="26"/>
        <v>0</v>
      </c>
      <c r="W160" s="197">
        <f t="shared" si="26"/>
        <v>0</v>
      </c>
      <c r="X160" s="197">
        <f t="shared" si="26"/>
        <v>0</v>
      </c>
      <c r="Y160" s="197">
        <f t="shared" si="26"/>
        <v>0</v>
      </c>
      <c r="Z160" s="197">
        <f t="shared" si="26"/>
        <v>0</v>
      </c>
      <c r="AA160" s="197">
        <f t="shared" si="26"/>
        <v>124.27</v>
      </c>
      <c r="AB160" s="197">
        <f t="shared" si="26"/>
        <v>0</v>
      </c>
      <c r="AC160" s="197">
        <f t="shared" si="26"/>
        <v>0</v>
      </c>
      <c r="AD160" s="197">
        <f t="shared" si="26"/>
        <v>0</v>
      </c>
      <c r="AE160" s="197">
        <f t="shared" si="26"/>
        <v>0</v>
      </c>
      <c r="AF160" s="197">
        <f t="shared" si="25"/>
        <v>0</v>
      </c>
      <c r="AG160" s="197">
        <f t="shared" si="25"/>
        <v>0</v>
      </c>
      <c r="AH160" s="197">
        <f t="shared" si="25"/>
        <v>0</v>
      </c>
      <c r="AI160" s="197">
        <f t="shared" si="25"/>
        <v>0</v>
      </c>
      <c r="AJ160" s="197">
        <f t="shared" si="25"/>
        <v>0</v>
      </c>
      <c r="AK160" s="197">
        <f t="shared" si="25"/>
        <v>0</v>
      </c>
      <c r="AL160" s="197">
        <f t="shared" si="25"/>
        <v>0</v>
      </c>
    </row>
    <row r="161" spans="1:38">
      <c r="A161" s="11" t="str">
        <f t="shared" si="24"/>
        <v>05-310067502012</v>
      </c>
      <c r="B161" t="s">
        <v>186</v>
      </c>
      <c r="C161" t="s">
        <v>187</v>
      </c>
      <c r="D161">
        <v>2012</v>
      </c>
      <c r="E161" t="s">
        <v>69</v>
      </c>
      <c r="F161">
        <v>141812.24</v>
      </c>
      <c r="G161">
        <v>339</v>
      </c>
      <c r="H161" s="11" t="str">
        <f t="shared" si="23"/>
        <v>count</v>
      </c>
      <c r="I161" s="197" t="s">
        <v>643</v>
      </c>
      <c r="J161" s="197" t="s">
        <v>644</v>
      </c>
      <c r="K161" s="197" t="s">
        <v>145</v>
      </c>
      <c r="L161" s="197">
        <f t="shared" si="27"/>
        <v>1499</v>
      </c>
      <c r="M161" s="197">
        <f t="shared" si="27"/>
        <v>701</v>
      </c>
      <c r="N161" s="197">
        <f t="shared" si="27"/>
        <v>0</v>
      </c>
      <c r="O161" s="197">
        <f t="shared" si="27"/>
        <v>0</v>
      </c>
      <c r="P161" s="197">
        <f t="shared" si="27"/>
        <v>353</v>
      </c>
      <c r="Q161" s="197">
        <f t="shared" si="27"/>
        <v>0</v>
      </c>
      <c r="R161" s="197">
        <f t="shared" si="27"/>
        <v>0</v>
      </c>
      <c r="S161" s="197">
        <f t="shared" si="27"/>
        <v>0</v>
      </c>
      <c r="T161" s="197">
        <f t="shared" si="27"/>
        <v>0</v>
      </c>
      <c r="U161" s="197">
        <f t="shared" si="27"/>
        <v>0</v>
      </c>
      <c r="V161" s="197">
        <f t="shared" si="26"/>
        <v>0</v>
      </c>
      <c r="W161" s="197">
        <f t="shared" si="26"/>
        <v>0</v>
      </c>
      <c r="X161" s="197">
        <f t="shared" si="26"/>
        <v>0</v>
      </c>
      <c r="Y161" s="197">
        <f t="shared" si="26"/>
        <v>0</v>
      </c>
      <c r="Z161" s="197">
        <f t="shared" si="26"/>
        <v>0</v>
      </c>
      <c r="AA161" s="197">
        <f t="shared" si="26"/>
        <v>1</v>
      </c>
      <c r="AB161" s="197">
        <f t="shared" si="26"/>
        <v>0</v>
      </c>
      <c r="AC161" s="197">
        <f t="shared" si="26"/>
        <v>0</v>
      </c>
      <c r="AD161" s="197">
        <f t="shared" si="26"/>
        <v>0</v>
      </c>
      <c r="AE161" s="197">
        <f t="shared" si="26"/>
        <v>0</v>
      </c>
      <c r="AF161" s="197">
        <f t="shared" si="25"/>
        <v>0</v>
      </c>
      <c r="AG161" s="197">
        <f t="shared" si="25"/>
        <v>0</v>
      </c>
      <c r="AH161" s="197">
        <f t="shared" si="25"/>
        <v>0</v>
      </c>
      <c r="AI161" s="197">
        <f t="shared" si="25"/>
        <v>0</v>
      </c>
      <c r="AJ161" s="197">
        <f t="shared" si="25"/>
        <v>0</v>
      </c>
      <c r="AK161" s="197">
        <f t="shared" si="25"/>
        <v>0</v>
      </c>
      <c r="AL161" s="197">
        <f t="shared" si="25"/>
        <v>0</v>
      </c>
    </row>
    <row r="162" spans="1:38">
      <c r="A162" s="11" t="str">
        <f t="shared" si="24"/>
        <v>05-310067502013</v>
      </c>
      <c r="B162" t="s">
        <v>186</v>
      </c>
      <c r="C162" t="s">
        <v>187</v>
      </c>
      <c r="D162">
        <v>2013</v>
      </c>
      <c r="E162" t="s">
        <v>63</v>
      </c>
      <c r="F162">
        <v>255399.28</v>
      </c>
      <c r="G162">
        <v>572</v>
      </c>
      <c r="H162" s="11" t="str">
        <f t="shared" si="23"/>
        <v>count</v>
      </c>
      <c r="I162" s="197" t="s">
        <v>645</v>
      </c>
      <c r="J162" s="197" t="s">
        <v>646</v>
      </c>
      <c r="K162" s="197" t="s">
        <v>146</v>
      </c>
      <c r="L162" s="197">
        <f t="shared" si="27"/>
        <v>308127.34999999998</v>
      </c>
      <c r="M162" s="197">
        <f t="shared" si="27"/>
        <v>118471.67999999999</v>
      </c>
      <c r="N162" s="197">
        <f t="shared" si="27"/>
        <v>0</v>
      </c>
      <c r="O162" s="197">
        <f t="shared" si="27"/>
        <v>223889.26</v>
      </c>
      <c r="P162" s="197">
        <f t="shared" si="27"/>
        <v>0</v>
      </c>
      <c r="Q162" s="197">
        <f t="shared" si="27"/>
        <v>0</v>
      </c>
      <c r="R162" s="197">
        <f t="shared" si="27"/>
        <v>75</v>
      </c>
      <c r="S162" s="197">
        <f t="shared" si="27"/>
        <v>0</v>
      </c>
      <c r="T162" s="197">
        <f t="shared" si="27"/>
        <v>0</v>
      </c>
      <c r="U162" s="197">
        <f t="shared" si="27"/>
        <v>417532.28</v>
      </c>
      <c r="V162" s="197">
        <f t="shared" si="26"/>
        <v>242609.16</v>
      </c>
      <c r="W162" s="197">
        <f t="shared" si="26"/>
        <v>3685.44</v>
      </c>
      <c r="X162" s="197">
        <f t="shared" si="26"/>
        <v>106725.49</v>
      </c>
      <c r="Y162" s="197">
        <f t="shared" si="26"/>
        <v>49283.48</v>
      </c>
      <c r="Z162" s="197">
        <f t="shared" si="26"/>
        <v>0</v>
      </c>
      <c r="AA162" s="197">
        <f t="shared" si="26"/>
        <v>214408.75</v>
      </c>
      <c r="AB162" s="197">
        <f t="shared" si="26"/>
        <v>0</v>
      </c>
      <c r="AC162" s="197">
        <f t="shared" si="26"/>
        <v>0</v>
      </c>
      <c r="AD162" s="197">
        <f t="shared" si="26"/>
        <v>369961.05</v>
      </c>
      <c r="AE162" s="197">
        <f t="shared" si="26"/>
        <v>226148.79</v>
      </c>
      <c r="AF162" s="197">
        <f t="shared" si="25"/>
        <v>4580.57</v>
      </c>
      <c r="AG162" s="197">
        <f t="shared" si="25"/>
        <v>97836.49</v>
      </c>
      <c r="AH162" s="197">
        <f t="shared" si="25"/>
        <v>73941.279999999999</v>
      </c>
      <c r="AI162" s="197">
        <f t="shared" si="25"/>
        <v>0</v>
      </c>
      <c r="AJ162" s="197">
        <f t="shared" si="25"/>
        <v>390408.2</v>
      </c>
      <c r="AK162" s="197">
        <f t="shared" si="25"/>
        <v>0</v>
      </c>
      <c r="AL162" s="197">
        <f t="shared" si="25"/>
        <v>0</v>
      </c>
    </row>
    <row r="163" spans="1:38">
      <c r="A163" s="11" t="str">
        <f t="shared" si="24"/>
        <v>05-310067502013</v>
      </c>
      <c r="B163" t="s">
        <v>186</v>
      </c>
      <c r="C163" t="s">
        <v>187</v>
      </c>
      <c r="D163">
        <v>2013</v>
      </c>
      <c r="E163" t="s">
        <v>104</v>
      </c>
      <c r="F163">
        <v>135959.13</v>
      </c>
      <c r="G163">
        <v>311</v>
      </c>
      <c r="H163" s="11" t="str">
        <f t="shared" si="23"/>
        <v>count</v>
      </c>
      <c r="I163" s="197" t="s">
        <v>645</v>
      </c>
      <c r="J163" s="197" t="s">
        <v>646</v>
      </c>
      <c r="K163" s="197" t="s">
        <v>145</v>
      </c>
      <c r="L163" s="197">
        <f t="shared" si="27"/>
        <v>223</v>
      </c>
      <c r="M163" s="197">
        <f t="shared" si="27"/>
        <v>101</v>
      </c>
      <c r="N163" s="197">
        <f t="shared" si="27"/>
        <v>0</v>
      </c>
      <c r="O163" s="197">
        <f t="shared" si="27"/>
        <v>145</v>
      </c>
      <c r="P163" s="197">
        <f t="shared" si="27"/>
        <v>0</v>
      </c>
      <c r="Q163" s="197">
        <f t="shared" si="27"/>
        <v>0</v>
      </c>
      <c r="R163" s="197">
        <f t="shared" si="27"/>
        <v>1</v>
      </c>
      <c r="S163" s="197">
        <f t="shared" si="27"/>
        <v>0</v>
      </c>
      <c r="T163" s="197">
        <f t="shared" si="27"/>
        <v>0</v>
      </c>
      <c r="U163" s="197">
        <f t="shared" si="27"/>
        <v>316</v>
      </c>
      <c r="V163" s="197">
        <f t="shared" si="26"/>
        <v>212</v>
      </c>
      <c r="W163" s="197">
        <f t="shared" si="26"/>
        <v>3</v>
      </c>
      <c r="X163" s="197">
        <f t="shared" si="26"/>
        <v>79</v>
      </c>
      <c r="Y163" s="197">
        <f t="shared" si="26"/>
        <v>43</v>
      </c>
      <c r="Z163" s="197">
        <f t="shared" si="26"/>
        <v>0</v>
      </c>
      <c r="AA163" s="197">
        <f t="shared" si="26"/>
        <v>216</v>
      </c>
      <c r="AB163" s="197">
        <f t="shared" si="26"/>
        <v>0</v>
      </c>
      <c r="AC163" s="197">
        <f t="shared" si="26"/>
        <v>0</v>
      </c>
      <c r="AD163" s="197">
        <f t="shared" si="26"/>
        <v>316</v>
      </c>
      <c r="AE163" s="197">
        <f t="shared" si="26"/>
        <v>196</v>
      </c>
      <c r="AF163" s="197">
        <f t="shared" si="25"/>
        <v>8</v>
      </c>
      <c r="AG163" s="197">
        <f t="shared" si="25"/>
        <v>69</v>
      </c>
      <c r="AH163" s="197">
        <f t="shared" si="25"/>
        <v>65</v>
      </c>
      <c r="AI163" s="197">
        <f t="shared" si="25"/>
        <v>0</v>
      </c>
      <c r="AJ163" s="197">
        <f t="shared" si="25"/>
        <v>400</v>
      </c>
      <c r="AK163" s="197">
        <f t="shared" si="25"/>
        <v>0</v>
      </c>
      <c r="AL163" s="197">
        <f t="shared" si="25"/>
        <v>0</v>
      </c>
    </row>
    <row r="164" spans="1:38">
      <c r="A164" s="11" t="str">
        <f t="shared" si="24"/>
        <v>05-310067502012</v>
      </c>
      <c r="B164" t="s">
        <v>186</v>
      </c>
      <c r="C164" t="s">
        <v>187</v>
      </c>
      <c r="D164">
        <v>2012</v>
      </c>
      <c r="E164" t="s">
        <v>105</v>
      </c>
      <c r="F164">
        <v>37597.21</v>
      </c>
      <c r="G164">
        <v>75</v>
      </c>
      <c r="H164" s="11" t="str">
        <f t="shared" si="23"/>
        <v>count</v>
      </c>
      <c r="I164" s="197" t="s">
        <v>647</v>
      </c>
      <c r="J164" s="197" t="s">
        <v>648</v>
      </c>
      <c r="K164" s="197" t="s">
        <v>146</v>
      </c>
      <c r="L164" s="197">
        <f t="shared" si="27"/>
        <v>1013537.67</v>
      </c>
      <c r="M164" s="197">
        <f t="shared" si="27"/>
        <v>476537.25</v>
      </c>
      <c r="N164" s="197">
        <f t="shared" si="27"/>
        <v>131007.34</v>
      </c>
      <c r="O164" s="197">
        <f t="shared" si="27"/>
        <v>0</v>
      </c>
      <c r="P164" s="197">
        <f t="shared" si="27"/>
        <v>521284.69</v>
      </c>
      <c r="Q164" s="197">
        <f t="shared" si="27"/>
        <v>0</v>
      </c>
      <c r="R164" s="197">
        <f t="shared" si="27"/>
        <v>4633.37</v>
      </c>
      <c r="S164" s="197">
        <f t="shared" si="27"/>
        <v>0</v>
      </c>
      <c r="T164" s="197">
        <f t="shared" si="27"/>
        <v>0</v>
      </c>
      <c r="U164" s="197">
        <f t="shared" si="27"/>
        <v>688250.08</v>
      </c>
      <c r="V164" s="197">
        <f t="shared" si="26"/>
        <v>596948.06999999995</v>
      </c>
      <c r="W164" s="197">
        <f t="shared" si="26"/>
        <v>102291.96</v>
      </c>
      <c r="X164" s="197">
        <f t="shared" si="26"/>
        <v>0</v>
      </c>
      <c r="Y164" s="197">
        <f t="shared" si="26"/>
        <v>578014.03</v>
      </c>
      <c r="Z164" s="197">
        <f t="shared" si="26"/>
        <v>0</v>
      </c>
      <c r="AA164" s="197">
        <f t="shared" si="26"/>
        <v>202376.8</v>
      </c>
      <c r="AB164" s="197">
        <f t="shared" si="26"/>
        <v>0</v>
      </c>
      <c r="AC164" s="197">
        <f t="shared" si="26"/>
        <v>0</v>
      </c>
      <c r="AD164" s="197">
        <f t="shared" si="26"/>
        <v>963925.18</v>
      </c>
      <c r="AE164" s="197">
        <f t="shared" si="26"/>
        <v>826654.05</v>
      </c>
      <c r="AF164" s="197">
        <f t="shared" si="25"/>
        <v>108978.82</v>
      </c>
      <c r="AG164" s="197">
        <f t="shared" si="25"/>
        <v>0</v>
      </c>
      <c r="AH164" s="197">
        <f t="shared" si="25"/>
        <v>657752.06999999995</v>
      </c>
      <c r="AI164" s="197">
        <f t="shared" si="25"/>
        <v>0</v>
      </c>
      <c r="AJ164" s="197">
        <f t="shared" si="25"/>
        <v>306119.51</v>
      </c>
      <c r="AK164" s="197">
        <f t="shared" si="25"/>
        <v>0</v>
      </c>
      <c r="AL164" s="197">
        <f t="shared" si="25"/>
        <v>0</v>
      </c>
    </row>
    <row r="165" spans="1:38">
      <c r="A165" s="11" t="str">
        <f t="shared" si="24"/>
        <v>05-310067502013</v>
      </c>
      <c r="B165" t="s">
        <v>186</v>
      </c>
      <c r="C165" t="s">
        <v>187</v>
      </c>
      <c r="D165">
        <v>2013</v>
      </c>
      <c r="E165" t="s">
        <v>105</v>
      </c>
      <c r="F165">
        <v>44171.78</v>
      </c>
      <c r="G165">
        <v>99</v>
      </c>
      <c r="H165" s="11" t="str">
        <f t="shared" si="23"/>
        <v>count</v>
      </c>
      <c r="I165" s="197" t="s">
        <v>647</v>
      </c>
      <c r="J165" s="197" t="s">
        <v>648</v>
      </c>
      <c r="K165" s="197" t="s">
        <v>145</v>
      </c>
      <c r="L165" s="197">
        <f t="shared" si="27"/>
        <v>2636</v>
      </c>
      <c r="M165" s="197">
        <f t="shared" si="27"/>
        <v>1053</v>
      </c>
      <c r="N165" s="197">
        <f t="shared" si="27"/>
        <v>248</v>
      </c>
      <c r="O165" s="197">
        <f t="shared" si="27"/>
        <v>0</v>
      </c>
      <c r="P165" s="197">
        <f t="shared" si="27"/>
        <v>796</v>
      </c>
      <c r="Q165" s="197">
        <f t="shared" si="27"/>
        <v>0</v>
      </c>
      <c r="R165" s="197">
        <f t="shared" si="27"/>
        <v>9</v>
      </c>
      <c r="S165" s="197">
        <f t="shared" si="27"/>
        <v>0</v>
      </c>
      <c r="T165" s="197">
        <f t="shared" si="27"/>
        <v>0</v>
      </c>
      <c r="U165" s="197">
        <f t="shared" si="27"/>
        <v>1521</v>
      </c>
      <c r="V165" s="197">
        <f t="shared" si="26"/>
        <v>1661</v>
      </c>
      <c r="W165" s="197">
        <f t="shared" si="26"/>
        <v>208</v>
      </c>
      <c r="X165" s="197">
        <f t="shared" si="26"/>
        <v>0</v>
      </c>
      <c r="Y165" s="197">
        <f t="shared" si="26"/>
        <v>797</v>
      </c>
      <c r="Z165" s="197">
        <f t="shared" si="26"/>
        <v>0</v>
      </c>
      <c r="AA165" s="197">
        <f t="shared" si="26"/>
        <v>644</v>
      </c>
      <c r="AB165" s="197">
        <f t="shared" si="26"/>
        <v>0</v>
      </c>
      <c r="AC165" s="197">
        <f t="shared" si="26"/>
        <v>0</v>
      </c>
      <c r="AD165" s="197">
        <f t="shared" si="26"/>
        <v>1873</v>
      </c>
      <c r="AE165" s="197">
        <f t="shared" si="26"/>
        <v>1883</v>
      </c>
      <c r="AF165" s="197">
        <f t="shared" si="25"/>
        <v>182</v>
      </c>
      <c r="AG165" s="197">
        <f t="shared" si="25"/>
        <v>0</v>
      </c>
      <c r="AH165" s="197">
        <f t="shared" si="25"/>
        <v>972</v>
      </c>
      <c r="AI165" s="197">
        <f t="shared" si="25"/>
        <v>0</v>
      </c>
      <c r="AJ165" s="197">
        <f t="shared" si="25"/>
        <v>654</v>
      </c>
      <c r="AK165" s="197">
        <f t="shared" si="25"/>
        <v>0</v>
      </c>
      <c r="AL165" s="197">
        <f t="shared" si="25"/>
        <v>0</v>
      </c>
    </row>
    <row r="166" spans="1:38">
      <c r="A166" s="11" t="str">
        <f t="shared" si="24"/>
        <v>05-310067502012</v>
      </c>
      <c r="B166" t="s">
        <v>186</v>
      </c>
      <c r="C166" t="s">
        <v>187</v>
      </c>
      <c r="D166">
        <v>2012</v>
      </c>
      <c r="E166" t="s">
        <v>63</v>
      </c>
      <c r="F166">
        <v>219422.95</v>
      </c>
      <c r="G166">
        <v>474</v>
      </c>
      <c r="H166" s="11" t="str">
        <f t="shared" si="23"/>
        <v>count</v>
      </c>
      <c r="I166" s="197" t="s">
        <v>649</v>
      </c>
      <c r="J166" s="197" t="s">
        <v>650</v>
      </c>
      <c r="K166" s="197" t="s">
        <v>146</v>
      </c>
      <c r="L166" s="197">
        <f t="shared" si="27"/>
        <v>3281342.13</v>
      </c>
      <c r="M166" s="197">
        <f t="shared" si="27"/>
        <v>1811369.96</v>
      </c>
      <c r="N166" s="197">
        <f t="shared" si="27"/>
        <v>473706.97</v>
      </c>
      <c r="O166" s="197">
        <f t="shared" si="27"/>
        <v>72716.179999999993</v>
      </c>
      <c r="P166" s="197">
        <f t="shared" si="27"/>
        <v>986691.35</v>
      </c>
      <c r="Q166" s="197">
        <f t="shared" si="27"/>
        <v>0</v>
      </c>
      <c r="R166" s="197">
        <f t="shared" si="27"/>
        <v>1833.49</v>
      </c>
      <c r="S166" s="197">
        <f t="shared" si="27"/>
        <v>0</v>
      </c>
      <c r="T166" s="197">
        <f t="shared" si="27"/>
        <v>0</v>
      </c>
      <c r="U166" s="197">
        <f t="shared" si="27"/>
        <v>2961833.99</v>
      </c>
      <c r="V166" s="197">
        <f t="shared" si="26"/>
        <v>1890471.18</v>
      </c>
      <c r="W166" s="197">
        <f t="shared" si="26"/>
        <v>528397.12</v>
      </c>
      <c r="X166" s="197">
        <f t="shared" si="26"/>
        <v>74995.100000000006</v>
      </c>
      <c r="Y166" s="197">
        <f t="shared" si="26"/>
        <v>1342974.58</v>
      </c>
      <c r="Z166" s="197">
        <f t="shared" si="26"/>
        <v>0</v>
      </c>
      <c r="AA166" s="197">
        <f t="shared" si="26"/>
        <v>1232979.0900000001</v>
      </c>
      <c r="AB166" s="197">
        <f t="shared" si="26"/>
        <v>0</v>
      </c>
      <c r="AC166" s="197">
        <f t="shared" si="26"/>
        <v>0</v>
      </c>
      <c r="AD166" s="197">
        <f t="shared" si="26"/>
        <v>3175704.44</v>
      </c>
      <c r="AE166" s="197">
        <f t="shared" si="26"/>
        <v>1826381.15</v>
      </c>
      <c r="AF166" s="197">
        <f t="shared" si="25"/>
        <v>591533.21</v>
      </c>
      <c r="AG166" s="197">
        <f t="shared" si="25"/>
        <v>63213.34</v>
      </c>
      <c r="AH166" s="197">
        <f t="shared" si="25"/>
        <v>1244183.73</v>
      </c>
      <c r="AI166" s="197">
        <f t="shared" si="25"/>
        <v>0</v>
      </c>
      <c r="AJ166" s="197">
        <f t="shared" si="25"/>
        <v>1587678.2</v>
      </c>
      <c r="AK166" s="197">
        <f t="shared" si="25"/>
        <v>0</v>
      </c>
      <c r="AL166" s="197">
        <f t="shared" si="25"/>
        <v>0</v>
      </c>
    </row>
    <row r="167" spans="1:38">
      <c r="A167" s="11" t="str">
        <f t="shared" si="24"/>
        <v>05-310067502013</v>
      </c>
      <c r="B167" t="s">
        <v>186</v>
      </c>
      <c r="C167" t="s">
        <v>187</v>
      </c>
      <c r="D167">
        <v>2013</v>
      </c>
      <c r="E167" t="s">
        <v>69</v>
      </c>
      <c r="F167">
        <v>245227.53</v>
      </c>
      <c r="G167">
        <v>611</v>
      </c>
      <c r="H167" s="11" t="str">
        <f t="shared" si="23"/>
        <v>count</v>
      </c>
      <c r="I167" s="197" t="s">
        <v>649</v>
      </c>
      <c r="J167" s="197" t="s">
        <v>650</v>
      </c>
      <c r="K167" s="197" t="s">
        <v>145</v>
      </c>
      <c r="L167" s="197">
        <f t="shared" si="27"/>
        <v>4294</v>
      </c>
      <c r="M167" s="197">
        <f t="shared" si="27"/>
        <v>2298</v>
      </c>
      <c r="N167" s="197">
        <f t="shared" si="27"/>
        <v>553</v>
      </c>
      <c r="O167" s="197">
        <f t="shared" si="27"/>
        <v>73</v>
      </c>
      <c r="P167" s="197">
        <f t="shared" si="27"/>
        <v>1163</v>
      </c>
      <c r="Q167" s="197">
        <f t="shared" si="27"/>
        <v>0</v>
      </c>
      <c r="R167" s="197">
        <f t="shared" si="27"/>
        <v>5</v>
      </c>
      <c r="S167" s="197">
        <f t="shared" si="27"/>
        <v>0</v>
      </c>
      <c r="T167" s="197">
        <f t="shared" si="27"/>
        <v>0</v>
      </c>
      <c r="U167" s="197">
        <f t="shared" si="27"/>
        <v>3395</v>
      </c>
      <c r="V167" s="197">
        <f t="shared" si="26"/>
        <v>2298</v>
      </c>
      <c r="W167" s="197">
        <f t="shared" si="26"/>
        <v>626</v>
      </c>
      <c r="X167" s="197">
        <f t="shared" si="26"/>
        <v>68</v>
      </c>
      <c r="Y167" s="197">
        <f t="shared" si="26"/>
        <v>1461</v>
      </c>
      <c r="Z167" s="197">
        <f t="shared" si="26"/>
        <v>0</v>
      </c>
      <c r="AA167" s="197">
        <f t="shared" si="26"/>
        <v>1878</v>
      </c>
      <c r="AB167" s="197">
        <f t="shared" si="26"/>
        <v>0</v>
      </c>
      <c r="AC167" s="197">
        <f t="shared" si="26"/>
        <v>0</v>
      </c>
      <c r="AD167" s="197">
        <f t="shared" si="26"/>
        <v>3325</v>
      </c>
      <c r="AE167" s="197">
        <f t="shared" si="26"/>
        <v>1953</v>
      </c>
      <c r="AF167" s="197">
        <f t="shared" si="25"/>
        <v>634</v>
      </c>
      <c r="AG167" s="197">
        <f t="shared" si="25"/>
        <v>49</v>
      </c>
      <c r="AH167" s="197">
        <f t="shared" si="25"/>
        <v>1264</v>
      </c>
      <c r="AI167" s="197">
        <f t="shared" si="25"/>
        <v>0</v>
      </c>
      <c r="AJ167" s="197">
        <f t="shared" si="25"/>
        <v>2358</v>
      </c>
      <c r="AK167" s="197">
        <f t="shared" si="25"/>
        <v>0</v>
      </c>
      <c r="AL167" s="197">
        <f t="shared" si="25"/>
        <v>0</v>
      </c>
    </row>
    <row r="168" spans="1:38">
      <c r="A168" s="11" t="str">
        <f t="shared" si="24"/>
        <v>05-421432602011</v>
      </c>
      <c r="B168" t="s">
        <v>199</v>
      </c>
      <c r="C168" t="s">
        <v>200</v>
      </c>
      <c r="D168">
        <v>2011</v>
      </c>
      <c r="E168" t="s">
        <v>63</v>
      </c>
      <c r="F168">
        <v>479812.85</v>
      </c>
      <c r="G168">
        <v>348</v>
      </c>
      <c r="H168" s="11" t="str">
        <f t="shared" si="23"/>
        <v>volume</v>
      </c>
      <c r="I168" s="197" t="s">
        <v>656</v>
      </c>
      <c r="J168" s="197" t="s">
        <v>657</v>
      </c>
      <c r="K168" s="197" t="s">
        <v>146</v>
      </c>
      <c r="L168" s="197">
        <f t="shared" si="27"/>
        <v>1249723.26</v>
      </c>
      <c r="M168" s="197">
        <f t="shared" si="27"/>
        <v>480041.31</v>
      </c>
      <c r="N168" s="197">
        <f t="shared" si="27"/>
        <v>73987.399999999994</v>
      </c>
      <c r="O168" s="197">
        <f t="shared" si="27"/>
        <v>7267.5</v>
      </c>
      <c r="P168" s="197">
        <f t="shared" si="27"/>
        <v>435381.04</v>
      </c>
      <c r="Q168" s="197">
        <f t="shared" si="27"/>
        <v>0</v>
      </c>
      <c r="R168" s="197">
        <f t="shared" si="27"/>
        <v>5126.05</v>
      </c>
      <c r="S168" s="197">
        <f t="shared" si="27"/>
        <v>0</v>
      </c>
      <c r="T168" s="197">
        <f t="shared" si="27"/>
        <v>0</v>
      </c>
      <c r="U168" s="197">
        <f t="shared" si="27"/>
        <v>933684.75</v>
      </c>
      <c r="V168" s="197">
        <f t="shared" si="26"/>
        <v>446416.2</v>
      </c>
      <c r="W168" s="197">
        <f t="shared" si="26"/>
        <v>69151.14</v>
      </c>
      <c r="X168" s="197">
        <f t="shared" si="26"/>
        <v>4259</v>
      </c>
      <c r="Y168" s="197">
        <f t="shared" si="26"/>
        <v>373417.46</v>
      </c>
      <c r="Z168" s="197">
        <f t="shared" si="26"/>
        <v>0</v>
      </c>
      <c r="AA168" s="197">
        <f t="shared" si="26"/>
        <v>488109.93</v>
      </c>
      <c r="AB168" s="197">
        <f t="shared" si="26"/>
        <v>0</v>
      </c>
      <c r="AC168" s="197">
        <f t="shared" si="26"/>
        <v>0</v>
      </c>
      <c r="AD168" s="197">
        <f t="shared" si="26"/>
        <v>994802.87</v>
      </c>
      <c r="AE168" s="197">
        <f t="shared" si="26"/>
        <v>421661.84</v>
      </c>
      <c r="AF168" s="197">
        <f t="shared" si="25"/>
        <v>78885.81</v>
      </c>
      <c r="AG168" s="197">
        <f t="shared" si="25"/>
        <v>4445</v>
      </c>
      <c r="AH168" s="197">
        <f t="shared" si="25"/>
        <v>385680.24</v>
      </c>
      <c r="AI168" s="197">
        <f t="shared" si="25"/>
        <v>0</v>
      </c>
      <c r="AJ168" s="197">
        <f t="shared" si="25"/>
        <v>551848.92000000004</v>
      </c>
      <c r="AK168" s="197">
        <f t="shared" si="25"/>
        <v>0</v>
      </c>
      <c r="AL168" s="197">
        <f t="shared" si="25"/>
        <v>0</v>
      </c>
    </row>
    <row r="169" spans="1:38">
      <c r="A169" s="11" t="str">
        <f t="shared" si="24"/>
        <v>05-421432602012</v>
      </c>
      <c r="B169" t="s">
        <v>199</v>
      </c>
      <c r="C169" t="s">
        <v>200</v>
      </c>
      <c r="D169">
        <v>2012</v>
      </c>
      <c r="E169" t="s">
        <v>69</v>
      </c>
      <c r="F169">
        <v>142523.96</v>
      </c>
      <c r="G169">
        <v>108</v>
      </c>
      <c r="H169" s="11" t="str">
        <f t="shared" si="23"/>
        <v>count</v>
      </c>
      <c r="I169" s="197" t="s">
        <v>656</v>
      </c>
      <c r="J169" s="197" t="s">
        <v>657</v>
      </c>
      <c r="K169" s="197" t="s">
        <v>145</v>
      </c>
      <c r="L169" s="197">
        <f t="shared" si="27"/>
        <v>2071</v>
      </c>
      <c r="M169" s="197">
        <f t="shared" si="27"/>
        <v>755</v>
      </c>
      <c r="N169" s="197">
        <f t="shared" si="27"/>
        <v>105</v>
      </c>
      <c r="O169" s="197">
        <f t="shared" si="27"/>
        <v>5</v>
      </c>
      <c r="P169" s="197">
        <f t="shared" si="27"/>
        <v>522</v>
      </c>
      <c r="Q169" s="197">
        <f t="shared" si="27"/>
        <v>0</v>
      </c>
      <c r="R169" s="197">
        <f t="shared" si="27"/>
        <v>13</v>
      </c>
      <c r="S169" s="197">
        <f t="shared" si="27"/>
        <v>0</v>
      </c>
      <c r="T169" s="197">
        <f t="shared" si="27"/>
        <v>0</v>
      </c>
      <c r="U169" s="197">
        <f t="shared" si="27"/>
        <v>1375</v>
      </c>
      <c r="V169" s="197">
        <f t="shared" si="26"/>
        <v>665</v>
      </c>
      <c r="W169" s="197">
        <f t="shared" si="26"/>
        <v>102</v>
      </c>
      <c r="X169" s="197">
        <f t="shared" si="26"/>
        <v>7</v>
      </c>
      <c r="Y169" s="197">
        <f t="shared" si="26"/>
        <v>506</v>
      </c>
      <c r="Z169" s="197">
        <f t="shared" si="26"/>
        <v>0</v>
      </c>
      <c r="AA169" s="197">
        <f t="shared" si="26"/>
        <v>932</v>
      </c>
      <c r="AB169" s="197">
        <f t="shared" si="26"/>
        <v>0</v>
      </c>
      <c r="AC169" s="197">
        <f t="shared" si="26"/>
        <v>0</v>
      </c>
      <c r="AD169" s="197">
        <f t="shared" si="26"/>
        <v>1444</v>
      </c>
      <c r="AE169" s="197">
        <f t="shared" si="26"/>
        <v>602</v>
      </c>
      <c r="AF169" s="197">
        <f t="shared" si="25"/>
        <v>106</v>
      </c>
      <c r="AG169" s="197">
        <f t="shared" si="25"/>
        <v>3</v>
      </c>
      <c r="AH169" s="197">
        <f t="shared" si="25"/>
        <v>475</v>
      </c>
      <c r="AI169" s="197">
        <f t="shared" si="25"/>
        <v>0</v>
      </c>
      <c r="AJ169" s="197">
        <f t="shared" si="25"/>
        <v>1042</v>
      </c>
      <c r="AK169" s="197">
        <f t="shared" si="25"/>
        <v>0</v>
      </c>
      <c r="AL169" s="197">
        <f t="shared" si="25"/>
        <v>0</v>
      </c>
    </row>
    <row r="170" spans="1:38">
      <c r="A170" s="11" t="str">
        <f t="shared" si="24"/>
        <v>05-421432602011</v>
      </c>
      <c r="B170" t="s">
        <v>199</v>
      </c>
      <c r="C170" t="s">
        <v>200</v>
      </c>
      <c r="D170">
        <v>2011</v>
      </c>
      <c r="E170" t="s">
        <v>104</v>
      </c>
      <c r="F170">
        <v>227446.04</v>
      </c>
      <c r="G170">
        <v>152</v>
      </c>
      <c r="H170" s="11" t="str">
        <f t="shared" si="23"/>
        <v>count</v>
      </c>
      <c r="I170" s="197" t="s">
        <v>658</v>
      </c>
      <c r="J170" s="197" t="s">
        <v>659</v>
      </c>
      <c r="K170" s="197" t="s">
        <v>146</v>
      </c>
      <c r="L170" s="197">
        <f t="shared" si="27"/>
        <v>1426839.45</v>
      </c>
      <c r="M170" s="197">
        <f t="shared" si="27"/>
        <v>701833.31</v>
      </c>
      <c r="N170" s="197">
        <f t="shared" si="27"/>
        <v>135781.76999999999</v>
      </c>
      <c r="O170" s="197">
        <f t="shared" si="27"/>
        <v>2612.94</v>
      </c>
      <c r="P170" s="197">
        <f t="shared" si="27"/>
        <v>0</v>
      </c>
      <c r="Q170" s="197">
        <f t="shared" si="27"/>
        <v>0</v>
      </c>
      <c r="R170" s="197">
        <f t="shared" si="27"/>
        <v>2064.29</v>
      </c>
      <c r="S170" s="197">
        <f t="shared" si="27"/>
        <v>0</v>
      </c>
      <c r="T170" s="197">
        <f t="shared" si="27"/>
        <v>0</v>
      </c>
      <c r="U170" s="197">
        <f t="shared" si="27"/>
        <v>1506364.92</v>
      </c>
      <c r="V170" s="197">
        <f t="shared" si="26"/>
        <v>828651.3</v>
      </c>
      <c r="W170" s="197">
        <f t="shared" si="26"/>
        <v>131783.89000000001</v>
      </c>
      <c r="X170" s="197">
        <f t="shared" si="26"/>
        <v>50493.46</v>
      </c>
      <c r="Y170" s="197">
        <f t="shared" si="26"/>
        <v>0</v>
      </c>
      <c r="Z170" s="197">
        <f t="shared" si="26"/>
        <v>0</v>
      </c>
      <c r="AA170" s="197">
        <f t="shared" si="26"/>
        <v>195371.65</v>
      </c>
      <c r="AB170" s="197">
        <f t="shared" si="26"/>
        <v>0</v>
      </c>
      <c r="AC170" s="197">
        <f t="shared" si="26"/>
        <v>0</v>
      </c>
      <c r="AD170" s="197">
        <f t="shared" si="26"/>
        <v>1361430.24</v>
      </c>
      <c r="AE170" s="197">
        <f t="shared" si="26"/>
        <v>744884.82</v>
      </c>
      <c r="AF170" s="197">
        <f t="shared" si="25"/>
        <v>160824.9</v>
      </c>
      <c r="AG170" s="197">
        <f t="shared" si="25"/>
        <v>65990.05</v>
      </c>
      <c r="AH170" s="197">
        <f t="shared" si="25"/>
        <v>0</v>
      </c>
      <c r="AI170" s="197">
        <f t="shared" si="25"/>
        <v>0</v>
      </c>
      <c r="AJ170" s="197">
        <f t="shared" si="25"/>
        <v>212775.14</v>
      </c>
      <c r="AK170" s="197">
        <f t="shared" si="25"/>
        <v>0</v>
      </c>
      <c r="AL170" s="197">
        <f t="shared" si="25"/>
        <v>0</v>
      </c>
    </row>
    <row r="171" spans="1:38">
      <c r="A171" s="11" t="str">
        <f t="shared" si="24"/>
        <v>05-421432602013</v>
      </c>
      <c r="B171" t="s">
        <v>199</v>
      </c>
      <c r="C171" t="s">
        <v>200</v>
      </c>
      <c r="D171">
        <v>2013</v>
      </c>
      <c r="E171" t="s">
        <v>69</v>
      </c>
      <c r="F171">
        <v>233605.99</v>
      </c>
      <c r="G171">
        <v>166</v>
      </c>
      <c r="H171" s="11" t="str">
        <f t="shared" si="23"/>
        <v>count</v>
      </c>
      <c r="I171" s="197" t="s">
        <v>658</v>
      </c>
      <c r="J171" s="197" t="s">
        <v>659</v>
      </c>
      <c r="K171" s="197" t="s">
        <v>145</v>
      </c>
      <c r="L171" s="197">
        <f t="shared" si="27"/>
        <v>1389</v>
      </c>
      <c r="M171" s="197">
        <f t="shared" si="27"/>
        <v>733</v>
      </c>
      <c r="N171" s="197">
        <f t="shared" si="27"/>
        <v>153</v>
      </c>
      <c r="O171" s="197">
        <f t="shared" si="27"/>
        <v>2</v>
      </c>
      <c r="P171" s="197">
        <f t="shared" si="27"/>
        <v>0</v>
      </c>
      <c r="Q171" s="197">
        <f t="shared" si="27"/>
        <v>0</v>
      </c>
      <c r="R171" s="197">
        <f t="shared" si="27"/>
        <v>4</v>
      </c>
      <c r="S171" s="197">
        <f t="shared" si="27"/>
        <v>0</v>
      </c>
      <c r="T171" s="197">
        <f t="shared" si="27"/>
        <v>0</v>
      </c>
      <c r="U171" s="197">
        <f t="shared" si="27"/>
        <v>1270</v>
      </c>
      <c r="V171" s="197">
        <f t="shared" si="26"/>
        <v>774</v>
      </c>
      <c r="W171" s="197">
        <f t="shared" si="26"/>
        <v>143</v>
      </c>
      <c r="X171" s="197">
        <f t="shared" si="26"/>
        <v>16</v>
      </c>
      <c r="Y171" s="197">
        <f t="shared" si="26"/>
        <v>0</v>
      </c>
      <c r="Z171" s="197">
        <f t="shared" si="26"/>
        <v>0</v>
      </c>
      <c r="AA171" s="197">
        <f t="shared" si="26"/>
        <v>277</v>
      </c>
      <c r="AB171" s="197">
        <f t="shared" si="26"/>
        <v>0</v>
      </c>
      <c r="AC171" s="197">
        <f t="shared" si="26"/>
        <v>0</v>
      </c>
      <c r="AD171" s="197">
        <f t="shared" si="26"/>
        <v>1242</v>
      </c>
      <c r="AE171" s="197">
        <f t="shared" si="26"/>
        <v>675</v>
      </c>
      <c r="AF171" s="197">
        <f t="shared" si="25"/>
        <v>168</v>
      </c>
      <c r="AG171" s="197">
        <f t="shared" si="25"/>
        <v>56</v>
      </c>
      <c r="AH171" s="197">
        <f t="shared" si="25"/>
        <v>0</v>
      </c>
      <c r="AI171" s="197">
        <f t="shared" si="25"/>
        <v>0</v>
      </c>
      <c r="AJ171" s="197">
        <f t="shared" si="25"/>
        <v>302</v>
      </c>
      <c r="AK171" s="197">
        <f t="shared" si="25"/>
        <v>0</v>
      </c>
      <c r="AL171" s="197">
        <f t="shared" si="25"/>
        <v>0</v>
      </c>
    </row>
    <row r="172" spans="1:38">
      <c r="A172" s="11" t="str">
        <f t="shared" si="24"/>
        <v>05-421432602013</v>
      </c>
      <c r="B172" t="s">
        <v>199</v>
      </c>
      <c r="C172" t="s">
        <v>200</v>
      </c>
      <c r="D172">
        <v>2013</v>
      </c>
      <c r="E172" t="s">
        <v>63</v>
      </c>
      <c r="F172">
        <v>533811.75</v>
      </c>
      <c r="G172">
        <v>286</v>
      </c>
      <c r="H172" s="11" t="str">
        <f t="shared" si="23"/>
        <v>count</v>
      </c>
      <c r="I172" s="197" t="s">
        <v>660</v>
      </c>
      <c r="J172" s="197" t="s">
        <v>661</v>
      </c>
      <c r="K172" s="197" t="s">
        <v>146</v>
      </c>
      <c r="L172" s="197">
        <f t="shared" si="27"/>
        <v>684243.29</v>
      </c>
      <c r="M172" s="197">
        <f t="shared" si="27"/>
        <v>284757.46000000002</v>
      </c>
      <c r="N172" s="197">
        <f t="shared" si="27"/>
        <v>64698.65</v>
      </c>
      <c r="O172" s="197">
        <f t="shared" si="27"/>
        <v>0</v>
      </c>
      <c r="P172" s="197">
        <f t="shared" si="27"/>
        <v>131438.57</v>
      </c>
      <c r="Q172" s="197">
        <f t="shared" si="27"/>
        <v>0</v>
      </c>
      <c r="R172" s="197">
        <f t="shared" si="27"/>
        <v>1294.1400000000001</v>
      </c>
      <c r="S172" s="197">
        <f t="shared" si="27"/>
        <v>0</v>
      </c>
      <c r="T172" s="197">
        <f t="shared" si="27"/>
        <v>0</v>
      </c>
      <c r="U172" s="197">
        <f t="shared" si="27"/>
        <v>443574.12</v>
      </c>
      <c r="V172" s="197">
        <f t="shared" si="26"/>
        <v>318925.52</v>
      </c>
      <c r="W172" s="197">
        <f t="shared" si="26"/>
        <v>54014.73</v>
      </c>
      <c r="X172" s="197">
        <f t="shared" si="26"/>
        <v>0</v>
      </c>
      <c r="Y172" s="197">
        <f t="shared" si="26"/>
        <v>144538.43</v>
      </c>
      <c r="Z172" s="197">
        <f t="shared" si="26"/>
        <v>0</v>
      </c>
      <c r="AA172" s="197">
        <f t="shared" si="26"/>
        <v>373240.26</v>
      </c>
      <c r="AB172" s="197">
        <f t="shared" si="26"/>
        <v>0</v>
      </c>
      <c r="AC172" s="197">
        <f t="shared" si="26"/>
        <v>0</v>
      </c>
      <c r="AD172" s="197">
        <f t="shared" si="26"/>
        <v>589544.65</v>
      </c>
      <c r="AE172" s="197">
        <f t="shared" si="26"/>
        <v>297872.23</v>
      </c>
      <c r="AF172" s="197">
        <f t="shared" si="25"/>
        <v>80175.179999999993</v>
      </c>
      <c r="AG172" s="197">
        <f t="shared" si="25"/>
        <v>0</v>
      </c>
      <c r="AH172" s="197">
        <f t="shared" si="25"/>
        <v>254197.52</v>
      </c>
      <c r="AI172" s="197">
        <f t="shared" si="25"/>
        <v>0</v>
      </c>
      <c r="AJ172" s="197">
        <f t="shared" si="25"/>
        <v>496047.96</v>
      </c>
      <c r="AK172" s="197">
        <f t="shared" si="25"/>
        <v>0</v>
      </c>
      <c r="AL172" s="197">
        <f t="shared" si="25"/>
        <v>0</v>
      </c>
    </row>
    <row r="173" spans="1:38">
      <c r="A173" s="11" t="str">
        <f t="shared" si="24"/>
        <v>05-421432602013</v>
      </c>
      <c r="B173" t="s">
        <v>199</v>
      </c>
      <c r="C173" t="s">
        <v>200</v>
      </c>
      <c r="D173">
        <v>2013</v>
      </c>
      <c r="E173" t="s">
        <v>104</v>
      </c>
      <c r="F173">
        <v>311194.46999999997</v>
      </c>
      <c r="G173">
        <v>192</v>
      </c>
      <c r="H173" s="11" t="str">
        <f t="shared" si="23"/>
        <v>count</v>
      </c>
      <c r="I173" s="197" t="s">
        <v>660</v>
      </c>
      <c r="J173" s="197" t="s">
        <v>661</v>
      </c>
      <c r="K173" s="197" t="s">
        <v>145</v>
      </c>
      <c r="L173" s="197">
        <f t="shared" si="27"/>
        <v>1653</v>
      </c>
      <c r="M173" s="197">
        <f t="shared" si="27"/>
        <v>654</v>
      </c>
      <c r="N173" s="197">
        <f t="shared" si="27"/>
        <v>114</v>
      </c>
      <c r="O173" s="197">
        <f t="shared" si="27"/>
        <v>0</v>
      </c>
      <c r="P173" s="197">
        <f t="shared" si="27"/>
        <v>211</v>
      </c>
      <c r="Q173" s="197">
        <f t="shared" si="27"/>
        <v>0</v>
      </c>
      <c r="R173" s="197">
        <f t="shared" si="27"/>
        <v>5</v>
      </c>
      <c r="S173" s="197">
        <f t="shared" si="27"/>
        <v>0</v>
      </c>
      <c r="T173" s="197">
        <f t="shared" si="27"/>
        <v>0</v>
      </c>
      <c r="U173" s="197">
        <f t="shared" si="27"/>
        <v>873</v>
      </c>
      <c r="V173" s="197">
        <f t="shared" si="26"/>
        <v>632</v>
      </c>
      <c r="W173" s="197">
        <f t="shared" si="26"/>
        <v>107</v>
      </c>
      <c r="X173" s="197">
        <f t="shared" si="26"/>
        <v>0</v>
      </c>
      <c r="Y173" s="197">
        <f t="shared" si="26"/>
        <v>242</v>
      </c>
      <c r="Z173" s="197">
        <f t="shared" si="26"/>
        <v>0</v>
      </c>
      <c r="AA173" s="197">
        <f t="shared" si="26"/>
        <v>906</v>
      </c>
      <c r="AB173" s="197">
        <f t="shared" si="26"/>
        <v>0</v>
      </c>
      <c r="AC173" s="197">
        <f t="shared" si="26"/>
        <v>0</v>
      </c>
      <c r="AD173" s="197">
        <f t="shared" si="26"/>
        <v>907</v>
      </c>
      <c r="AE173" s="197">
        <f t="shared" si="26"/>
        <v>475</v>
      </c>
      <c r="AF173" s="197">
        <f t="shared" si="25"/>
        <v>119</v>
      </c>
      <c r="AG173" s="197">
        <f t="shared" si="25"/>
        <v>0</v>
      </c>
      <c r="AH173" s="197">
        <f t="shared" si="25"/>
        <v>342</v>
      </c>
      <c r="AI173" s="197">
        <f t="shared" si="25"/>
        <v>0</v>
      </c>
      <c r="AJ173" s="197">
        <f t="shared" si="25"/>
        <v>1077</v>
      </c>
      <c r="AK173" s="197">
        <f t="shared" si="25"/>
        <v>0</v>
      </c>
      <c r="AL173" s="197">
        <f t="shared" si="25"/>
        <v>0</v>
      </c>
    </row>
    <row r="174" spans="1:38">
      <c r="A174" s="11" t="str">
        <f t="shared" si="24"/>
        <v>05-421432602012</v>
      </c>
      <c r="B174" t="s">
        <v>199</v>
      </c>
      <c r="C174" t="s">
        <v>200</v>
      </c>
      <c r="D174">
        <v>2012</v>
      </c>
      <c r="E174" t="s">
        <v>104</v>
      </c>
      <c r="F174">
        <v>253743.24</v>
      </c>
      <c r="G174">
        <v>168</v>
      </c>
      <c r="H174" s="11" t="str">
        <f t="shared" si="23"/>
        <v>count</v>
      </c>
      <c r="I174" s="197" t="s">
        <v>662</v>
      </c>
      <c r="J174" s="197" t="s">
        <v>663</v>
      </c>
      <c r="K174" s="197" t="s">
        <v>146</v>
      </c>
      <c r="L174" s="197">
        <f t="shared" si="27"/>
        <v>3142200.95</v>
      </c>
      <c r="M174" s="197">
        <f t="shared" si="27"/>
        <v>1663094.7</v>
      </c>
      <c r="N174" s="197">
        <f t="shared" si="27"/>
        <v>381909.11</v>
      </c>
      <c r="O174" s="197">
        <f t="shared" si="27"/>
        <v>40005.06</v>
      </c>
      <c r="P174" s="197">
        <f t="shared" si="27"/>
        <v>875989.02</v>
      </c>
      <c r="Q174" s="197">
        <f t="shared" si="27"/>
        <v>0</v>
      </c>
      <c r="R174" s="197">
        <f t="shared" si="27"/>
        <v>889.87</v>
      </c>
      <c r="S174" s="197">
        <f t="shared" si="27"/>
        <v>0</v>
      </c>
      <c r="T174" s="197">
        <f t="shared" si="27"/>
        <v>0</v>
      </c>
      <c r="U174" s="197">
        <f t="shared" si="27"/>
        <v>2167067.71</v>
      </c>
      <c r="V174" s="197">
        <f t="shared" si="26"/>
        <v>1572618.78</v>
      </c>
      <c r="W174" s="197">
        <f t="shared" si="26"/>
        <v>493603.21</v>
      </c>
      <c r="X174" s="197">
        <f t="shared" si="26"/>
        <v>44506.03</v>
      </c>
      <c r="Y174" s="197">
        <f t="shared" si="26"/>
        <v>1023375.98</v>
      </c>
      <c r="Z174" s="197">
        <f t="shared" si="26"/>
        <v>0</v>
      </c>
      <c r="AA174" s="197">
        <f t="shared" si="26"/>
        <v>1314046.8500000001</v>
      </c>
      <c r="AB174" s="197">
        <f t="shared" si="26"/>
        <v>0</v>
      </c>
      <c r="AC174" s="197">
        <f t="shared" si="26"/>
        <v>0</v>
      </c>
      <c r="AD174" s="197">
        <f t="shared" si="26"/>
        <v>2345807.48</v>
      </c>
      <c r="AE174" s="197">
        <f t="shared" si="26"/>
        <v>1372953.15</v>
      </c>
      <c r="AF174" s="197">
        <f t="shared" si="25"/>
        <v>520871.89</v>
      </c>
      <c r="AG174" s="197">
        <f t="shared" si="25"/>
        <v>68036.17</v>
      </c>
      <c r="AH174" s="197">
        <f t="shared" si="25"/>
        <v>988216.67</v>
      </c>
      <c r="AI174" s="197">
        <f t="shared" si="25"/>
        <v>0</v>
      </c>
      <c r="AJ174" s="197">
        <f t="shared" si="25"/>
        <v>1499139.37</v>
      </c>
      <c r="AK174" s="197">
        <f t="shared" si="25"/>
        <v>0</v>
      </c>
      <c r="AL174" s="197">
        <f t="shared" si="25"/>
        <v>0</v>
      </c>
    </row>
    <row r="175" spans="1:38">
      <c r="A175" s="11" t="str">
        <f t="shared" si="24"/>
        <v>05-421432602012</v>
      </c>
      <c r="B175" t="s">
        <v>199</v>
      </c>
      <c r="C175" t="s">
        <v>200</v>
      </c>
      <c r="D175">
        <v>2012</v>
      </c>
      <c r="E175" t="s">
        <v>63</v>
      </c>
      <c r="F175">
        <v>414217</v>
      </c>
      <c r="G175">
        <v>247</v>
      </c>
      <c r="H175" s="11" t="str">
        <f t="shared" si="23"/>
        <v>count</v>
      </c>
      <c r="I175" s="197" t="s">
        <v>662</v>
      </c>
      <c r="J175" s="197" t="s">
        <v>663</v>
      </c>
      <c r="K175" s="197" t="s">
        <v>145</v>
      </c>
      <c r="L175" s="197">
        <f t="shared" si="27"/>
        <v>4759</v>
      </c>
      <c r="M175" s="197">
        <f t="shared" si="27"/>
        <v>2476</v>
      </c>
      <c r="N175" s="197">
        <f t="shared" si="27"/>
        <v>544</v>
      </c>
      <c r="O175" s="197">
        <f t="shared" si="27"/>
        <v>30</v>
      </c>
      <c r="P175" s="197">
        <f t="shared" si="27"/>
        <v>1091</v>
      </c>
      <c r="Q175" s="197">
        <f t="shared" si="27"/>
        <v>0</v>
      </c>
      <c r="R175" s="197">
        <f t="shared" si="27"/>
        <v>4</v>
      </c>
      <c r="S175" s="197">
        <f t="shared" si="27"/>
        <v>0</v>
      </c>
      <c r="T175" s="197">
        <f t="shared" si="27"/>
        <v>0</v>
      </c>
      <c r="U175" s="197">
        <f t="shared" si="27"/>
        <v>3081</v>
      </c>
      <c r="V175" s="197">
        <f t="shared" si="26"/>
        <v>2264</v>
      </c>
      <c r="W175" s="197">
        <f t="shared" si="26"/>
        <v>672</v>
      </c>
      <c r="X175" s="197">
        <f t="shared" si="26"/>
        <v>53</v>
      </c>
      <c r="Y175" s="197">
        <f t="shared" si="26"/>
        <v>1188</v>
      </c>
      <c r="Z175" s="197">
        <f t="shared" si="26"/>
        <v>0</v>
      </c>
      <c r="AA175" s="197">
        <f t="shared" si="26"/>
        <v>2261</v>
      </c>
      <c r="AB175" s="197">
        <f t="shared" si="26"/>
        <v>0</v>
      </c>
      <c r="AC175" s="197">
        <f t="shared" si="26"/>
        <v>0</v>
      </c>
      <c r="AD175" s="197">
        <f t="shared" si="26"/>
        <v>2647</v>
      </c>
      <c r="AE175" s="197">
        <f t="shared" si="26"/>
        <v>1600</v>
      </c>
      <c r="AF175" s="197">
        <f t="shared" si="25"/>
        <v>525</v>
      </c>
      <c r="AG175" s="197">
        <f t="shared" si="25"/>
        <v>74</v>
      </c>
      <c r="AH175" s="197">
        <f t="shared" si="25"/>
        <v>968</v>
      </c>
      <c r="AI175" s="197">
        <f t="shared" si="25"/>
        <v>0</v>
      </c>
      <c r="AJ175" s="197">
        <f t="shared" si="25"/>
        <v>2239</v>
      </c>
      <c r="AK175" s="197">
        <f t="shared" si="25"/>
        <v>0</v>
      </c>
      <c r="AL175" s="197">
        <f t="shared" si="25"/>
        <v>0</v>
      </c>
    </row>
    <row r="176" spans="1:38">
      <c r="A176" s="11" t="str">
        <f t="shared" si="24"/>
        <v>05-421479652012</v>
      </c>
      <c r="B176" t="s">
        <v>202</v>
      </c>
      <c r="C176" t="s">
        <v>203</v>
      </c>
      <c r="D176">
        <v>2012</v>
      </c>
      <c r="E176" t="s">
        <v>133</v>
      </c>
      <c r="F176">
        <v>271040.5</v>
      </c>
      <c r="G176">
        <v>245</v>
      </c>
      <c r="H176" s="11" t="str">
        <f t="shared" si="23"/>
        <v>volume</v>
      </c>
      <c r="I176" s="197" t="s">
        <v>664</v>
      </c>
      <c r="J176" s="197" t="s">
        <v>665</v>
      </c>
      <c r="K176" s="197" t="s">
        <v>146</v>
      </c>
      <c r="L176" s="197">
        <f t="shared" si="27"/>
        <v>415516.08</v>
      </c>
      <c r="M176" s="197">
        <f t="shared" si="27"/>
        <v>399411.25</v>
      </c>
      <c r="N176" s="197">
        <f t="shared" si="27"/>
        <v>9072.26</v>
      </c>
      <c r="O176" s="197">
        <f t="shared" si="27"/>
        <v>0</v>
      </c>
      <c r="P176" s="197">
        <f t="shared" si="27"/>
        <v>134438.15</v>
      </c>
      <c r="Q176" s="197">
        <f t="shared" si="27"/>
        <v>0</v>
      </c>
      <c r="R176" s="197">
        <f t="shared" si="27"/>
        <v>1451.01</v>
      </c>
      <c r="S176" s="197">
        <f t="shared" si="27"/>
        <v>0</v>
      </c>
      <c r="T176" s="197">
        <f t="shared" si="27"/>
        <v>0</v>
      </c>
      <c r="U176" s="197">
        <f t="shared" si="27"/>
        <v>299294.52</v>
      </c>
      <c r="V176" s="197">
        <f t="shared" si="26"/>
        <v>243626.4</v>
      </c>
      <c r="W176" s="197">
        <f t="shared" si="26"/>
        <v>6907.46</v>
      </c>
      <c r="X176" s="197">
        <f t="shared" si="26"/>
        <v>0</v>
      </c>
      <c r="Y176" s="197">
        <f t="shared" si="26"/>
        <v>134254.09</v>
      </c>
      <c r="Z176" s="197">
        <f t="shared" si="26"/>
        <v>0</v>
      </c>
      <c r="AA176" s="197">
        <f t="shared" si="26"/>
        <v>99140.05</v>
      </c>
      <c r="AB176" s="197">
        <f t="shared" si="26"/>
        <v>0</v>
      </c>
      <c r="AC176" s="197">
        <f t="shared" si="26"/>
        <v>0</v>
      </c>
      <c r="AD176" s="197">
        <f t="shared" si="26"/>
        <v>276336.59000000003</v>
      </c>
      <c r="AE176" s="197">
        <f t="shared" si="26"/>
        <v>331437.21000000002</v>
      </c>
      <c r="AF176" s="197">
        <f t="shared" si="25"/>
        <v>4146.2</v>
      </c>
      <c r="AG176" s="197">
        <f t="shared" si="25"/>
        <v>0</v>
      </c>
      <c r="AH176" s="197">
        <f t="shared" si="25"/>
        <v>152397.09</v>
      </c>
      <c r="AI176" s="197">
        <f t="shared" si="25"/>
        <v>0</v>
      </c>
      <c r="AJ176" s="197">
        <f t="shared" si="25"/>
        <v>151669.38</v>
      </c>
      <c r="AK176" s="197">
        <f t="shared" si="25"/>
        <v>0</v>
      </c>
      <c r="AL176" s="197">
        <f t="shared" si="25"/>
        <v>0</v>
      </c>
    </row>
    <row r="177" spans="1:38">
      <c r="A177" s="11" t="str">
        <f t="shared" si="24"/>
        <v>05-421479652012</v>
      </c>
      <c r="B177" t="s">
        <v>202</v>
      </c>
      <c r="C177" t="s">
        <v>203</v>
      </c>
      <c r="D177">
        <v>2012</v>
      </c>
      <c r="E177" t="s">
        <v>104</v>
      </c>
      <c r="F177">
        <v>500307.85</v>
      </c>
      <c r="G177">
        <v>507</v>
      </c>
      <c r="H177" s="11" t="str">
        <f t="shared" si="23"/>
        <v>count</v>
      </c>
      <c r="I177" s="197" t="s">
        <v>664</v>
      </c>
      <c r="J177" s="197" t="s">
        <v>665</v>
      </c>
      <c r="K177" s="197" t="s">
        <v>145</v>
      </c>
      <c r="L177" s="197">
        <f t="shared" si="27"/>
        <v>1069</v>
      </c>
      <c r="M177" s="197">
        <f t="shared" si="27"/>
        <v>1101</v>
      </c>
      <c r="N177" s="197">
        <f t="shared" si="27"/>
        <v>29</v>
      </c>
      <c r="O177" s="197">
        <f t="shared" si="27"/>
        <v>0</v>
      </c>
      <c r="P177" s="197">
        <f t="shared" si="27"/>
        <v>253</v>
      </c>
      <c r="Q177" s="197">
        <f t="shared" si="27"/>
        <v>0</v>
      </c>
      <c r="R177" s="197">
        <f t="shared" si="27"/>
        <v>1</v>
      </c>
      <c r="S177" s="197">
        <f t="shared" si="27"/>
        <v>0</v>
      </c>
      <c r="T177" s="197">
        <f t="shared" si="27"/>
        <v>0</v>
      </c>
      <c r="U177" s="197">
        <f t="shared" si="27"/>
        <v>801</v>
      </c>
      <c r="V177" s="197">
        <f t="shared" si="26"/>
        <v>988</v>
      </c>
      <c r="W177" s="197">
        <f t="shared" si="26"/>
        <v>17</v>
      </c>
      <c r="X177" s="197">
        <f t="shared" si="26"/>
        <v>0</v>
      </c>
      <c r="Y177" s="197">
        <f t="shared" si="26"/>
        <v>250</v>
      </c>
      <c r="Z177" s="197">
        <f t="shared" si="26"/>
        <v>0</v>
      </c>
      <c r="AA177" s="197">
        <f t="shared" si="26"/>
        <v>259</v>
      </c>
      <c r="AB177" s="197">
        <f t="shared" si="26"/>
        <v>0</v>
      </c>
      <c r="AC177" s="197">
        <f t="shared" si="26"/>
        <v>0</v>
      </c>
      <c r="AD177" s="197">
        <f t="shared" si="26"/>
        <v>1029</v>
      </c>
      <c r="AE177" s="197">
        <f t="shared" si="26"/>
        <v>1654</v>
      </c>
      <c r="AF177" s="197">
        <f t="shared" si="25"/>
        <v>15</v>
      </c>
      <c r="AG177" s="197">
        <f t="shared" si="25"/>
        <v>0</v>
      </c>
      <c r="AH177" s="197">
        <f t="shared" ref="AF177:AL213" si="28">SUMIFS(IF($K177="volume",$F:$F,$G:$G),$D:$D,AH$2,$B:$B,$I177,$E:$E,AH$3)</f>
        <v>347</v>
      </c>
      <c r="AI177" s="197">
        <f t="shared" si="28"/>
        <v>0</v>
      </c>
      <c r="AJ177" s="197">
        <f t="shared" si="28"/>
        <v>429</v>
      </c>
      <c r="AK177" s="197">
        <f t="shared" si="28"/>
        <v>0</v>
      </c>
      <c r="AL177" s="197">
        <f t="shared" si="28"/>
        <v>0</v>
      </c>
    </row>
    <row r="178" spans="1:38">
      <c r="A178" s="11" t="str">
        <f t="shared" si="24"/>
        <v>05-421479652011</v>
      </c>
      <c r="B178" t="s">
        <v>202</v>
      </c>
      <c r="C178" t="s">
        <v>203</v>
      </c>
      <c r="D178">
        <v>2011</v>
      </c>
      <c r="E178" t="s">
        <v>106</v>
      </c>
      <c r="F178">
        <v>138043</v>
      </c>
      <c r="G178">
        <v>65</v>
      </c>
      <c r="H178" s="11" t="str">
        <f t="shared" si="23"/>
        <v>count</v>
      </c>
      <c r="I178" s="197" t="s">
        <v>669</v>
      </c>
      <c r="J178" s="197" t="s">
        <v>670</v>
      </c>
      <c r="K178" s="197" t="s">
        <v>146</v>
      </c>
      <c r="L178" s="197">
        <f t="shared" si="27"/>
        <v>886252.69</v>
      </c>
      <c r="M178" s="197">
        <f t="shared" si="27"/>
        <v>407715.15</v>
      </c>
      <c r="N178" s="197">
        <f t="shared" si="27"/>
        <v>133857.57999999999</v>
      </c>
      <c r="O178" s="197">
        <f t="shared" si="27"/>
        <v>0</v>
      </c>
      <c r="P178" s="197">
        <f t="shared" si="27"/>
        <v>27278.49</v>
      </c>
      <c r="Q178" s="197">
        <f t="shared" si="27"/>
        <v>0</v>
      </c>
      <c r="R178" s="197">
        <f t="shared" si="27"/>
        <v>2401.58</v>
      </c>
      <c r="S178" s="197">
        <f t="shared" si="27"/>
        <v>0</v>
      </c>
      <c r="T178" s="197">
        <f t="shared" si="27"/>
        <v>0</v>
      </c>
      <c r="U178" s="197">
        <f t="shared" si="27"/>
        <v>23912.45</v>
      </c>
      <c r="V178" s="197">
        <f t="shared" si="26"/>
        <v>22550.1</v>
      </c>
      <c r="W178" s="197">
        <f t="shared" si="26"/>
        <v>4377.25</v>
      </c>
      <c r="X178" s="197">
        <f t="shared" si="26"/>
        <v>0</v>
      </c>
      <c r="Y178" s="197">
        <f t="shared" si="26"/>
        <v>0</v>
      </c>
      <c r="Z178" s="197">
        <f t="shared" si="26"/>
        <v>0</v>
      </c>
      <c r="AA178" s="197">
        <f t="shared" si="26"/>
        <v>23512.639999999999</v>
      </c>
      <c r="AB178" s="197">
        <f t="shared" si="26"/>
        <v>0</v>
      </c>
      <c r="AC178" s="197">
        <f t="shared" si="26"/>
        <v>0</v>
      </c>
      <c r="AD178" s="197">
        <f t="shared" si="26"/>
        <v>0</v>
      </c>
      <c r="AE178" s="197">
        <f t="shared" si="26"/>
        <v>0</v>
      </c>
      <c r="AF178" s="197">
        <f t="shared" si="28"/>
        <v>0</v>
      </c>
      <c r="AG178" s="197">
        <f t="shared" si="28"/>
        <v>0</v>
      </c>
      <c r="AH178" s="197">
        <f t="shared" si="28"/>
        <v>0</v>
      </c>
      <c r="AI178" s="197">
        <f t="shared" si="28"/>
        <v>0</v>
      </c>
      <c r="AJ178" s="197">
        <f t="shared" si="28"/>
        <v>0</v>
      </c>
      <c r="AK178" s="197">
        <f t="shared" si="28"/>
        <v>0</v>
      </c>
      <c r="AL178" s="197">
        <f t="shared" si="28"/>
        <v>0</v>
      </c>
    </row>
    <row r="179" spans="1:38">
      <c r="A179" s="11" t="str">
        <f t="shared" si="24"/>
        <v>05-421479652012</v>
      </c>
      <c r="B179" t="s">
        <v>202</v>
      </c>
      <c r="C179" t="s">
        <v>203</v>
      </c>
      <c r="D179">
        <v>2012</v>
      </c>
      <c r="E179" t="s">
        <v>69</v>
      </c>
      <c r="F179">
        <v>243205.67</v>
      </c>
      <c r="G179">
        <v>330</v>
      </c>
      <c r="H179" s="11" t="str">
        <f t="shared" si="23"/>
        <v>count</v>
      </c>
      <c r="I179" s="197" t="s">
        <v>669</v>
      </c>
      <c r="J179" s="197" t="s">
        <v>670</v>
      </c>
      <c r="K179" s="197" t="s">
        <v>145</v>
      </c>
      <c r="L179" s="197">
        <f t="shared" si="27"/>
        <v>2451</v>
      </c>
      <c r="M179" s="197">
        <f t="shared" si="27"/>
        <v>1167</v>
      </c>
      <c r="N179" s="197">
        <f t="shared" si="27"/>
        <v>330</v>
      </c>
      <c r="O179" s="197">
        <f t="shared" si="27"/>
        <v>0</v>
      </c>
      <c r="P179" s="197">
        <f t="shared" si="27"/>
        <v>90</v>
      </c>
      <c r="Q179" s="197">
        <f t="shared" si="27"/>
        <v>0</v>
      </c>
      <c r="R179" s="197">
        <f t="shared" si="27"/>
        <v>6</v>
      </c>
      <c r="S179" s="197">
        <f t="shared" si="27"/>
        <v>0</v>
      </c>
      <c r="T179" s="197">
        <f t="shared" si="27"/>
        <v>0</v>
      </c>
      <c r="U179" s="197">
        <f t="shared" si="27"/>
        <v>67</v>
      </c>
      <c r="V179" s="197">
        <f t="shared" ref="V179:AE204" si="29">SUMIFS(IF($K179="volume",$F:$F,$G:$G),$D:$D,V$2,$B:$B,$I179,$E:$E,V$3)</f>
        <v>61</v>
      </c>
      <c r="W179" s="197">
        <f t="shared" si="29"/>
        <v>16</v>
      </c>
      <c r="X179" s="197">
        <f t="shared" si="29"/>
        <v>0</v>
      </c>
      <c r="Y179" s="197">
        <f t="shared" si="29"/>
        <v>0</v>
      </c>
      <c r="Z179" s="197">
        <f t="shared" si="29"/>
        <v>0</v>
      </c>
      <c r="AA179" s="197">
        <f t="shared" si="29"/>
        <v>70</v>
      </c>
      <c r="AB179" s="197">
        <f t="shared" si="29"/>
        <v>0</v>
      </c>
      <c r="AC179" s="197">
        <f t="shared" si="29"/>
        <v>0</v>
      </c>
      <c r="AD179" s="197">
        <f t="shared" si="29"/>
        <v>0</v>
      </c>
      <c r="AE179" s="197">
        <f t="shared" si="29"/>
        <v>0</v>
      </c>
      <c r="AF179" s="197">
        <f t="shared" si="28"/>
        <v>0</v>
      </c>
      <c r="AG179" s="197">
        <f t="shared" si="28"/>
        <v>0</v>
      </c>
      <c r="AH179" s="197">
        <f t="shared" si="28"/>
        <v>0</v>
      </c>
      <c r="AI179" s="197">
        <f t="shared" si="28"/>
        <v>0</v>
      </c>
      <c r="AJ179" s="197">
        <f t="shared" si="28"/>
        <v>0</v>
      </c>
      <c r="AK179" s="197">
        <f t="shared" si="28"/>
        <v>0</v>
      </c>
      <c r="AL179" s="197">
        <f t="shared" si="28"/>
        <v>0</v>
      </c>
    </row>
    <row r="180" spans="1:38">
      <c r="A180" s="11" t="str">
        <f t="shared" si="24"/>
        <v>05-421479652013</v>
      </c>
      <c r="B180" t="s">
        <v>202</v>
      </c>
      <c r="C180" t="s">
        <v>203</v>
      </c>
      <c r="D180">
        <v>2013</v>
      </c>
      <c r="E180" t="s">
        <v>133</v>
      </c>
      <c r="F180">
        <v>307273.5</v>
      </c>
      <c r="G180">
        <v>232</v>
      </c>
      <c r="H180" s="11" t="str">
        <f t="shared" si="23"/>
        <v>count</v>
      </c>
      <c r="I180" s="197" t="s">
        <v>672</v>
      </c>
      <c r="J180" s="197" t="s">
        <v>673</v>
      </c>
      <c r="K180" s="197" t="s">
        <v>146</v>
      </c>
      <c r="L180" s="197">
        <f t="shared" ref="L180:U205" si="30">SUMIFS(IF($K180="volume",$F:$F,$G:$G),$D:$D,L$2,$B:$B,$I180,$E:$E,L$3)</f>
        <v>807204.55</v>
      </c>
      <c r="M180" s="197">
        <f t="shared" si="30"/>
        <v>418403.8</v>
      </c>
      <c r="N180" s="197">
        <f t="shared" si="30"/>
        <v>132406</v>
      </c>
      <c r="O180" s="197">
        <f t="shared" si="30"/>
        <v>0</v>
      </c>
      <c r="P180" s="197">
        <f t="shared" si="30"/>
        <v>0</v>
      </c>
      <c r="Q180" s="197">
        <f t="shared" si="30"/>
        <v>0</v>
      </c>
      <c r="R180" s="197">
        <f t="shared" si="30"/>
        <v>4048.09</v>
      </c>
      <c r="S180" s="197">
        <f t="shared" si="30"/>
        <v>0</v>
      </c>
      <c r="T180" s="197">
        <f t="shared" si="30"/>
        <v>0</v>
      </c>
      <c r="U180" s="197">
        <f t="shared" si="30"/>
        <v>555535.93000000005</v>
      </c>
      <c r="V180" s="197">
        <f t="shared" si="29"/>
        <v>398539.52000000002</v>
      </c>
      <c r="W180" s="197">
        <f t="shared" si="29"/>
        <v>129650.72</v>
      </c>
      <c r="X180" s="197">
        <f t="shared" si="29"/>
        <v>0</v>
      </c>
      <c r="Y180" s="197">
        <f t="shared" si="29"/>
        <v>0</v>
      </c>
      <c r="Z180" s="197">
        <f t="shared" si="29"/>
        <v>0</v>
      </c>
      <c r="AA180" s="197">
        <f t="shared" si="29"/>
        <v>282117.44</v>
      </c>
      <c r="AB180" s="197">
        <f t="shared" si="29"/>
        <v>0</v>
      </c>
      <c r="AC180" s="197">
        <f t="shared" si="29"/>
        <v>0</v>
      </c>
      <c r="AD180" s="197">
        <f t="shared" si="29"/>
        <v>573011.81999999995</v>
      </c>
      <c r="AE180" s="197">
        <f t="shared" si="29"/>
        <v>275526.49</v>
      </c>
      <c r="AF180" s="197">
        <f t="shared" si="28"/>
        <v>87672.86</v>
      </c>
      <c r="AG180" s="197">
        <f t="shared" si="28"/>
        <v>0</v>
      </c>
      <c r="AH180" s="197">
        <f t="shared" si="28"/>
        <v>0</v>
      </c>
      <c r="AI180" s="197">
        <f t="shared" si="28"/>
        <v>0</v>
      </c>
      <c r="AJ180" s="197">
        <f t="shared" si="28"/>
        <v>304922.21999999997</v>
      </c>
      <c r="AK180" s="197">
        <f t="shared" si="28"/>
        <v>0</v>
      </c>
      <c r="AL180" s="197">
        <f t="shared" si="28"/>
        <v>0</v>
      </c>
    </row>
    <row r="181" spans="1:38">
      <c r="A181" s="11" t="str">
        <f t="shared" si="24"/>
        <v>05-421479652013</v>
      </c>
      <c r="B181" t="s">
        <v>202</v>
      </c>
      <c r="C181" t="s">
        <v>203</v>
      </c>
      <c r="D181">
        <v>2013</v>
      </c>
      <c r="E181" t="s">
        <v>105</v>
      </c>
      <c r="F181">
        <v>101973.75</v>
      </c>
      <c r="G181">
        <v>103</v>
      </c>
      <c r="H181" s="11" t="str">
        <f t="shared" si="23"/>
        <v>count</v>
      </c>
      <c r="I181" s="197" t="s">
        <v>672</v>
      </c>
      <c r="J181" s="197" t="s">
        <v>673</v>
      </c>
      <c r="K181" s="197" t="s">
        <v>145</v>
      </c>
      <c r="L181" s="197">
        <f t="shared" si="30"/>
        <v>1089</v>
      </c>
      <c r="M181" s="197">
        <f t="shared" si="30"/>
        <v>547</v>
      </c>
      <c r="N181" s="197">
        <f t="shared" si="30"/>
        <v>158</v>
      </c>
      <c r="O181" s="197">
        <f t="shared" si="30"/>
        <v>0</v>
      </c>
      <c r="P181" s="197">
        <f t="shared" si="30"/>
        <v>0</v>
      </c>
      <c r="Q181" s="197">
        <f t="shared" si="30"/>
        <v>0</v>
      </c>
      <c r="R181" s="197">
        <f t="shared" si="30"/>
        <v>4</v>
      </c>
      <c r="S181" s="197">
        <f t="shared" si="30"/>
        <v>0</v>
      </c>
      <c r="T181" s="197">
        <f t="shared" si="30"/>
        <v>0</v>
      </c>
      <c r="U181" s="197">
        <f t="shared" si="30"/>
        <v>666</v>
      </c>
      <c r="V181" s="197">
        <f t="shared" si="29"/>
        <v>462</v>
      </c>
      <c r="W181" s="197">
        <f t="shared" si="29"/>
        <v>146</v>
      </c>
      <c r="X181" s="197">
        <f t="shared" si="29"/>
        <v>0</v>
      </c>
      <c r="Y181" s="197">
        <f t="shared" si="29"/>
        <v>0</v>
      </c>
      <c r="Z181" s="197">
        <f t="shared" si="29"/>
        <v>0</v>
      </c>
      <c r="AA181" s="197">
        <f t="shared" si="29"/>
        <v>360</v>
      </c>
      <c r="AB181" s="197">
        <f t="shared" si="29"/>
        <v>0</v>
      </c>
      <c r="AC181" s="197">
        <f t="shared" si="29"/>
        <v>0</v>
      </c>
      <c r="AD181" s="197">
        <f t="shared" si="29"/>
        <v>703</v>
      </c>
      <c r="AE181" s="197">
        <f t="shared" si="29"/>
        <v>354</v>
      </c>
      <c r="AF181" s="197">
        <f t="shared" si="28"/>
        <v>115</v>
      </c>
      <c r="AG181" s="197">
        <f t="shared" si="28"/>
        <v>0</v>
      </c>
      <c r="AH181" s="197">
        <f t="shared" si="28"/>
        <v>0</v>
      </c>
      <c r="AI181" s="197">
        <f t="shared" si="28"/>
        <v>0</v>
      </c>
      <c r="AJ181" s="197">
        <f t="shared" si="28"/>
        <v>494</v>
      </c>
      <c r="AK181" s="197">
        <f t="shared" si="28"/>
        <v>0</v>
      </c>
      <c r="AL181" s="197">
        <f t="shared" si="28"/>
        <v>0</v>
      </c>
    </row>
    <row r="182" spans="1:38">
      <c r="A182" s="11" t="str">
        <f t="shared" si="24"/>
        <v>05-421479652012</v>
      </c>
      <c r="B182" t="s">
        <v>202</v>
      </c>
      <c r="C182" t="s">
        <v>203</v>
      </c>
      <c r="D182">
        <v>2012</v>
      </c>
      <c r="E182" t="s">
        <v>63</v>
      </c>
      <c r="F182">
        <v>900062.5</v>
      </c>
      <c r="G182">
        <v>839</v>
      </c>
      <c r="H182" s="11" t="str">
        <f t="shared" si="23"/>
        <v>count</v>
      </c>
      <c r="I182" s="197" t="s">
        <v>676</v>
      </c>
      <c r="J182" s="197" t="s">
        <v>677</v>
      </c>
      <c r="K182" s="197" t="s">
        <v>146</v>
      </c>
      <c r="L182" s="197">
        <f t="shared" si="30"/>
        <v>512442.9</v>
      </c>
      <c r="M182" s="197">
        <f t="shared" si="30"/>
        <v>163140.69</v>
      </c>
      <c r="N182" s="197">
        <f t="shared" si="30"/>
        <v>0</v>
      </c>
      <c r="O182" s="197">
        <f t="shared" si="30"/>
        <v>4110.37</v>
      </c>
      <c r="P182" s="197">
        <f t="shared" si="30"/>
        <v>0</v>
      </c>
      <c r="Q182" s="197">
        <f t="shared" si="30"/>
        <v>0</v>
      </c>
      <c r="R182" s="197">
        <f t="shared" si="30"/>
        <v>0</v>
      </c>
      <c r="S182" s="197">
        <f t="shared" si="30"/>
        <v>0</v>
      </c>
      <c r="T182" s="197">
        <f t="shared" si="30"/>
        <v>0</v>
      </c>
      <c r="U182" s="197">
        <f t="shared" si="30"/>
        <v>553177.78</v>
      </c>
      <c r="V182" s="197">
        <f t="shared" si="29"/>
        <v>166797.06</v>
      </c>
      <c r="W182" s="197">
        <f t="shared" si="29"/>
        <v>0</v>
      </c>
      <c r="X182" s="197">
        <f t="shared" si="29"/>
        <v>0</v>
      </c>
      <c r="Y182" s="197">
        <f t="shared" si="29"/>
        <v>0</v>
      </c>
      <c r="Z182" s="197">
        <f t="shared" si="29"/>
        <v>0</v>
      </c>
      <c r="AA182" s="197">
        <f t="shared" si="29"/>
        <v>36446.89</v>
      </c>
      <c r="AB182" s="197">
        <f t="shared" si="29"/>
        <v>0</v>
      </c>
      <c r="AC182" s="197">
        <f t="shared" si="29"/>
        <v>0</v>
      </c>
      <c r="AD182" s="197">
        <f t="shared" si="29"/>
        <v>28084.959999999999</v>
      </c>
      <c r="AE182" s="197">
        <f t="shared" si="29"/>
        <v>577.46</v>
      </c>
      <c r="AF182" s="197">
        <f t="shared" si="28"/>
        <v>0</v>
      </c>
      <c r="AG182" s="197">
        <f t="shared" si="28"/>
        <v>0</v>
      </c>
      <c r="AH182" s="197">
        <f t="shared" si="28"/>
        <v>0</v>
      </c>
      <c r="AI182" s="197">
        <f t="shared" si="28"/>
        <v>0</v>
      </c>
      <c r="AJ182" s="197">
        <f t="shared" si="28"/>
        <v>0</v>
      </c>
      <c r="AK182" s="197">
        <f t="shared" si="28"/>
        <v>0</v>
      </c>
      <c r="AL182" s="197">
        <f t="shared" si="28"/>
        <v>0</v>
      </c>
    </row>
    <row r="183" spans="1:38">
      <c r="A183" s="11" t="str">
        <f t="shared" si="24"/>
        <v>05-421479652013</v>
      </c>
      <c r="B183" t="s">
        <v>202</v>
      </c>
      <c r="C183" t="s">
        <v>203</v>
      </c>
      <c r="D183">
        <v>2013</v>
      </c>
      <c r="E183" t="s">
        <v>69</v>
      </c>
      <c r="F183">
        <v>381830.25</v>
      </c>
      <c r="G183">
        <v>478</v>
      </c>
      <c r="H183" s="11" t="str">
        <f t="shared" si="23"/>
        <v>count</v>
      </c>
      <c r="I183" s="197" t="s">
        <v>676</v>
      </c>
      <c r="J183" s="197" t="s">
        <v>677</v>
      </c>
      <c r="K183" s="197" t="s">
        <v>145</v>
      </c>
      <c r="L183" s="197">
        <f t="shared" si="30"/>
        <v>471</v>
      </c>
      <c r="M183" s="197">
        <f t="shared" si="30"/>
        <v>154</v>
      </c>
      <c r="N183" s="197">
        <f t="shared" si="30"/>
        <v>0</v>
      </c>
      <c r="O183" s="197">
        <f t="shared" si="30"/>
        <v>3</v>
      </c>
      <c r="P183" s="197">
        <f t="shared" si="30"/>
        <v>0</v>
      </c>
      <c r="Q183" s="197">
        <f t="shared" si="30"/>
        <v>0</v>
      </c>
      <c r="R183" s="197">
        <f t="shared" si="30"/>
        <v>0</v>
      </c>
      <c r="S183" s="197">
        <f t="shared" si="30"/>
        <v>0</v>
      </c>
      <c r="T183" s="197">
        <f t="shared" si="30"/>
        <v>0</v>
      </c>
      <c r="U183" s="197">
        <f t="shared" si="30"/>
        <v>474</v>
      </c>
      <c r="V183" s="197">
        <f t="shared" si="29"/>
        <v>150</v>
      </c>
      <c r="W183" s="197">
        <f t="shared" si="29"/>
        <v>0</v>
      </c>
      <c r="X183" s="197">
        <f t="shared" si="29"/>
        <v>0</v>
      </c>
      <c r="Y183" s="197">
        <f t="shared" si="29"/>
        <v>0</v>
      </c>
      <c r="Z183" s="197">
        <f t="shared" si="29"/>
        <v>0</v>
      </c>
      <c r="AA183" s="197">
        <f t="shared" si="29"/>
        <v>42</v>
      </c>
      <c r="AB183" s="197">
        <f t="shared" si="29"/>
        <v>0</v>
      </c>
      <c r="AC183" s="197">
        <f t="shared" si="29"/>
        <v>0</v>
      </c>
      <c r="AD183" s="197">
        <f t="shared" si="29"/>
        <v>17</v>
      </c>
      <c r="AE183" s="197">
        <f t="shared" si="29"/>
        <v>1</v>
      </c>
      <c r="AF183" s="197">
        <f t="shared" si="28"/>
        <v>0</v>
      </c>
      <c r="AG183" s="197">
        <f t="shared" si="28"/>
        <v>0</v>
      </c>
      <c r="AH183" s="197">
        <f t="shared" si="28"/>
        <v>0</v>
      </c>
      <c r="AI183" s="197">
        <f t="shared" si="28"/>
        <v>0</v>
      </c>
      <c r="AJ183" s="197">
        <f t="shared" si="28"/>
        <v>0</v>
      </c>
      <c r="AK183" s="197">
        <f t="shared" si="28"/>
        <v>0</v>
      </c>
      <c r="AL183" s="197">
        <f t="shared" si="28"/>
        <v>0</v>
      </c>
    </row>
    <row r="184" spans="1:38">
      <c r="A184" s="11" t="str">
        <f t="shared" si="24"/>
        <v>05-421479652012</v>
      </c>
      <c r="B184" t="s">
        <v>202</v>
      </c>
      <c r="C184" t="s">
        <v>203</v>
      </c>
      <c r="D184">
        <v>2012</v>
      </c>
      <c r="E184" t="s">
        <v>105</v>
      </c>
      <c r="F184">
        <v>114285</v>
      </c>
      <c r="G184">
        <v>126</v>
      </c>
      <c r="H184" s="11" t="str">
        <f t="shared" si="23"/>
        <v>count</v>
      </c>
      <c r="I184" s="197" t="s">
        <v>686</v>
      </c>
      <c r="J184" s="197" t="s">
        <v>687</v>
      </c>
      <c r="K184" s="197" t="s">
        <v>146</v>
      </c>
      <c r="L184" s="197">
        <f t="shared" si="30"/>
        <v>149159.20000000001</v>
      </c>
      <c r="M184" s="197">
        <f t="shared" si="30"/>
        <v>73356.27</v>
      </c>
      <c r="N184" s="197">
        <f t="shared" si="30"/>
        <v>0</v>
      </c>
      <c r="O184" s="197">
        <f t="shared" si="30"/>
        <v>0</v>
      </c>
      <c r="P184" s="197">
        <f t="shared" si="30"/>
        <v>0</v>
      </c>
      <c r="Q184" s="197">
        <f t="shared" si="30"/>
        <v>0</v>
      </c>
      <c r="R184" s="197">
        <f t="shared" si="30"/>
        <v>4818.7700000000004</v>
      </c>
      <c r="S184" s="197">
        <f t="shared" si="30"/>
        <v>0</v>
      </c>
      <c r="T184" s="197">
        <f t="shared" si="30"/>
        <v>0</v>
      </c>
      <c r="U184" s="197">
        <f t="shared" si="30"/>
        <v>333598.13</v>
      </c>
      <c r="V184" s="197">
        <f t="shared" si="29"/>
        <v>165131.46</v>
      </c>
      <c r="W184" s="197">
        <f t="shared" si="29"/>
        <v>0</v>
      </c>
      <c r="X184" s="197">
        <f t="shared" si="29"/>
        <v>0</v>
      </c>
      <c r="Y184" s="197">
        <f t="shared" si="29"/>
        <v>0</v>
      </c>
      <c r="Z184" s="197">
        <f t="shared" si="29"/>
        <v>0</v>
      </c>
      <c r="AA184" s="197">
        <f t="shared" si="29"/>
        <v>113860.88</v>
      </c>
      <c r="AB184" s="197">
        <f t="shared" si="29"/>
        <v>0</v>
      </c>
      <c r="AC184" s="197">
        <f t="shared" si="29"/>
        <v>0</v>
      </c>
      <c r="AD184" s="197">
        <f t="shared" si="29"/>
        <v>304099.64</v>
      </c>
      <c r="AE184" s="197">
        <f t="shared" si="29"/>
        <v>203551.55</v>
      </c>
      <c r="AF184" s="197">
        <f t="shared" si="28"/>
        <v>0</v>
      </c>
      <c r="AG184" s="197">
        <f t="shared" si="28"/>
        <v>0</v>
      </c>
      <c r="AH184" s="197">
        <f t="shared" si="28"/>
        <v>0</v>
      </c>
      <c r="AI184" s="197">
        <f t="shared" si="28"/>
        <v>0</v>
      </c>
      <c r="AJ184" s="197">
        <f t="shared" si="28"/>
        <v>131190.32999999999</v>
      </c>
      <c r="AK184" s="197">
        <f t="shared" si="28"/>
        <v>0</v>
      </c>
      <c r="AL184" s="197">
        <f t="shared" si="28"/>
        <v>0</v>
      </c>
    </row>
    <row r="185" spans="1:38">
      <c r="A185" s="11" t="str">
        <f t="shared" si="24"/>
        <v>05-421479652012</v>
      </c>
      <c r="B185" t="s">
        <v>202</v>
      </c>
      <c r="C185" t="s">
        <v>203</v>
      </c>
      <c r="D185">
        <v>2012</v>
      </c>
      <c r="E185" t="s">
        <v>106</v>
      </c>
      <c r="F185">
        <v>197181.67</v>
      </c>
      <c r="G185">
        <v>97</v>
      </c>
      <c r="H185" s="11" t="str">
        <f t="shared" si="23"/>
        <v>count</v>
      </c>
      <c r="I185" s="197" t="s">
        <v>686</v>
      </c>
      <c r="J185" s="197" t="s">
        <v>687</v>
      </c>
      <c r="K185" s="197" t="s">
        <v>145</v>
      </c>
      <c r="L185" s="197">
        <f t="shared" si="30"/>
        <v>115</v>
      </c>
      <c r="M185" s="197">
        <f t="shared" si="30"/>
        <v>64</v>
      </c>
      <c r="N185" s="197">
        <f t="shared" si="30"/>
        <v>0</v>
      </c>
      <c r="O185" s="197">
        <f t="shared" si="30"/>
        <v>0</v>
      </c>
      <c r="P185" s="197">
        <f t="shared" si="30"/>
        <v>0</v>
      </c>
      <c r="Q185" s="197">
        <f t="shared" si="30"/>
        <v>0</v>
      </c>
      <c r="R185" s="197">
        <f t="shared" si="30"/>
        <v>4</v>
      </c>
      <c r="S185" s="197">
        <f t="shared" si="30"/>
        <v>0</v>
      </c>
      <c r="T185" s="197">
        <f t="shared" si="30"/>
        <v>0</v>
      </c>
      <c r="U185" s="197">
        <f t="shared" si="30"/>
        <v>271</v>
      </c>
      <c r="V185" s="197">
        <f t="shared" si="29"/>
        <v>121</v>
      </c>
      <c r="W185" s="197">
        <f t="shared" si="29"/>
        <v>0</v>
      </c>
      <c r="X185" s="197">
        <f t="shared" si="29"/>
        <v>0</v>
      </c>
      <c r="Y185" s="197">
        <f t="shared" si="29"/>
        <v>0</v>
      </c>
      <c r="Z185" s="197">
        <f t="shared" si="29"/>
        <v>0</v>
      </c>
      <c r="AA185" s="197">
        <f t="shared" si="29"/>
        <v>107</v>
      </c>
      <c r="AB185" s="197">
        <f t="shared" si="29"/>
        <v>0</v>
      </c>
      <c r="AC185" s="197">
        <f t="shared" si="29"/>
        <v>0</v>
      </c>
      <c r="AD185" s="197">
        <f t="shared" si="29"/>
        <v>275</v>
      </c>
      <c r="AE185" s="197">
        <f t="shared" si="29"/>
        <v>171</v>
      </c>
      <c r="AF185" s="197">
        <f t="shared" si="28"/>
        <v>0</v>
      </c>
      <c r="AG185" s="197">
        <f t="shared" si="28"/>
        <v>0</v>
      </c>
      <c r="AH185" s="197">
        <f t="shared" si="28"/>
        <v>0</v>
      </c>
      <c r="AI185" s="197">
        <f t="shared" si="28"/>
        <v>0</v>
      </c>
      <c r="AJ185" s="197">
        <f t="shared" si="28"/>
        <v>126</v>
      </c>
      <c r="AK185" s="197">
        <f t="shared" si="28"/>
        <v>0</v>
      </c>
      <c r="AL185" s="197">
        <f t="shared" si="28"/>
        <v>0</v>
      </c>
    </row>
    <row r="186" spans="1:38">
      <c r="A186" s="11" t="str">
        <f t="shared" si="24"/>
        <v>05-421479652011</v>
      </c>
      <c r="B186" t="s">
        <v>202</v>
      </c>
      <c r="C186" t="s">
        <v>203</v>
      </c>
      <c r="D186">
        <v>2011</v>
      </c>
      <c r="E186" t="s">
        <v>104</v>
      </c>
      <c r="F186">
        <v>537512.23</v>
      </c>
      <c r="G186">
        <v>516</v>
      </c>
      <c r="H186" s="11" t="str">
        <f t="shared" si="23"/>
        <v>count</v>
      </c>
      <c r="I186" s="197" t="s">
        <v>691</v>
      </c>
      <c r="J186" s="197" t="s">
        <v>692</v>
      </c>
      <c r="K186" s="197" t="s">
        <v>146</v>
      </c>
      <c r="L186" s="197">
        <f t="shared" si="30"/>
        <v>0</v>
      </c>
      <c r="M186" s="197">
        <f t="shared" si="30"/>
        <v>0</v>
      </c>
      <c r="N186" s="197">
        <f t="shared" si="30"/>
        <v>0</v>
      </c>
      <c r="O186" s="197">
        <f t="shared" si="30"/>
        <v>0</v>
      </c>
      <c r="P186" s="197">
        <f t="shared" si="30"/>
        <v>0</v>
      </c>
      <c r="Q186" s="197">
        <f t="shared" si="30"/>
        <v>0</v>
      </c>
      <c r="R186" s="197">
        <f t="shared" si="30"/>
        <v>0</v>
      </c>
      <c r="S186" s="197">
        <f t="shared" si="30"/>
        <v>0</v>
      </c>
      <c r="T186" s="197">
        <f t="shared" si="30"/>
        <v>0</v>
      </c>
      <c r="U186" s="197">
        <f t="shared" si="30"/>
        <v>164391.51999999999</v>
      </c>
      <c r="V186" s="197">
        <f t="shared" si="29"/>
        <v>124898.89</v>
      </c>
      <c r="W186" s="197">
        <f t="shared" si="29"/>
        <v>0</v>
      </c>
      <c r="X186" s="197">
        <f t="shared" si="29"/>
        <v>0</v>
      </c>
      <c r="Y186" s="197">
        <f t="shared" si="29"/>
        <v>245344.4</v>
      </c>
      <c r="Z186" s="197">
        <f t="shared" si="29"/>
        <v>0</v>
      </c>
      <c r="AA186" s="197">
        <f t="shared" si="29"/>
        <v>53577.81</v>
      </c>
      <c r="AB186" s="197">
        <f t="shared" si="29"/>
        <v>0</v>
      </c>
      <c r="AC186" s="197">
        <f t="shared" si="29"/>
        <v>0</v>
      </c>
      <c r="AD186" s="197">
        <f t="shared" si="29"/>
        <v>0</v>
      </c>
      <c r="AE186" s="197">
        <f t="shared" si="29"/>
        <v>0</v>
      </c>
      <c r="AF186" s="197">
        <f t="shared" si="28"/>
        <v>0</v>
      </c>
      <c r="AG186" s="197">
        <f t="shared" si="28"/>
        <v>0</v>
      </c>
      <c r="AH186" s="197">
        <f t="shared" si="28"/>
        <v>0</v>
      </c>
      <c r="AI186" s="197">
        <f t="shared" si="28"/>
        <v>0</v>
      </c>
      <c r="AJ186" s="197">
        <f t="shared" si="28"/>
        <v>0</v>
      </c>
      <c r="AK186" s="197">
        <f t="shared" si="28"/>
        <v>0</v>
      </c>
      <c r="AL186" s="197">
        <f t="shared" si="28"/>
        <v>0</v>
      </c>
    </row>
    <row r="187" spans="1:38">
      <c r="A187" s="11" t="str">
        <f t="shared" si="24"/>
        <v>05-421479652011</v>
      </c>
      <c r="B187" t="s">
        <v>202</v>
      </c>
      <c r="C187" t="s">
        <v>203</v>
      </c>
      <c r="D187">
        <v>2011</v>
      </c>
      <c r="E187" t="s">
        <v>63</v>
      </c>
      <c r="F187">
        <v>977214</v>
      </c>
      <c r="G187">
        <v>981</v>
      </c>
      <c r="H187" s="11" t="str">
        <f t="shared" si="23"/>
        <v>count</v>
      </c>
      <c r="I187" s="197" t="s">
        <v>691</v>
      </c>
      <c r="J187" s="197" t="s">
        <v>692</v>
      </c>
      <c r="K187" s="197" t="s">
        <v>145</v>
      </c>
      <c r="L187" s="197">
        <f t="shared" si="30"/>
        <v>0</v>
      </c>
      <c r="M187" s="197">
        <f t="shared" si="30"/>
        <v>0</v>
      </c>
      <c r="N187" s="197">
        <f t="shared" si="30"/>
        <v>0</v>
      </c>
      <c r="O187" s="197">
        <f t="shared" si="30"/>
        <v>0</v>
      </c>
      <c r="P187" s="197">
        <f t="shared" si="30"/>
        <v>0</v>
      </c>
      <c r="Q187" s="197">
        <f t="shared" si="30"/>
        <v>0</v>
      </c>
      <c r="R187" s="197">
        <f t="shared" si="30"/>
        <v>0</v>
      </c>
      <c r="S187" s="197">
        <f t="shared" si="30"/>
        <v>0</v>
      </c>
      <c r="T187" s="197">
        <f t="shared" si="30"/>
        <v>0</v>
      </c>
      <c r="U187" s="197">
        <f t="shared" si="30"/>
        <v>233</v>
      </c>
      <c r="V187" s="197">
        <f t="shared" si="29"/>
        <v>176</v>
      </c>
      <c r="W187" s="197">
        <f t="shared" si="29"/>
        <v>0</v>
      </c>
      <c r="X187" s="197">
        <f t="shared" si="29"/>
        <v>0</v>
      </c>
      <c r="Y187" s="197">
        <f t="shared" si="29"/>
        <v>253</v>
      </c>
      <c r="Z187" s="197">
        <f t="shared" si="29"/>
        <v>0</v>
      </c>
      <c r="AA187" s="197">
        <f t="shared" si="29"/>
        <v>77</v>
      </c>
      <c r="AB187" s="197">
        <f t="shared" si="29"/>
        <v>0</v>
      </c>
      <c r="AC187" s="197">
        <f t="shared" si="29"/>
        <v>0</v>
      </c>
      <c r="AD187" s="197">
        <f t="shared" si="29"/>
        <v>0</v>
      </c>
      <c r="AE187" s="197">
        <f t="shared" si="29"/>
        <v>0</v>
      </c>
      <c r="AF187" s="197">
        <f t="shared" si="28"/>
        <v>0</v>
      </c>
      <c r="AG187" s="197">
        <f t="shared" si="28"/>
        <v>0</v>
      </c>
      <c r="AH187" s="197">
        <f t="shared" si="28"/>
        <v>0</v>
      </c>
      <c r="AI187" s="197">
        <f t="shared" si="28"/>
        <v>0</v>
      </c>
      <c r="AJ187" s="197">
        <f t="shared" si="28"/>
        <v>0</v>
      </c>
      <c r="AK187" s="197">
        <f t="shared" si="28"/>
        <v>0</v>
      </c>
      <c r="AL187" s="197">
        <f t="shared" si="28"/>
        <v>0</v>
      </c>
    </row>
    <row r="188" spans="1:38">
      <c r="A188" s="11" t="str">
        <f t="shared" si="24"/>
        <v>05-421479652013</v>
      </c>
      <c r="B188" t="s">
        <v>202</v>
      </c>
      <c r="C188" t="s">
        <v>203</v>
      </c>
      <c r="D188">
        <v>2013</v>
      </c>
      <c r="E188" t="s">
        <v>63</v>
      </c>
      <c r="F188">
        <v>853428</v>
      </c>
      <c r="G188">
        <v>780</v>
      </c>
      <c r="H188" s="11" t="str">
        <f t="shared" si="23"/>
        <v>count</v>
      </c>
      <c r="I188" s="197" t="s">
        <v>693</v>
      </c>
      <c r="J188" s="197" t="s">
        <v>694</v>
      </c>
      <c r="K188" s="197" t="s">
        <v>146</v>
      </c>
      <c r="L188" s="197">
        <f t="shared" si="30"/>
        <v>0</v>
      </c>
      <c r="M188" s="197">
        <f t="shared" si="30"/>
        <v>0</v>
      </c>
      <c r="N188" s="197">
        <f t="shared" si="30"/>
        <v>0</v>
      </c>
      <c r="O188" s="197">
        <f t="shared" si="30"/>
        <v>0</v>
      </c>
      <c r="P188" s="197">
        <f t="shared" si="30"/>
        <v>0</v>
      </c>
      <c r="Q188" s="197">
        <f t="shared" si="30"/>
        <v>0</v>
      </c>
      <c r="R188" s="197">
        <f t="shared" si="30"/>
        <v>0</v>
      </c>
      <c r="S188" s="197">
        <f t="shared" si="30"/>
        <v>0</v>
      </c>
      <c r="T188" s="197">
        <f t="shared" si="30"/>
        <v>0</v>
      </c>
      <c r="U188" s="197">
        <f t="shared" si="30"/>
        <v>34842.82</v>
      </c>
      <c r="V188" s="197">
        <f t="shared" si="29"/>
        <v>33393.99</v>
      </c>
      <c r="W188" s="197">
        <f t="shared" si="29"/>
        <v>2266.1999999999998</v>
      </c>
      <c r="X188" s="197">
        <f t="shared" si="29"/>
        <v>0</v>
      </c>
      <c r="Y188" s="197">
        <f t="shared" si="29"/>
        <v>10014.030000000001</v>
      </c>
      <c r="Z188" s="197">
        <f t="shared" si="29"/>
        <v>0</v>
      </c>
      <c r="AA188" s="197">
        <f t="shared" si="29"/>
        <v>14705.12</v>
      </c>
      <c r="AB188" s="197">
        <f t="shared" si="29"/>
        <v>0</v>
      </c>
      <c r="AC188" s="197">
        <f t="shared" si="29"/>
        <v>0</v>
      </c>
      <c r="AD188" s="197">
        <f t="shared" si="29"/>
        <v>60878.97</v>
      </c>
      <c r="AE188" s="197">
        <f t="shared" si="29"/>
        <v>66873.02</v>
      </c>
      <c r="AF188" s="197">
        <f t="shared" si="28"/>
        <v>4351.47</v>
      </c>
      <c r="AG188" s="197">
        <f t="shared" si="28"/>
        <v>1445</v>
      </c>
      <c r="AH188" s="197">
        <f t="shared" si="28"/>
        <v>24763.13</v>
      </c>
      <c r="AI188" s="197">
        <f t="shared" si="28"/>
        <v>0</v>
      </c>
      <c r="AJ188" s="197">
        <f t="shared" si="28"/>
        <v>38353.22</v>
      </c>
      <c r="AK188" s="197">
        <f t="shared" si="28"/>
        <v>0</v>
      </c>
      <c r="AL188" s="197">
        <f t="shared" si="28"/>
        <v>0</v>
      </c>
    </row>
    <row r="189" spans="1:38">
      <c r="A189" s="11" t="str">
        <f t="shared" si="24"/>
        <v>05-421479652013</v>
      </c>
      <c r="B189" t="s">
        <v>202</v>
      </c>
      <c r="C189" t="s">
        <v>203</v>
      </c>
      <c r="D189">
        <v>2013</v>
      </c>
      <c r="E189" t="s">
        <v>104</v>
      </c>
      <c r="F189">
        <v>498727.75</v>
      </c>
      <c r="G189">
        <v>476</v>
      </c>
      <c r="H189" s="11" t="str">
        <f t="shared" si="23"/>
        <v>count</v>
      </c>
      <c r="I189" s="197" t="s">
        <v>693</v>
      </c>
      <c r="J189" s="197" t="s">
        <v>694</v>
      </c>
      <c r="K189" s="197" t="s">
        <v>145</v>
      </c>
      <c r="L189" s="197">
        <f t="shared" si="30"/>
        <v>0</v>
      </c>
      <c r="M189" s="197">
        <f t="shared" si="30"/>
        <v>0</v>
      </c>
      <c r="N189" s="197">
        <f t="shared" si="30"/>
        <v>0</v>
      </c>
      <c r="O189" s="197">
        <f t="shared" si="30"/>
        <v>0</v>
      </c>
      <c r="P189" s="197">
        <f t="shared" si="30"/>
        <v>0</v>
      </c>
      <c r="Q189" s="197">
        <f t="shared" si="30"/>
        <v>0</v>
      </c>
      <c r="R189" s="197">
        <f t="shared" si="30"/>
        <v>0</v>
      </c>
      <c r="S189" s="197">
        <f t="shared" si="30"/>
        <v>0</v>
      </c>
      <c r="T189" s="197">
        <f t="shared" si="30"/>
        <v>0</v>
      </c>
      <c r="U189" s="197">
        <f t="shared" si="30"/>
        <v>96</v>
      </c>
      <c r="V189" s="197">
        <f t="shared" si="29"/>
        <v>74</v>
      </c>
      <c r="W189" s="197">
        <f t="shared" si="29"/>
        <v>4</v>
      </c>
      <c r="X189" s="197">
        <f t="shared" si="29"/>
        <v>0</v>
      </c>
      <c r="Y189" s="197">
        <f t="shared" si="29"/>
        <v>31</v>
      </c>
      <c r="Z189" s="197">
        <f t="shared" si="29"/>
        <v>0</v>
      </c>
      <c r="AA189" s="197">
        <f t="shared" si="29"/>
        <v>43</v>
      </c>
      <c r="AB189" s="197">
        <f t="shared" si="29"/>
        <v>0</v>
      </c>
      <c r="AC189" s="197">
        <f t="shared" si="29"/>
        <v>0</v>
      </c>
      <c r="AD189" s="197">
        <f t="shared" si="29"/>
        <v>142</v>
      </c>
      <c r="AE189" s="197">
        <f t="shared" si="29"/>
        <v>149</v>
      </c>
      <c r="AF189" s="197">
        <f t="shared" si="28"/>
        <v>15</v>
      </c>
      <c r="AG189" s="197">
        <f t="shared" si="28"/>
        <v>1</v>
      </c>
      <c r="AH189" s="197">
        <f t="shared" si="28"/>
        <v>44</v>
      </c>
      <c r="AI189" s="197">
        <f t="shared" si="28"/>
        <v>0</v>
      </c>
      <c r="AJ189" s="197">
        <f t="shared" si="28"/>
        <v>119</v>
      </c>
      <c r="AK189" s="197">
        <f t="shared" si="28"/>
        <v>0</v>
      </c>
      <c r="AL189" s="197">
        <f t="shared" si="28"/>
        <v>0</v>
      </c>
    </row>
    <row r="190" spans="1:38">
      <c r="A190" s="11" t="str">
        <f t="shared" si="24"/>
        <v>05-421479652011</v>
      </c>
      <c r="B190" t="s">
        <v>202</v>
      </c>
      <c r="C190" t="s">
        <v>203</v>
      </c>
      <c r="D190">
        <v>2011</v>
      </c>
      <c r="E190" t="s">
        <v>105</v>
      </c>
      <c r="F190">
        <v>108890</v>
      </c>
      <c r="G190">
        <v>120</v>
      </c>
      <c r="H190" s="11" t="str">
        <f t="shared" si="23"/>
        <v>count</v>
      </c>
      <c r="I190" s="197" t="s">
        <v>717</v>
      </c>
      <c r="J190" s="197" t="s">
        <v>718</v>
      </c>
      <c r="K190" s="197" t="s">
        <v>146</v>
      </c>
      <c r="L190" s="197">
        <f t="shared" si="30"/>
        <v>7289.32</v>
      </c>
      <c r="M190" s="197">
        <f t="shared" si="30"/>
        <v>4361.42</v>
      </c>
      <c r="N190" s="197">
        <f t="shared" si="30"/>
        <v>3651.5</v>
      </c>
      <c r="O190" s="197">
        <f t="shared" si="30"/>
        <v>0</v>
      </c>
      <c r="P190" s="197">
        <f t="shared" si="30"/>
        <v>240.21</v>
      </c>
      <c r="Q190" s="197">
        <f t="shared" si="30"/>
        <v>0</v>
      </c>
      <c r="R190" s="197">
        <f t="shared" si="30"/>
        <v>0</v>
      </c>
      <c r="S190" s="197">
        <f t="shared" si="30"/>
        <v>0</v>
      </c>
      <c r="T190" s="197">
        <f t="shared" si="30"/>
        <v>0</v>
      </c>
      <c r="U190" s="197">
        <f t="shared" si="30"/>
        <v>367048.83</v>
      </c>
      <c r="V190" s="197">
        <f t="shared" si="29"/>
        <v>221124.13</v>
      </c>
      <c r="W190" s="197">
        <f t="shared" si="29"/>
        <v>69626.850000000006</v>
      </c>
      <c r="X190" s="197">
        <f t="shared" si="29"/>
        <v>5296.02</v>
      </c>
      <c r="Y190" s="197">
        <f t="shared" si="29"/>
        <v>90088.12</v>
      </c>
      <c r="Z190" s="197">
        <f t="shared" si="29"/>
        <v>0</v>
      </c>
      <c r="AA190" s="197">
        <f t="shared" si="29"/>
        <v>225323.71</v>
      </c>
      <c r="AB190" s="197">
        <f t="shared" si="29"/>
        <v>0</v>
      </c>
      <c r="AC190" s="197">
        <f t="shared" si="29"/>
        <v>0</v>
      </c>
      <c r="AD190" s="197">
        <f t="shared" si="29"/>
        <v>328391.02</v>
      </c>
      <c r="AE190" s="197">
        <f t="shared" si="29"/>
        <v>222272.56</v>
      </c>
      <c r="AF190" s="197">
        <f t="shared" si="28"/>
        <v>72656.39</v>
      </c>
      <c r="AG190" s="197">
        <f t="shared" si="28"/>
        <v>0</v>
      </c>
      <c r="AH190" s="197">
        <f t="shared" si="28"/>
        <v>93776.22</v>
      </c>
      <c r="AI190" s="197">
        <f t="shared" si="28"/>
        <v>0</v>
      </c>
      <c r="AJ190" s="197">
        <f t="shared" si="28"/>
        <v>287750.92</v>
      </c>
      <c r="AK190" s="197">
        <f t="shared" si="28"/>
        <v>0</v>
      </c>
      <c r="AL190" s="197">
        <f t="shared" si="28"/>
        <v>0</v>
      </c>
    </row>
    <row r="191" spans="1:38">
      <c r="A191" s="11" t="str">
        <f t="shared" si="24"/>
        <v>05-421479652013</v>
      </c>
      <c r="B191" t="s">
        <v>202</v>
      </c>
      <c r="C191" t="s">
        <v>203</v>
      </c>
      <c r="D191">
        <v>2013</v>
      </c>
      <c r="E191" t="s">
        <v>106</v>
      </c>
      <c r="F191">
        <v>197616.92</v>
      </c>
      <c r="G191">
        <v>96</v>
      </c>
      <c r="H191" s="11" t="str">
        <f t="shared" si="23"/>
        <v>count</v>
      </c>
      <c r="I191" s="197" t="s">
        <v>717</v>
      </c>
      <c r="J191" s="197" t="s">
        <v>718</v>
      </c>
      <c r="K191" s="197" t="s">
        <v>145</v>
      </c>
      <c r="L191" s="197">
        <f t="shared" si="30"/>
        <v>14</v>
      </c>
      <c r="M191" s="197">
        <f t="shared" si="30"/>
        <v>8</v>
      </c>
      <c r="N191" s="197">
        <f t="shared" si="30"/>
        <v>4</v>
      </c>
      <c r="O191" s="197">
        <f t="shared" si="30"/>
        <v>0</v>
      </c>
      <c r="P191" s="197">
        <f t="shared" si="30"/>
        <v>1</v>
      </c>
      <c r="Q191" s="197">
        <f t="shared" si="30"/>
        <v>0</v>
      </c>
      <c r="R191" s="197">
        <f t="shared" si="30"/>
        <v>0</v>
      </c>
      <c r="S191" s="197">
        <f t="shared" si="30"/>
        <v>0</v>
      </c>
      <c r="T191" s="197">
        <f t="shared" si="30"/>
        <v>0</v>
      </c>
      <c r="U191" s="197">
        <f t="shared" si="30"/>
        <v>623</v>
      </c>
      <c r="V191" s="197">
        <f t="shared" si="29"/>
        <v>376</v>
      </c>
      <c r="W191" s="197">
        <f t="shared" si="29"/>
        <v>111</v>
      </c>
      <c r="X191" s="197">
        <f t="shared" si="29"/>
        <v>6</v>
      </c>
      <c r="Y191" s="197">
        <f t="shared" si="29"/>
        <v>146</v>
      </c>
      <c r="Z191" s="197">
        <f t="shared" si="29"/>
        <v>0</v>
      </c>
      <c r="AA191" s="197">
        <f t="shared" si="29"/>
        <v>394</v>
      </c>
      <c r="AB191" s="197">
        <f t="shared" si="29"/>
        <v>0</v>
      </c>
      <c r="AC191" s="197">
        <f t="shared" si="29"/>
        <v>0</v>
      </c>
      <c r="AD191" s="197">
        <f t="shared" si="29"/>
        <v>480</v>
      </c>
      <c r="AE191" s="197">
        <f t="shared" si="29"/>
        <v>348</v>
      </c>
      <c r="AF191" s="197">
        <f t="shared" si="28"/>
        <v>96</v>
      </c>
      <c r="AG191" s="197">
        <f t="shared" si="28"/>
        <v>0</v>
      </c>
      <c r="AH191" s="197">
        <f t="shared" si="28"/>
        <v>127</v>
      </c>
      <c r="AI191" s="197">
        <f t="shared" si="28"/>
        <v>0</v>
      </c>
      <c r="AJ191" s="197">
        <f t="shared" si="28"/>
        <v>486</v>
      </c>
      <c r="AK191" s="197">
        <f t="shared" si="28"/>
        <v>0</v>
      </c>
      <c r="AL191" s="197">
        <f t="shared" si="28"/>
        <v>0</v>
      </c>
    </row>
    <row r="192" spans="1:38">
      <c r="A192" s="11" t="str">
        <f t="shared" si="24"/>
        <v>05-421479652011</v>
      </c>
      <c r="B192" t="s">
        <v>202</v>
      </c>
      <c r="C192" t="s">
        <v>203</v>
      </c>
      <c r="D192">
        <v>2011</v>
      </c>
      <c r="E192" t="s">
        <v>133</v>
      </c>
      <c r="F192">
        <v>308673.11</v>
      </c>
      <c r="G192">
        <v>248</v>
      </c>
      <c r="H192" s="11" t="str">
        <f t="shared" si="23"/>
        <v>count</v>
      </c>
      <c r="I192" s="197" t="s">
        <v>719</v>
      </c>
      <c r="J192" s="197" t="s">
        <v>720</v>
      </c>
      <c r="K192" s="197" t="s">
        <v>146</v>
      </c>
      <c r="L192" s="197">
        <f t="shared" si="30"/>
        <v>3132801.15</v>
      </c>
      <c r="M192" s="197">
        <f t="shared" si="30"/>
        <v>1587343.64</v>
      </c>
      <c r="N192" s="197">
        <f t="shared" si="30"/>
        <v>323886.38</v>
      </c>
      <c r="O192" s="197">
        <f t="shared" si="30"/>
        <v>43646.73</v>
      </c>
      <c r="P192" s="197">
        <f t="shared" si="30"/>
        <v>219355.77</v>
      </c>
      <c r="Q192" s="197">
        <f t="shared" si="30"/>
        <v>0</v>
      </c>
      <c r="R192" s="197">
        <f t="shared" si="30"/>
        <v>7433.78</v>
      </c>
      <c r="S192" s="197">
        <f t="shared" si="30"/>
        <v>0</v>
      </c>
      <c r="T192" s="197">
        <f t="shared" si="30"/>
        <v>0</v>
      </c>
      <c r="U192" s="197">
        <f t="shared" si="30"/>
        <v>2837617</v>
      </c>
      <c r="V192" s="197">
        <f t="shared" si="29"/>
        <v>1822310.57</v>
      </c>
      <c r="W192" s="197">
        <f t="shared" si="29"/>
        <v>440581.21</v>
      </c>
      <c r="X192" s="197">
        <f t="shared" si="29"/>
        <v>62756.09</v>
      </c>
      <c r="Y192" s="197">
        <f t="shared" si="29"/>
        <v>671816.49</v>
      </c>
      <c r="Z192" s="197">
        <f t="shared" si="29"/>
        <v>0</v>
      </c>
      <c r="AA192" s="197">
        <f t="shared" si="29"/>
        <v>1222931.28</v>
      </c>
      <c r="AB192" s="197">
        <f t="shared" si="29"/>
        <v>0</v>
      </c>
      <c r="AC192" s="197">
        <f t="shared" si="29"/>
        <v>0</v>
      </c>
      <c r="AD192" s="197">
        <f t="shared" si="29"/>
        <v>2903241.54</v>
      </c>
      <c r="AE192" s="197">
        <f t="shared" si="29"/>
        <v>1532697.34</v>
      </c>
      <c r="AF192" s="197">
        <f t="shared" si="28"/>
        <v>452074.82</v>
      </c>
      <c r="AG192" s="197">
        <f t="shared" si="28"/>
        <v>646131.80000000005</v>
      </c>
      <c r="AH192" s="197">
        <f t="shared" si="28"/>
        <v>876784.37</v>
      </c>
      <c r="AI192" s="197">
        <f t="shared" si="28"/>
        <v>0</v>
      </c>
      <c r="AJ192" s="197">
        <f t="shared" si="28"/>
        <v>1409219.67</v>
      </c>
      <c r="AK192" s="197">
        <f t="shared" si="28"/>
        <v>0</v>
      </c>
      <c r="AL192" s="197">
        <f t="shared" si="28"/>
        <v>0</v>
      </c>
    </row>
    <row r="193" spans="1:38">
      <c r="A193" s="11" t="str">
        <f t="shared" si="24"/>
        <v>05-421549922012</v>
      </c>
      <c r="B193" t="s">
        <v>204</v>
      </c>
      <c r="C193" t="s">
        <v>205</v>
      </c>
      <c r="D193">
        <v>2012</v>
      </c>
      <c r="E193" t="s">
        <v>69</v>
      </c>
      <c r="F193">
        <v>87632.97</v>
      </c>
      <c r="G193">
        <v>152</v>
      </c>
      <c r="H193" s="11" t="str">
        <f t="shared" si="23"/>
        <v>volume</v>
      </c>
      <c r="I193" s="197" t="s">
        <v>719</v>
      </c>
      <c r="J193" s="197" t="s">
        <v>720</v>
      </c>
      <c r="K193" s="197" t="s">
        <v>145</v>
      </c>
      <c r="L193" s="197">
        <f t="shared" si="30"/>
        <v>4340</v>
      </c>
      <c r="M193" s="197">
        <f t="shared" si="30"/>
        <v>2130</v>
      </c>
      <c r="N193" s="197">
        <f t="shared" si="30"/>
        <v>457</v>
      </c>
      <c r="O193" s="197">
        <f t="shared" si="30"/>
        <v>57</v>
      </c>
      <c r="P193" s="197">
        <f t="shared" si="30"/>
        <v>261</v>
      </c>
      <c r="Q193" s="197">
        <f t="shared" si="30"/>
        <v>0</v>
      </c>
      <c r="R193" s="197">
        <f t="shared" si="30"/>
        <v>8</v>
      </c>
      <c r="S193" s="197">
        <f t="shared" si="30"/>
        <v>0</v>
      </c>
      <c r="T193" s="197">
        <f t="shared" si="30"/>
        <v>0</v>
      </c>
      <c r="U193" s="197">
        <f t="shared" si="30"/>
        <v>3688</v>
      </c>
      <c r="V193" s="197">
        <f t="shared" si="29"/>
        <v>2362</v>
      </c>
      <c r="W193" s="197">
        <f t="shared" si="29"/>
        <v>570</v>
      </c>
      <c r="X193" s="197">
        <f t="shared" si="29"/>
        <v>60</v>
      </c>
      <c r="Y193" s="197">
        <f t="shared" si="29"/>
        <v>764</v>
      </c>
      <c r="Z193" s="197">
        <f t="shared" si="29"/>
        <v>0</v>
      </c>
      <c r="AA193" s="197">
        <f t="shared" si="29"/>
        <v>1979</v>
      </c>
      <c r="AB193" s="197">
        <f t="shared" si="29"/>
        <v>0</v>
      </c>
      <c r="AC193" s="197">
        <f t="shared" si="29"/>
        <v>0</v>
      </c>
      <c r="AD193" s="197">
        <f t="shared" si="29"/>
        <v>4862</v>
      </c>
      <c r="AE193" s="197">
        <f t="shared" si="29"/>
        <v>2566</v>
      </c>
      <c r="AF193" s="197">
        <f t="shared" si="28"/>
        <v>824</v>
      </c>
      <c r="AG193" s="197">
        <f t="shared" si="28"/>
        <v>910</v>
      </c>
      <c r="AH193" s="197">
        <f t="shared" si="28"/>
        <v>1189</v>
      </c>
      <c r="AI193" s="197">
        <f t="shared" si="28"/>
        <v>0</v>
      </c>
      <c r="AJ193" s="197">
        <f t="shared" si="28"/>
        <v>3076</v>
      </c>
      <c r="AK193" s="197">
        <f t="shared" si="28"/>
        <v>0</v>
      </c>
      <c r="AL193" s="197">
        <f t="shared" si="28"/>
        <v>0</v>
      </c>
    </row>
    <row r="194" spans="1:38">
      <c r="A194" s="11" t="str">
        <f t="shared" si="24"/>
        <v>05-421549922011</v>
      </c>
      <c r="B194" t="s">
        <v>204</v>
      </c>
      <c r="C194" t="s">
        <v>205</v>
      </c>
      <c r="D194">
        <v>2011</v>
      </c>
      <c r="E194" t="s">
        <v>104</v>
      </c>
      <c r="F194">
        <v>152121.54</v>
      </c>
      <c r="G194">
        <v>155</v>
      </c>
      <c r="H194" s="11" t="str">
        <f t="shared" ref="H194:H257" si="31">IF(B194=B193,"count","volume")</f>
        <v>count</v>
      </c>
      <c r="I194" s="197" t="s">
        <v>721</v>
      </c>
      <c r="J194" s="197" t="s">
        <v>722</v>
      </c>
      <c r="K194" s="197" t="s">
        <v>146</v>
      </c>
      <c r="L194" s="197">
        <f t="shared" si="30"/>
        <v>625303.15</v>
      </c>
      <c r="M194" s="197">
        <f t="shared" si="30"/>
        <v>341669.8</v>
      </c>
      <c r="N194" s="197">
        <f t="shared" si="30"/>
        <v>36605.39</v>
      </c>
      <c r="O194" s="197">
        <f t="shared" si="30"/>
        <v>0</v>
      </c>
      <c r="P194" s="197">
        <f t="shared" si="30"/>
        <v>0</v>
      </c>
      <c r="Q194" s="197">
        <f t="shared" si="30"/>
        <v>0</v>
      </c>
      <c r="R194" s="197">
        <f t="shared" si="30"/>
        <v>1300.19</v>
      </c>
      <c r="S194" s="197">
        <f t="shared" si="30"/>
        <v>0</v>
      </c>
      <c r="T194" s="197">
        <f t="shared" si="30"/>
        <v>0</v>
      </c>
      <c r="U194" s="197">
        <f t="shared" si="30"/>
        <v>527647.14</v>
      </c>
      <c r="V194" s="197">
        <f t="shared" si="29"/>
        <v>385131.2</v>
      </c>
      <c r="W194" s="197">
        <f t="shared" si="29"/>
        <v>21617.01</v>
      </c>
      <c r="X194" s="197">
        <f t="shared" si="29"/>
        <v>0</v>
      </c>
      <c r="Y194" s="197">
        <f t="shared" si="29"/>
        <v>0</v>
      </c>
      <c r="Z194" s="197">
        <f t="shared" si="29"/>
        <v>0</v>
      </c>
      <c r="AA194" s="197">
        <f t="shared" si="29"/>
        <v>170091.84</v>
      </c>
      <c r="AB194" s="197">
        <f t="shared" si="29"/>
        <v>0</v>
      </c>
      <c r="AC194" s="197">
        <f t="shared" si="29"/>
        <v>0</v>
      </c>
      <c r="AD194" s="197">
        <f t="shared" si="29"/>
        <v>459875.03</v>
      </c>
      <c r="AE194" s="197">
        <f t="shared" si="29"/>
        <v>297381.56</v>
      </c>
      <c r="AF194" s="197">
        <f t="shared" si="28"/>
        <v>17852.28</v>
      </c>
      <c r="AG194" s="197">
        <f t="shared" si="28"/>
        <v>0</v>
      </c>
      <c r="AH194" s="197">
        <f t="shared" si="28"/>
        <v>0</v>
      </c>
      <c r="AI194" s="197">
        <f t="shared" si="28"/>
        <v>0</v>
      </c>
      <c r="AJ194" s="197">
        <f t="shared" si="28"/>
        <v>232385.04</v>
      </c>
      <c r="AK194" s="197">
        <f t="shared" si="28"/>
        <v>0</v>
      </c>
      <c r="AL194" s="197">
        <f t="shared" si="28"/>
        <v>0</v>
      </c>
    </row>
    <row r="195" spans="1:38">
      <c r="A195" s="11" t="str">
        <f t="shared" ref="A195:A258" si="32">B195&amp;D195</f>
        <v>05-421549922011</v>
      </c>
      <c r="B195" t="s">
        <v>204</v>
      </c>
      <c r="C195" t="s">
        <v>205</v>
      </c>
      <c r="D195">
        <v>2011</v>
      </c>
      <c r="E195" t="s">
        <v>63</v>
      </c>
      <c r="F195">
        <v>337841.6</v>
      </c>
      <c r="G195">
        <v>369</v>
      </c>
      <c r="H195" s="11" t="str">
        <f t="shared" si="31"/>
        <v>count</v>
      </c>
      <c r="I195" s="197" t="s">
        <v>721</v>
      </c>
      <c r="J195" s="197" t="s">
        <v>722</v>
      </c>
      <c r="K195" s="197" t="s">
        <v>145</v>
      </c>
      <c r="L195" s="197">
        <f t="shared" si="30"/>
        <v>515</v>
      </c>
      <c r="M195" s="197">
        <f t="shared" si="30"/>
        <v>271</v>
      </c>
      <c r="N195" s="197">
        <f t="shared" si="30"/>
        <v>23</v>
      </c>
      <c r="O195" s="197">
        <f t="shared" si="30"/>
        <v>0</v>
      </c>
      <c r="P195" s="197">
        <f t="shared" si="30"/>
        <v>0</v>
      </c>
      <c r="Q195" s="197">
        <f t="shared" si="30"/>
        <v>0</v>
      </c>
      <c r="R195" s="197">
        <f t="shared" si="30"/>
        <v>2</v>
      </c>
      <c r="S195" s="197">
        <f t="shared" si="30"/>
        <v>0</v>
      </c>
      <c r="T195" s="197">
        <f t="shared" si="30"/>
        <v>0</v>
      </c>
      <c r="U195" s="197">
        <f t="shared" si="30"/>
        <v>413</v>
      </c>
      <c r="V195" s="197">
        <f t="shared" si="29"/>
        <v>287</v>
      </c>
      <c r="W195" s="197">
        <f t="shared" si="29"/>
        <v>15</v>
      </c>
      <c r="X195" s="197">
        <f t="shared" si="29"/>
        <v>0</v>
      </c>
      <c r="Y195" s="197">
        <f t="shared" si="29"/>
        <v>0</v>
      </c>
      <c r="Z195" s="197">
        <f t="shared" si="29"/>
        <v>0</v>
      </c>
      <c r="AA195" s="197">
        <f t="shared" si="29"/>
        <v>189</v>
      </c>
      <c r="AB195" s="197">
        <f t="shared" si="29"/>
        <v>0</v>
      </c>
      <c r="AC195" s="197">
        <f t="shared" si="29"/>
        <v>0</v>
      </c>
      <c r="AD195" s="197">
        <f t="shared" si="29"/>
        <v>363</v>
      </c>
      <c r="AE195" s="197">
        <f t="shared" si="29"/>
        <v>213</v>
      </c>
      <c r="AF195" s="197">
        <f t="shared" si="28"/>
        <v>13</v>
      </c>
      <c r="AG195" s="197">
        <f t="shared" si="28"/>
        <v>0</v>
      </c>
      <c r="AH195" s="197">
        <f t="shared" si="28"/>
        <v>0</v>
      </c>
      <c r="AI195" s="197">
        <f t="shared" si="28"/>
        <v>0</v>
      </c>
      <c r="AJ195" s="197">
        <f t="shared" si="28"/>
        <v>255</v>
      </c>
      <c r="AK195" s="197">
        <f t="shared" si="28"/>
        <v>0</v>
      </c>
      <c r="AL195" s="197">
        <f t="shared" si="28"/>
        <v>0</v>
      </c>
    </row>
    <row r="196" spans="1:38">
      <c r="A196" s="11" t="str">
        <f t="shared" si="32"/>
        <v>05-421549922012</v>
      </c>
      <c r="B196" t="s">
        <v>204</v>
      </c>
      <c r="C196" t="s">
        <v>205</v>
      </c>
      <c r="D196">
        <v>2012</v>
      </c>
      <c r="E196" t="s">
        <v>1075</v>
      </c>
      <c r="F196">
        <v>27214.32</v>
      </c>
      <c r="G196">
        <v>46</v>
      </c>
      <c r="H196" s="11" t="str">
        <f t="shared" si="31"/>
        <v>count</v>
      </c>
      <c r="I196" s="197" t="s">
        <v>723</v>
      </c>
      <c r="J196" s="197" t="s">
        <v>724</v>
      </c>
      <c r="K196" s="197" t="s">
        <v>146</v>
      </c>
      <c r="L196" s="197">
        <f t="shared" si="30"/>
        <v>809101.03</v>
      </c>
      <c r="M196" s="197">
        <f t="shared" si="30"/>
        <v>449252.62</v>
      </c>
      <c r="N196" s="197">
        <f t="shared" si="30"/>
        <v>0</v>
      </c>
      <c r="O196" s="197">
        <f t="shared" si="30"/>
        <v>69681.73</v>
      </c>
      <c r="P196" s="197">
        <f t="shared" si="30"/>
        <v>170906.33</v>
      </c>
      <c r="Q196" s="197">
        <f t="shared" si="30"/>
        <v>0</v>
      </c>
      <c r="R196" s="197">
        <f t="shared" si="30"/>
        <v>3425</v>
      </c>
      <c r="S196" s="197">
        <f t="shared" si="30"/>
        <v>0</v>
      </c>
      <c r="T196" s="197">
        <f t="shared" si="30"/>
        <v>0</v>
      </c>
      <c r="U196" s="197">
        <f t="shared" si="30"/>
        <v>744923.1</v>
      </c>
      <c r="V196" s="197">
        <f t="shared" si="29"/>
        <v>437844.72</v>
      </c>
      <c r="W196" s="197">
        <f t="shared" si="29"/>
        <v>0</v>
      </c>
      <c r="X196" s="197">
        <f t="shared" si="29"/>
        <v>71062.63</v>
      </c>
      <c r="Y196" s="197">
        <f t="shared" si="29"/>
        <v>200064.54</v>
      </c>
      <c r="Z196" s="197">
        <f t="shared" si="29"/>
        <v>0</v>
      </c>
      <c r="AA196" s="197">
        <f t="shared" si="29"/>
        <v>209785.97</v>
      </c>
      <c r="AB196" s="197">
        <f t="shared" si="29"/>
        <v>0</v>
      </c>
      <c r="AC196" s="197">
        <f t="shared" si="29"/>
        <v>0</v>
      </c>
      <c r="AD196" s="197">
        <f t="shared" si="29"/>
        <v>672338.91</v>
      </c>
      <c r="AE196" s="197">
        <f t="shared" si="29"/>
        <v>301272.52</v>
      </c>
      <c r="AF196" s="197">
        <f t="shared" si="28"/>
        <v>0</v>
      </c>
      <c r="AG196" s="197">
        <f t="shared" si="28"/>
        <v>200286.73</v>
      </c>
      <c r="AH196" s="197">
        <f t="shared" si="28"/>
        <v>154485.84</v>
      </c>
      <c r="AI196" s="197">
        <f t="shared" si="28"/>
        <v>0</v>
      </c>
      <c r="AJ196" s="197">
        <f t="shared" si="28"/>
        <v>256931.73</v>
      </c>
      <c r="AK196" s="197">
        <f t="shared" si="28"/>
        <v>0</v>
      </c>
      <c r="AL196" s="197">
        <f t="shared" si="28"/>
        <v>0</v>
      </c>
    </row>
    <row r="197" spans="1:38">
      <c r="A197" s="11" t="str">
        <f t="shared" si="32"/>
        <v>05-421549922012</v>
      </c>
      <c r="B197" t="s">
        <v>204</v>
      </c>
      <c r="C197" t="s">
        <v>205</v>
      </c>
      <c r="D197">
        <v>2012</v>
      </c>
      <c r="E197" t="s">
        <v>1076</v>
      </c>
      <c r="F197">
        <v>4355.75</v>
      </c>
      <c r="G197">
        <v>5</v>
      </c>
      <c r="H197" s="11" t="str">
        <f t="shared" si="31"/>
        <v>count</v>
      </c>
      <c r="I197" s="197" t="s">
        <v>723</v>
      </c>
      <c r="J197" s="197" t="s">
        <v>724</v>
      </c>
      <c r="K197" s="197" t="s">
        <v>145</v>
      </c>
      <c r="L197" s="197">
        <f t="shared" si="30"/>
        <v>793</v>
      </c>
      <c r="M197" s="197">
        <f t="shared" si="30"/>
        <v>438</v>
      </c>
      <c r="N197" s="197">
        <f t="shared" si="30"/>
        <v>0</v>
      </c>
      <c r="O197" s="197">
        <f t="shared" si="30"/>
        <v>36</v>
      </c>
      <c r="P197" s="197">
        <f t="shared" si="30"/>
        <v>172</v>
      </c>
      <c r="Q197" s="197">
        <f t="shared" si="30"/>
        <v>0</v>
      </c>
      <c r="R197" s="197">
        <f t="shared" si="30"/>
        <v>2</v>
      </c>
      <c r="S197" s="197">
        <f t="shared" si="30"/>
        <v>0</v>
      </c>
      <c r="T197" s="197">
        <f t="shared" si="30"/>
        <v>0</v>
      </c>
      <c r="U197" s="197">
        <f t="shared" si="30"/>
        <v>686</v>
      </c>
      <c r="V197" s="197">
        <f t="shared" si="29"/>
        <v>386</v>
      </c>
      <c r="W197" s="197">
        <f t="shared" si="29"/>
        <v>0</v>
      </c>
      <c r="X197" s="197">
        <f t="shared" si="29"/>
        <v>51</v>
      </c>
      <c r="Y197" s="197">
        <f t="shared" si="29"/>
        <v>160</v>
      </c>
      <c r="Z197" s="197">
        <f t="shared" si="29"/>
        <v>0</v>
      </c>
      <c r="AA197" s="197">
        <f t="shared" si="29"/>
        <v>248</v>
      </c>
      <c r="AB197" s="197">
        <f t="shared" si="29"/>
        <v>0</v>
      </c>
      <c r="AC197" s="197">
        <f t="shared" si="29"/>
        <v>0</v>
      </c>
      <c r="AD197" s="197">
        <f t="shared" si="29"/>
        <v>600</v>
      </c>
      <c r="AE197" s="197">
        <f t="shared" si="29"/>
        <v>265</v>
      </c>
      <c r="AF197" s="197">
        <f t="shared" si="28"/>
        <v>0</v>
      </c>
      <c r="AG197" s="197">
        <f t="shared" si="28"/>
        <v>137</v>
      </c>
      <c r="AH197" s="197">
        <f t="shared" si="28"/>
        <v>128</v>
      </c>
      <c r="AI197" s="197">
        <f t="shared" si="28"/>
        <v>0</v>
      </c>
      <c r="AJ197" s="197">
        <f t="shared" si="28"/>
        <v>369</v>
      </c>
      <c r="AK197" s="197">
        <f t="shared" si="28"/>
        <v>0</v>
      </c>
      <c r="AL197" s="197">
        <f t="shared" si="28"/>
        <v>0</v>
      </c>
    </row>
    <row r="198" spans="1:38">
      <c r="A198" s="11" t="str">
        <f t="shared" si="32"/>
        <v>05-421549922011</v>
      </c>
      <c r="B198" t="s">
        <v>204</v>
      </c>
      <c r="C198" t="s">
        <v>205</v>
      </c>
      <c r="D198">
        <v>2011</v>
      </c>
      <c r="E198" t="s">
        <v>1076</v>
      </c>
      <c r="F198">
        <v>6997.75</v>
      </c>
      <c r="G198">
        <v>16</v>
      </c>
      <c r="H198" s="11" t="str">
        <f t="shared" si="31"/>
        <v>count</v>
      </c>
      <c r="I198" s="197" t="s">
        <v>737</v>
      </c>
      <c r="J198" s="197" t="s">
        <v>738</v>
      </c>
      <c r="K198" s="197" t="s">
        <v>146</v>
      </c>
      <c r="L198" s="197">
        <f t="shared" si="30"/>
        <v>236976.05</v>
      </c>
      <c r="M198" s="197">
        <f t="shared" si="30"/>
        <v>131273.56</v>
      </c>
      <c r="N198" s="197">
        <f t="shared" si="30"/>
        <v>32058.080000000002</v>
      </c>
      <c r="O198" s="197">
        <f t="shared" si="30"/>
        <v>0</v>
      </c>
      <c r="P198" s="197">
        <f t="shared" si="30"/>
        <v>0</v>
      </c>
      <c r="Q198" s="197">
        <f t="shared" si="30"/>
        <v>0</v>
      </c>
      <c r="R198" s="197">
        <f t="shared" si="30"/>
        <v>0</v>
      </c>
      <c r="S198" s="197">
        <f t="shared" si="30"/>
        <v>0</v>
      </c>
      <c r="T198" s="197">
        <f t="shared" si="30"/>
        <v>0</v>
      </c>
      <c r="U198" s="197">
        <f t="shared" si="30"/>
        <v>203887.42</v>
      </c>
      <c r="V198" s="197">
        <f t="shared" si="29"/>
        <v>103454.03</v>
      </c>
      <c r="W198" s="197">
        <f t="shared" si="29"/>
        <v>11684.67</v>
      </c>
      <c r="X198" s="197">
        <f t="shared" si="29"/>
        <v>0</v>
      </c>
      <c r="Y198" s="197">
        <f t="shared" si="29"/>
        <v>0</v>
      </c>
      <c r="Z198" s="197">
        <f t="shared" si="29"/>
        <v>0</v>
      </c>
      <c r="AA198" s="197">
        <f t="shared" si="29"/>
        <v>73569.34</v>
      </c>
      <c r="AB198" s="197">
        <f t="shared" si="29"/>
        <v>0</v>
      </c>
      <c r="AC198" s="197">
        <f t="shared" si="29"/>
        <v>0</v>
      </c>
      <c r="AD198" s="197">
        <f t="shared" si="29"/>
        <v>155088.62</v>
      </c>
      <c r="AE198" s="197">
        <f t="shared" si="29"/>
        <v>75219.38</v>
      </c>
      <c r="AF198" s="197">
        <f t="shared" si="28"/>
        <v>21546.38</v>
      </c>
      <c r="AG198" s="197">
        <f t="shared" si="28"/>
        <v>0</v>
      </c>
      <c r="AH198" s="197">
        <f t="shared" si="28"/>
        <v>0</v>
      </c>
      <c r="AI198" s="197">
        <f t="shared" si="28"/>
        <v>0</v>
      </c>
      <c r="AJ198" s="197">
        <f t="shared" si="28"/>
        <v>60745.75</v>
      </c>
      <c r="AK198" s="197">
        <f t="shared" si="28"/>
        <v>0</v>
      </c>
      <c r="AL198" s="197">
        <f t="shared" si="28"/>
        <v>0</v>
      </c>
    </row>
    <row r="199" spans="1:38">
      <c r="A199" s="11" t="str">
        <f t="shared" si="32"/>
        <v>05-421549922013</v>
      </c>
      <c r="B199" t="s">
        <v>204</v>
      </c>
      <c r="C199" t="s">
        <v>205</v>
      </c>
      <c r="D199">
        <v>2013</v>
      </c>
      <c r="E199" t="s">
        <v>104</v>
      </c>
      <c r="F199">
        <v>170911.37</v>
      </c>
      <c r="G199">
        <v>167</v>
      </c>
      <c r="H199" s="11" t="str">
        <f t="shared" si="31"/>
        <v>count</v>
      </c>
      <c r="I199" s="197" t="s">
        <v>737</v>
      </c>
      <c r="J199" s="197" t="s">
        <v>738</v>
      </c>
      <c r="K199" s="197" t="s">
        <v>145</v>
      </c>
      <c r="L199" s="197">
        <f t="shared" si="30"/>
        <v>367</v>
      </c>
      <c r="M199" s="197">
        <f t="shared" si="30"/>
        <v>182</v>
      </c>
      <c r="N199" s="197">
        <f t="shared" si="30"/>
        <v>31</v>
      </c>
      <c r="O199" s="197">
        <f t="shared" si="30"/>
        <v>0</v>
      </c>
      <c r="P199" s="197">
        <f t="shared" si="30"/>
        <v>0</v>
      </c>
      <c r="Q199" s="197">
        <f t="shared" si="30"/>
        <v>0</v>
      </c>
      <c r="R199" s="197">
        <f t="shared" si="30"/>
        <v>0</v>
      </c>
      <c r="S199" s="197">
        <f t="shared" si="30"/>
        <v>0</v>
      </c>
      <c r="T199" s="197">
        <f t="shared" si="30"/>
        <v>0</v>
      </c>
      <c r="U199" s="197">
        <f t="shared" si="30"/>
        <v>236</v>
      </c>
      <c r="V199" s="197">
        <f t="shared" si="29"/>
        <v>130</v>
      </c>
      <c r="W199" s="197">
        <f t="shared" si="29"/>
        <v>11</v>
      </c>
      <c r="X199" s="197">
        <f t="shared" si="29"/>
        <v>0</v>
      </c>
      <c r="Y199" s="197">
        <f t="shared" si="29"/>
        <v>0</v>
      </c>
      <c r="Z199" s="197">
        <f t="shared" si="29"/>
        <v>0</v>
      </c>
      <c r="AA199" s="197">
        <f t="shared" si="29"/>
        <v>160</v>
      </c>
      <c r="AB199" s="197">
        <f t="shared" si="29"/>
        <v>0</v>
      </c>
      <c r="AC199" s="197">
        <f t="shared" si="29"/>
        <v>0</v>
      </c>
      <c r="AD199" s="197">
        <f t="shared" si="29"/>
        <v>160</v>
      </c>
      <c r="AE199" s="197">
        <f t="shared" si="29"/>
        <v>91</v>
      </c>
      <c r="AF199" s="197">
        <f t="shared" si="28"/>
        <v>13</v>
      </c>
      <c r="AG199" s="197">
        <f t="shared" si="28"/>
        <v>0</v>
      </c>
      <c r="AH199" s="197">
        <f t="shared" si="28"/>
        <v>0</v>
      </c>
      <c r="AI199" s="197">
        <f t="shared" si="28"/>
        <v>0</v>
      </c>
      <c r="AJ199" s="197">
        <f t="shared" si="28"/>
        <v>125</v>
      </c>
      <c r="AK199" s="197">
        <f t="shared" si="28"/>
        <v>0</v>
      </c>
      <c r="AL199" s="197">
        <f t="shared" si="28"/>
        <v>0</v>
      </c>
    </row>
    <row r="200" spans="1:38">
      <c r="A200" s="11" t="str">
        <f t="shared" si="32"/>
        <v>05-421549922012</v>
      </c>
      <c r="B200" t="s">
        <v>204</v>
      </c>
      <c r="C200" t="s">
        <v>205</v>
      </c>
      <c r="D200">
        <v>2012</v>
      </c>
      <c r="E200" t="s">
        <v>105</v>
      </c>
      <c r="F200">
        <v>47604.32</v>
      </c>
      <c r="G200">
        <v>48</v>
      </c>
      <c r="H200" s="11" t="str">
        <f t="shared" si="31"/>
        <v>count</v>
      </c>
      <c r="I200" s="197" t="s">
        <v>755</v>
      </c>
      <c r="J200" s="197" t="s">
        <v>756</v>
      </c>
      <c r="K200" s="197" t="s">
        <v>146</v>
      </c>
      <c r="L200" s="197">
        <f t="shared" si="30"/>
        <v>693520.83</v>
      </c>
      <c r="M200" s="197">
        <f t="shared" si="30"/>
        <v>209829.59</v>
      </c>
      <c r="N200" s="197">
        <f t="shared" si="30"/>
        <v>16509.669999999998</v>
      </c>
      <c r="O200" s="197">
        <f t="shared" si="30"/>
        <v>0</v>
      </c>
      <c r="P200" s="197">
        <f t="shared" si="30"/>
        <v>0</v>
      </c>
      <c r="Q200" s="197">
        <f t="shared" si="30"/>
        <v>0</v>
      </c>
      <c r="R200" s="197">
        <f t="shared" si="30"/>
        <v>0</v>
      </c>
      <c r="S200" s="197">
        <f t="shared" si="30"/>
        <v>0</v>
      </c>
      <c r="T200" s="197">
        <f t="shared" si="30"/>
        <v>0</v>
      </c>
      <c r="U200" s="197">
        <f t="shared" si="30"/>
        <v>824528.97</v>
      </c>
      <c r="V200" s="197">
        <f t="shared" si="29"/>
        <v>275571</v>
      </c>
      <c r="W200" s="197">
        <f t="shared" si="29"/>
        <v>15119.3</v>
      </c>
      <c r="X200" s="197">
        <f t="shared" si="29"/>
        <v>0</v>
      </c>
      <c r="Y200" s="197">
        <f t="shared" si="29"/>
        <v>0</v>
      </c>
      <c r="Z200" s="197">
        <f t="shared" si="29"/>
        <v>0</v>
      </c>
      <c r="AA200" s="197">
        <f t="shared" si="29"/>
        <v>77064.33</v>
      </c>
      <c r="AB200" s="197">
        <f t="shared" si="29"/>
        <v>0</v>
      </c>
      <c r="AC200" s="197">
        <f t="shared" si="29"/>
        <v>0</v>
      </c>
      <c r="AD200" s="197">
        <f t="shared" si="29"/>
        <v>767722.49</v>
      </c>
      <c r="AE200" s="197">
        <f t="shared" si="29"/>
        <v>309801.53000000003</v>
      </c>
      <c r="AF200" s="197">
        <f t="shared" si="28"/>
        <v>29469.040000000001</v>
      </c>
      <c r="AG200" s="197">
        <f t="shared" si="28"/>
        <v>0</v>
      </c>
      <c r="AH200" s="197">
        <f t="shared" si="28"/>
        <v>0</v>
      </c>
      <c r="AI200" s="197">
        <f t="shared" si="28"/>
        <v>0</v>
      </c>
      <c r="AJ200" s="197">
        <f t="shared" si="28"/>
        <v>76281.63</v>
      </c>
      <c r="AK200" s="197">
        <f t="shared" si="28"/>
        <v>0</v>
      </c>
      <c r="AL200" s="197">
        <f t="shared" si="28"/>
        <v>0</v>
      </c>
    </row>
    <row r="201" spans="1:38">
      <c r="A201" s="11" t="str">
        <f t="shared" si="32"/>
        <v>05-421549922013</v>
      </c>
      <c r="B201" t="s">
        <v>204</v>
      </c>
      <c r="C201" t="s">
        <v>205</v>
      </c>
      <c r="D201">
        <v>2013</v>
      </c>
      <c r="E201" t="s">
        <v>69</v>
      </c>
      <c r="F201">
        <v>172537.49</v>
      </c>
      <c r="G201">
        <v>263</v>
      </c>
      <c r="H201" s="11" t="str">
        <f t="shared" si="31"/>
        <v>count</v>
      </c>
      <c r="I201" s="197" t="s">
        <v>755</v>
      </c>
      <c r="J201" s="197" t="s">
        <v>756</v>
      </c>
      <c r="K201" s="197" t="s">
        <v>145</v>
      </c>
      <c r="L201" s="197">
        <f t="shared" si="30"/>
        <v>438</v>
      </c>
      <c r="M201" s="197">
        <f t="shared" si="30"/>
        <v>143</v>
      </c>
      <c r="N201" s="197">
        <f t="shared" si="30"/>
        <v>11</v>
      </c>
      <c r="O201" s="197">
        <f t="shared" si="30"/>
        <v>0</v>
      </c>
      <c r="P201" s="197">
        <f t="shared" si="30"/>
        <v>0</v>
      </c>
      <c r="Q201" s="197">
        <f t="shared" si="30"/>
        <v>0</v>
      </c>
      <c r="R201" s="197">
        <f t="shared" si="30"/>
        <v>0</v>
      </c>
      <c r="S201" s="197">
        <f t="shared" si="30"/>
        <v>0</v>
      </c>
      <c r="T201" s="197">
        <f t="shared" si="30"/>
        <v>0</v>
      </c>
      <c r="U201" s="197">
        <f t="shared" si="30"/>
        <v>421</v>
      </c>
      <c r="V201" s="197">
        <f t="shared" si="29"/>
        <v>156</v>
      </c>
      <c r="W201" s="197">
        <f t="shared" si="29"/>
        <v>9</v>
      </c>
      <c r="X201" s="197">
        <f t="shared" si="29"/>
        <v>0</v>
      </c>
      <c r="Y201" s="197">
        <f t="shared" si="29"/>
        <v>0</v>
      </c>
      <c r="Z201" s="197">
        <f t="shared" si="29"/>
        <v>0</v>
      </c>
      <c r="AA201" s="197">
        <f t="shared" si="29"/>
        <v>41</v>
      </c>
      <c r="AB201" s="197">
        <f t="shared" si="29"/>
        <v>0</v>
      </c>
      <c r="AC201" s="197">
        <f t="shared" si="29"/>
        <v>0</v>
      </c>
      <c r="AD201" s="197">
        <f t="shared" si="29"/>
        <v>435</v>
      </c>
      <c r="AE201" s="197">
        <f t="shared" si="29"/>
        <v>160</v>
      </c>
      <c r="AF201" s="197">
        <f t="shared" si="28"/>
        <v>14</v>
      </c>
      <c r="AG201" s="197">
        <f t="shared" si="28"/>
        <v>0</v>
      </c>
      <c r="AH201" s="197">
        <f t="shared" si="28"/>
        <v>0</v>
      </c>
      <c r="AI201" s="197">
        <f t="shared" si="28"/>
        <v>0</v>
      </c>
      <c r="AJ201" s="197">
        <f t="shared" si="28"/>
        <v>54</v>
      </c>
      <c r="AK201" s="197">
        <f t="shared" si="28"/>
        <v>0</v>
      </c>
      <c r="AL201" s="197">
        <f t="shared" si="28"/>
        <v>0</v>
      </c>
    </row>
    <row r="202" spans="1:38">
      <c r="A202" s="11" t="str">
        <f t="shared" si="32"/>
        <v>05-421549922013</v>
      </c>
      <c r="B202" t="s">
        <v>204</v>
      </c>
      <c r="C202" t="s">
        <v>205</v>
      </c>
      <c r="D202">
        <v>2013</v>
      </c>
      <c r="E202" t="s">
        <v>63</v>
      </c>
      <c r="F202">
        <v>259294.95</v>
      </c>
      <c r="G202">
        <v>240</v>
      </c>
      <c r="H202" s="11" t="str">
        <f t="shared" si="31"/>
        <v>count</v>
      </c>
      <c r="I202" s="197" t="s">
        <v>757</v>
      </c>
      <c r="J202" s="197" t="s">
        <v>758</v>
      </c>
      <c r="K202" s="197" t="s">
        <v>146</v>
      </c>
      <c r="L202" s="197">
        <f t="shared" si="30"/>
        <v>490865.65</v>
      </c>
      <c r="M202" s="197">
        <f t="shared" si="30"/>
        <v>276446.48</v>
      </c>
      <c r="N202" s="197">
        <f t="shared" si="30"/>
        <v>124237.59</v>
      </c>
      <c r="O202" s="197">
        <f t="shared" si="30"/>
        <v>0</v>
      </c>
      <c r="P202" s="197">
        <f t="shared" si="30"/>
        <v>0</v>
      </c>
      <c r="Q202" s="197">
        <f t="shared" si="30"/>
        <v>0</v>
      </c>
      <c r="R202" s="197">
        <f t="shared" si="30"/>
        <v>0</v>
      </c>
      <c r="S202" s="197">
        <f t="shared" si="30"/>
        <v>0</v>
      </c>
      <c r="T202" s="197">
        <f t="shared" si="30"/>
        <v>0</v>
      </c>
      <c r="U202" s="197">
        <f t="shared" si="30"/>
        <v>503185.34</v>
      </c>
      <c r="V202" s="197">
        <f t="shared" si="29"/>
        <v>420760.65</v>
      </c>
      <c r="W202" s="197">
        <f t="shared" si="29"/>
        <v>107981.78</v>
      </c>
      <c r="X202" s="197">
        <f t="shared" si="29"/>
        <v>0</v>
      </c>
      <c r="Y202" s="197">
        <f t="shared" si="29"/>
        <v>0</v>
      </c>
      <c r="Z202" s="197">
        <f t="shared" si="29"/>
        <v>0</v>
      </c>
      <c r="AA202" s="197">
        <f t="shared" si="29"/>
        <v>285651.19</v>
      </c>
      <c r="AB202" s="197">
        <f t="shared" si="29"/>
        <v>0</v>
      </c>
      <c r="AC202" s="197">
        <f t="shared" si="29"/>
        <v>0</v>
      </c>
      <c r="AD202" s="197">
        <f t="shared" si="29"/>
        <v>507103.88</v>
      </c>
      <c r="AE202" s="197">
        <f t="shared" si="29"/>
        <v>308938.87</v>
      </c>
      <c r="AF202" s="197">
        <f t="shared" si="28"/>
        <v>115607.83</v>
      </c>
      <c r="AG202" s="197">
        <f t="shared" si="28"/>
        <v>0</v>
      </c>
      <c r="AH202" s="197">
        <f t="shared" si="28"/>
        <v>0</v>
      </c>
      <c r="AI202" s="197">
        <f t="shared" si="28"/>
        <v>0</v>
      </c>
      <c r="AJ202" s="197">
        <f t="shared" si="28"/>
        <v>298051.08</v>
      </c>
      <c r="AK202" s="197">
        <f t="shared" si="28"/>
        <v>0</v>
      </c>
      <c r="AL202" s="197">
        <f t="shared" si="28"/>
        <v>0</v>
      </c>
    </row>
    <row r="203" spans="1:38">
      <c r="A203" s="11" t="str">
        <f t="shared" si="32"/>
        <v>05-421549922011</v>
      </c>
      <c r="B203" t="s">
        <v>204</v>
      </c>
      <c r="C203" t="s">
        <v>205</v>
      </c>
      <c r="D203">
        <v>2011</v>
      </c>
      <c r="E203" t="s">
        <v>1075</v>
      </c>
      <c r="F203">
        <v>23225.5</v>
      </c>
      <c r="G203">
        <v>40</v>
      </c>
      <c r="H203" s="11" t="str">
        <f t="shared" si="31"/>
        <v>count</v>
      </c>
      <c r="I203" s="197" t="s">
        <v>757</v>
      </c>
      <c r="J203" s="197" t="s">
        <v>758</v>
      </c>
      <c r="K203" s="197" t="s">
        <v>145</v>
      </c>
      <c r="L203" s="197">
        <f t="shared" si="30"/>
        <v>339</v>
      </c>
      <c r="M203" s="197">
        <f t="shared" si="30"/>
        <v>183</v>
      </c>
      <c r="N203" s="197">
        <f t="shared" si="30"/>
        <v>77</v>
      </c>
      <c r="O203" s="197">
        <f t="shared" si="30"/>
        <v>0</v>
      </c>
      <c r="P203" s="197">
        <f t="shared" si="30"/>
        <v>0</v>
      </c>
      <c r="Q203" s="197">
        <f t="shared" si="30"/>
        <v>0</v>
      </c>
      <c r="R203" s="197">
        <f t="shared" si="30"/>
        <v>0</v>
      </c>
      <c r="S203" s="197">
        <f t="shared" si="30"/>
        <v>0</v>
      </c>
      <c r="T203" s="197">
        <f t="shared" si="30"/>
        <v>0</v>
      </c>
      <c r="U203" s="197">
        <f t="shared" si="30"/>
        <v>315</v>
      </c>
      <c r="V203" s="197">
        <f t="shared" si="29"/>
        <v>247</v>
      </c>
      <c r="W203" s="197">
        <f t="shared" si="29"/>
        <v>62</v>
      </c>
      <c r="X203" s="197">
        <f t="shared" si="29"/>
        <v>0</v>
      </c>
      <c r="Y203" s="197">
        <f t="shared" si="29"/>
        <v>0</v>
      </c>
      <c r="Z203" s="197">
        <f t="shared" si="29"/>
        <v>0</v>
      </c>
      <c r="AA203" s="197">
        <f t="shared" si="29"/>
        <v>183</v>
      </c>
      <c r="AB203" s="197">
        <f t="shared" si="29"/>
        <v>0</v>
      </c>
      <c r="AC203" s="197">
        <f t="shared" si="29"/>
        <v>0</v>
      </c>
      <c r="AD203" s="197">
        <f t="shared" si="29"/>
        <v>302</v>
      </c>
      <c r="AE203" s="197">
        <f t="shared" si="29"/>
        <v>186</v>
      </c>
      <c r="AF203" s="197">
        <f t="shared" si="28"/>
        <v>72</v>
      </c>
      <c r="AG203" s="197">
        <f t="shared" si="28"/>
        <v>0</v>
      </c>
      <c r="AH203" s="197">
        <f t="shared" si="28"/>
        <v>0</v>
      </c>
      <c r="AI203" s="197">
        <f t="shared" si="28"/>
        <v>0</v>
      </c>
      <c r="AJ203" s="197">
        <f t="shared" si="28"/>
        <v>195</v>
      </c>
      <c r="AK203" s="197">
        <f t="shared" si="28"/>
        <v>0</v>
      </c>
      <c r="AL203" s="197">
        <f t="shared" si="28"/>
        <v>0</v>
      </c>
    </row>
    <row r="204" spans="1:38">
      <c r="A204" s="11" t="str">
        <f t="shared" si="32"/>
        <v>05-421549922011</v>
      </c>
      <c r="B204" t="s">
        <v>204</v>
      </c>
      <c r="C204" t="s">
        <v>205</v>
      </c>
      <c r="D204">
        <v>2011</v>
      </c>
      <c r="E204" t="s">
        <v>105</v>
      </c>
      <c r="F204">
        <v>10724.3</v>
      </c>
      <c r="G204">
        <v>14</v>
      </c>
      <c r="H204" s="11" t="str">
        <f t="shared" si="31"/>
        <v>count</v>
      </c>
      <c r="I204" s="197" t="s">
        <v>760</v>
      </c>
      <c r="J204" s="197" t="s">
        <v>761</v>
      </c>
      <c r="K204" s="197" t="s">
        <v>146</v>
      </c>
      <c r="L204" s="197">
        <f t="shared" si="30"/>
        <v>1458969.6000000001</v>
      </c>
      <c r="M204" s="197">
        <f t="shared" si="30"/>
        <v>682918.88</v>
      </c>
      <c r="N204" s="197">
        <f t="shared" si="30"/>
        <v>84793.93</v>
      </c>
      <c r="O204" s="197">
        <f t="shared" si="30"/>
        <v>0</v>
      </c>
      <c r="P204" s="197">
        <f t="shared" si="30"/>
        <v>0</v>
      </c>
      <c r="Q204" s="197">
        <f t="shared" si="30"/>
        <v>0</v>
      </c>
      <c r="R204" s="197">
        <f t="shared" si="30"/>
        <v>350</v>
      </c>
      <c r="S204" s="197">
        <f t="shared" si="30"/>
        <v>0</v>
      </c>
      <c r="T204" s="197">
        <f t="shared" si="30"/>
        <v>0</v>
      </c>
      <c r="U204" s="197">
        <f t="shared" si="30"/>
        <v>1301551.22</v>
      </c>
      <c r="V204" s="197">
        <f t="shared" si="29"/>
        <v>724836.84</v>
      </c>
      <c r="W204" s="197">
        <f t="shared" si="29"/>
        <v>68733.72</v>
      </c>
      <c r="X204" s="197">
        <f t="shared" si="29"/>
        <v>27420.27</v>
      </c>
      <c r="Y204" s="197">
        <f t="shared" si="29"/>
        <v>0</v>
      </c>
      <c r="Z204" s="197">
        <f t="shared" si="29"/>
        <v>0</v>
      </c>
      <c r="AA204" s="197">
        <f t="shared" ref="V204:AE229" si="33">SUMIFS(IF($K204="volume",$F:$F,$G:$G),$D:$D,AA$2,$B:$B,$I204,$E:$E,AA$3)</f>
        <v>262651.63</v>
      </c>
      <c r="AB204" s="197">
        <f t="shared" si="33"/>
        <v>0</v>
      </c>
      <c r="AC204" s="197">
        <f t="shared" si="33"/>
        <v>0</v>
      </c>
      <c r="AD204" s="197">
        <f t="shared" si="33"/>
        <v>1287586.83</v>
      </c>
      <c r="AE204" s="197">
        <f t="shared" si="33"/>
        <v>740852.21</v>
      </c>
      <c r="AF204" s="197">
        <f t="shared" si="28"/>
        <v>77649.72</v>
      </c>
      <c r="AG204" s="197">
        <f t="shared" si="28"/>
        <v>0</v>
      </c>
      <c r="AH204" s="197">
        <f t="shared" si="28"/>
        <v>163252.67000000001</v>
      </c>
      <c r="AI204" s="197">
        <f t="shared" si="28"/>
        <v>0</v>
      </c>
      <c r="AJ204" s="197">
        <f t="shared" si="28"/>
        <v>316770.15999999997</v>
      </c>
      <c r="AK204" s="197">
        <f t="shared" si="28"/>
        <v>0</v>
      </c>
      <c r="AL204" s="197">
        <f t="shared" si="28"/>
        <v>0</v>
      </c>
    </row>
    <row r="205" spans="1:38">
      <c r="A205" s="11" t="str">
        <f t="shared" si="32"/>
        <v>05-421549922012</v>
      </c>
      <c r="B205" t="s">
        <v>204</v>
      </c>
      <c r="C205" t="s">
        <v>205</v>
      </c>
      <c r="D205">
        <v>2012</v>
      </c>
      <c r="E205" t="s">
        <v>1074</v>
      </c>
      <c r="F205">
        <v>15006.62</v>
      </c>
      <c r="G205">
        <v>20</v>
      </c>
      <c r="H205" s="11" t="str">
        <f t="shared" si="31"/>
        <v>count</v>
      </c>
      <c r="I205" s="197" t="s">
        <v>760</v>
      </c>
      <c r="J205" s="197" t="s">
        <v>761</v>
      </c>
      <c r="K205" s="197" t="s">
        <v>145</v>
      </c>
      <c r="L205" s="197">
        <f t="shared" si="30"/>
        <v>970</v>
      </c>
      <c r="M205" s="197">
        <f t="shared" si="30"/>
        <v>458</v>
      </c>
      <c r="N205" s="197">
        <f t="shared" si="30"/>
        <v>60</v>
      </c>
      <c r="O205" s="197">
        <f t="shared" si="30"/>
        <v>0</v>
      </c>
      <c r="P205" s="197">
        <f t="shared" si="30"/>
        <v>0</v>
      </c>
      <c r="Q205" s="197">
        <f t="shared" ref="L205:U230" si="34">SUMIFS(IF($K205="volume",$F:$F,$G:$G),$D:$D,Q$2,$B:$B,$I205,$E:$E,Q$3)</f>
        <v>0</v>
      </c>
      <c r="R205" s="197">
        <f t="shared" si="34"/>
        <v>1</v>
      </c>
      <c r="S205" s="197">
        <f t="shared" si="34"/>
        <v>0</v>
      </c>
      <c r="T205" s="197">
        <f t="shared" si="34"/>
        <v>0</v>
      </c>
      <c r="U205" s="197">
        <f t="shared" si="34"/>
        <v>906</v>
      </c>
      <c r="V205" s="197">
        <f t="shared" si="33"/>
        <v>454</v>
      </c>
      <c r="W205" s="197">
        <f t="shared" si="33"/>
        <v>56</v>
      </c>
      <c r="X205" s="197">
        <f t="shared" si="33"/>
        <v>4</v>
      </c>
      <c r="Y205" s="197">
        <f t="shared" si="33"/>
        <v>0</v>
      </c>
      <c r="Z205" s="197">
        <f t="shared" si="33"/>
        <v>0</v>
      </c>
      <c r="AA205" s="197">
        <f t="shared" si="33"/>
        <v>211</v>
      </c>
      <c r="AB205" s="197">
        <f t="shared" si="33"/>
        <v>0</v>
      </c>
      <c r="AC205" s="197">
        <f t="shared" si="33"/>
        <v>0</v>
      </c>
      <c r="AD205" s="197">
        <f t="shared" si="33"/>
        <v>844</v>
      </c>
      <c r="AE205" s="197">
        <f t="shared" si="33"/>
        <v>404</v>
      </c>
      <c r="AF205" s="197">
        <f t="shared" si="28"/>
        <v>50</v>
      </c>
      <c r="AG205" s="197">
        <f t="shared" si="28"/>
        <v>0</v>
      </c>
      <c r="AH205" s="197">
        <f t="shared" si="28"/>
        <v>75</v>
      </c>
      <c r="AI205" s="197">
        <f t="shared" si="28"/>
        <v>0</v>
      </c>
      <c r="AJ205" s="197">
        <f t="shared" si="28"/>
        <v>224</v>
      </c>
      <c r="AK205" s="197">
        <f t="shared" si="28"/>
        <v>0</v>
      </c>
      <c r="AL205" s="197">
        <f t="shared" si="28"/>
        <v>0</v>
      </c>
    </row>
    <row r="206" spans="1:38">
      <c r="A206" s="11" t="str">
        <f t="shared" si="32"/>
        <v>05-421549922012</v>
      </c>
      <c r="B206" t="s">
        <v>204</v>
      </c>
      <c r="C206" t="s">
        <v>205</v>
      </c>
      <c r="D206">
        <v>2012</v>
      </c>
      <c r="E206" t="s">
        <v>63</v>
      </c>
      <c r="F206">
        <v>290830.2</v>
      </c>
      <c r="G206">
        <v>284</v>
      </c>
      <c r="H206" s="11" t="str">
        <f t="shared" si="31"/>
        <v>count</v>
      </c>
      <c r="I206" s="197" t="s">
        <v>776</v>
      </c>
      <c r="J206" s="197" t="s">
        <v>777</v>
      </c>
      <c r="K206" s="197" t="s">
        <v>146</v>
      </c>
      <c r="L206" s="197">
        <f t="shared" si="34"/>
        <v>7674226.4900000002</v>
      </c>
      <c r="M206" s="197">
        <f t="shared" si="34"/>
        <v>2303336.42</v>
      </c>
      <c r="N206" s="197">
        <f t="shared" si="34"/>
        <v>208683.02</v>
      </c>
      <c r="O206" s="197">
        <f t="shared" si="34"/>
        <v>4687214.46</v>
      </c>
      <c r="P206" s="197">
        <f t="shared" si="34"/>
        <v>556413.43000000005</v>
      </c>
      <c r="Q206" s="197">
        <f t="shared" si="34"/>
        <v>0</v>
      </c>
      <c r="R206" s="197">
        <f t="shared" si="34"/>
        <v>10794.32</v>
      </c>
      <c r="S206" s="197">
        <f t="shared" si="34"/>
        <v>0</v>
      </c>
      <c r="T206" s="197">
        <f t="shared" si="34"/>
        <v>0</v>
      </c>
      <c r="U206" s="197">
        <f t="shared" si="34"/>
        <v>723178.28</v>
      </c>
      <c r="V206" s="197">
        <f t="shared" si="33"/>
        <v>582215.38</v>
      </c>
      <c r="W206" s="197">
        <f t="shared" si="33"/>
        <v>49046.46</v>
      </c>
      <c r="X206" s="197">
        <f t="shared" si="33"/>
        <v>2743208.13</v>
      </c>
      <c r="Y206" s="197">
        <f t="shared" si="33"/>
        <v>624577.14</v>
      </c>
      <c r="Z206" s="197">
        <f t="shared" si="33"/>
        <v>0</v>
      </c>
      <c r="AA206" s="197">
        <f t="shared" si="33"/>
        <v>1416326.15</v>
      </c>
      <c r="AB206" s="197">
        <f t="shared" si="33"/>
        <v>0</v>
      </c>
      <c r="AC206" s="197">
        <f t="shared" si="33"/>
        <v>0</v>
      </c>
      <c r="AD206" s="197">
        <f t="shared" si="33"/>
        <v>258863.2</v>
      </c>
      <c r="AE206" s="197">
        <f t="shared" si="33"/>
        <v>156822.1</v>
      </c>
      <c r="AF206" s="197">
        <f t="shared" si="28"/>
        <v>24781.439999999999</v>
      </c>
      <c r="AG206" s="197">
        <f t="shared" si="28"/>
        <v>851953.24</v>
      </c>
      <c r="AH206" s="197">
        <f t="shared" si="28"/>
        <v>665207.78</v>
      </c>
      <c r="AI206" s="197">
        <f t="shared" si="28"/>
        <v>0</v>
      </c>
      <c r="AJ206" s="197">
        <f t="shared" si="28"/>
        <v>481591.39</v>
      </c>
      <c r="AK206" s="197">
        <f t="shared" si="28"/>
        <v>0</v>
      </c>
      <c r="AL206" s="197">
        <f t="shared" si="28"/>
        <v>0</v>
      </c>
    </row>
    <row r="207" spans="1:38">
      <c r="A207" s="11" t="str">
        <f t="shared" si="32"/>
        <v>05-421549922013</v>
      </c>
      <c r="B207" t="s">
        <v>204</v>
      </c>
      <c r="C207" t="s">
        <v>205</v>
      </c>
      <c r="D207">
        <v>2013</v>
      </c>
      <c r="E207" t="s">
        <v>105</v>
      </c>
      <c r="F207">
        <v>28808.86</v>
      </c>
      <c r="G207">
        <v>28</v>
      </c>
      <c r="H207" s="11" t="str">
        <f t="shared" si="31"/>
        <v>count</v>
      </c>
      <c r="I207" s="197" t="s">
        <v>776</v>
      </c>
      <c r="J207" s="197" t="s">
        <v>777</v>
      </c>
      <c r="K207" s="197" t="s">
        <v>145</v>
      </c>
      <c r="L207" s="197">
        <f t="shared" si="34"/>
        <v>14598</v>
      </c>
      <c r="M207" s="197">
        <f t="shared" si="34"/>
        <v>4331</v>
      </c>
      <c r="N207" s="197">
        <f t="shared" si="34"/>
        <v>327</v>
      </c>
      <c r="O207" s="197">
        <f t="shared" si="34"/>
        <v>7251</v>
      </c>
      <c r="P207" s="197">
        <f t="shared" si="34"/>
        <v>105</v>
      </c>
      <c r="Q207" s="197">
        <f t="shared" si="34"/>
        <v>0</v>
      </c>
      <c r="R207" s="197">
        <f t="shared" si="34"/>
        <v>21</v>
      </c>
      <c r="S207" s="197">
        <f t="shared" si="34"/>
        <v>0</v>
      </c>
      <c r="T207" s="197">
        <f t="shared" si="34"/>
        <v>0</v>
      </c>
      <c r="U207" s="197">
        <f t="shared" si="34"/>
        <v>1145</v>
      </c>
      <c r="V207" s="197">
        <f t="shared" si="33"/>
        <v>908</v>
      </c>
      <c r="W207" s="197">
        <f t="shared" si="33"/>
        <v>76</v>
      </c>
      <c r="X207" s="197">
        <f t="shared" si="33"/>
        <v>3493</v>
      </c>
      <c r="Y207" s="197">
        <f t="shared" si="33"/>
        <v>27</v>
      </c>
      <c r="Z207" s="197">
        <f t="shared" si="33"/>
        <v>0</v>
      </c>
      <c r="AA207" s="197">
        <f t="shared" si="33"/>
        <v>2445</v>
      </c>
      <c r="AB207" s="197">
        <f t="shared" si="33"/>
        <v>0</v>
      </c>
      <c r="AC207" s="197">
        <f t="shared" si="33"/>
        <v>0</v>
      </c>
      <c r="AD207" s="197">
        <f t="shared" si="33"/>
        <v>303</v>
      </c>
      <c r="AE207" s="197">
        <f t="shared" si="33"/>
        <v>177</v>
      </c>
      <c r="AF207" s="197">
        <f t="shared" si="28"/>
        <v>27</v>
      </c>
      <c r="AG207" s="197">
        <f t="shared" si="28"/>
        <v>945</v>
      </c>
      <c r="AH207" s="197">
        <f t="shared" si="28"/>
        <v>40</v>
      </c>
      <c r="AI207" s="197">
        <f t="shared" si="28"/>
        <v>0</v>
      </c>
      <c r="AJ207" s="197">
        <f t="shared" si="28"/>
        <v>651</v>
      </c>
      <c r="AK207" s="197">
        <f t="shared" si="28"/>
        <v>0</v>
      </c>
      <c r="AL207" s="197">
        <f t="shared" si="28"/>
        <v>0</v>
      </c>
    </row>
    <row r="208" spans="1:38">
      <c r="A208" s="11" t="str">
        <f t="shared" si="32"/>
        <v>05-421549922011</v>
      </c>
      <c r="B208" t="s">
        <v>204</v>
      </c>
      <c r="C208" t="s">
        <v>205</v>
      </c>
      <c r="D208">
        <v>2011</v>
      </c>
      <c r="E208" t="s">
        <v>1074</v>
      </c>
      <c r="F208">
        <v>37777.35</v>
      </c>
      <c r="G208">
        <v>57</v>
      </c>
      <c r="H208" s="11" t="str">
        <f t="shared" si="31"/>
        <v>count</v>
      </c>
      <c r="I208" s="197" t="s">
        <v>786</v>
      </c>
      <c r="J208" s="197" t="s">
        <v>787</v>
      </c>
      <c r="K208" s="197" t="s">
        <v>146</v>
      </c>
      <c r="L208" s="197">
        <f t="shared" si="34"/>
        <v>635942.43000000005</v>
      </c>
      <c r="M208" s="197">
        <f t="shared" si="34"/>
        <v>328131.02</v>
      </c>
      <c r="N208" s="197">
        <f t="shared" si="34"/>
        <v>50839.21</v>
      </c>
      <c r="O208" s="197">
        <f t="shared" si="34"/>
        <v>40649.9</v>
      </c>
      <c r="P208" s="197">
        <f t="shared" si="34"/>
        <v>171965</v>
      </c>
      <c r="Q208" s="197">
        <f t="shared" si="34"/>
        <v>0</v>
      </c>
      <c r="R208" s="197">
        <f t="shared" si="34"/>
        <v>200</v>
      </c>
      <c r="S208" s="197">
        <f t="shared" si="34"/>
        <v>0</v>
      </c>
      <c r="T208" s="197">
        <f t="shared" si="34"/>
        <v>0</v>
      </c>
      <c r="U208" s="197">
        <f t="shared" si="34"/>
        <v>505586.96</v>
      </c>
      <c r="V208" s="197">
        <f t="shared" si="33"/>
        <v>377280.99</v>
      </c>
      <c r="W208" s="197">
        <f t="shared" si="33"/>
        <v>64313.41</v>
      </c>
      <c r="X208" s="197">
        <f t="shared" si="33"/>
        <v>15795.02</v>
      </c>
      <c r="Y208" s="197">
        <f t="shared" si="33"/>
        <v>154600.84</v>
      </c>
      <c r="Z208" s="197">
        <f t="shared" si="33"/>
        <v>0</v>
      </c>
      <c r="AA208" s="197">
        <f t="shared" si="33"/>
        <v>262596.88</v>
      </c>
      <c r="AB208" s="197">
        <f t="shared" si="33"/>
        <v>0</v>
      </c>
      <c r="AC208" s="197">
        <f t="shared" si="33"/>
        <v>0</v>
      </c>
      <c r="AD208" s="197">
        <f t="shared" si="33"/>
        <v>402777.69</v>
      </c>
      <c r="AE208" s="197">
        <f t="shared" si="33"/>
        <v>299824.98</v>
      </c>
      <c r="AF208" s="197">
        <f t="shared" si="28"/>
        <v>58239.48</v>
      </c>
      <c r="AG208" s="197">
        <f t="shared" si="28"/>
        <v>6025.05</v>
      </c>
      <c r="AH208" s="197">
        <f t="shared" si="28"/>
        <v>124701.23</v>
      </c>
      <c r="AI208" s="197">
        <f t="shared" si="28"/>
        <v>0</v>
      </c>
      <c r="AJ208" s="197">
        <f t="shared" si="28"/>
        <v>298683.05</v>
      </c>
      <c r="AK208" s="197">
        <f t="shared" si="28"/>
        <v>0</v>
      </c>
      <c r="AL208" s="197">
        <f t="shared" si="28"/>
        <v>0</v>
      </c>
    </row>
    <row r="209" spans="1:38">
      <c r="A209" s="11" t="str">
        <f t="shared" si="32"/>
        <v>05-421549922012</v>
      </c>
      <c r="B209" t="s">
        <v>204</v>
      </c>
      <c r="C209" t="s">
        <v>205</v>
      </c>
      <c r="D209">
        <v>2012</v>
      </c>
      <c r="E209" t="s">
        <v>104</v>
      </c>
      <c r="F209">
        <v>151686.06</v>
      </c>
      <c r="G209">
        <v>159</v>
      </c>
      <c r="H209" s="11" t="str">
        <f t="shared" si="31"/>
        <v>count</v>
      </c>
      <c r="I209" s="197" t="s">
        <v>786</v>
      </c>
      <c r="J209" s="197" t="s">
        <v>787</v>
      </c>
      <c r="K209" s="197" t="s">
        <v>145</v>
      </c>
      <c r="L209" s="197">
        <f t="shared" si="34"/>
        <v>928</v>
      </c>
      <c r="M209" s="197">
        <f t="shared" si="34"/>
        <v>478</v>
      </c>
      <c r="N209" s="197">
        <f t="shared" si="34"/>
        <v>80</v>
      </c>
      <c r="O209" s="197">
        <f t="shared" si="34"/>
        <v>45</v>
      </c>
      <c r="P209" s="197">
        <f t="shared" si="34"/>
        <v>181</v>
      </c>
      <c r="Q209" s="197">
        <f t="shared" si="34"/>
        <v>0</v>
      </c>
      <c r="R209" s="197">
        <f t="shared" si="34"/>
        <v>1</v>
      </c>
      <c r="S209" s="197">
        <f t="shared" si="34"/>
        <v>0</v>
      </c>
      <c r="T209" s="197">
        <f t="shared" si="34"/>
        <v>0</v>
      </c>
      <c r="U209" s="197">
        <f t="shared" si="34"/>
        <v>657</v>
      </c>
      <c r="V209" s="197">
        <f t="shared" si="33"/>
        <v>456</v>
      </c>
      <c r="W209" s="197">
        <f t="shared" si="33"/>
        <v>79</v>
      </c>
      <c r="X209" s="197">
        <f t="shared" si="33"/>
        <v>19</v>
      </c>
      <c r="Y209" s="197">
        <f t="shared" si="33"/>
        <v>187</v>
      </c>
      <c r="Z209" s="197">
        <f t="shared" si="33"/>
        <v>0</v>
      </c>
      <c r="AA209" s="197">
        <f t="shared" si="33"/>
        <v>419</v>
      </c>
      <c r="AB209" s="197">
        <f t="shared" si="33"/>
        <v>0</v>
      </c>
      <c r="AC209" s="197">
        <f t="shared" si="33"/>
        <v>0</v>
      </c>
      <c r="AD209" s="197">
        <f t="shared" si="33"/>
        <v>561</v>
      </c>
      <c r="AE209" s="197">
        <f t="shared" si="33"/>
        <v>364</v>
      </c>
      <c r="AF209" s="197">
        <f t="shared" si="28"/>
        <v>76</v>
      </c>
      <c r="AG209" s="197">
        <f t="shared" si="28"/>
        <v>8</v>
      </c>
      <c r="AH209" s="197">
        <f t="shared" si="28"/>
        <v>142</v>
      </c>
      <c r="AI209" s="197">
        <f t="shared" si="28"/>
        <v>0</v>
      </c>
      <c r="AJ209" s="197">
        <f t="shared" si="28"/>
        <v>530</v>
      </c>
      <c r="AK209" s="197">
        <f t="shared" si="28"/>
        <v>0</v>
      </c>
      <c r="AL209" s="197">
        <f t="shared" si="28"/>
        <v>0</v>
      </c>
    </row>
    <row r="210" spans="1:38">
      <c r="A210" s="11" t="str">
        <f t="shared" si="32"/>
        <v>05-422006532013</v>
      </c>
      <c r="B210" t="s">
        <v>208</v>
      </c>
      <c r="C210" t="s">
        <v>209</v>
      </c>
      <c r="D210">
        <v>2013</v>
      </c>
      <c r="E210" t="s">
        <v>133</v>
      </c>
      <c r="F210">
        <v>859880.49</v>
      </c>
      <c r="G210">
        <v>977</v>
      </c>
      <c r="H210" s="11" t="str">
        <f t="shared" si="31"/>
        <v>volume</v>
      </c>
      <c r="I210" s="197" t="s">
        <v>796</v>
      </c>
      <c r="J210" s="197" t="s">
        <v>797</v>
      </c>
      <c r="K210" s="197" t="s">
        <v>146</v>
      </c>
      <c r="L210" s="197">
        <f t="shared" si="34"/>
        <v>821338.41</v>
      </c>
      <c r="M210" s="197">
        <f t="shared" si="34"/>
        <v>488842.25</v>
      </c>
      <c r="N210" s="197">
        <f t="shared" si="34"/>
        <v>127702.78</v>
      </c>
      <c r="O210" s="197">
        <f t="shared" si="34"/>
        <v>0</v>
      </c>
      <c r="P210" s="197">
        <f t="shared" si="34"/>
        <v>268768.99</v>
      </c>
      <c r="Q210" s="197">
        <f t="shared" si="34"/>
        <v>0</v>
      </c>
      <c r="R210" s="197">
        <f t="shared" si="34"/>
        <v>1327.64</v>
      </c>
      <c r="S210" s="197">
        <f t="shared" si="34"/>
        <v>0</v>
      </c>
      <c r="T210" s="197">
        <f t="shared" si="34"/>
        <v>0</v>
      </c>
      <c r="U210" s="197">
        <f t="shared" si="34"/>
        <v>693816.64</v>
      </c>
      <c r="V210" s="197">
        <f t="shared" si="33"/>
        <v>569846.71</v>
      </c>
      <c r="W210" s="197">
        <f t="shared" si="33"/>
        <v>139661.10999999999</v>
      </c>
      <c r="X210" s="197">
        <f t="shared" si="33"/>
        <v>0</v>
      </c>
      <c r="Y210" s="197">
        <f t="shared" si="33"/>
        <v>336818.2</v>
      </c>
      <c r="Z210" s="197">
        <f t="shared" si="33"/>
        <v>0</v>
      </c>
      <c r="AA210" s="197">
        <f t="shared" si="33"/>
        <v>435822.09</v>
      </c>
      <c r="AB210" s="197">
        <f t="shared" si="33"/>
        <v>0</v>
      </c>
      <c r="AC210" s="197">
        <f t="shared" si="33"/>
        <v>0</v>
      </c>
      <c r="AD210" s="197">
        <f t="shared" si="33"/>
        <v>854665.04</v>
      </c>
      <c r="AE210" s="197">
        <f t="shared" si="33"/>
        <v>557680.75</v>
      </c>
      <c r="AF210" s="197">
        <f t="shared" si="28"/>
        <v>148722.74</v>
      </c>
      <c r="AG210" s="197">
        <f t="shared" si="28"/>
        <v>0</v>
      </c>
      <c r="AH210" s="197">
        <f t="shared" si="28"/>
        <v>358590.57</v>
      </c>
      <c r="AI210" s="197">
        <f t="shared" si="28"/>
        <v>0</v>
      </c>
      <c r="AJ210" s="197">
        <f t="shared" si="28"/>
        <v>768984.77</v>
      </c>
      <c r="AK210" s="197">
        <f t="shared" si="28"/>
        <v>0</v>
      </c>
      <c r="AL210" s="197">
        <f t="shared" si="28"/>
        <v>0</v>
      </c>
    </row>
    <row r="211" spans="1:38">
      <c r="A211" s="11" t="str">
        <f t="shared" si="32"/>
        <v>05-422006532011</v>
      </c>
      <c r="B211" t="s">
        <v>208</v>
      </c>
      <c r="C211" t="s">
        <v>209</v>
      </c>
      <c r="D211">
        <v>2011</v>
      </c>
      <c r="E211" t="s">
        <v>104</v>
      </c>
      <c r="F211">
        <v>1158113.71</v>
      </c>
      <c r="G211">
        <v>1591</v>
      </c>
      <c r="H211" s="11" t="str">
        <f t="shared" si="31"/>
        <v>count</v>
      </c>
      <c r="I211" s="197" t="s">
        <v>796</v>
      </c>
      <c r="J211" s="197" t="s">
        <v>797</v>
      </c>
      <c r="K211" s="197" t="s">
        <v>145</v>
      </c>
      <c r="L211" s="197">
        <f t="shared" si="34"/>
        <v>1101</v>
      </c>
      <c r="M211" s="197">
        <f t="shared" si="34"/>
        <v>658</v>
      </c>
      <c r="N211" s="197">
        <f t="shared" si="34"/>
        <v>159</v>
      </c>
      <c r="O211" s="197">
        <f t="shared" si="34"/>
        <v>0</v>
      </c>
      <c r="P211" s="197">
        <f t="shared" si="34"/>
        <v>319</v>
      </c>
      <c r="Q211" s="197">
        <f t="shared" si="34"/>
        <v>0</v>
      </c>
      <c r="R211" s="197">
        <f t="shared" si="34"/>
        <v>2</v>
      </c>
      <c r="S211" s="197">
        <f t="shared" si="34"/>
        <v>0</v>
      </c>
      <c r="T211" s="197">
        <f t="shared" si="34"/>
        <v>0</v>
      </c>
      <c r="U211" s="197">
        <f t="shared" si="34"/>
        <v>847</v>
      </c>
      <c r="V211" s="197">
        <f t="shared" si="33"/>
        <v>766</v>
      </c>
      <c r="W211" s="197">
        <f t="shared" si="33"/>
        <v>168</v>
      </c>
      <c r="X211" s="197">
        <f t="shared" si="33"/>
        <v>0</v>
      </c>
      <c r="Y211" s="197">
        <f t="shared" si="33"/>
        <v>388</v>
      </c>
      <c r="Z211" s="197">
        <f t="shared" si="33"/>
        <v>0</v>
      </c>
      <c r="AA211" s="197">
        <f t="shared" si="33"/>
        <v>650</v>
      </c>
      <c r="AB211" s="197">
        <f t="shared" si="33"/>
        <v>0</v>
      </c>
      <c r="AC211" s="197">
        <f t="shared" si="33"/>
        <v>0</v>
      </c>
      <c r="AD211" s="197">
        <f t="shared" si="33"/>
        <v>1034</v>
      </c>
      <c r="AE211" s="197">
        <f t="shared" si="33"/>
        <v>768</v>
      </c>
      <c r="AF211" s="197">
        <f t="shared" si="28"/>
        <v>197</v>
      </c>
      <c r="AG211" s="197">
        <f t="shared" si="28"/>
        <v>0</v>
      </c>
      <c r="AH211" s="197">
        <f t="shared" si="28"/>
        <v>396</v>
      </c>
      <c r="AI211" s="197">
        <f t="shared" si="28"/>
        <v>0</v>
      </c>
      <c r="AJ211" s="197">
        <f t="shared" si="28"/>
        <v>1174</v>
      </c>
      <c r="AK211" s="197">
        <f t="shared" si="28"/>
        <v>0</v>
      </c>
      <c r="AL211" s="197">
        <f t="shared" si="28"/>
        <v>0</v>
      </c>
    </row>
    <row r="212" spans="1:38">
      <c r="A212" s="11" t="str">
        <f t="shared" si="32"/>
        <v>05-422006532012</v>
      </c>
      <c r="B212" t="s">
        <v>208</v>
      </c>
      <c r="C212" t="s">
        <v>209</v>
      </c>
      <c r="D212">
        <v>2012</v>
      </c>
      <c r="E212" t="s">
        <v>105</v>
      </c>
      <c r="F212">
        <v>146205.56</v>
      </c>
      <c r="G212">
        <v>183</v>
      </c>
      <c r="H212" s="11" t="str">
        <f t="shared" si="31"/>
        <v>count</v>
      </c>
      <c r="I212" s="197" t="s">
        <v>802</v>
      </c>
      <c r="J212" s="197" t="s">
        <v>803</v>
      </c>
      <c r="K212" s="197" t="s">
        <v>146</v>
      </c>
      <c r="L212" s="197">
        <f t="shared" si="34"/>
        <v>297566.87</v>
      </c>
      <c r="M212" s="197">
        <f t="shared" si="34"/>
        <v>144080.44</v>
      </c>
      <c r="N212" s="197">
        <f t="shared" si="34"/>
        <v>32921.410000000003</v>
      </c>
      <c r="O212" s="197">
        <f t="shared" si="34"/>
        <v>1650</v>
      </c>
      <c r="P212" s="197">
        <f t="shared" si="34"/>
        <v>141123.51999999999</v>
      </c>
      <c r="Q212" s="197">
        <f t="shared" si="34"/>
        <v>0</v>
      </c>
      <c r="R212" s="197">
        <f t="shared" si="34"/>
        <v>1141.25</v>
      </c>
      <c r="S212" s="197">
        <f t="shared" si="34"/>
        <v>0</v>
      </c>
      <c r="T212" s="197">
        <f t="shared" si="34"/>
        <v>0</v>
      </c>
      <c r="U212" s="197">
        <f t="shared" si="34"/>
        <v>215125.79</v>
      </c>
      <c r="V212" s="197">
        <f t="shared" si="33"/>
        <v>173041.49</v>
      </c>
      <c r="W212" s="197">
        <f t="shared" si="33"/>
        <v>16950.73</v>
      </c>
      <c r="X212" s="197">
        <f t="shared" si="33"/>
        <v>23087.41</v>
      </c>
      <c r="Y212" s="197">
        <f t="shared" si="33"/>
        <v>106719.15</v>
      </c>
      <c r="Z212" s="197">
        <f t="shared" si="33"/>
        <v>0</v>
      </c>
      <c r="AA212" s="197">
        <f t="shared" si="33"/>
        <v>58076.72</v>
      </c>
      <c r="AB212" s="197">
        <f t="shared" si="33"/>
        <v>0</v>
      </c>
      <c r="AC212" s="197">
        <f t="shared" si="33"/>
        <v>0</v>
      </c>
      <c r="AD212" s="197">
        <f t="shared" si="33"/>
        <v>148749.53</v>
      </c>
      <c r="AE212" s="197">
        <f t="shared" si="33"/>
        <v>138612.5</v>
      </c>
      <c r="AF212" s="197">
        <f t="shared" si="28"/>
        <v>23360.44</v>
      </c>
      <c r="AG212" s="197">
        <f t="shared" si="28"/>
        <v>12503.46</v>
      </c>
      <c r="AH212" s="197">
        <f t="shared" si="28"/>
        <v>79146.34</v>
      </c>
      <c r="AI212" s="197">
        <f t="shared" si="28"/>
        <v>0</v>
      </c>
      <c r="AJ212" s="197">
        <f t="shared" si="28"/>
        <v>53262.6</v>
      </c>
      <c r="AK212" s="197">
        <f t="shared" si="28"/>
        <v>0</v>
      </c>
      <c r="AL212" s="197">
        <f t="shared" si="28"/>
        <v>0</v>
      </c>
    </row>
    <row r="213" spans="1:38">
      <c r="A213" s="11" t="str">
        <f t="shared" si="32"/>
        <v>05-422006532011</v>
      </c>
      <c r="B213" t="s">
        <v>208</v>
      </c>
      <c r="C213" t="s">
        <v>209</v>
      </c>
      <c r="D213">
        <v>2011</v>
      </c>
      <c r="E213" t="s">
        <v>63</v>
      </c>
      <c r="F213">
        <v>3589925.44</v>
      </c>
      <c r="G213">
        <v>5077</v>
      </c>
      <c r="H213" s="11" t="str">
        <f t="shared" si="31"/>
        <v>count</v>
      </c>
      <c r="I213" s="197" t="s">
        <v>802</v>
      </c>
      <c r="J213" s="197" t="s">
        <v>803</v>
      </c>
      <c r="K213" s="197" t="s">
        <v>145</v>
      </c>
      <c r="L213" s="197">
        <f t="shared" si="34"/>
        <v>457</v>
      </c>
      <c r="M213" s="197">
        <f t="shared" si="34"/>
        <v>238</v>
      </c>
      <c r="N213" s="197">
        <f t="shared" si="34"/>
        <v>53</v>
      </c>
      <c r="O213" s="197">
        <f t="shared" si="34"/>
        <v>3</v>
      </c>
      <c r="P213" s="197">
        <f t="shared" si="34"/>
        <v>171</v>
      </c>
      <c r="Q213" s="197">
        <f t="shared" si="34"/>
        <v>0</v>
      </c>
      <c r="R213" s="197">
        <f t="shared" si="34"/>
        <v>2</v>
      </c>
      <c r="S213" s="197">
        <f t="shared" si="34"/>
        <v>0</v>
      </c>
      <c r="T213" s="197">
        <f t="shared" si="34"/>
        <v>0</v>
      </c>
      <c r="U213" s="197">
        <f t="shared" si="34"/>
        <v>347</v>
      </c>
      <c r="V213" s="197">
        <f t="shared" si="33"/>
        <v>396</v>
      </c>
      <c r="W213" s="197">
        <f t="shared" si="33"/>
        <v>36</v>
      </c>
      <c r="X213" s="197">
        <f t="shared" si="33"/>
        <v>31</v>
      </c>
      <c r="Y213" s="197">
        <f t="shared" si="33"/>
        <v>146</v>
      </c>
      <c r="Z213" s="197">
        <f t="shared" si="33"/>
        <v>0</v>
      </c>
      <c r="AA213" s="197">
        <f t="shared" si="33"/>
        <v>90</v>
      </c>
      <c r="AB213" s="197">
        <f t="shared" si="33"/>
        <v>0</v>
      </c>
      <c r="AC213" s="197">
        <f t="shared" si="33"/>
        <v>0</v>
      </c>
      <c r="AD213" s="197">
        <f t="shared" si="33"/>
        <v>277</v>
      </c>
      <c r="AE213" s="197">
        <f t="shared" si="33"/>
        <v>238</v>
      </c>
      <c r="AF213" s="197">
        <f t="shared" si="28"/>
        <v>36</v>
      </c>
      <c r="AG213" s="197">
        <f t="shared" si="28"/>
        <v>24</v>
      </c>
      <c r="AH213" s="197">
        <f t="shared" si="28"/>
        <v>137</v>
      </c>
      <c r="AI213" s="197">
        <f t="shared" si="28"/>
        <v>0</v>
      </c>
      <c r="AJ213" s="197">
        <f t="shared" si="28"/>
        <v>128</v>
      </c>
      <c r="AK213" s="197">
        <f t="shared" ref="AF213:AL250" si="35">SUMIFS(IF($K213="volume",$F:$F,$G:$G),$D:$D,AK$2,$B:$B,$I213,$E:$E,AK$3)</f>
        <v>0</v>
      </c>
      <c r="AL213" s="197">
        <f t="shared" si="35"/>
        <v>0</v>
      </c>
    </row>
    <row r="214" spans="1:38">
      <c r="A214" s="11" t="str">
        <f t="shared" si="32"/>
        <v>05-422006532012</v>
      </c>
      <c r="B214" t="s">
        <v>208</v>
      </c>
      <c r="C214" t="s">
        <v>209</v>
      </c>
      <c r="D214">
        <v>2012</v>
      </c>
      <c r="E214" t="s">
        <v>133</v>
      </c>
      <c r="F214">
        <v>959184.11</v>
      </c>
      <c r="G214">
        <v>1125</v>
      </c>
      <c r="H214" s="11" t="str">
        <f t="shared" si="31"/>
        <v>count</v>
      </c>
      <c r="I214" s="197" t="s">
        <v>805</v>
      </c>
      <c r="J214" s="197" t="s">
        <v>806</v>
      </c>
      <c r="K214" s="197" t="s">
        <v>146</v>
      </c>
      <c r="L214" s="197">
        <f t="shared" si="34"/>
        <v>259600.17</v>
      </c>
      <c r="M214" s="197">
        <f t="shared" si="34"/>
        <v>143330.15</v>
      </c>
      <c r="N214" s="197">
        <f t="shared" si="34"/>
        <v>15294.38</v>
      </c>
      <c r="O214" s="197">
        <f t="shared" si="34"/>
        <v>0</v>
      </c>
      <c r="P214" s="197">
        <f t="shared" si="34"/>
        <v>22618.560000000001</v>
      </c>
      <c r="Q214" s="197">
        <f t="shared" si="34"/>
        <v>0</v>
      </c>
      <c r="R214" s="197">
        <f t="shared" si="34"/>
        <v>0</v>
      </c>
      <c r="S214" s="197">
        <f t="shared" si="34"/>
        <v>0</v>
      </c>
      <c r="T214" s="197">
        <f t="shared" si="34"/>
        <v>0</v>
      </c>
      <c r="U214" s="197">
        <f t="shared" si="34"/>
        <v>216220.25</v>
      </c>
      <c r="V214" s="197">
        <f t="shared" si="33"/>
        <v>136810.41</v>
      </c>
      <c r="W214" s="197">
        <f t="shared" si="33"/>
        <v>16903.62</v>
      </c>
      <c r="X214" s="197">
        <f t="shared" si="33"/>
        <v>0</v>
      </c>
      <c r="Y214" s="197">
        <f t="shared" si="33"/>
        <v>101690.66</v>
      </c>
      <c r="Z214" s="197">
        <f t="shared" si="33"/>
        <v>0</v>
      </c>
      <c r="AA214" s="197">
        <f t="shared" si="33"/>
        <v>45434.61</v>
      </c>
      <c r="AB214" s="197">
        <f t="shared" si="33"/>
        <v>0</v>
      </c>
      <c r="AC214" s="197">
        <f t="shared" si="33"/>
        <v>0</v>
      </c>
      <c r="AD214" s="197">
        <f t="shared" si="33"/>
        <v>205593.93</v>
      </c>
      <c r="AE214" s="197">
        <f t="shared" si="33"/>
        <v>146583.53</v>
      </c>
      <c r="AF214" s="197">
        <f t="shared" si="35"/>
        <v>18213.060000000001</v>
      </c>
      <c r="AG214" s="197">
        <f t="shared" si="35"/>
        <v>0</v>
      </c>
      <c r="AH214" s="197">
        <f t="shared" si="35"/>
        <v>71609.08</v>
      </c>
      <c r="AI214" s="197">
        <f t="shared" si="35"/>
        <v>0</v>
      </c>
      <c r="AJ214" s="197">
        <f t="shared" si="35"/>
        <v>46129.66</v>
      </c>
      <c r="AK214" s="197">
        <f t="shared" si="35"/>
        <v>0</v>
      </c>
      <c r="AL214" s="197">
        <f t="shared" si="35"/>
        <v>0</v>
      </c>
    </row>
    <row r="215" spans="1:38">
      <c r="A215" s="11" t="str">
        <f t="shared" si="32"/>
        <v>05-422006532013</v>
      </c>
      <c r="B215" t="s">
        <v>208</v>
      </c>
      <c r="C215" t="s">
        <v>209</v>
      </c>
      <c r="D215">
        <v>2013</v>
      </c>
      <c r="E215" t="s">
        <v>69</v>
      </c>
      <c r="F215">
        <v>1006074.53</v>
      </c>
      <c r="G215">
        <v>1550</v>
      </c>
      <c r="H215" s="11" t="str">
        <f t="shared" si="31"/>
        <v>count</v>
      </c>
      <c r="I215" s="197" t="s">
        <v>805</v>
      </c>
      <c r="J215" s="197" t="s">
        <v>806</v>
      </c>
      <c r="K215" s="197" t="s">
        <v>145</v>
      </c>
      <c r="L215" s="197">
        <f t="shared" si="34"/>
        <v>278</v>
      </c>
      <c r="M215" s="197">
        <f t="shared" si="34"/>
        <v>125</v>
      </c>
      <c r="N215" s="197">
        <f t="shared" si="34"/>
        <v>17</v>
      </c>
      <c r="O215" s="197">
        <f t="shared" si="34"/>
        <v>0</v>
      </c>
      <c r="P215" s="197">
        <f t="shared" si="34"/>
        <v>33</v>
      </c>
      <c r="Q215" s="197">
        <f t="shared" si="34"/>
        <v>0</v>
      </c>
      <c r="R215" s="197">
        <f t="shared" si="34"/>
        <v>0</v>
      </c>
      <c r="S215" s="197">
        <f t="shared" si="34"/>
        <v>0</v>
      </c>
      <c r="T215" s="197">
        <f t="shared" si="34"/>
        <v>0</v>
      </c>
      <c r="U215" s="197">
        <f t="shared" si="34"/>
        <v>193</v>
      </c>
      <c r="V215" s="197">
        <f t="shared" si="33"/>
        <v>128</v>
      </c>
      <c r="W215" s="197">
        <f t="shared" si="33"/>
        <v>17</v>
      </c>
      <c r="X215" s="197">
        <f t="shared" si="33"/>
        <v>0</v>
      </c>
      <c r="Y215" s="197">
        <f t="shared" si="33"/>
        <v>89</v>
      </c>
      <c r="Z215" s="197">
        <f t="shared" si="33"/>
        <v>0</v>
      </c>
      <c r="AA215" s="197">
        <f t="shared" si="33"/>
        <v>69</v>
      </c>
      <c r="AB215" s="197">
        <f t="shared" si="33"/>
        <v>0</v>
      </c>
      <c r="AC215" s="197">
        <f t="shared" si="33"/>
        <v>0</v>
      </c>
      <c r="AD215" s="197">
        <f t="shared" si="33"/>
        <v>195</v>
      </c>
      <c r="AE215" s="197">
        <f t="shared" si="33"/>
        <v>116</v>
      </c>
      <c r="AF215" s="197">
        <f t="shared" si="35"/>
        <v>18</v>
      </c>
      <c r="AG215" s="197">
        <f t="shared" si="35"/>
        <v>0</v>
      </c>
      <c r="AH215" s="197">
        <f t="shared" si="35"/>
        <v>60</v>
      </c>
      <c r="AI215" s="197">
        <f t="shared" si="35"/>
        <v>0</v>
      </c>
      <c r="AJ215" s="197">
        <f t="shared" si="35"/>
        <v>54</v>
      </c>
      <c r="AK215" s="197">
        <f t="shared" si="35"/>
        <v>0</v>
      </c>
      <c r="AL215" s="197">
        <f t="shared" si="35"/>
        <v>0</v>
      </c>
    </row>
    <row r="216" spans="1:38">
      <c r="A216" s="11" t="str">
        <f t="shared" si="32"/>
        <v>05-422006532013</v>
      </c>
      <c r="B216" t="s">
        <v>208</v>
      </c>
      <c r="C216" t="s">
        <v>209</v>
      </c>
      <c r="D216">
        <v>2013</v>
      </c>
      <c r="E216" t="s">
        <v>105</v>
      </c>
      <c r="F216">
        <v>123537.82</v>
      </c>
      <c r="G216">
        <v>155</v>
      </c>
      <c r="H216" s="11" t="str">
        <f t="shared" si="31"/>
        <v>count</v>
      </c>
      <c r="I216" s="197" t="s">
        <v>807</v>
      </c>
      <c r="J216" s="197" t="s">
        <v>808</v>
      </c>
      <c r="K216" s="197" t="s">
        <v>146</v>
      </c>
      <c r="L216" s="197">
        <f t="shared" si="34"/>
        <v>1467302.48</v>
      </c>
      <c r="M216" s="197">
        <f t="shared" si="34"/>
        <v>377311.1</v>
      </c>
      <c r="N216" s="197">
        <f t="shared" si="34"/>
        <v>30500.54</v>
      </c>
      <c r="O216" s="197">
        <f t="shared" si="34"/>
        <v>0</v>
      </c>
      <c r="P216" s="197">
        <f t="shared" si="34"/>
        <v>328901.86</v>
      </c>
      <c r="Q216" s="197">
        <f t="shared" si="34"/>
        <v>0</v>
      </c>
      <c r="R216" s="197">
        <f t="shared" si="34"/>
        <v>1610</v>
      </c>
      <c r="S216" s="197">
        <f t="shared" si="34"/>
        <v>0</v>
      </c>
      <c r="T216" s="197">
        <f t="shared" si="34"/>
        <v>0</v>
      </c>
      <c r="U216" s="197">
        <f t="shared" si="34"/>
        <v>2620491.84</v>
      </c>
      <c r="V216" s="197">
        <f t="shared" si="33"/>
        <v>492848.53</v>
      </c>
      <c r="W216" s="197">
        <f t="shared" si="33"/>
        <v>47770.89</v>
      </c>
      <c r="X216" s="197">
        <f t="shared" si="33"/>
        <v>0</v>
      </c>
      <c r="Y216" s="197">
        <f t="shared" si="33"/>
        <v>609879.9</v>
      </c>
      <c r="Z216" s="197">
        <f t="shared" si="33"/>
        <v>0</v>
      </c>
      <c r="AA216" s="197">
        <f t="shared" si="33"/>
        <v>295314.57</v>
      </c>
      <c r="AB216" s="197">
        <f t="shared" si="33"/>
        <v>0</v>
      </c>
      <c r="AC216" s="197">
        <f t="shared" si="33"/>
        <v>0</v>
      </c>
      <c r="AD216" s="197">
        <f t="shared" si="33"/>
        <v>2889541.31</v>
      </c>
      <c r="AE216" s="197">
        <f t="shared" si="33"/>
        <v>601850.06000000006</v>
      </c>
      <c r="AF216" s="197">
        <f t="shared" si="35"/>
        <v>62007.01</v>
      </c>
      <c r="AG216" s="197">
        <f t="shared" si="35"/>
        <v>0</v>
      </c>
      <c r="AH216" s="197">
        <f t="shared" si="35"/>
        <v>273471.5</v>
      </c>
      <c r="AI216" s="197">
        <f t="shared" si="35"/>
        <v>0</v>
      </c>
      <c r="AJ216" s="197">
        <f t="shared" si="35"/>
        <v>502318.18</v>
      </c>
      <c r="AK216" s="197">
        <f t="shared" si="35"/>
        <v>0</v>
      </c>
      <c r="AL216" s="197">
        <f t="shared" si="35"/>
        <v>0</v>
      </c>
    </row>
    <row r="217" spans="1:38">
      <c r="A217" s="11" t="str">
        <f t="shared" si="32"/>
        <v>05-422006532011</v>
      </c>
      <c r="B217" t="s">
        <v>208</v>
      </c>
      <c r="C217" t="s">
        <v>209</v>
      </c>
      <c r="D217">
        <v>2011</v>
      </c>
      <c r="E217" t="s">
        <v>133</v>
      </c>
      <c r="F217">
        <v>1071488.31</v>
      </c>
      <c r="G217">
        <v>1279</v>
      </c>
      <c r="H217" s="11" t="str">
        <f t="shared" si="31"/>
        <v>count</v>
      </c>
      <c r="I217" s="197" t="s">
        <v>807</v>
      </c>
      <c r="J217" s="197" t="s">
        <v>808</v>
      </c>
      <c r="K217" s="197" t="s">
        <v>145</v>
      </c>
      <c r="L217" s="197">
        <f t="shared" si="34"/>
        <v>2342</v>
      </c>
      <c r="M217" s="197">
        <f t="shared" si="34"/>
        <v>634</v>
      </c>
      <c r="N217" s="197">
        <f t="shared" si="34"/>
        <v>59</v>
      </c>
      <c r="O217" s="197">
        <f t="shared" si="34"/>
        <v>0</v>
      </c>
      <c r="P217" s="197">
        <f t="shared" si="34"/>
        <v>507</v>
      </c>
      <c r="Q217" s="197">
        <f t="shared" si="34"/>
        <v>0</v>
      </c>
      <c r="R217" s="197">
        <f t="shared" si="34"/>
        <v>2</v>
      </c>
      <c r="S217" s="197">
        <f t="shared" si="34"/>
        <v>0</v>
      </c>
      <c r="T217" s="197">
        <f t="shared" si="34"/>
        <v>0</v>
      </c>
      <c r="U217" s="197">
        <f t="shared" si="34"/>
        <v>2495</v>
      </c>
      <c r="V217" s="197">
        <f t="shared" si="33"/>
        <v>587</v>
      </c>
      <c r="W217" s="197">
        <f t="shared" si="33"/>
        <v>51</v>
      </c>
      <c r="X217" s="197">
        <f t="shared" si="33"/>
        <v>0</v>
      </c>
      <c r="Y217" s="197">
        <f t="shared" si="33"/>
        <v>574</v>
      </c>
      <c r="Z217" s="197">
        <f t="shared" si="33"/>
        <v>0</v>
      </c>
      <c r="AA217" s="197">
        <f t="shared" si="33"/>
        <v>406</v>
      </c>
      <c r="AB217" s="197">
        <f t="shared" si="33"/>
        <v>0</v>
      </c>
      <c r="AC217" s="197">
        <f t="shared" si="33"/>
        <v>0</v>
      </c>
      <c r="AD217" s="197">
        <f t="shared" si="33"/>
        <v>2770</v>
      </c>
      <c r="AE217" s="197">
        <f t="shared" si="33"/>
        <v>622</v>
      </c>
      <c r="AF217" s="197">
        <f t="shared" si="35"/>
        <v>66</v>
      </c>
      <c r="AG217" s="197">
        <f t="shared" si="35"/>
        <v>0</v>
      </c>
      <c r="AH217" s="197">
        <f t="shared" si="35"/>
        <v>235</v>
      </c>
      <c r="AI217" s="197">
        <f t="shared" si="35"/>
        <v>0</v>
      </c>
      <c r="AJ217" s="197">
        <f t="shared" si="35"/>
        <v>632</v>
      </c>
      <c r="AK217" s="197">
        <f t="shared" si="35"/>
        <v>0</v>
      </c>
      <c r="AL217" s="197">
        <f t="shared" si="35"/>
        <v>0</v>
      </c>
    </row>
    <row r="218" spans="1:38">
      <c r="A218" s="11" t="str">
        <f t="shared" si="32"/>
        <v>05-422006532012</v>
      </c>
      <c r="B218" t="s">
        <v>208</v>
      </c>
      <c r="C218" t="s">
        <v>209</v>
      </c>
      <c r="D218">
        <v>2012</v>
      </c>
      <c r="E218" t="s">
        <v>69</v>
      </c>
      <c r="F218">
        <v>1107337.53</v>
      </c>
      <c r="G218">
        <v>1649</v>
      </c>
      <c r="H218" s="11" t="str">
        <f t="shared" si="31"/>
        <v>count</v>
      </c>
      <c r="I218" s="197" t="s">
        <v>809</v>
      </c>
      <c r="J218" s="197" t="s">
        <v>810</v>
      </c>
      <c r="K218" s="197" t="s">
        <v>146</v>
      </c>
      <c r="L218" s="197">
        <f t="shared" si="34"/>
        <v>223316.93</v>
      </c>
      <c r="M218" s="197">
        <f t="shared" si="34"/>
        <v>149980.29999999999</v>
      </c>
      <c r="N218" s="197">
        <f t="shared" si="34"/>
        <v>0</v>
      </c>
      <c r="O218" s="197">
        <f t="shared" si="34"/>
        <v>0</v>
      </c>
      <c r="P218" s="197">
        <f t="shared" si="34"/>
        <v>375633.69</v>
      </c>
      <c r="Q218" s="197">
        <f t="shared" si="34"/>
        <v>0</v>
      </c>
      <c r="R218" s="197">
        <f t="shared" si="34"/>
        <v>0</v>
      </c>
      <c r="S218" s="197">
        <f t="shared" si="34"/>
        <v>0</v>
      </c>
      <c r="T218" s="197">
        <f t="shared" si="34"/>
        <v>0</v>
      </c>
      <c r="U218" s="197">
        <f t="shared" si="34"/>
        <v>133272.01999999999</v>
      </c>
      <c r="V218" s="197">
        <f t="shared" si="33"/>
        <v>133198.9</v>
      </c>
      <c r="W218" s="197">
        <f t="shared" si="33"/>
        <v>0</v>
      </c>
      <c r="X218" s="197">
        <f t="shared" si="33"/>
        <v>0</v>
      </c>
      <c r="Y218" s="197">
        <f t="shared" si="33"/>
        <v>548881.64</v>
      </c>
      <c r="Z218" s="197">
        <f t="shared" si="33"/>
        <v>0</v>
      </c>
      <c r="AA218" s="197">
        <f t="shared" si="33"/>
        <v>11556.75</v>
      </c>
      <c r="AB218" s="197">
        <f t="shared" si="33"/>
        <v>0</v>
      </c>
      <c r="AC218" s="197">
        <f t="shared" si="33"/>
        <v>0</v>
      </c>
      <c r="AD218" s="197">
        <f t="shared" si="33"/>
        <v>153392.54999999999</v>
      </c>
      <c r="AE218" s="197">
        <f t="shared" si="33"/>
        <v>159882.19</v>
      </c>
      <c r="AF218" s="197">
        <f t="shared" si="35"/>
        <v>0</v>
      </c>
      <c r="AG218" s="197">
        <f t="shared" si="35"/>
        <v>0</v>
      </c>
      <c r="AH218" s="197">
        <f t="shared" si="35"/>
        <v>736502.67</v>
      </c>
      <c r="AI218" s="197">
        <f t="shared" si="35"/>
        <v>0</v>
      </c>
      <c r="AJ218" s="197">
        <f t="shared" si="35"/>
        <v>18783.580000000002</v>
      </c>
      <c r="AK218" s="197">
        <f t="shared" si="35"/>
        <v>0</v>
      </c>
      <c r="AL218" s="197">
        <f t="shared" si="35"/>
        <v>0</v>
      </c>
    </row>
    <row r="219" spans="1:38">
      <c r="A219" s="11" t="str">
        <f t="shared" si="32"/>
        <v>05-422006532012</v>
      </c>
      <c r="B219" t="s">
        <v>208</v>
      </c>
      <c r="C219" t="s">
        <v>209</v>
      </c>
      <c r="D219">
        <v>2012</v>
      </c>
      <c r="E219" t="s">
        <v>63</v>
      </c>
      <c r="F219">
        <v>2495969.37</v>
      </c>
      <c r="G219">
        <v>3141</v>
      </c>
      <c r="H219" s="11" t="str">
        <f t="shared" si="31"/>
        <v>count</v>
      </c>
      <c r="I219" s="197" t="s">
        <v>809</v>
      </c>
      <c r="J219" s="197" t="s">
        <v>810</v>
      </c>
      <c r="K219" s="197" t="s">
        <v>145</v>
      </c>
      <c r="L219" s="197">
        <f t="shared" si="34"/>
        <v>63</v>
      </c>
      <c r="M219" s="197">
        <f t="shared" si="34"/>
        <v>45</v>
      </c>
      <c r="N219" s="197">
        <f t="shared" si="34"/>
        <v>0</v>
      </c>
      <c r="O219" s="197">
        <f t="shared" si="34"/>
        <v>0</v>
      </c>
      <c r="P219" s="197">
        <f t="shared" si="34"/>
        <v>115</v>
      </c>
      <c r="Q219" s="197">
        <f t="shared" si="34"/>
        <v>0</v>
      </c>
      <c r="R219" s="197">
        <f t="shared" si="34"/>
        <v>0</v>
      </c>
      <c r="S219" s="197">
        <f t="shared" si="34"/>
        <v>0</v>
      </c>
      <c r="T219" s="197">
        <f t="shared" si="34"/>
        <v>0</v>
      </c>
      <c r="U219" s="197">
        <f t="shared" si="34"/>
        <v>45</v>
      </c>
      <c r="V219" s="197">
        <f t="shared" si="33"/>
        <v>35</v>
      </c>
      <c r="W219" s="197">
        <f t="shared" si="33"/>
        <v>0</v>
      </c>
      <c r="X219" s="197">
        <f t="shared" si="33"/>
        <v>0</v>
      </c>
      <c r="Y219" s="197">
        <f t="shared" si="33"/>
        <v>144</v>
      </c>
      <c r="Z219" s="197">
        <f t="shared" si="33"/>
        <v>0</v>
      </c>
      <c r="AA219" s="197">
        <f t="shared" si="33"/>
        <v>3</v>
      </c>
      <c r="AB219" s="197">
        <f t="shared" si="33"/>
        <v>0</v>
      </c>
      <c r="AC219" s="197">
        <f t="shared" si="33"/>
        <v>0</v>
      </c>
      <c r="AD219" s="197">
        <f t="shared" si="33"/>
        <v>41</v>
      </c>
      <c r="AE219" s="197">
        <f t="shared" si="33"/>
        <v>43</v>
      </c>
      <c r="AF219" s="197">
        <f t="shared" si="35"/>
        <v>0</v>
      </c>
      <c r="AG219" s="197">
        <f t="shared" si="35"/>
        <v>0</v>
      </c>
      <c r="AH219" s="197">
        <f t="shared" si="35"/>
        <v>187</v>
      </c>
      <c r="AI219" s="197">
        <f t="shared" si="35"/>
        <v>0</v>
      </c>
      <c r="AJ219" s="197">
        <f t="shared" si="35"/>
        <v>8</v>
      </c>
      <c r="AK219" s="197">
        <f t="shared" si="35"/>
        <v>0</v>
      </c>
      <c r="AL219" s="197">
        <f t="shared" si="35"/>
        <v>0</v>
      </c>
    </row>
    <row r="220" spans="1:38">
      <c r="A220" s="11" t="str">
        <f t="shared" si="32"/>
        <v>05-422006532012</v>
      </c>
      <c r="B220" t="s">
        <v>208</v>
      </c>
      <c r="C220" t="s">
        <v>209</v>
      </c>
      <c r="D220">
        <v>2012</v>
      </c>
      <c r="E220" t="s">
        <v>104</v>
      </c>
      <c r="F220">
        <v>1039666.14</v>
      </c>
      <c r="G220">
        <v>1321</v>
      </c>
      <c r="H220" s="11" t="str">
        <f t="shared" si="31"/>
        <v>count</v>
      </c>
      <c r="I220" s="197" t="s">
        <v>811</v>
      </c>
      <c r="J220" s="197" t="s">
        <v>812</v>
      </c>
      <c r="K220" s="197" t="s">
        <v>146</v>
      </c>
      <c r="L220" s="197">
        <f t="shared" si="34"/>
        <v>714805.13</v>
      </c>
      <c r="M220" s="197">
        <f t="shared" si="34"/>
        <v>350613.53</v>
      </c>
      <c r="N220" s="197">
        <f t="shared" si="34"/>
        <v>75883.75</v>
      </c>
      <c r="O220" s="197">
        <f t="shared" si="34"/>
        <v>0</v>
      </c>
      <c r="P220" s="197">
        <f t="shared" si="34"/>
        <v>195801.12</v>
      </c>
      <c r="Q220" s="197">
        <f t="shared" si="34"/>
        <v>0</v>
      </c>
      <c r="R220" s="197">
        <f t="shared" si="34"/>
        <v>1401.12</v>
      </c>
      <c r="S220" s="197">
        <f t="shared" si="34"/>
        <v>0</v>
      </c>
      <c r="T220" s="197">
        <f t="shared" si="34"/>
        <v>0</v>
      </c>
      <c r="U220" s="197">
        <f t="shared" si="34"/>
        <v>596619.27</v>
      </c>
      <c r="V220" s="197">
        <f t="shared" si="33"/>
        <v>308575.12</v>
      </c>
      <c r="W220" s="197">
        <f t="shared" si="33"/>
        <v>69206.19</v>
      </c>
      <c r="X220" s="197">
        <f t="shared" si="33"/>
        <v>0</v>
      </c>
      <c r="Y220" s="197">
        <f t="shared" si="33"/>
        <v>206208.86</v>
      </c>
      <c r="Z220" s="197">
        <f t="shared" si="33"/>
        <v>0</v>
      </c>
      <c r="AA220" s="197">
        <f t="shared" si="33"/>
        <v>121879.38</v>
      </c>
      <c r="AB220" s="197">
        <f t="shared" si="33"/>
        <v>0</v>
      </c>
      <c r="AC220" s="197">
        <f t="shared" si="33"/>
        <v>0</v>
      </c>
      <c r="AD220" s="197">
        <f t="shared" si="33"/>
        <v>610427.42000000004</v>
      </c>
      <c r="AE220" s="197">
        <f t="shared" si="33"/>
        <v>312021.34000000003</v>
      </c>
      <c r="AF220" s="197">
        <f t="shared" si="35"/>
        <v>63486.2</v>
      </c>
      <c r="AG220" s="197">
        <f t="shared" si="35"/>
        <v>0</v>
      </c>
      <c r="AH220" s="197">
        <f t="shared" si="35"/>
        <v>211667.82</v>
      </c>
      <c r="AI220" s="197">
        <f t="shared" si="35"/>
        <v>0</v>
      </c>
      <c r="AJ220" s="197">
        <f t="shared" si="35"/>
        <v>142848.79</v>
      </c>
      <c r="AK220" s="197">
        <f t="shared" si="35"/>
        <v>0</v>
      </c>
      <c r="AL220" s="197">
        <f t="shared" si="35"/>
        <v>0</v>
      </c>
    </row>
    <row r="221" spans="1:38">
      <c r="A221" s="11" t="str">
        <f t="shared" si="32"/>
        <v>05-422006532013</v>
      </c>
      <c r="B221" t="s">
        <v>208</v>
      </c>
      <c r="C221" t="s">
        <v>209</v>
      </c>
      <c r="D221">
        <v>2013</v>
      </c>
      <c r="E221" t="s">
        <v>104</v>
      </c>
      <c r="F221">
        <v>788712.7</v>
      </c>
      <c r="G221">
        <v>1019</v>
      </c>
      <c r="H221" s="11" t="str">
        <f t="shared" si="31"/>
        <v>count</v>
      </c>
      <c r="I221" s="197" t="s">
        <v>811</v>
      </c>
      <c r="J221" s="197" t="s">
        <v>812</v>
      </c>
      <c r="K221" s="197" t="s">
        <v>145</v>
      </c>
      <c r="L221" s="197">
        <f t="shared" si="34"/>
        <v>1588</v>
      </c>
      <c r="M221" s="197">
        <f t="shared" si="34"/>
        <v>704</v>
      </c>
      <c r="N221" s="197">
        <f t="shared" si="34"/>
        <v>154</v>
      </c>
      <c r="O221" s="197">
        <f t="shared" si="34"/>
        <v>0</v>
      </c>
      <c r="P221" s="197">
        <f t="shared" si="34"/>
        <v>469</v>
      </c>
      <c r="Q221" s="197">
        <f t="shared" si="34"/>
        <v>0</v>
      </c>
      <c r="R221" s="197">
        <f t="shared" si="34"/>
        <v>3</v>
      </c>
      <c r="S221" s="197">
        <f t="shared" si="34"/>
        <v>0</v>
      </c>
      <c r="T221" s="197">
        <f t="shared" si="34"/>
        <v>0</v>
      </c>
      <c r="U221" s="197">
        <f t="shared" si="34"/>
        <v>1050</v>
      </c>
      <c r="V221" s="197">
        <f t="shared" si="33"/>
        <v>580</v>
      </c>
      <c r="W221" s="197">
        <f t="shared" si="33"/>
        <v>130</v>
      </c>
      <c r="X221" s="197">
        <f t="shared" si="33"/>
        <v>0</v>
      </c>
      <c r="Y221" s="197">
        <f t="shared" si="33"/>
        <v>426</v>
      </c>
      <c r="Z221" s="197">
        <f t="shared" si="33"/>
        <v>0</v>
      </c>
      <c r="AA221" s="197">
        <f t="shared" si="33"/>
        <v>298</v>
      </c>
      <c r="AB221" s="197">
        <f t="shared" si="33"/>
        <v>0</v>
      </c>
      <c r="AC221" s="197">
        <f t="shared" si="33"/>
        <v>0</v>
      </c>
      <c r="AD221" s="197">
        <f t="shared" si="33"/>
        <v>1171</v>
      </c>
      <c r="AE221" s="197">
        <f t="shared" si="33"/>
        <v>612</v>
      </c>
      <c r="AF221" s="197">
        <f t="shared" si="35"/>
        <v>131</v>
      </c>
      <c r="AG221" s="197">
        <f t="shared" si="35"/>
        <v>0</v>
      </c>
      <c r="AH221" s="197">
        <f t="shared" si="35"/>
        <v>459</v>
      </c>
      <c r="AI221" s="197">
        <f t="shared" si="35"/>
        <v>0</v>
      </c>
      <c r="AJ221" s="197">
        <f t="shared" si="35"/>
        <v>415</v>
      </c>
      <c r="AK221" s="197">
        <f t="shared" si="35"/>
        <v>0</v>
      </c>
      <c r="AL221" s="197">
        <f t="shared" si="35"/>
        <v>0</v>
      </c>
    </row>
    <row r="222" spans="1:38">
      <c r="A222" s="11" t="str">
        <f t="shared" si="32"/>
        <v>05-422006532011</v>
      </c>
      <c r="B222" t="s">
        <v>208</v>
      </c>
      <c r="C222" t="s">
        <v>209</v>
      </c>
      <c r="D222">
        <v>2011</v>
      </c>
      <c r="E222" t="s">
        <v>105</v>
      </c>
      <c r="F222">
        <v>170444.73</v>
      </c>
      <c r="G222">
        <v>215</v>
      </c>
      <c r="H222" s="11" t="str">
        <f t="shared" si="31"/>
        <v>count</v>
      </c>
      <c r="I222" s="197" t="s">
        <v>813</v>
      </c>
      <c r="J222" s="197" t="s">
        <v>814</v>
      </c>
      <c r="K222" s="197" t="s">
        <v>146</v>
      </c>
      <c r="L222" s="197">
        <f t="shared" si="34"/>
        <v>536794.84</v>
      </c>
      <c r="M222" s="197">
        <f t="shared" si="34"/>
        <v>250715.86</v>
      </c>
      <c r="N222" s="197">
        <f t="shared" si="34"/>
        <v>1980</v>
      </c>
      <c r="O222" s="197">
        <f t="shared" si="34"/>
        <v>0</v>
      </c>
      <c r="P222" s="197">
        <f t="shared" si="34"/>
        <v>0</v>
      </c>
      <c r="Q222" s="197">
        <f t="shared" si="34"/>
        <v>0</v>
      </c>
      <c r="R222" s="197">
        <f t="shared" si="34"/>
        <v>548.48</v>
      </c>
      <c r="S222" s="197">
        <f t="shared" si="34"/>
        <v>0</v>
      </c>
      <c r="T222" s="197">
        <f t="shared" si="34"/>
        <v>0</v>
      </c>
      <c r="U222" s="197">
        <f t="shared" si="34"/>
        <v>227965.64</v>
      </c>
      <c r="V222" s="197">
        <f t="shared" si="33"/>
        <v>149137.65</v>
      </c>
      <c r="W222" s="197">
        <f t="shared" si="33"/>
        <v>3960</v>
      </c>
      <c r="X222" s="197">
        <f t="shared" si="33"/>
        <v>0</v>
      </c>
      <c r="Y222" s="197">
        <f t="shared" si="33"/>
        <v>0</v>
      </c>
      <c r="Z222" s="197">
        <f t="shared" si="33"/>
        <v>0</v>
      </c>
      <c r="AA222" s="197">
        <f t="shared" si="33"/>
        <v>146620.82</v>
      </c>
      <c r="AB222" s="197">
        <f t="shared" si="33"/>
        <v>0</v>
      </c>
      <c r="AC222" s="197">
        <f t="shared" si="33"/>
        <v>0</v>
      </c>
      <c r="AD222" s="197">
        <f t="shared" si="33"/>
        <v>0</v>
      </c>
      <c r="AE222" s="197">
        <f t="shared" si="33"/>
        <v>0</v>
      </c>
      <c r="AF222" s="197">
        <f t="shared" si="35"/>
        <v>0</v>
      </c>
      <c r="AG222" s="197">
        <f t="shared" si="35"/>
        <v>0</v>
      </c>
      <c r="AH222" s="197">
        <f t="shared" si="35"/>
        <v>0</v>
      </c>
      <c r="AI222" s="197">
        <f t="shared" si="35"/>
        <v>0</v>
      </c>
      <c r="AJ222" s="197">
        <f t="shared" si="35"/>
        <v>0</v>
      </c>
      <c r="AK222" s="197">
        <f t="shared" si="35"/>
        <v>0</v>
      </c>
      <c r="AL222" s="197">
        <f t="shared" si="35"/>
        <v>0</v>
      </c>
    </row>
    <row r="223" spans="1:38">
      <c r="A223" s="11" t="str">
        <f t="shared" si="32"/>
        <v>05-422006532011</v>
      </c>
      <c r="B223" t="s">
        <v>208</v>
      </c>
      <c r="C223" t="s">
        <v>209</v>
      </c>
      <c r="D223">
        <v>2011</v>
      </c>
      <c r="E223" t="s">
        <v>69</v>
      </c>
      <c r="F223">
        <v>3276.95</v>
      </c>
      <c r="G223">
        <v>8</v>
      </c>
      <c r="H223" s="11" t="str">
        <f t="shared" si="31"/>
        <v>count</v>
      </c>
      <c r="I223" s="197" t="s">
        <v>813</v>
      </c>
      <c r="J223" s="197" t="s">
        <v>814</v>
      </c>
      <c r="K223" s="197" t="s">
        <v>145</v>
      </c>
      <c r="L223" s="197">
        <f t="shared" si="34"/>
        <v>3824</v>
      </c>
      <c r="M223" s="197">
        <f t="shared" si="34"/>
        <v>1912</v>
      </c>
      <c r="N223" s="197">
        <f t="shared" si="34"/>
        <v>4</v>
      </c>
      <c r="O223" s="197">
        <f t="shared" si="34"/>
        <v>0</v>
      </c>
      <c r="P223" s="197">
        <f t="shared" si="34"/>
        <v>0</v>
      </c>
      <c r="Q223" s="197">
        <f t="shared" si="34"/>
        <v>0</v>
      </c>
      <c r="R223" s="197">
        <f t="shared" si="34"/>
        <v>8</v>
      </c>
      <c r="S223" s="197">
        <f t="shared" si="34"/>
        <v>0</v>
      </c>
      <c r="T223" s="197">
        <f t="shared" si="34"/>
        <v>0</v>
      </c>
      <c r="U223" s="197">
        <f t="shared" si="34"/>
        <v>1513</v>
      </c>
      <c r="V223" s="197">
        <f t="shared" si="33"/>
        <v>1170</v>
      </c>
      <c r="W223" s="197">
        <f t="shared" si="33"/>
        <v>6</v>
      </c>
      <c r="X223" s="197">
        <f t="shared" si="33"/>
        <v>0</v>
      </c>
      <c r="Y223" s="197">
        <f t="shared" si="33"/>
        <v>0</v>
      </c>
      <c r="Z223" s="197">
        <f t="shared" si="33"/>
        <v>0</v>
      </c>
      <c r="AA223" s="197">
        <f t="shared" si="33"/>
        <v>1268</v>
      </c>
      <c r="AB223" s="197">
        <f t="shared" si="33"/>
        <v>0</v>
      </c>
      <c r="AC223" s="197">
        <f t="shared" si="33"/>
        <v>0</v>
      </c>
      <c r="AD223" s="197">
        <f t="shared" si="33"/>
        <v>0</v>
      </c>
      <c r="AE223" s="197">
        <f t="shared" si="33"/>
        <v>0</v>
      </c>
      <c r="AF223" s="197">
        <f t="shared" si="35"/>
        <v>0</v>
      </c>
      <c r="AG223" s="197">
        <f t="shared" si="35"/>
        <v>0</v>
      </c>
      <c r="AH223" s="197">
        <f t="shared" si="35"/>
        <v>0</v>
      </c>
      <c r="AI223" s="197">
        <f t="shared" si="35"/>
        <v>0</v>
      </c>
      <c r="AJ223" s="197">
        <f t="shared" si="35"/>
        <v>0</v>
      </c>
      <c r="AK223" s="197">
        <f t="shared" si="35"/>
        <v>0</v>
      </c>
      <c r="AL223" s="197">
        <f t="shared" si="35"/>
        <v>0</v>
      </c>
    </row>
    <row r="224" spans="1:38">
      <c r="A224" s="11" t="str">
        <f t="shared" si="32"/>
        <v>05-422006532013</v>
      </c>
      <c r="B224" t="s">
        <v>208</v>
      </c>
      <c r="C224" t="s">
        <v>209</v>
      </c>
      <c r="D224">
        <v>2013</v>
      </c>
      <c r="E224" t="s">
        <v>63</v>
      </c>
      <c r="F224">
        <v>2098283.52</v>
      </c>
      <c r="G224">
        <v>2724</v>
      </c>
      <c r="H224" s="11" t="str">
        <f t="shared" si="31"/>
        <v>count</v>
      </c>
      <c r="I224" s="197" t="s">
        <v>815</v>
      </c>
      <c r="J224" s="197" t="s">
        <v>816</v>
      </c>
      <c r="K224" s="197" t="s">
        <v>146</v>
      </c>
      <c r="L224" s="197">
        <f t="shared" si="34"/>
        <v>1291158.3600000001</v>
      </c>
      <c r="M224" s="197">
        <f t="shared" si="34"/>
        <v>708921.32</v>
      </c>
      <c r="N224" s="197">
        <f t="shared" si="34"/>
        <v>90468.08</v>
      </c>
      <c r="O224" s="197">
        <f t="shared" si="34"/>
        <v>1156.22</v>
      </c>
      <c r="P224" s="197">
        <f t="shared" si="34"/>
        <v>1119001.1100000001</v>
      </c>
      <c r="Q224" s="197">
        <f t="shared" si="34"/>
        <v>0</v>
      </c>
      <c r="R224" s="197">
        <f t="shared" si="34"/>
        <v>35</v>
      </c>
      <c r="S224" s="197">
        <f t="shared" si="34"/>
        <v>0</v>
      </c>
      <c r="T224" s="197">
        <f t="shared" si="34"/>
        <v>0</v>
      </c>
      <c r="U224" s="197">
        <f t="shared" si="34"/>
        <v>996461.76</v>
      </c>
      <c r="V224" s="197">
        <f t="shared" si="33"/>
        <v>564052.47999999998</v>
      </c>
      <c r="W224" s="197">
        <f t="shared" si="33"/>
        <v>70279.360000000001</v>
      </c>
      <c r="X224" s="197">
        <f t="shared" si="33"/>
        <v>3812.36</v>
      </c>
      <c r="Y224" s="197">
        <f t="shared" si="33"/>
        <v>988471.63</v>
      </c>
      <c r="Z224" s="197">
        <f t="shared" si="33"/>
        <v>0</v>
      </c>
      <c r="AA224" s="197">
        <f t="shared" si="33"/>
        <v>210222.55</v>
      </c>
      <c r="AB224" s="197">
        <f t="shared" si="33"/>
        <v>0</v>
      </c>
      <c r="AC224" s="197">
        <f t="shared" si="33"/>
        <v>0</v>
      </c>
      <c r="AD224" s="197">
        <f t="shared" si="33"/>
        <v>925852.88</v>
      </c>
      <c r="AE224" s="197">
        <f t="shared" si="33"/>
        <v>502940.8</v>
      </c>
      <c r="AF224" s="197">
        <f t="shared" si="35"/>
        <v>50335.58</v>
      </c>
      <c r="AG224" s="197">
        <f t="shared" si="35"/>
        <v>552.29</v>
      </c>
      <c r="AH224" s="197">
        <f t="shared" si="35"/>
        <v>1000986.36</v>
      </c>
      <c r="AI224" s="197">
        <f t="shared" si="35"/>
        <v>0</v>
      </c>
      <c r="AJ224" s="197">
        <f t="shared" si="35"/>
        <v>227073.88</v>
      </c>
      <c r="AK224" s="197">
        <f t="shared" si="35"/>
        <v>0</v>
      </c>
      <c r="AL224" s="197">
        <f t="shared" si="35"/>
        <v>0</v>
      </c>
    </row>
    <row r="225" spans="1:38">
      <c r="A225" s="11" t="str">
        <f t="shared" si="32"/>
        <v>05-430365582012</v>
      </c>
      <c r="B225" t="s">
        <v>213</v>
      </c>
      <c r="C225" t="s">
        <v>214</v>
      </c>
      <c r="D225">
        <v>2012</v>
      </c>
      <c r="E225" t="s">
        <v>1075</v>
      </c>
      <c r="F225">
        <v>4502.5200000000004</v>
      </c>
      <c r="G225">
        <v>11</v>
      </c>
      <c r="H225" s="11" t="str">
        <f t="shared" si="31"/>
        <v>volume</v>
      </c>
      <c r="I225" s="197" t="s">
        <v>815</v>
      </c>
      <c r="J225" s="197" t="s">
        <v>816</v>
      </c>
      <c r="K225" s="197" t="s">
        <v>145</v>
      </c>
      <c r="L225" s="197">
        <f t="shared" si="34"/>
        <v>1569</v>
      </c>
      <c r="M225" s="197">
        <f t="shared" si="34"/>
        <v>746</v>
      </c>
      <c r="N225" s="197">
        <f t="shared" si="34"/>
        <v>104</v>
      </c>
      <c r="O225" s="197">
        <f t="shared" si="34"/>
        <v>2</v>
      </c>
      <c r="P225" s="197">
        <f t="shared" si="34"/>
        <v>1070</v>
      </c>
      <c r="Q225" s="197">
        <f t="shared" si="34"/>
        <v>0</v>
      </c>
      <c r="R225" s="197">
        <f t="shared" si="34"/>
        <v>2</v>
      </c>
      <c r="S225" s="197">
        <f t="shared" si="34"/>
        <v>0</v>
      </c>
      <c r="T225" s="197">
        <f t="shared" si="34"/>
        <v>0</v>
      </c>
      <c r="U225" s="197">
        <f t="shared" si="34"/>
        <v>1175</v>
      </c>
      <c r="V225" s="197">
        <f t="shared" si="33"/>
        <v>662</v>
      </c>
      <c r="W225" s="197">
        <f t="shared" si="33"/>
        <v>108</v>
      </c>
      <c r="X225" s="197">
        <f t="shared" si="33"/>
        <v>2</v>
      </c>
      <c r="Y225" s="197">
        <f t="shared" si="33"/>
        <v>1033</v>
      </c>
      <c r="Z225" s="197">
        <f t="shared" si="33"/>
        <v>0</v>
      </c>
      <c r="AA225" s="197">
        <f t="shared" si="33"/>
        <v>279</v>
      </c>
      <c r="AB225" s="197">
        <f t="shared" si="33"/>
        <v>0</v>
      </c>
      <c r="AC225" s="197">
        <f t="shared" si="33"/>
        <v>0</v>
      </c>
      <c r="AD225" s="197">
        <f t="shared" si="33"/>
        <v>1126</v>
      </c>
      <c r="AE225" s="197">
        <f t="shared" si="33"/>
        <v>578</v>
      </c>
      <c r="AF225" s="197">
        <f t="shared" si="35"/>
        <v>78</v>
      </c>
      <c r="AG225" s="197">
        <f t="shared" si="35"/>
        <v>1</v>
      </c>
      <c r="AH225" s="197">
        <f t="shared" si="35"/>
        <v>1061</v>
      </c>
      <c r="AI225" s="197">
        <f t="shared" si="35"/>
        <v>0</v>
      </c>
      <c r="AJ225" s="197">
        <f t="shared" si="35"/>
        <v>332</v>
      </c>
      <c r="AK225" s="197">
        <f t="shared" si="35"/>
        <v>0</v>
      </c>
      <c r="AL225" s="197">
        <f t="shared" si="35"/>
        <v>0</v>
      </c>
    </row>
    <row r="226" spans="1:38">
      <c r="A226" s="11" t="str">
        <f t="shared" si="32"/>
        <v>05-430365582011</v>
      </c>
      <c r="B226" t="s">
        <v>213</v>
      </c>
      <c r="C226" t="s">
        <v>214</v>
      </c>
      <c r="D226">
        <v>2011</v>
      </c>
      <c r="E226" t="s">
        <v>69</v>
      </c>
      <c r="F226">
        <v>618</v>
      </c>
      <c r="G226">
        <v>3</v>
      </c>
      <c r="H226" s="11" t="str">
        <f t="shared" si="31"/>
        <v>count</v>
      </c>
      <c r="I226" s="197" t="s">
        <v>818</v>
      </c>
      <c r="J226" s="197" t="s">
        <v>819</v>
      </c>
      <c r="K226" s="197" t="s">
        <v>146</v>
      </c>
      <c r="L226" s="197">
        <f t="shared" si="34"/>
        <v>595069.23</v>
      </c>
      <c r="M226" s="197">
        <f t="shared" si="34"/>
        <v>301071.14</v>
      </c>
      <c r="N226" s="197">
        <f t="shared" si="34"/>
        <v>50094.77</v>
      </c>
      <c r="O226" s="197">
        <f t="shared" si="34"/>
        <v>0</v>
      </c>
      <c r="P226" s="197">
        <f t="shared" si="34"/>
        <v>168234.66</v>
      </c>
      <c r="Q226" s="197">
        <f t="shared" si="34"/>
        <v>0</v>
      </c>
      <c r="R226" s="197">
        <f t="shared" si="34"/>
        <v>3385.04</v>
      </c>
      <c r="S226" s="197">
        <f t="shared" si="34"/>
        <v>0</v>
      </c>
      <c r="T226" s="197">
        <f t="shared" si="34"/>
        <v>0</v>
      </c>
      <c r="U226" s="197">
        <f t="shared" si="34"/>
        <v>586833.07999999996</v>
      </c>
      <c r="V226" s="197">
        <f t="shared" si="33"/>
        <v>335892.63</v>
      </c>
      <c r="W226" s="197">
        <f t="shared" si="33"/>
        <v>60241.38</v>
      </c>
      <c r="X226" s="197">
        <f t="shared" si="33"/>
        <v>0</v>
      </c>
      <c r="Y226" s="197">
        <f t="shared" si="33"/>
        <v>175216.42</v>
      </c>
      <c r="Z226" s="197">
        <f t="shared" si="33"/>
        <v>0</v>
      </c>
      <c r="AA226" s="197">
        <f t="shared" si="33"/>
        <v>144358.10999999999</v>
      </c>
      <c r="AB226" s="197">
        <f t="shared" si="33"/>
        <v>0</v>
      </c>
      <c r="AC226" s="197">
        <f t="shared" si="33"/>
        <v>0</v>
      </c>
      <c r="AD226" s="197">
        <f t="shared" si="33"/>
        <v>639273.69999999995</v>
      </c>
      <c r="AE226" s="197">
        <f t="shared" si="33"/>
        <v>283578.5</v>
      </c>
      <c r="AF226" s="197">
        <f t="shared" si="35"/>
        <v>71195.520000000004</v>
      </c>
      <c r="AG226" s="197">
        <f t="shared" si="35"/>
        <v>0</v>
      </c>
      <c r="AH226" s="197">
        <f t="shared" si="35"/>
        <v>186310.34</v>
      </c>
      <c r="AI226" s="197">
        <f t="shared" si="35"/>
        <v>0</v>
      </c>
      <c r="AJ226" s="197">
        <f t="shared" si="35"/>
        <v>158422.10999999999</v>
      </c>
      <c r="AK226" s="197">
        <f t="shared" si="35"/>
        <v>0</v>
      </c>
      <c r="AL226" s="197">
        <f t="shared" si="35"/>
        <v>0</v>
      </c>
    </row>
    <row r="227" spans="1:38">
      <c r="A227" s="11" t="str">
        <f t="shared" si="32"/>
        <v>05-430365582011</v>
      </c>
      <c r="B227" t="s">
        <v>213</v>
      </c>
      <c r="C227" t="s">
        <v>214</v>
      </c>
      <c r="D227">
        <v>2011</v>
      </c>
      <c r="E227" t="s">
        <v>105</v>
      </c>
      <c r="F227">
        <v>46781.2</v>
      </c>
      <c r="G227">
        <v>87</v>
      </c>
      <c r="H227" s="11" t="str">
        <f t="shared" si="31"/>
        <v>count</v>
      </c>
      <c r="I227" s="197" t="s">
        <v>818</v>
      </c>
      <c r="J227" s="197" t="s">
        <v>819</v>
      </c>
      <c r="K227" s="197" t="s">
        <v>145</v>
      </c>
      <c r="L227" s="197">
        <f t="shared" si="34"/>
        <v>1396</v>
      </c>
      <c r="M227" s="197">
        <f t="shared" si="34"/>
        <v>602</v>
      </c>
      <c r="N227" s="197">
        <f t="shared" si="34"/>
        <v>117</v>
      </c>
      <c r="O227" s="197">
        <f t="shared" si="34"/>
        <v>0</v>
      </c>
      <c r="P227" s="197">
        <f t="shared" si="34"/>
        <v>322</v>
      </c>
      <c r="Q227" s="197">
        <f t="shared" si="34"/>
        <v>0</v>
      </c>
      <c r="R227" s="197">
        <f t="shared" si="34"/>
        <v>6</v>
      </c>
      <c r="S227" s="197">
        <f t="shared" si="34"/>
        <v>0</v>
      </c>
      <c r="T227" s="197">
        <f t="shared" si="34"/>
        <v>0</v>
      </c>
      <c r="U227" s="197">
        <f t="shared" si="34"/>
        <v>1250</v>
      </c>
      <c r="V227" s="197">
        <f t="shared" si="33"/>
        <v>697</v>
      </c>
      <c r="W227" s="197">
        <f t="shared" si="33"/>
        <v>147</v>
      </c>
      <c r="X227" s="197">
        <f t="shared" si="33"/>
        <v>0</v>
      </c>
      <c r="Y227" s="197">
        <f t="shared" si="33"/>
        <v>359</v>
      </c>
      <c r="Z227" s="197">
        <f t="shared" si="33"/>
        <v>0</v>
      </c>
      <c r="AA227" s="197">
        <f t="shared" si="33"/>
        <v>409</v>
      </c>
      <c r="AB227" s="197">
        <f t="shared" si="33"/>
        <v>0</v>
      </c>
      <c r="AC227" s="197">
        <f t="shared" si="33"/>
        <v>0</v>
      </c>
      <c r="AD227" s="197">
        <f t="shared" si="33"/>
        <v>1356</v>
      </c>
      <c r="AE227" s="197">
        <f t="shared" si="33"/>
        <v>606</v>
      </c>
      <c r="AF227" s="197">
        <f t="shared" si="35"/>
        <v>175</v>
      </c>
      <c r="AG227" s="197">
        <f t="shared" si="35"/>
        <v>0</v>
      </c>
      <c r="AH227" s="197">
        <f t="shared" si="35"/>
        <v>399</v>
      </c>
      <c r="AI227" s="197">
        <f t="shared" si="35"/>
        <v>0</v>
      </c>
      <c r="AJ227" s="197">
        <f t="shared" si="35"/>
        <v>424</v>
      </c>
      <c r="AK227" s="197">
        <f t="shared" si="35"/>
        <v>0</v>
      </c>
      <c r="AL227" s="197">
        <f t="shared" si="35"/>
        <v>0</v>
      </c>
    </row>
    <row r="228" spans="1:38">
      <c r="A228" s="11" t="str">
        <f t="shared" si="32"/>
        <v>05-430365582011</v>
      </c>
      <c r="B228" t="s">
        <v>213</v>
      </c>
      <c r="C228" t="s">
        <v>214</v>
      </c>
      <c r="D228">
        <v>2011</v>
      </c>
      <c r="E228" t="s">
        <v>1076</v>
      </c>
      <c r="F228">
        <v>5885.39</v>
      </c>
      <c r="G228">
        <v>15</v>
      </c>
      <c r="H228" s="11" t="str">
        <f t="shared" si="31"/>
        <v>count</v>
      </c>
      <c r="I228" s="197" t="s">
        <v>820</v>
      </c>
      <c r="J228" s="197" t="s">
        <v>821</v>
      </c>
      <c r="K228" s="197" t="s">
        <v>146</v>
      </c>
      <c r="L228" s="197">
        <f t="shared" si="34"/>
        <v>2699089.81</v>
      </c>
      <c r="M228" s="197">
        <f t="shared" si="34"/>
        <v>1407924.94</v>
      </c>
      <c r="N228" s="197">
        <f t="shared" si="34"/>
        <v>364167.36</v>
      </c>
      <c r="O228" s="197">
        <f t="shared" si="34"/>
        <v>16859.439999999999</v>
      </c>
      <c r="P228" s="197">
        <f t="shared" si="34"/>
        <v>668438.86</v>
      </c>
      <c r="Q228" s="197">
        <f t="shared" si="34"/>
        <v>0</v>
      </c>
      <c r="R228" s="197">
        <f t="shared" si="34"/>
        <v>488.4</v>
      </c>
      <c r="S228" s="197">
        <f t="shared" si="34"/>
        <v>0</v>
      </c>
      <c r="T228" s="197">
        <f t="shared" si="34"/>
        <v>0</v>
      </c>
      <c r="U228" s="197">
        <f t="shared" si="34"/>
        <v>2076652.1</v>
      </c>
      <c r="V228" s="197">
        <f t="shared" si="33"/>
        <v>1363381.65</v>
      </c>
      <c r="W228" s="197">
        <f t="shared" si="33"/>
        <v>394330.03</v>
      </c>
      <c r="X228" s="197">
        <f t="shared" si="33"/>
        <v>0</v>
      </c>
      <c r="Y228" s="197">
        <f t="shared" si="33"/>
        <v>730161.22</v>
      </c>
      <c r="Z228" s="197">
        <f t="shared" si="33"/>
        <v>0</v>
      </c>
      <c r="AA228" s="197">
        <f t="shared" si="33"/>
        <v>1406201.09</v>
      </c>
      <c r="AB228" s="197">
        <f t="shared" si="33"/>
        <v>0</v>
      </c>
      <c r="AC228" s="197">
        <f t="shared" si="33"/>
        <v>0</v>
      </c>
      <c r="AD228" s="197">
        <f t="shared" si="33"/>
        <v>2094347.94</v>
      </c>
      <c r="AE228" s="197">
        <f t="shared" si="33"/>
        <v>1220068.73</v>
      </c>
      <c r="AF228" s="197">
        <f t="shared" si="35"/>
        <v>390138.37</v>
      </c>
      <c r="AG228" s="197">
        <f t="shared" si="35"/>
        <v>0</v>
      </c>
      <c r="AH228" s="197">
        <f t="shared" si="35"/>
        <v>744241.12</v>
      </c>
      <c r="AI228" s="197">
        <f t="shared" si="35"/>
        <v>0</v>
      </c>
      <c r="AJ228" s="197">
        <f t="shared" si="35"/>
        <v>1710495.53</v>
      </c>
      <c r="AK228" s="197">
        <f t="shared" si="35"/>
        <v>0</v>
      </c>
      <c r="AL228" s="197">
        <f t="shared" si="35"/>
        <v>0</v>
      </c>
    </row>
    <row r="229" spans="1:38">
      <c r="A229" s="11" t="str">
        <f t="shared" si="32"/>
        <v>05-430365582011</v>
      </c>
      <c r="B229" t="s">
        <v>213</v>
      </c>
      <c r="C229" t="s">
        <v>214</v>
      </c>
      <c r="D229">
        <v>2011</v>
      </c>
      <c r="E229" t="s">
        <v>133</v>
      </c>
      <c r="F229">
        <v>138270.26999999999</v>
      </c>
      <c r="G229">
        <v>232</v>
      </c>
      <c r="H229" s="11" t="str">
        <f t="shared" si="31"/>
        <v>count</v>
      </c>
      <c r="I229" s="197" t="s">
        <v>820</v>
      </c>
      <c r="J229" s="197" t="s">
        <v>821</v>
      </c>
      <c r="K229" s="197" t="s">
        <v>145</v>
      </c>
      <c r="L229" s="197">
        <f t="shared" si="34"/>
        <v>4152</v>
      </c>
      <c r="M229" s="197">
        <f t="shared" si="34"/>
        <v>2157</v>
      </c>
      <c r="N229" s="197">
        <f t="shared" si="34"/>
        <v>479</v>
      </c>
      <c r="O229" s="197">
        <f t="shared" si="34"/>
        <v>25</v>
      </c>
      <c r="P229" s="197">
        <f t="shared" si="34"/>
        <v>973</v>
      </c>
      <c r="Q229" s="197">
        <f t="shared" si="34"/>
        <v>0</v>
      </c>
      <c r="R229" s="197">
        <f t="shared" si="34"/>
        <v>1</v>
      </c>
      <c r="S229" s="197">
        <f t="shared" si="34"/>
        <v>0</v>
      </c>
      <c r="T229" s="197">
        <f t="shared" si="34"/>
        <v>0</v>
      </c>
      <c r="U229" s="197">
        <f t="shared" si="34"/>
        <v>2791</v>
      </c>
      <c r="V229" s="197">
        <f t="shared" si="33"/>
        <v>1921</v>
      </c>
      <c r="W229" s="197">
        <f t="shared" si="33"/>
        <v>505</v>
      </c>
      <c r="X229" s="197">
        <f t="shared" si="33"/>
        <v>0</v>
      </c>
      <c r="Y229" s="197">
        <f t="shared" si="33"/>
        <v>1043</v>
      </c>
      <c r="Z229" s="197">
        <f t="shared" si="33"/>
        <v>0</v>
      </c>
      <c r="AA229" s="197">
        <f t="shared" si="33"/>
        <v>2224</v>
      </c>
      <c r="AB229" s="197">
        <f t="shared" si="33"/>
        <v>0</v>
      </c>
      <c r="AC229" s="197">
        <f t="shared" si="33"/>
        <v>0</v>
      </c>
      <c r="AD229" s="197">
        <f t="shared" si="33"/>
        <v>2585</v>
      </c>
      <c r="AE229" s="197">
        <f t="shared" si="33"/>
        <v>1481</v>
      </c>
      <c r="AF229" s="197">
        <f t="shared" si="35"/>
        <v>472</v>
      </c>
      <c r="AG229" s="197">
        <f t="shared" si="35"/>
        <v>0</v>
      </c>
      <c r="AH229" s="197">
        <f t="shared" si="35"/>
        <v>956</v>
      </c>
      <c r="AI229" s="197">
        <f t="shared" si="35"/>
        <v>0</v>
      </c>
      <c r="AJ229" s="197">
        <f t="shared" si="35"/>
        <v>2580</v>
      </c>
      <c r="AK229" s="197">
        <f t="shared" si="35"/>
        <v>0</v>
      </c>
      <c r="AL229" s="197">
        <f t="shared" si="35"/>
        <v>0</v>
      </c>
    </row>
    <row r="230" spans="1:38">
      <c r="A230" s="11" t="str">
        <f t="shared" si="32"/>
        <v>05-430365582013</v>
      </c>
      <c r="B230" t="s">
        <v>213</v>
      </c>
      <c r="C230" t="s">
        <v>214</v>
      </c>
      <c r="D230">
        <v>2013</v>
      </c>
      <c r="E230" t="s">
        <v>69</v>
      </c>
      <c r="F230">
        <v>121422.36</v>
      </c>
      <c r="G230">
        <v>171</v>
      </c>
      <c r="H230" s="11" t="str">
        <f t="shared" si="31"/>
        <v>count</v>
      </c>
      <c r="I230" s="197" t="s">
        <v>822</v>
      </c>
      <c r="J230" s="197" t="s">
        <v>823</v>
      </c>
      <c r="K230" s="197" t="s">
        <v>146</v>
      </c>
      <c r="L230" s="197">
        <f t="shared" si="34"/>
        <v>3615683.72</v>
      </c>
      <c r="M230" s="197">
        <f t="shared" si="34"/>
        <v>2022298.98</v>
      </c>
      <c r="N230" s="197">
        <f t="shared" si="34"/>
        <v>626164.29</v>
      </c>
      <c r="O230" s="197">
        <f t="shared" si="34"/>
        <v>191171.81</v>
      </c>
      <c r="P230" s="197">
        <f t="shared" si="34"/>
        <v>996820.52</v>
      </c>
      <c r="Q230" s="197">
        <f t="shared" si="34"/>
        <v>0</v>
      </c>
      <c r="R230" s="197">
        <f t="shared" si="34"/>
        <v>55.5</v>
      </c>
      <c r="S230" s="197">
        <f t="shared" si="34"/>
        <v>0</v>
      </c>
      <c r="T230" s="197">
        <f t="shared" si="34"/>
        <v>0</v>
      </c>
      <c r="U230" s="197">
        <f t="shared" si="34"/>
        <v>457690.81</v>
      </c>
      <c r="V230" s="197">
        <f t="shared" ref="V230:AE255" si="36">SUMIFS(IF($K230="volume",$F:$F,$G:$G),$D:$D,V$2,$B:$B,$I230,$E:$E,V$3)</f>
        <v>285310.73</v>
      </c>
      <c r="W230" s="197">
        <f t="shared" si="36"/>
        <v>74180.479999999996</v>
      </c>
      <c r="X230" s="197">
        <f t="shared" si="36"/>
        <v>50209.07</v>
      </c>
      <c r="Y230" s="197">
        <f t="shared" si="36"/>
        <v>138927.9</v>
      </c>
      <c r="Z230" s="197">
        <f t="shared" si="36"/>
        <v>0</v>
      </c>
      <c r="AA230" s="197">
        <f t="shared" si="36"/>
        <v>129803.15</v>
      </c>
      <c r="AB230" s="197">
        <f t="shared" si="36"/>
        <v>0</v>
      </c>
      <c r="AC230" s="197">
        <f t="shared" si="36"/>
        <v>0</v>
      </c>
      <c r="AD230" s="197">
        <f t="shared" si="36"/>
        <v>0</v>
      </c>
      <c r="AE230" s="197">
        <f t="shared" si="36"/>
        <v>0</v>
      </c>
      <c r="AF230" s="197">
        <f t="shared" si="35"/>
        <v>0</v>
      </c>
      <c r="AG230" s="197">
        <f t="shared" si="35"/>
        <v>0</v>
      </c>
      <c r="AH230" s="197">
        <f t="shared" si="35"/>
        <v>0</v>
      </c>
      <c r="AI230" s="197">
        <f t="shared" si="35"/>
        <v>0</v>
      </c>
      <c r="AJ230" s="197">
        <f t="shared" si="35"/>
        <v>0</v>
      </c>
      <c r="AK230" s="197">
        <f t="shared" si="35"/>
        <v>0</v>
      </c>
      <c r="AL230" s="197">
        <f t="shared" si="35"/>
        <v>0</v>
      </c>
    </row>
    <row r="231" spans="1:38">
      <c r="A231" s="11" t="str">
        <f t="shared" si="32"/>
        <v>05-430365582011</v>
      </c>
      <c r="B231" t="s">
        <v>213</v>
      </c>
      <c r="C231" t="s">
        <v>214</v>
      </c>
      <c r="D231">
        <v>2011</v>
      </c>
      <c r="E231" t="s">
        <v>1075</v>
      </c>
      <c r="F231">
        <v>12898.73</v>
      </c>
      <c r="G231">
        <v>29</v>
      </c>
      <c r="H231" s="11" t="str">
        <f t="shared" si="31"/>
        <v>count</v>
      </c>
      <c r="I231" s="197" t="s">
        <v>822</v>
      </c>
      <c r="J231" s="197" t="s">
        <v>823</v>
      </c>
      <c r="K231" s="197" t="s">
        <v>145</v>
      </c>
      <c r="L231" s="197">
        <f t="shared" ref="L231:U256" si="37">SUMIFS(IF($K231="volume",$F:$F,$G:$G),$D:$D,L$2,$B:$B,$I231,$E:$E,L$3)</f>
        <v>5338</v>
      </c>
      <c r="M231" s="197">
        <f t="shared" si="37"/>
        <v>2903</v>
      </c>
      <c r="N231" s="197">
        <f t="shared" si="37"/>
        <v>834</v>
      </c>
      <c r="O231" s="197">
        <f t="shared" si="37"/>
        <v>251</v>
      </c>
      <c r="P231" s="197">
        <f t="shared" si="37"/>
        <v>1286</v>
      </c>
      <c r="Q231" s="197">
        <f t="shared" si="37"/>
        <v>0</v>
      </c>
      <c r="R231" s="197">
        <f t="shared" si="37"/>
        <v>1</v>
      </c>
      <c r="S231" s="197">
        <f t="shared" si="37"/>
        <v>0</v>
      </c>
      <c r="T231" s="197">
        <f t="shared" si="37"/>
        <v>0</v>
      </c>
      <c r="U231" s="197">
        <f t="shared" si="37"/>
        <v>608</v>
      </c>
      <c r="V231" s="197">
        <f t="shared" si="36"/>
        <v>408</v>
      </c>
      <c r="W231" s="197">
        <f t="shared" si="36"/>
        <v>96</v>
      </c>
      <c r="X231" s="197">
        <f t="shared" si="36"/>
        <v>60</v>
      </c>
      <c r="Y231" s="197">
        <f t="shared" si="36"/>
        <v>216</v>
      </c>
      <c r="Z231" s="197">
        <f t="shared" si="36"/>
        <v>0</v>
      </c>
      <c r="AA231" s="197">
        <f t="shared" si="36"/>
        <v>219</v>
      </c>
      <c r="AB231" s="197">
        <f t="shared" si="36"/>
        <v>0</v>
      </c>
      <c r="AC231" s="197">
        <f t="shared" si="36"/>
        <v>0</v>
      </c>
      <c r="AD231" s="197">
        <f t="shared" si="36"/>
        <v>0</v>
      </c>
      <c r="AE231" s="197">
        <f t="shared" si="36"/>
        <v>0</v>
      </c>
      <c r="AF231" s="197">
        <f t="shared" si="35"/>
        <v>0</v>
      </c>
      <c r="AG231" s="197">
        <f t="shared" si="35"/>
        <v>0</v>
      </c>
      <c r="AH231" s="197">
        <f t="shared" si="35"/>
        <v>0</v>
      </c>
      <c r="AI231" s="197">
        <f t="shared" si="35"/>
        <v>0</v>
      </c>
      <c r="AJ231" s="197">
        <f t="shared" si="35"/>
        <v>0</v>
      </c>
      <c r="AK231" s="197">
        <f t="shared" si="35"/>
        <v>0</v>
      </c>
      <c r="AL231" s="197">
        <f t="shared" si="35"/>
        <v>0</v>
      </c>
    </row>
    <row r="232" spans="1:38">
      <c r="A232" s="11" t="str">
        <f t="shared" si="32"/>
        <v>05-430365582011</v>
      </c>
      <c r="B232" t="s">
        <v>213</v>
      </c>
      <c r="C232" t="s">
        <v>214</v>
      </c>
      <c r="D232">
        <v>2011</v>
      </c>
      <c r="E232" t="s">
        <v>63</v>
      </c>
      <c r="F232">
        <v>455386.54</v>
      </c>
      <c r="G232">
        <v>799</v>
      </c>
      <c r="H232" s="11" t="str">
        <f t="shared" si="31"/>
        <v>count</v>
      </c>
      <c r="I232" s="197" t="s">
        <v>824</v>
      </c>
      <c r="J232" s="197" t="s">
        <v>825</v>
      </c>
      <c r="K232" s="197" t="s">
        <v>146</v>
      </c>
      <c r="L232" s="197">
        <f t="shared" si="37"/>
        <v>826961.89</v>
      </c>
      <c r="M232" s="197">
        <f t="shared" si="37"/>
        <v>473478.6</v>
      </c>
      <c r="N232" s="197">
        <f t="shared" si="37"/>
        <v>75856.11</v>
      </c>
      <c r="O232" s="197">
        <f t="shared" si="37"/>
        <v>0</v>
      </c>
      <c r="P232" s="197">
        <f t="shared" si="37"/>
        <v>267250.90999999997</v>
      </c>
      <c r="Q232" s="197">
        <f t="shared" si="37"/>
        <v>0</v>
      </c>
      <c r="R232" s="197">
        <f t="shared" si="37"/>
        <v>0</v>
      </c>
      <c r="S232" s="197">
        <f t="shared" si="37"/>
        <v>0</v>
      </c>
      <c r="T232" s="197">
        <f t="shared" si="37"/>
        <v>0</v>
      </c>
      <c r="U232" s="197">
        <f t="shared" si="37"/>
        <v>875318.39</v>
      </c>
      <c r="V232" s="197">
        <f t="shared" si="36"/>
        <v>495588.91</v>
      </c>
      <c r="W232" s="197">
        <f t="shared" si="36"/>
        <v>107846.18</v>
      </c>
      <c r="X232" s="197">
        <f t="shared" si="36"/>
        <v>0</v>
      </c>
      <c r="Y232" s="197">
        <f t="shared" si="36"/>
        <v>330366.92</v>
      </c>
      <c r="Z232" s="197">
        <f t="shared" si="36"/>
        <v>0</v>
      </c>
      <c r="AA232" s="197">
        <f t="shared" si="36"/>
        <v>109897.09</v>
      </c>
      <c r="AB232" s="197">
        <f t="shared" si="36"/>
        <v>0</v>
      </c>
      <c r="AC232" s="197">
        <f t="shared" si="36"/>
        <v>0</v>
      </c>
      <c r="AD232" s="197">
        <f t="shared" si="36"/>
        <v>835899.03</v>
      </c>
      <c r="AE232" s="197">
        <f t="shared" si="36"/>
        <v>401128.01</v>
      </c>
      <c r="AF232" s="197">
        <f t="shared" si="35"/>
        <v>107929.68</v>
      </c>
      <c r="AG232" s="197">
        <f t="shared" si="35"/>
        <v>0</v>
      </c>
      <c r="AH232" s="197">
        <f t="shared" si="35"/>
        <v>291340.77</v>
      </c>
      <c r="AI232" s="197">
        <f t="shared" si="35"/>
        <v>0</v>
      </c>
      <c r="AJ232" s="197">
        <f t="shared" si="35"/>
        <v>130720.2</v>
      </c>
      <c r="AK232" s="197">
        <f t="shared" si="35"/>
        <v>0</v>
      </c>
      <c r="AL232" s="197">
        <f t="shared" si="35"/>
        <v>0</v>
      </c>
    </row>
    <row r="233" spans="1:38">
      <c r="A233" s="11" t="str">
        <f t="shared" si="32"/>
        <v>05-430365582012</v>
      </c>
      <c r="B233" t="s">
        <v>213</v>
      </c>
      <c r="C233" t="s">
        <v>214</v>
      </c>
      <c r="D233">
        <v>2012</v>
      </c>
      <c r="E233" t="s">
        <v>1076</v>
      </c>
      <c r="F233">
        <v>1310.68</v>
      </c>
      <c r="G233">
        <v>3</v>
      </c>
      <c r="H233" s="11" t="str">
        <f t="shared" si="31"/>
        <v>count</v>
      </c>
      <c r="I233" s="197" t="s">
        <v>824</v>
      </c>
      <c r="J233" s="197" t="s">
        <v>825</v>
      </c>
      <c r="K233" s="197" t="s">
        <v>145</v>
      </c>
      <c r="L233" s="197">
        <f t="shared" si="37"/>
        <v>1028</v>
      </c>
      <c r="M233" s="197">
        <f t="shared" si="37"/>
        <v>537</v>
      </c>
      <c r="N233" s="197">
        <f t="shared" si="37"/>
        <v>105</v>
      </c>
      <c r="O233" s="197">
        <f t="shared" si="37"/>
        <v>0</v>
      </c>
      <c r="P233" s="197">
        <f t="shared" si="37"/>
        <v>256</v>
      </c>
      <c r="Q233" s="197">
        <f t="shared" si="37"/>
        <v>0</v>
      </c>
      <c r="R233" s="197">
        <f t="shared" si="37"/>
        <v>0</v>
      </c>
      <c r="S233" s="197">
        <f t="shared" si="37"/>
        <v>0</v>
      </c>
      <c r="T233" s="197">
        <f t="shared" si="37"/>
        <v>0</v>
      </c>
      <c r="U233" s="197">
        <f t="shared" si="37"/>
        <v>969</v>
      </c>
      <c r="V233" s="197">
        <f t="shared" si="36"/>
        <v>604</v>
      </c>
      <c r="W233" s="197">
        <f t="shared" si="36"/>
        <v>127</v>
      </c>
      <c r="X233" s="197">
        <f t="shared" si="36"/>
        <v>0</v>
      </c>
      <c r="Y233" s="197">
        <f t="shared" si="36"/>
        <v>365</v>
      </c>
      <c r="Z233" s="197">
        <f t="shared" si="36"/>
        <v>0</v>
      </c>
      <c r="AA233" s="197">
        <f t="shared" si="36"/>
        <v>172</v>
      </c>
      <c r="AB233" s="197">
        <f t="shared" si="36"/>
        <v>0</v>
      </c>
      <c r="AC233" s="197">
        <f t="shared" si="36"/>
        <v>0</v>
      </c>
      <c r="AD233" s="197">
        <f t="shared" si="36"/>
        <v>1022</v>
      </c>
      <c r="AE233" s="197">
        <f t="shared" si="36"/>
        <v>498</v>
      </c>
      <c r="AF233" s="197">
        <f t="shared" si="35"/>
        <v>137</v>
      </c>
      <c r="AG233" s="197">
        <f t="shared" si="35"/>
        <v>0</v>
      </c>
      <c r="AH233" s="197">
        <f t="shared" si="35"/>
        <v>348</v>
      </c>
      <c r="AI233" s="197">
        <f t="shared" si="35"/>
        <v>0</v>
      </c>
      <c r="AJ233" s="197">
        <f t="shared" si="35"/>
        <v>226</v>
      </c>
      <c r="AK233" s="197">
        <f t="shared" si="35"/>
        <v>0</v>
      </c>
      <c r="AL233" s="197">
        <f t="shared" si="35"/>
        <v>0</v>
      </c>
    </row>
    <row r="234" spans="1:38">
      <c r="A234" s="11" t="str">
        <f t="shared" si="32"/>
        <v>05-430365582012</v>
      </c>
      <c r="B234" t="s">
        <v>213</v>
      </c>
      <c r="C234" t="s">
        <v>214</v>
      </c>
      <c r="D234">
        <v>2012</v>
      </c>
      <c r="E234" t="s">
        <v>105</v>
      </c>
      <c r="F234">
        <v>33139.86</v>
      </c>
      <c r="G234">
        <v>71</v>
      </c>
      <c r="H234" s="11" t="str">
        <f t="shared" si="31"/>
        <v>count</v>
      </c>
      <c r="I234" s="197" t="s">
        <v>832</v>
      </c>
      <c r="J234" s="197" t="s">
        <v>833</v>
      </c>
      <c r="K234" s="197" t="s">
        <v>146</v>
      </c>
      <c r="L234" s="197">
        <f t="shared" si="37"/>
        <v>394091.58</v>
      </c>
      <c r="M234" s="197">
        <f t="shared" si="37"/>
        <v>236540.74</v>
      </c>
      <c r="N234" s="197">
        <f t="shared" si="37"/>
        <v>60232.81</v>
      </c>
      <c r="O234" s="197">
        <f t="shared" si="37"/>
        <v>0</v>
      </c>
      <c r="P234" s="197">
        <f t="shared" si="37"/>
        <v>0</v>
      </c>
      <c r="Q234" s="197">
        <f t="shared" si="37"/>
        <v>0</v>
      </c>
      <c r="R234" s="197">
        <f t="shared" si="37"/>
        <v>0</v>
      </c>
      <c r="S234" s="197">
        <f t="shared" si="37"/>
        <v>0</v>
      </c>
      <c r="T234" s="197">
        <f t="shared" si="37"/>
        <v>0</v>
      </c>
      <c r="U234" s="197">
        <f t="shared" si="37"/>
        <v>380747.42</v>
      </c>
      <c r="V234" s="197">
        <f t="shared" si="36"/>
        <v>231360.11</v>
      </c>
      <c r="W234" s="197">
        <f t="shared" si="36"/>
        <v>108215.1</v>
      </c>
      <c r="X234" s="197">
        <f t="shared" si="36"/>
        <v>0</v>
      </c>
      <c r="Y234" s="197">
        <f t="shared" si="36"/>
        <v>0</v>
      </c>
      <c r="Z234" s="197">
        <f t="shared" si="36"/>
        <v>0</v>
      </c>
      <c r="AA234" s="197">
        <f t="shared" si="36"/>
        <v>188922.62</v>
      </c>
      <c r="AB234" s="197">
        <f t="shared" si="36"/>
        <v>0</v>
      </c>
      <c r="AC234" s="197">
        <f t="shared" si="36"/>
        <v>0</v>
      </c>
      <c r="AD234" s="197">
        <f t="shared" si="36"/>
        <v>317031.81</v>
      </c>
      <c r="AE234" s="197">
        <f t="shared" si="36"/>
        <v>208895.49</v>
      </c>
      <c r="AF234" s="197">
        <f t="shared" si="35"/>
        <v>82900.61</v>
      </c>
      <c r="AG234" s="197">
        <f t="shared" si="35"/>
        <v>0</v>
      </c>
      <c r="AH234" s="197">
        <f t="shared" si="35"/>
        <v>0</v>
      </c>
      <c r="AI234" s="197">
        <f t="shared" si="35"/>
        <v>0</v>
      </c>
      <c r="AJ234" s="197">
        <f t="shared" si="35"/>
        <v>273546.75</v>
      </c>
      <c r="AK234" s="197">
        <f t="shared" si="35"/>
        <v>0</v>
      </c>
      <c r="AL234" s="197">
        <f t="shared" si="35"/>
        <v>0</v>
      </c>
    </row>
    <row r="235" spans="1:38">
      <c r="A235" s="11" t="str">
        <f t="shared" si="32"/>
        <v>05-430365582011</v>
      </c>
      <c r="B235" t="s">
        <v>213</v>
      </c>
      <c r="C235" t="s">
        <v>214</v>
      </c>
      <c r="D235">
        <v>2011</v>
      </c>
      <c r="E235" t="s">
        <v>104</v>
      </c>
      <c r="F235">
        <v>219098.32</v>
      </c>
      <c r="G235">
        <v>377</v>
      </c>
      <c r="H235" s="11" t="str">
        <f t="shared" si="31"/>
        <v>count</v>
      </c>
      <c r="I235" s="197" t="s">
        <v>832</v>
      </c>
      <c r="J235" s="197" t="s">
        <v>833</v>
      </c>
      <c r="K235" s="197" t="s">
        <v>145</v>
      </c>
      <c r="L235" s="197">
        <f t="shared" si="37"/>
        <v>588</v>
      </c>
      <c r="M235" s="197">
        <f t="shared" si="37"/>
        <v>325</v>
      </c>
      <c r="N235" s="197">
        <f t="shared" si="37"/>
        <v>74</v>
      </c>
      <c r="O235" s="197">
        <f t="shared" si="37"/>
        <v>0</v>
      </c>
      <c r="P235" s="197">
        <f t="shared" si="37"/>
        <v>0</v>
      </c>
      <c r="Q235" s="197">
        <f t="shared" si="37"/>
        <v>0</v>
      </c>
      <c r="R235" s="197">
        <f t="shared" si="37"/>
        <v>0</v>
      </c>
      <c r="S235" s="197">
        <f t="shared" si="37"/>
        <v>0</v>
      </c>
      <c r="T235" s="197">
        <f t="shared" si="37"/>
        <v>0</v>
      </c>
      <c r="U235" s="197">
        <f t="shared" si="37"/>
        <v>526</v>
      </c>
      <c r="V235" s="197">
        <f t="shared" si="36"/>
        <v>306</v>
      </c>
      <c r="W235" s="197">
        <f t="shared" si="36"/>
        <v>135</v>
      </c>
      <c r="X235" s="197">
        <f t="shared" si="36"/>
        <v>0</v>
      </c>
      <c r="Y235" s="197">
        <f t="shared" si="36"/>
        <v>0</v>
      </c>
      <c r="Z235" s="197">
        <f t="shared" si="36"/>
        <v>0</v>
      </c>
      <c r="AA235" s="197">
        <f t="shared" si="36"/>
        <v>303</v>
      </c>
      <c r="AB235" s="197">
        <f t="shared" si="36"/>
        <v>0</v>
      </c>
      <c r="AC235" s="197">
        <f t="shared" si="36"/>
        <v>0</v>
      </c>
      <c r="AD235" s="197">
        <f t="shared" si="36"/>
        <v>356</v>
      </c>
      <c r="AE235" s="197">
        <f t="shared" si="36"/>
        <v>230</v>
      </c>
      <c r="AF235" s="197">
        <f t="shared" si="35"/>
        <v>87</v>
      </c>
      <c r="AG235" s="197">
        <f t="shared" si="35"/>
        <v>0</v>
      </c>
      <c r="AH235" s="197">
        <f t="shared" si="35"/>
        <v>0</v>
      </c>
      <c r="AI235" s="197">
        <f t="shared" si="35"/>
        <v>0</v>
      </c>
      <c r="AJ235" s="197">
        <f t="shared" si="35"/>
        <v>343</v>
      </c>
      <c r="AK235" s="197">
        <f t="shared" si="35"/>
        <v>0</v>
      </c>
      <c r="AL235" s="197">
        <f t="shared" si="35"/>
        <v>0</v>
      </c>
    </row>
    <row r="236" spans="1:38">
      <c r="A236" s="11" t="str">
        <f t="shared" si="32"/>
        <v>05-430365582013</v>
      </c>
      <c r="B236" t="s">
        <v>213</v>
      </c>
      <c r="C236" t="s">
        <v>214</v>
      </c>
      <c r="D236">
        <v>2013</v>
      </c>
      <c r="E236" t="s">
        <v>133</v>
      </c>
      <c r="F236">
        <v>109597.37</v>
      </c>
      <c r="G236">
        <v>185</v>
      </c>
      <c r="H236" s="11" t="str">
        <f t="shared" si="31"/>
        <v>count</v>
      </c>
      <c r="I236" s="197" t="s">
        <v>835</v>
      </c>
      <c r="J236" s="197" t="s">
        <v>836</v>
      </c>
      <c r="K236" s="197" t="s">
        <v>146</v>
      </c>
      <c r="L236" s="197">
        <f t="shared" si="37"/>
        <v>191769.29</v>
      </c>
      <c r="M236" s="197">
        <f t="shared" si="37"/>
        <v>97849.35</v>
      </c>
      <c r="N236" s="197">
        <f t="shared" si="37"/>
        <v>12107.83</v>
      </c>
      <c r="O236" s="197">
        <f t="shared" si="37"/>
        <v>0</v>
      </c>
      <c r="P236" s="197">
        <f t="shared" si="37"/>
        <v>62403.77</v>
      </c>
      <c r="Q236" s="197">
        <f t="shared" si="37"/>
        <v>0</v>
      </c>
      <c r="R236" s="197">
        <f t="shared" si="37"/>
        <v>0</v>
      </c>
      <c r="S236" s="197">
        <f t="shared" si="37"/>
        <v>0</v>
      </c>
      <c r="T236" s="197">
        <f t="shared" si="37"/>
        <v>0</v>
      </c>
      <c r="U236" s="197">
        <f t="shared" si="37"/>
        <v>322785.57</v>
      </c>
      <c r="V236" s="197">
        <f t="shared" si="36"/>
        <v>154925.31</v>
      </c>
      <c r="W236" s="197">
        <f t="shared" si="36"/>
        <v>17288.509999999998</v>
      </c>
      <c r="X236" s="197">
        <f t="shared" si="36"/>
        <v>1001.93</v>
      </c>
      <c r="Y236" s="197">
        <f t="shared" si="36"/>
        <v>120353.65</v>
      </c>
      <c r="Z236" s="197">
        <f t="shared" si="36"/>
        <v>0</v>
      </c>
      <c r="AA236" s="197">
        <f t="shared" si="36"/>
        <v>47824.89</v>
      </c>
      <c r="AB236" s="197">
        <f t="shared" si="36"/>
        <v>0</v>
      </c>
      <c r="AC236" s="197">
        <f t="shared" si="36"/>
        <v>0</v>
      </c>
      <c r="AD236" s="197">
        <f t="shared" si="36"/>
        <v>404166.15</v>
      </c>
      <c r="AE236" s="197">
        <f t="shared" si="36"/>
        <v>254872.06</v>
      </c>
      <c r="AF236" s="197">
        <f t="shared" si="35"/>
        <v>19671.22</v>
      </c>
      <c r="AG236" s="197">
        <f t="shared" si="35"/>
        <v>0</v>
      </c>
      <c r="AH236" s="197">
        <f t="shared" si="35"/>
        <v>181627.84</v>
      </c>
      <c r="AI236" s="197">
        <f t="shared" si="35"/>
        <v>0</v>
      </c>
      <c r="AJ236" s="197">
        <f t="shared" si="35"/>
        <v>93651.76</v>
      </c>
      <c r="AK236" s="197">
        <f t="shared" si="35"/>
        <v>0</v>
      </c>
      <c r="AL236" s="197">
        <f t="shared" si="35"/>
        <v>0</v>
      </c>
    </row>
    <row r="237" spans="1:38">
      <c r="A237" s="11" t="str">
        <f t="shared" si="32"/>
        <v>05-430365582011</v>
      </c>
      <c r="B237" t="s">
        <v>213</v>
      </c>
      <c r="C237" t="s">
        <v>214</v>
      </c>
      <c r="D237">
        <v>2011</v>
      </c>
      <c r="E237" t="s">
        <v>1074</v>
      </c>
      <c r="F237">
        <v>9989.9699999999993</v>
      </c>
      <c r="G237">
        <v>25</v>
      </c>
      <c r="H237" s="11" t="str">
        <f t="shared" si="31"/>
        <v>count</v>
      </c>
      <c r="I237" s="197" t="s">
        <v>835</v>
      </c>
      <c r="J237" s="197" t="s">
        <v>836</v>
      </c>
      <c r="K237" s="197" t="s">
        <v>145</v>
      </c>
      <c r="L237" s="197">
        <f t="shared" si="37"/>
        <v>328</v>
      </c>
      <c r="M237" s="197">
        <f t="shared" si="37"/>
        <v>145</v>
      </c>
      <c r="N237" s="197">
        <f t="shared" si="37"/>
        <v>19</v>
      </c>
      <c r="O237" s="197">
        <f t="shared" si="37"/>
        <v>0</v>
      </c>
      <c r="P237" s="197">
        <f t="shared" si="37"/>
        <v>102</v>
      </c>
      <c r="Q237" s="197">
        <f t="shared" si="37"/>
        <v>0</v>
      </c>
      <c r="R237" s="197">
        <f t="shared" si="37"/>
        <v>0</v>
      </c>
      <c r="S237" s="197">
        <f t="shared" si="37"/>
        <v>0</v>
      </c>
      <c r="T237" s="197">
        <f t="shared" si="37"/>
        <v>0</v>
      </c>
      <c r="U237" s="197">
        <f t="shared" si="37"/>
        <v>637</v>
      </c>
      <c r="V237" s="197">
        <f t="shared" si="36"/>
        <v>294</v>
      </c>
      <c r="W237" s="197">
        <f t="shared" si="36"/>
        <v>39</v>
      </c>
      <c r="X237" s="197">
        <f t="shared" si="36"/>
        <v>1</v>
      </c>
      <c r="Y237" s="197">
        <f t="shared" si="36"/>
        <v>223</v>
      </c>
      <c r="Z237" s="197">
        <f t="shared" si="36"/>
        <v>0</v>
      </c>
      <c r="AA237" s="197">
        <f t="shared" si="36"/>
        <v>90</v>
      </c>
      <c r="AB237" s="197">
        <f t="shared" si="36"/>
        <v>0</v>
      </c>
      <c r="AC237" s="197">
        <f t="shared" si="36"/>
        <v>0</v>
      </c>
      <c r="AD237" s="197">
        <f t="shared" si="36"/>
        <v>792</v>
      </c>
      <c r="AE237" s="197">
        <f t="shared" si="36"/>
        <v>398</v>
      </c>
      <c r="AF237" s="197">
        <f t="shared" si="35"/>
        <v>39</v>
      </c>
      <c r="AG237" s="197">
        <f t="shared" si="35"/>
        <v>0</v>
      </c>
      <c r="AH237" s="197">
        <f t="shared" si="35"/>
        <v>270</v>
      </c>
      <c r="AI237" s="197">
        <f t="shared" si="35"/>
        <v>0</v>
      </c>
      <c r="AJ237" s="197">
        <f t="shared" si="35"/>
        <v>187</v>
      </c>
      <c r="AK237" s="197">
        <f t="shared" si="35"/>
        <v>0</v>
      </c>
      <c r="AL237" s="197">
        <f t="shared" si="35"/>
        <v>0</v>
      </c>
    </row>
    <row r="238" spans="1:38">
      <c r="A238" s="11" t="str">
        <f t="shared" si="32"/>
        <v>05-430365582012</v>
      </c>
      <c r="B238" t="s">
        <v>213</v>
      </c>
      <c r="C238" t="s">
        <v>214</v>
      </c>
      <c r="D238">
        <v>2012</v>
      </c>
      <c r="E238" t="s">
        <v>104</v>
      </c>
      <c r="F238">
        <v>212104.25</v>
      </c>
      <c r="G238">
        <v>355</v>
      </c>
      <c r="H238" s="11" t="str">
        <f t="shared" si="31"/>
        <v>count</v>
      </c>
      <c r="I238" s="197" t="s">
        <v>841</v>
      </c>
      <c r="J238" s="197" t="s">
        <v>842</v>
      </c>
      <c r="K238" s="197" t="s">
        <v>146</v>
      </c>
      <c r="L238" s="197">
        <f t="shared" si="37"/>
        <v>155801.82</v>
      </c>
      <c r="M238" s="197">
        <f t="shared" si="37"/>
        <v>80542.789999999994</v>
      </c>
      <c r="N238" s="197">
        <f t="shared" si="37"/>
        <v>11422.91</v>
      </c>
      <c r="O238" s="197">
        <f t="shared" si="37"/>
        <v>4339928.05</v>
      </c>
      <c r="P238" s="197">
        <f t="shared" si="37"/>
        <v>0</v>
      </c>
      <c r="Q238" s="197">
        <f t="shared" si="37"/>
        <v>4353938.8499999996</v>
      </c>
      <c r="R238" s="197">
        <f t="shared" si="37"/>
        <v>0</v>
      </c>
      <c r="S238" s="197">
        <f t="shared" si="37"/>
        <v>0</v>
      </c>
      <c r="T238" s="197">
        <f t="shared" si="37"/>
        <v>0</v>
      </c>
      <c r="U238" s="197">
        <f t="shared" si="37"/>
        <v>957518.51</v>
      </c>
      <c r="V238" s="197">
        <f t="shared" si="36"/>
        <v>546989.44999999995</v>
      </c>
      <c r="W238" s="197">
        <f t="shared" si="36"/>
        <v>75412.31</v>
      </c>
      <c r="X238" s="197">
        <f t="shared" si="36"/>
        <v>25051128.07</v>
      </c>
      <c r="Y238" s="197">
        <f t="shared" si="36"/>
        <v>0</v>
      </c>
      <c r="Z238" s="197">
        <f t="shared" si="36"/>
        <v>19510875.48</v>
      </c>
      <c r="AA238" s="197">
        <f t="shared" si="36"/>
        <v>688906.09</v>
      </c>
      <c r="AB238" s="197">
        <f t="shared" si="36"/>
        <v>0</v>
      </c>
      <c r="AC238" s="197">
        <f t="shared" si="36"/>
        <v>0</v>
      </c>
      <c r="AD238" s="197">
        <f t="shared" si="36"/>
        <v>762096.59</v>
      </c>
      <c r="AE238" s="197">
        <f t="shared" si="36"/>
        <v>631253.69999999995</v>
      </c>
      <c r="AF238" s="197">
        <f t="shared" si="35"/>
        <v>64694.25</v>
      </c>
      <c r="AG238" s="197">
        <f t="shared" si="35"/>
        <v>24487535.34</v>
      </c>
      <c r="AH238" s="197">
        <f t="shared" si="35"/>
        <v>0</v>
      </c>
      <c r="AI238" s="197">
        <f t="shared" si="35"/>
        <v>12011301.84</v>
      </c>
      <c r="AJ238" s="197">
        <f t="shared" si="35"/>
        <v>1287810.53</v>
      </c>
      <c r="AK238" s="197">
        <f t="shared" si="35"/>
        <v>0</v>
      </c>
      <c r="AL238" s="197">
        <f t="shared" si="35"/>
        <v>0</v>
      </c>
    </row>
    <row r="239" spans="1:38">
      <c r="A239" s="11" t="str">
        <f t="shared" si="32"/>
        <v>05-430365582012</v>
      </c>
      <c r="B239" t="s">
        <v>213</v>
      </c>
      <c r="C239" t="s">
        <v>214</v>
      </c>
      <c r="D239">
        <v>2012</v>
      </c>
      <c r="E239" t="s">
        <v>63</v>
      </c>
      <c r="F239">
        <v>449501.43</v>
      </c>
      <c r="G239">
        <v>698</v>
      </c>
      <c r="H239" s="11" t="str">
        <f t="shared" si="31"/>
        <v>count</v>
      </c>
      <c r="I239" s="197" t="s">
        <v>841</v>
      </c>
      <c r="J239" s="197" t="s">
        <v>842</v>
      </c>
      <c r="K239" s="197" t="s">
        <v>145</v>
      </c>
      <c r="L239" s="197">
        <f t="shared" si="37"/>
        <v>121</v>
      </c>
      <c r="M239" s="197">
        <f t="shared" si="37"/>
        <v>56</v>
      </c>
      <c r="N239" s="197">
        <f t="shared" si="37"/>
        <v>7</v>
      </c>
      <c r="O239" s="197">
        <f t="shared" si="37"/>
        <v>3191</v>
      </c>
      <c r="P239" s="197">
        <f t="shared" si="37"/>
        <v>0</v>
      </c>
      <c r="Q239" s="197">
        <f t="shared" si="37"/>
        <v>3939</v>
      </c>
      <c r="R239" s="197">
        <f t="shared" si="37"/>
        <v>0</v>
      </c>
      <c r="S239" s="197">
        <f t="shared" si="37"/>
        <v>0</v>
      </c>
      <c r="T239" s="197">
        <f t="shared" si="37"/>
        <v>0</v>
      </c>
      <c r="U239" s="197">
        <f t="shared" si="37"/>
        <v>662</v>
      </c>
      <c r="V239" s="197">
        <f t="shared" si="36"/>
        <v>423</v>
      </c>
      <c r="W239" s="197">
        <f t="shared" si="36"/>
        <v>56</v>
      </c>
      <c r="X239" s="197">
        <f t="shared" si="36"/>
        <v>20088</v>
      </c>
      <c r="Y239" s="197">
        <f t="shared" si="36"/>
        <v>0</v>
      </c>
      <c r="Z239" s="197">
        <f t="shared" si="36"/>
        <v>18794</v>
      </c>
      <c r="AA239" s="197">
        <f t="shared" si="36"/>
        <v>581</v>
      </c>
      <c r="AB239" s="197">
        <f t="shared" si="36"/>
        <v>0</v>
      </c>
      <c r="AC239" s="197">
        <f t="shared" si="36"/>
        <v>0</v>
      </c>
      <c r="AD239" s="197">
        <f t="shared" si="36"/>
        <v>630</v>
      </c>
      <c r="AE239" s="197">
        <f t="shared" si="36"/>
        <v>502</v>
      </c>
      <c r="AF239" s="197">
        <f t="shared" si="35"/>
        <v>51</v>
      </c>
      <c r="AG239" s="197">
        <f t="shared" si="35"/>
        <v>19927</v>
      </c>
      <c r="AH239" s="197">
        <f t="shared" si="35"/>
        <v>0</v>
      </c>
      <c r="AI239" s="197">
        <f t="shared" si="35"/>
        <v>12256</v>
      </c>
      <c r="AJ239" s="197">
        <f t="shared" si="35"/>
        <v>1226</v>
      </c>
      <c r="AK239" s="197">
        <f t="shared" si="35"/>
        <v>0</v>
      </c>
      <c r="AL239" s="197">
        <f t="shared" si="35"/>
        <v>0</v>
      </c>
    </row>
    <row r="240" spans="1:38">
      <c r="A240" s="11" t="str">
        <f t="shared" si="32"/>
        <v>05-430365582013</v>
      </c>
      <c r="B240" t="s">
        <v>213</v>
      </c>
      <c r="C240" t="s">
        <v>214</v>
      </c>
      <c r="D240">
        <v>2013</v>
      </c>
      <c r="E240" t="s">
        <v>105</v>
      </c>
      <c r="F240">
        <v>33691.300000000003</v>
      </c>
      <c r="G240">
        <v>62</v>
      </c>
      <c r="H240" s="11" t="str">
        <f t="shared" si="31"/>
        <v>count</v>
      </c>
      <c r="I240" s="197" t="s">
        <v>844</v>
      </c>
      <c r="J240" s="197" t="s">
        <v>845</v>
      </c>
      <c r="K240" s="197" t="s">
        <v>146</v>
      </c>
      <c r="L240" s="197">
        <f t="shared" si="37"/>
        <v>349258.74</v>
      </c>
      <c r="M240" s="197">
        <f t="shared" si="37"/>
        <v>172584.19</v>
      </c>
      <c r="N240" s="197">
        <f t="shared" si="37"/>
        <v>30492.85</v>
      </c>
      <c r="O240" s="197">
        <f t="shared" si="37"/>
        <v>2112.62</v>
      </c>
      <c r="P240" s="197">
        <f t="shared" si="37"/>
        <v>0</v>
      </c>
      <c r="Q240" s="197">
        <f t="shared" si="37"/>
        <v>0</v>
      </c>
      <c r="R240" s="197">
        <f t="shared" si="37"/>
        <v>596.25</v>
      </c>
      <c r="S240" s="197">
        <f t="shared" si="37"/>
        <v>0</v>
      </c>
      <c r="T240" s="197">
        <f t="shared" si="37"/>
        <v>0</v>
      </c>
      <c r="U240" s="197">
        <f t="shared" si="37"/>
        <v>364011.41</v>
      </c>
      <c r="V240" s="197">
        <f t="shared" si="36"/>
        <v>225932.25</v>
      </c>
      <c r="W240" s="197">
        <f t="shared" si="36"/>
        <v>66142.91</v>
      </c>
      <c r="X240" s="197">
        <f t="shared" si="36"/>
        <v>5900.33</v>
      </c>
      <c r="Y240" s="197">
        <f t="shared" si="36"/>
        <v>0</v>
      </c>
      <c r="Z240" s="197">
        <f t="shared" si="36"/>
        <v>0</v>
      </c>
      <c r="AA240" s="197">
        <f t="shared" si="36"/>
        <v>217120.23</v>
      </c>
      <c r="AB240" s="197">
        <f t="shared" si="36"/>
        <v>0</v>
      </c>
      <c r="AC240" s="197">
        <f t="shared" si="36"/>
        <v>0</v>
      </c>
      <c r="AD240" s="197">
        <f t="shared" si="36"/>
        <v>357265.97</v>
      </c>
      <c r="AE240" s="197">
        <f t="shared" si="36"/>
        <v>192023.95</v>
      </c>
      <c r="AF240" s="197">
        <f t="shared" si="35"/>
        <v>51605.09</v>
      </c>
      <c r="AG240" s="197">
        <f t="shared" si="35"/>
        <v>6786.82</v>
      </c>
      <c r="AH240" s="197">
        <f t="shared" si="35"/>
        <v>0</v>
      </c>
      <c r="AI240" s="197">
        <f t="shared" si="35"/>
        <v>0</v>
      </c>
      <c r="AJ240" s="197">
        <f t="shared" si="35"/>
        <v>300009.51</v>
      </c>
      <c r="AK240" s="197">
        <f t="shared" si="35"/>
        <v>0</v>
      </c>
      <c r="AL240" s="197">
        <f t="shared" si="35"/>
        <v>0</v>
      </c>
    </row>
    <row r="241" spans="1:38">
      <c r="A241" s="11" t="str">
        <f t="shared" si="32"/>
        <v>05-430365582012</v>
      </c>
      <c r="B241" t="s">
        <v>213</v>
      </c>
      <c r="C241" t="s">
        <v>214</v>
      </c>
      <c r="D241">
        <v>2012</v>
      </c>
      <c r="E241" t="s">
        <v>1074</v>
      </c>
      <c r="F241">
        <v>4693.05</v>
      </c>
      <c r="G241">
        <v>11</v>
      </c>
      <c r="H241" s="11" t="str">
        <f t="shared" si="31"/>
        <v>count</v>
      </c>
      <c r="I241" s="197" t="s">
        <v>844</v>
      </c>
      <c r="J241" s="197" t="s">
        <v>845</v>
      </c>
      <c r="K241" s="197" t="s">
        <v>145</v>
      </c>
      <c r="L241" s="197">
        <f t="shared" si="37"/>
        <v>741</v>
      </c>
      <c r="M241" s="197">
        <f t="shared" si="37"/>
        <v>366</v>
      </c>
      <c r="N241" s="197">
        <f t="shared" si="37"/>
        <v>66</v>
      </c>
      <c r="O241" s="197">
        <f t="shared" si="37"/>
        <v>4</v>
      </c>
      <c r="P241" s="197">
        <f t="shared" si="37"/>
        <v>0</v>
      </c>
      <c r="Q241" s="197">
        <f t="shared" si="37"/>
        <v>0</v>
      </c>
      <c r="R241" s="197">
        <f t="shared" si="37"/>
        <v>1</v>
      </c>
      <c r="S241" s="197">
        <f t="shared" si="37"/>
        <v>0</v>
      </c>
      <c r="T241" s="197">
        <f t="shared" si="37"/>
        <v>0</v>
      </c>
      <c r="U241" s="197">
        <f t="shared" si="37"/>
        <v>797</v>
      </c>
      <c r="V241" s="197">
        <f t="shared" si="36"/>
        <v>501</v>
      </c>
      <c r="W241" s="197">
        <f t="shared" si="36"/>
        <v>148</v>
      </c>
      <c r="X241" s="197">
        <f t="shared" si="36"/>
        <v>15</v>
      </c>
      <c r="Y241" s="197">
        <f t="shared" si="36"/>
        <v>0</v>
      </c>
      <c r="Z241" s="197">
        <f t="shared" si="36"/>
        <v>0</v>
      </c>
      <c r="AA241" s="197">
        <f t="shared" si="36"/>
        <v>515</v>
      </c>
      <c r="AB241" s="197">
        <f t="shared" si="36"/>
        <v>0</v>
      </c>
      <c r="AC241" s="197">
        <f t="shared" si="36"/>
        <v>0</v>
      </c>
      <c r="AD241" s="197">
        <f t="shared" si="36"/>
        <v>804</v>
      </c>
      <c r="AE241" s="197">
        <f t="shared" si="36"/>
        <v>445</v>
      </c>
      <c r="AF241" s="197">
        <f t="shared" si="35"/>
        <v>117</v>
      </c>
      <c r="AG241" s="197">
        <f t="shared" si="35"/>
        <v>16</v>
      </c>
      <c r="AH241" s="197">
        <f t="shared" si="35"/>
        <v>0</v>
      </c>
      <c r="AI241" s="197">
        <f t="shared" si="35"/>
        <v>0</v>
      </c>
      <c r="AJ241" s="197">
        <f t="shared" si="35"/>
        <v>711</v>
      </c>
      <c r="AK241" s="197">
        <f t="shared" si="35"/>
        <v>0</v>
      </c>
      <c r="AL241" s="197">
        <f t="shared" si="35"/>
        <v>0</v>
      </c>
    </row>
    <row r="242" spans="1:38">
      <c r="A242" s="11" t="str">
        <f t="shared" si="32"/>
        <v>05-430365582012</v>
      </c>
      <c r="B242" t="s">
        <v>213</v>
      </c>
      <c r="C242" t="s">
        <v>214</v>
      </c>
      <c r="D242">
        <v>2012</v>
      </c>
      <c r="E242" t="s">
        <v>69</v>
      </c>
      <c r="F242">
        <v>65854.17</v>
      </c>
      <c r="G242">
        <v>122</v>
      </c>
      <c r="H242" s="11" t="str">
        <f t="shared" si="31"/>
        <v>count</v>
      </c>
      <c r="I242" s="197" t="s">
        <v>850</v>
      </c>
      <c r="J242" s="197" t="s">
        <v>851</v>
      </c>
      <c r="K242" s="197" t="s">
        <v>146</v>
      </c>
      <c r="L242" s="197">
        <f t="shared" si="37"/>
        <v>35441.879999999997</v>
      </c>
      <c r="M242" s="197">
        <f t="shared" si="37"/>
        <v>13113.45</v>
      </c>
      <c r="N242" s="197">
        <f t="shared" si="37"/>
        <v>0</v>
      </c>
      <c r="O242" s="197">
        <f t="shared" si="37"/>
        <v>0</v>
      </c>
      <c r="P242" s="197">
        <f t="shared" si="37"/>
        <v>0</v>
      </c>
      <c r="Q242" s="197">
        <f t="shared" si="37"/>
        <v>0</v>
      </c>
      <c r="R242" s="197">
        <f t="shared" si="37"/>
        <v>190.75</v>
      </c>
      <c r="S242" s="197">
        <f t="shared" si="37"/>
        <v>0</v>
      </c>
      <c r="T242" s="197">
        <f t="shared" si="37"/>
        <v>0</v>
      </c>
      <c r="U242" s="197">
        <f t="shared" si="37"/>
        <v>66155.94</v>
      </c>
      <c r="V242" s="197">
        <f t="shared" si="36"/>
        <v>48318.37</v>
      </c>
      <c r="W242" s="197">
        <f t="shared" si="36"/>
        <v>0</v>
      </c>
      <c r="X242" s="197">
        <f t="shared" si="36"/>
        <v>0</v>
      </c>
      <c r="Y242" s="197">
        <f t="shared" si="36"/>
        <v>0</v>
      </c>
      <c r="Z242" s="197">
        <f t="shared" si="36"/>
        <v>0</v>
      </c>
      <c r="AA242" s="197">
        <f t="shared" si="36"/>
        <v>84910.23</v>
      </c>
      <c r="AB242" s="197">
        <f t="shared" si="36"/>
        <v>0</v>
      </c>
      <c r="AC242" s="197">
        <f t="shared" si="36"/>
        <v>0</v>
      </c>
      <c r="AD242" s="197">
        <f t="shared" si="36"/>
        <v>51352.51</v>
      </c>
      <c r="AE242" s="197">
        <f t="shared" si="36"/>
        <v>50868.51</v>
      </c>
      <c r="AF242" s="197">
        <f t="shared" si="35"/>
        <v>0</v>
      </c>
      <c r="AG242" s="197">
        <f t="shared" si="35"/>
        <v>0</v>
      </c>
      <c r="AH242" s="197">
        <f t="shared" si="35"/>
        <v>0</v>
      </c>
      <c r="AI242" s="197">
        <f t="shared" si="35"/>
        <v>0</v>
      </c>
      <c r="AJ242" s="197">
        <f t="shared" si="35"/>
        <v>170276.8</v>
      </c>
      <c r="AK242" s="197">
        <f t="shared" si="35"/>
        <v>0</v>
      </c>
      <c r="AL242" s="197">
        <f t="shared" si="35"/>
        <v>0</v>
      </c>
    </row>
    <row r="243" spans="1:38">
      <c r="A243" s="11" t="str">
        <f t="shared" si="32"/>
        <v>05-430365582013</v>
      </c>
      <c r="B243" t="s">
        <v>213</v>
      </c>
      <c r="C243" t="s">
        <v>214</v>
      </c>
      <c r="D243">
        <v>2013</v>
      </c>
      <c r="E243" t="s">
        <v>104</v>
      </c>
      <c r="F243">
        <v>173523.09</v>
      </c>
      <c r="G243">
        <v>274</v>
      </c>
      <c r="H243" s="11" t="str">
        <f t="shared" si="31"/>
        <v>count</v>
      </c>
      <c r="I243" s="197" t="s">
        <v>850</v>
      </c>
      <c r="J243" s="197" t="s">
        <v>851</v>
      </c>
      <c r="K243" s="197" t="s">
        <v>145</v>
      </c>
      <c r="L243" s="197">
        <f t="shared" si="37"/>
        <v>165</v>
      </c>
      <c r="M243" s="197">
        <f t="shared" si="37"/>
        <v>47</v>
      </c>
      <c r="N243" s="197">
        <f t="shared" si="37"/>
        <v>0</v>
      </c>
      <c r="O243" s="197">
        <f t="shared" si="37"/>
        <v>0</v>
      </c>
      <c r="P243" s="197">
        <f t="shared" si="37"/>
        <v>0</v>
      </c>
      <c r="Q243" s="197">
        <f t="shared" si="37"/>
        <v>0</v>
      </c>
      <c r="R243" s="197">
        <f t="shared" si="37"/>
        <v>1</v>
      </c>
      <c r="S243" s="197">
        <f t="shared" si="37"/>
        <v>0</v>
      </c>
      <c r="T243" s="197">
        <f t="shared" si="37"/>
        <v>0</v>
      </c>
      <c r="U243" s="197">
        <f t="shared" si="37"/>
        <v>254</v>
      </c>
      <c r="V243" s="197">
        <f t="shared" si="36"/>
        <v>160</v>
      </c>
      <c r="W243" s="197">
        <f t="shared" si="36"/>
        <v>0</v>
      </c>
      <c r="X243" s="197">
        <f t="shared" si="36"/>
        <v>0</v>
      </c>
      <c r="Y243" s="197">
        <f t="shared" si="36"/>
        <v>0</v>
      </c>
      <c r="Z243" s="197">
        <f t="shared" si="36"/>
        <v>0</v>
      </c>
      <c r="AA243" s="197">
        <f t="shared" si="36"/>
        <v>380</v>
      </c>
      <c r="AB243" s="197">
        <f t="shared" si="36"/>
        <v>0</v>
      </c>
      <c r="AC243" s="197">
        <f t="shared" si="36"/>
        <v>0</v>
      </c>
      <c r="AD243" s="197">
        <f t="shared" si="36"/>
        <v>260</v>
      </c>
      <c r="AE243" s="197">
        <f t="shared" si="36"/>
        <v>220</v>
      </c>
      <c r="AF243" s="197">
        <f t="shared" si="35"/>
        <v>0</v>
      </c>
      <c r="AG243" s="197">
        <f t="shared" si="35"/>
        <v>0</v>
      </c>
      <c r="AH243" s="197">
        <f t="shared" si="35"/>
        <v>0</v>
      </c>
      <c r="AI243" s="197">
        <f t="shared" si="35"/>
        <v>0</v>
      </c>
      <c r="AJ243" s="197">
        <f t="shared" si="35"/>
        <v>709</v>
      </c>
      <c r="AK243" s="197">
        <f t="shared" si="35"/>
        <v>0</v>
      </c>
      <c r="AL243" s="197">
        <f t="shared" si="35"/>
        <v>0</v>
      </c>
    </row>
    <row r="244" spans="1:38">
      <c r="A244" s="11" t="str">
        <f t="shared" si="32"/>
        <v>05-430365582012</v>
      </c>
      <c r="B244" t="s">
        <v>213</v>
      </c>
      <c r="C244" t="s">
        <v>214</v>
      </c>
      <c r="D244">
        <v>2012</v>
      </c>
      <c r="E244" t="s">
        <v>133</v>
      </c>
      <c r="F244">
        <v>130022.12</v>
      </c>
      <c r="G244">
        <v>207</v>
      </c>
      <c r="H244" s="11" t="str">
        <f t="shared" si="31"/>
        <v>count</v>
      </c>
      <c r="I244" s="197" t="s">
        <v>854</v>
      </c>
      <c r="J244" s="197" t="s">
        <v>855</v>
      </c>
      <c r="K244" s="197" t="s">
        <v>146</v>
      </c>
      <c r="L244" s="197">
        <f t="shared" si="37"/>
        <v>0</v>
      </c>
      <c r="M244" s="197">
        <f t="shared" si="37"/>
        <v>0</v>
      </c>
      <c r="N244" s="197">
        <f t="shared" si="37"/>
        <v>0</v>
      </c>
      <c r="O244" s="197">
        <f t="shared" si="37"/>
        <v>1908575.9</v>
      </c>
      <c r="P244" s="197">
        <f t="shared" si="37"/>
        <v>0</v>
      </c>
      <c r="Q244" s="197">
        <f t="shared" si="37"/>
        <v>0</v>
      </c>
      <c r="R244" s="197">
        <f t="shared" si="37"/>
        <v>0</v>
      </c>
      <c r="S244" s="197">
        <f t="shared" si="37"/>
        <v>0</v>
      </c>
      <c r="T244" s="197">
        <f t="shared" si="37"/>
        <v>0</v>
      </c>
      <c r="U244" s="197">
        <f t="shared" si="37"/>
        <v>0</v>
      </c>
      <c r="V244" s="197">
        <f t="shared" si="36"/>
        <v>0</v>
      </c>
      <c r="W244" s="197">
        <f t="shared" si="36"/>
        <v>0</v>
      </c>
      <c r="X244" s="197">
        <f t="shared" si="36"/>
        <v>1907889.75</v>
      </c>
      <c r="Y244" s="197">
        <f t="shared" si="36"/>
        <v>0</v>
      </c>
      <c r="Z244" s="197">
        <f t="shared" si="36"/>
        <v>0</v>
      </c>
      <c r="AA244" s="197">
        <f t="shared" si="36"/>
        <v>0</v>
      </c>
      <c r="AB244" s="197">
        <f t="shared" si="36"/>
        <v>0</v>
      </c>
      <c r="AC244" s="197">
        <f t="shared" si="36"/>
        <v>0</v>
      </c>
      <c r="AD244" s="197">
        <f t="shared" si="36"/>
        <v>0</v>
      </c>
      <c r="AE244" s="197">
        <f t="shared" si="36"/>
        <v>0</v>
      </c>
      <c r="AF244" s="197">
        <f t="shared" si="35"/>
        <v>0</v>
      </c>
      <c r="AG244" s="197">
        <f t="shared" si="35"/>
        <v>1766715.09</v>
      </c>
      <c r="AH244" s="197">
        <f t="shared" si="35"/>
        <v>0</v>
      </c>
      <c r="AI244" s="197">
        <f t="shared" si="35"/>
        <v>0</v>
      </c>
      <c r="AJ244" s="197">
        <f t="shared" si="35"/>
        <v>0</v>
      </c>
      <c r="AK244" s="197">
        <f t="shared" si="35"/>
        <v>0</v>
      </c>
      <c r="AL244" s="197">
        <f t="shared" si="35"/>
        <v>0</v>
      </c>
    </row>
    <row r="245" spans="1:38">
      <c r="A245" s="11" t="str">
        <f t="shared" si="32"/>
        <v>05-430365582013</v>
      </c>
      <c r="B245" t="s">
        <v>213</v>
      </c>
      <c r="C245" t="s">
        <v>214</v>
      </c>
      <c r="D245">
        <v>2013</v>
      </c>
      <c r="E245" t="s">
        <v>63</v>
      </c>
      <c r="F245">
        <v>407937.29</v>
      </c>
      <c r="G245">
        <v>630</v>
      </c>
      <c r="H245" s="11" t="str">
        <f t="shared" si="31"/>
        <v>count</v>
      </c>
      <c r="I245" s="197" t="s">
        <v>854</v>
      </c>
      <c r="J245" s="197" t="s">
        <v>855</v>
      </c>
      <c r="K245" s="197" t="s">
        <v>145</v>
      </c>
      <c r="L245" s="197">
        <f t="shared" si="37"/>
        <v>0</v>
      </c>
      <c r="M245" s="197">
        <f t="shared" si="37"/>
        <v>0</v>
      </c>
      <c r="N245" s="197">
        <f t="shared" si="37"/>
        <v>0</v>
      </c>
      <c r="O245" s="197">
        <f t="shared" si="37"/>
        <v>4662</v>
      </c>
      <c r="P245" s="197">
        <f t="shared" si="37"/>
        <v>0</v>
      </c>
      <c r="Q245" s="197">
        <f t="shared" si="37"/>
        <v>0</v>
      </c>
      <c r="R245" s="197">
        <f t="shared" si="37"/>
        <v>0</v>
      </c>
      <c r="S245" s="197">
        <f t="shared" si="37"/>
        <v>0</v>
      </c>
      <c r="T245" s="197">
        <f t="shared" si="37"/>
        <v>0</v>
      </c>
      <c r="U245" s="197">
        <f t="shared" si="37"/>
        <v>0</v>
      </c>
      <c r="V245" s="197">
        <f t="shared" si="36"/>
        <v>0</v>
      </c>
      <c r="W245" s="197">
        <f t="shared" si="36"/>
        <v>0</v>
      </c>
      <c r="X245" s="197">
        <f t="shared" si="36"/>
        <v>4595</v>
      </c>
      <c r="Y245" s="197">
        <f t="shared" si="36"/>
        <v>0</v>
      </c>
      <c r="Z245" s="197">
        <f t="shared" si="36"/>
        <v>0</v>
      </c>
      <c r="AA245" s="197">
        <f t="shared" si="36"/>
        <v>0</v>
      </c>
      <c r="AB245" s="197">
        <f t="shared" si="36"/>
        <v>0</v>
      </c>
      <c r="AC245" s="197">
        <f t="shared" si="36"/>
        <v>0</v>
      </c>
      <c r="AD245" s="197">
        <f t="shared" si="36"/>
        <v>0</v>
      </c>
      <c r="AE245" s="197">
        <f t="shared" si="36"/>
        <v>0</v>
      </c>
      <c r="AF245" s="197">
        <f t="shared" si="35"/>
        <v>0</v>
      </c>
      <c r="AG245" s="197">
        <f t="shared" si="35"/>
        <v>4202</v>
      </c>
      <c r="AH245" s="197">
        <f t="shared" si="35"/>
        <v>0</v>
      </c>
      <c r="AI245" s="197">
        <f t="shared" si="35"/>
        <v>0</v>
      </c>
      <c r="AJ245" s="197">
        <f t="shared" si="35"/>
        <v>0</v>
      </c>
      <c r="AK245" s="197">
        <f t="shared" si="35"/>
        <v>0</v>
      </c>
      <c r="AL245" s="197">
        <f t="shared" si="35"/>
        <v>0</v>
      </c>
    </row>
    <row r="246" spans="1:38">
      <c r="A246" s="11" t="str">
        <f t="shared" si="32"/>
        <v>05-447975732013</v>
      </c>
      <c r="B246" t="s">
        <v>220</v>
      </c>
      <c r="C246" t="s">
        <v>221</v>
      </c>
      <c r="D246">
        <v>2013</v>
      </c>
      <c r="E246" t="s">
        <v>68</v>
      </c>
      <c r="F246">
        <v>12622607.6</v>
      </c>
      <c r="G246">
        <v>11894</v>
      </c>
      <c r="H246" s="11" t="str">
        <f t="shared" si="31"/>
        <v>volume</v>
      </c>
      <c r="I246" s="197" t="s">
        <v>860</v>
      </c>
      <c r="J246" s="197" t="s">
        <v>861</v>
      </c>
      <c r="K246" s="197" t="s">
        <v>146</v>
      </c>
      <c r="L246" s="197">
        <f t="shared" si="37"/>
        <v>39749.480000000003</v>
      </c>
      <c r="M246" s="197">
        <f t="shared" si="37"/>
        <v>21075.32</v>
      </c>
      <c r="N246" s="197">
        <f t="shared" si="37"/>
        <v>970.76</v>
      </c>
      <c r="O246" s="197">
        <f t="shared" si="37"/>
        <v>241745.63</v>
      </c>
      <c r="P246" s="197">
        <f t="shared" si="37"/>
        <v>0</v>
      </c>
      <c r="Q246" s="197">
        <f t="shared" si="37"/>
        <v>0</v>
      </c>
      <c r="R246" s="197">
        <f t="shared" si="37"/>
        <v>975</v>
      </c>
      <c r="S246" s="197">
        <f t="shared" si="37"/>
        <v>0</v>
      </c>
      <c r="T246" s="197">
        <f t="shared" si="37"/>
        <v>0</v>
      </c>
      <c r="U246" s="197">
        <f t="shared" si="37"/>
        <v>90113.62</v>
      </c>
      <c r="V246" s="197">
        <f t="shared" si="36"/>
        <v>49053.59</v>
      </c>
      <c r="W246" s="197">
        <f t="shared" si="36"/>
        <v>2360.0300000000002</v>
      </c>
      <c r="X246" s="197">
        <f t="shared" si="36"/>
        <v>1650925.31</v>
      </c>
      <c r="Y246" s="197">
        <f t="shared" si="36"/>
        <v>0</v>
      </c>
      <c r="Z246" s="197">
        <f t="shared" si="36"/>
        <v>0</v>
      </c>
      <c r="AA246" s="197">
        <f t="shared" si="36"/>
        <v>83877.710000000006</v>
      </c>
      <c r="AB246" s="197">
        <f t="shared" si="36"/>
        <v>0</v>
      </c>
      <c r="AC246" s="197">
        <f t="shared" si="36"/>
        <v>0</v>
      </c>
      <c r="AD246" s="197">
        <f t="shared" si="36"/>
        <v>175232.26</v>
      </c>
      <c r="AE246" s="197">
        <f t="shared" si="36"/>
        <v>96067.78</v>
      </c>
      <c r="AF246" s="197">
        <f t="shared" si="35"/>
        <v>13854.25</v>
      </c>
      <c r="AG246" s="197">
        <f t="shared" si="35"/>
        <v>2577932.63</v>
      </c>
      <c r="AH246" s="197">
        <f t="shared" si="35"/>
        <v>0</v>
      </c>
      <c r="AI246" s="197">
        <f t="shared" si="35"/>
        <v>0</v>
      </c>
      <c r="AJ246" s="197">
        <f t="shared" si="35"/>
        <v>318503.82</v>
      </c>
      <c r="AK246" s="197">
        <f t="shared" si="35"/>
        <v>0</v>
      </c>
      <c r="AL246" s="197">
        <f t="shared" si="35"/>
        <v>0</v>
      </c>
    </row>
    <row r="247" spans="1:38">
      <c r="A247" s="11" t="str">
        <f t="shared" si="32"/>
        <v>05-447975732011</v>
      </c>
      <c r="B247" t="s">
        <v>220</v>
      </c>
      <c r="C247" t="s">
        <v>221</v>
      </c>
      <c r="D247">
        <v>2011</v>
      </c>
      <c r="E247" t="s">
        <v>63</v>
      </c>
      <c r="F247">
        <v>671168.13</v>
      </c>
      <c r="G247">
        <v>356</v>
      </c>
      <c r="H247" s="11" t="str">
        <f t="shared" si="31"/>
        <v>count</v>
      </c>
      <c r="I247" s="197" t="s">
        <v>860</v>
      </c>
      <c r="J247" s="197" t="s">
        <v>861</v>
      </c>
      <c r="K247" s="197" t="s">
        <v>145</v>
      </c>
      <c r="L247" s="197">
        <f t="shared" si="37"/>
        <v>64</v>
      </c>
      <c r="M247" s="197">
        <f t="shared" si="37"/>
        <v>26</v>
      </c>
      <c r="N247" s="197">
        <f t="shared" si="37"/>
        <v>1</v>
      </c>
      <c r="O247" s="197">
        <f t="shared" si="37"/>
        <v>329</v>
      </c>
      <c r="P247" s="197">
        <f t="shared" si="37"/>
        <v>0</v>
      </c>
      <c r="Q247" s="197">
        <f t="shared" si="37"/>
        <v>0</v>
      </c>
      <c r="R247" s="197">
        <f t="shared" si="37"/>
        <v>1</v>
      </c>
      <c r="S247" s="197">
        <f t="shared" si="37"/>
        <v>0</v>
      </c>
      <c r="T247" s="197">
        <f t="shared" si="37"/>
        <v>0</v>
      </c>
      <c r="U247" s="197">
        <f t="shared" si="37"/>
        <v>112</v>
      </c>
      <c r="V247" s="197">
        <f t="shared" si="36"/>
        <v>58</v>
      </c>
      <c r="W247" s="197">
        <f t="shared" si="36"/>
        <v>2</v>
      </c>
      <c r="X247" s="197">
        <f t="shared" si="36"/>
        <v>2055</v>
      </c>
      <c r="Y247" s="197">
        <f t="shared" si="36"/>
        <v>0</v>
      </c>
      <c r="Z247" s="197">
        <f t="shared" si="36"/>
        <v>0</v>
      </c>
      <c r="AA247" s="197">
        <f t="shared" si="36"/>
        <v>100</v>
      </c>
      <c r="AB247" s="197">
        <f t="shared" si="36"/>
        <v>0</v>
      </c>
      <c r="AC247" s="197">
        <f t="shared" si="36"/>
        <v>0</v>
      </c>
      <c r="AD247" s="197">
        <f t="shared" si="36"/>
        <v>160</v>
      </c>
      <c r="AE247" s="197">
        <f t="shared" si="36"/>
        <v>99</v>
      </c>
      <c r="AF247" s="197">
        <f t="shared" si="35"/>
        <v>13</v>
      </c>
      <c r="AG247" s="197">
        <f t="shared" si="35"/>
        <v>2717</v>
      </c>
      <c r="AH247" s="197">
        <f t="shared" si="35"/>
        <v>0</v>
      </c>
      <c r="AI247" s="197">
        <f t="shared" si="35"/>
        <v>0</v>
      </c>
      <c r="AJ247" s="197">
        <f t="shared" si="35"/>
        <v>320</v>
      </c>
      <c r="AK247" s="197">
        <f t="shared" si="35"/>
        <v>0</v>
      </c>
      <c r="AL247" s="197">
        <f t="shared" si="35"/>
        <v>0</v>
      </c>
    </row>
    <row r="248" spans="1:38">
      <c r="A248" s="11" t="str">
        <f t="shared" si="32"/>
        <v>05-447975732011</v>
      </c>
      <c r="B248" t="s">
        <v>220</v>
      </c>
      <c r="C248" t="s">
        <v>221</v>
      </c>
      <c r="D248">
        <v>2011</v>
      </c>
      <c r="E248" t="s">
        <v>1074</v>
      </c>
      <c r="F248">
        <v>1934.95</v>
      </c>
      <c r="G248">
        <v>1</v>
      </c>
      <c r="H248" s="11" t="str">
        <f t="shared" si="31"/>
        <v>count</v>
      </c>
      <c r="I248" s="197" t="s">
        <v>864</v>
      </c>
      <c r="J248" s="197" t="s">
        <v>865</v>
      </c>
      <c r="K248" s="197" t="s">
        <v>146</v>
      </c>
      <c r="L248" s="197">
        <f t="shared" si="37"/>
        <v>1275501.25</v>
      </c>
      <c r="M248" s="197">
        <f t="shared" si="37"/>
        <v>611396.62</v>
      </c>
      <c r="N248" s="197">
        <f t="shared" si="37"/>
        <v>138452.99</v>
      </c>
      <c r="O248" s="197">
        <f t="shared" si="37"/>
        <v>224631.95</v>
      </c>
      <c r="P248" s="197">
        <f t="shared" si="37"/>
        <v>0</v>
      </c>
      <c r="Q248" s="197">
        <f t="shared" si="37"/>
        <v>0</v>
      </c>
      <c r="R248" s="197">
        <f t="shared" si="37"/>
        <v>14595.82</v>
      </c>
      <c r="S248" s="197">
        <f t="shared" si="37"/>
        <v>0</v>
      </c>
      <c r="T248" s="197">
        <f t="shared" si="37"/>
        <v>0</v>
      </c>
      <c r="U248" s="197">
        <f t="shared" si="37"/>
        <v>6997529.46</v>
      </c>
      <c r="V248" s="197">
        <f t="shared" si="36"/>
        <v>4193505.17</v>
      </c>
      <c r="W248" s="197">
        <f t="shared" si="36"/>
        <v>1160824.25</v>
      </c>
      <c r="X248" s="197">
        <f t="shared" si="36"/>
        <v>1719153.32</v>
      </c>
      <c r="Y248" s="197">
        <f t="shared" si="36"/>
        <v>0</v>
      </c>
      <c r="Z248" s="197">
        <f t="shared" si="36"/>
        <v>0</v>
      </c>
      <c r="AA248" s="197">
        <f t="shared" si="36"/>
        <v>1889646.7</v>
      </c>
      <c r="AB248" s="197">
        <f t="shared" si="36"/>
        <v>0</v>
      </c>
      <c r="AC248" s="197">
        <f t="shared" si="36"/>
        <v>0</v>
      </c>
      <c r="AD248" s="197">
        <f t="shared" si="36"/>
        <v>7296331.9699999997</v>
      </c>
      <c r="AE248" s="197">
        <f t="shared" si="36"/>
        <v>4258168.26</v>
      </c>
      <c r="AF248" s="197">
        <f t="shared" si="35"/>
        <v>1235843.21</v>
      </c>
      <c r="AG248" s="197">
        <f t="shared" si="35"/>
        <v>1327372.83</v>
      </c>
      <c r="AH248" s="197">
        <f t="shared" si="35"/>
        <v>0</v>
      </c>
      <c r="AI248" s="197">
        <f t="shared" si="35"/>
        <v>0</v>
      </c>
      <c r="AJ248" s="197">
        <f t="shared" si="35"/>
        <v>2464338.85</v>
      </c>
      <c r="AK248" s="197">
        <f t="shared" si="35"/>
        <v>0</v>
      </c>
      <c r="AL248" s="197">
        <f t="shared" si="35"/>
        <v>0</v>
      </c>
    </row>
    <row r="249" spans="1:38">
      <c r="A249" s="11" t="str">
        <f t="shared" si="32"/>
        <v>05-447975732012</v>
      </c>
      <c r="B249" t="s">
        <v>220</v>
      </c>
      <c r="C249" t="s">
        <v>221</v>
      </c>
      <c r="D249">
        <v>2012</v>
      </c>
      <c r="E249" t="s">
        <v>105</v>
      </c>
      <c r="F249">
        <v>11471.7</v>
      </c>
      <c r="G249">
        <v>6</v>
      </c>
      <c r="H249" s="11" t="str">
        <f t="shared" si="31"/>
        <v>count</v>
      </c>
      <c r="I249" s="197" t="s">
        <v>864</v>
      </c>
      <c r="J249" s="197" t="s">
        <v>865</v>
      </c>
      <c r="K249" s="197" t="s">
        <v>145</v>
      </c>
      <c r="L249" s="197">
        <f t="shared" si="37"/>
        <v>709</v>
      </c>
      <c r="M249" s="197">
        <f t="shared" si="37"/>
        <v>347</v>
      </c>
      <c r="N249" s="197">
        <f t="shared" si="37"/>
        <v>88</v>
      </c>
      <c r="O249" s="197">
        <f t="shared" si="37"/>
        <v>148</v>
      </c>
      <c r="P249" s="197">
        <f t="shared" si="37"/>
        <v>0</v>
      </c>
      <c r="Q249" s="197">
        <f t="shared" si="37"/>
        <v>0</v>
      </c>
      <c r="R249" s="197">
        <f t="shared" si="37"/>
        <v>7</v>
      </c>
      <c r="S249" s="197">
        <f t="shared" si="37"/>
        <v>0</v>
      </c>
      <c r="T249" s="197">
        <f t="shared" si="37"/>
        <v>0</v>
      </c>
      <c r="U249" s="197">
        <f t="shared" si="37"/>
        <v>4553</v>
      </c>
      <c r="V249" s="197">
        <f t="shared" si="36"/>
        <v>2822</v>
      </c>
      <c r="W249" s="197">
        <f t="shared" si="36"/>
        <v>752</v>
      </c>
      <c r="X249" s="197">
        <f t="shared" si="36"/>
        <v>1352</v>
      </c>
      <c r="Y249" s="197">
        <f t="shared" si="36"/>
        <v>0</v>
      </c>
      <c r="Z249" s="197">
        <f t="shared" si="36"/>
        <v>0</v>
      </c>
      <c r="AA249" s="197">
        <f t="shared" si="36"/>
        <v>1798</v>
      </c>
      <c r="AB249" s="197">
        <f t="shared" si="36"/>
        <v>0</v>
      </c>
      <c r="AC249" s="197">
        <f t="shared" si="36"/>
        <v>0</v>
      </c>
      <c r="AD249" s="197">
        <f t="shared" si="36"/>
        <v>4720</v>
      </c>
      <c r="AE249" s="197">
        <f t="shared" si="36"/>
        <v>2793</v>
      </c>
      <c r="AF249" s="197">
        <f t="shared" si="35"/>
        <v>790</v>
      </c>
      <c r="AG249" s="197">
        <f t="shared" si="35"/>
        <v>984</v>
      </c>
      <c r="AH249" s="197">
        <f t="shared" si="35"/>
        <v>0</v>
      </c>
      <c r="AI249" s="197">
        <f t="shared" si="35"/>
        <v>0</v>
      </c>
      <c r="AJ249" s="197">
        <f t="shared" si="35"/>
        <v>2298</v>
      </c>
      <c r="AK249" s="197">
        <f t="shared" si="35"/>
        <v>0</v>
      </c>
      <c r="AL249" s="197">
        <f t="shared" si="35"/>
        <v>0</v>
      </c>
    </row>
    <row r="250" spans="1:38">
      <c r="A250" s="11" t="str">
        <f t="shared" si="32"/>
        <v>05-447975732011</v>
      </c>
      <c r="B250" t="s">
        <v>220</v>
      </c>
      <c r="C250" t="s">
        <v>221</v>
      </c>
      <c r="D250">
        <v>2011</v>
      </c>
      <c r="E250" t="s">
        <v>104</v>
      </c>
      <c r="F250">
        <v>311841.13</v>
      </c>
      <c r="G250">
        <v>180</v>
      </c>
      <c r="H250" s="11" t="str">
        <f t="shared" si="31"/>
        <v>count</v>
      </c>
      <c r="I250" s="197" t="s">
        <v>867</v>
      </c>
      <c r="J250" s="197" t="s">
        <v>868</v>
      </c>
      <c r="K250" s="197" t="s">
        <v>146</v>
      </c>
      <c r="L250" s="197">
        <f t="shared" si="37"/>
        <v>2980.23</v>
      </c>
      <c r="M250" s="197">
        <f t="shared" si="37"/>
        <v>2063.25</v>
      </c>
      <c r="N250" s="197">
        <f t="shared" si="37"/>
        <v>0</v>
      </c>
      <c r="O250" s="197">
        <f t="shared" si="37"/>
        <v>0</v>
      </c>
      <c r="P250" s="197">
        <f t="shared" si="37"/>
        <v>0</v>
      </c>
      <c r="Q250" s="197">
        <f t="shared" si="37"/>
        <v>0</v>
      </c>
      <c r="R250" s="197">
        <f t="shared" si="37"/>
        <v>0</v>
      </c>
      <c r="S250" s="197">
        <f t="shared" si="37"/>
        <v>0</v>
      </c>
      <c r="T250" s="197">
        <f t="shared" si="37"/>
        <v>0</v>
      </c>
      <c r="U250" s="197">
        <f t="shared" si="37"/>
        <v>3415.78</v>
      </c>
      <c r="V250" s="197">
        <f t="shared" si="36"/>
        <v>6385.11</v>
      </c>
      <c r="W250" s="197">
        <f t="shared" si="36"/>
        <v>0</v>
      </c>
      <c r="X250" s="197">
        <f t="shared" si="36"/>
        <v>0</v>
      </c>
      <c r="Y250" s="197">
        <f t="shared" si="36"/>
        <v>0</v>
      </c>
      <c r="Z250" s="197">
        <f t="shared" si="36"/>
        <v>0</v>
      </c>
      <c r="AA250" s="197">
        <f t="shared" si="36"/>
        <v>1107.8</v>
      </c>
      <c r="AB250" s="197">
        <f t="shared" si="36"/>
        <v>0</v>
      </c>
      <c r="AC250" s="197">
        <f t="shared" si="36"/>
        <v>0</v>
      </c>
      <c r="AD250" s="197">
        <f t="shared" si="36"/>
        <v>7662.65</v>
      </c>
      <c r="AE250" s="197">
        <f t="shared" si="36"/>
        <v>9525.0300000000007</v>
      </c>
      <c r="AF250" s="197">
        <f t="shared" si="35"/>
        <v>0</v>
      </c>
      <c r="AG250" s="197">
        <f t="shared" ref="AF250:AL286" si="38">SUMIFS(IF($K250="volume",$F:$F,$G:$G),$D:$D,AG$2,$B:$B,$I250,$E:$E,AG$3)</f>
        <v>0</v>
      </c>
      <c r="AH250" s="197">
        <f t="shared" si="38"/>
        <v>0</v>
      </c>
      <c r="AI250" s="197">
        <f t="shared" si="38"/>
        <v>0</v>
      </c>
      <c r="AJ250" s="197">
        <f t="shared" si="38"/>
        <v>0</v>
      </c>
      <c r="AK250" s="197">
        <f t="shared" si="38"/>
        <v>0</v>
      </c>
      <c r="AL250" s="197">
        <f t="shared" si="38"/>
        <v>0</v>
      </c>
    </row>
    <row r="251" spans="1:38">
      <c r="A251" s="11" t="str">
        <f t="shared" si="32"/>
        <v>05-447975732011</v>
      </c>
      <c r="B251" t="s">
        <v>220</v>
      </c>
      <c r="C251" t="s">
        <v>221</v>
      </c>
      <c r="D251">
        <v>2011</v>
      </c>
      <c r="E251" t="s">
        <v>1075</v>
      </c>
      <c r="F251">
        <v>7468.56</v>
      </c>
      <c r="G251">
        <v>8</v>
      </c>
      <c r="H251" s="11" t="str">
        <f t="shared" si="31"/>
        <v>count</v>
      </c>
      <c r="I251" s="197" t="s">
        <v>867</v>
      </c>
      <c r="J251" s="197" t="s">
        <v>868</v>
      </c>
      <c r="K251" s="197" t="s">
        <v>145</v>
      </c>
      <c r="L251" s="197">
        <f t="shared" si="37"/>
        <v>3</v>
      </c>
      <c r="M251" s="197">
        <f t="shared" si="37"/>
        <v>5</v>
      </c>
      <c r="N251" s="197">
        <f t="shared" si="37"/>
        <v>0</v>
      </c>
      <c r="O251" s="197">
        <f t="shared" si="37"/>
        <v>0</v>
      </c>
      <c r="P251" s="197">
        <f t="shared" si="37"/>
        <v>0</v>
      </c>
      <c r="Q251" s="197">
        <f t="shared" si="37"/>
        <v>0</v>
      </c>
      <c r="R251" s="197">
        <f t="shared" si="37"/>
        <v>0</v>
      </c>
      <c r="S251" s="197">
        <f t="shared" si="37"/>
        <v>0</v>
      </c>
      <c r="T251" s="197">
        <f t="shared" si="37"/>
        <v>0</v>
      </c>
      <c r="U251" s="197">
        <f t="shared" si="37"/>
        <v>14</v>
      </c>
      <c r="V251" s="197">
        <f t="shared" si="36"/>
        <v>18</v>
      </c>
      <c r="W251" s="197">
        <f t="shared" si="36"/>
        <v>0</v>
      </c>
      <c r="X251" s="197">
        <f t="shared" si="36"/>
        <v>0</v>
      </c>
      <c r="Y251" s="197">
        <f t="shared" si="36"/>
        <v>0</v>
      </c>
      <c r="Z251" s="197">
        <f t="shared" si="36"/>
        <v>0</v>
      </c>
      <c r="AA251" s="197">
        <f t="shared" si="36"/>
        <v>6</v>
      </c>
      <c r="AB251" s="197">
        <f t="shared" si="36"/>
        <v>0</v>
      </c>
      <c r="AC251" s="197">
        <f t="shared" si="36"/>
        <v>0</v>
      </c>
      <c r="AD251" s="197">
        <f t="shared" si="36"/>
        <v>10</v>
      </c>
      <c r="AE251" s="197">
        <f t="shared" si="36"/>
        <v>5</v>
      </c>
      <c r="AF251" s="197">
        <f t="shared" si="38"/>
        <v>0</v>
      </c>
      <c r="AG251" s="197">
        <f t="shared" si="38"/>
        <v>0</v>
      </c>
      <c r="AH251" s="197">
        <f t="shared" si="38"/>
        <v>0</v>
      </c>
      <c r="AI251" s="197">
        <f t="shared" si="38"/>
        <v>0</v>
      </c>
      <c r="AJ251" s="197">
        <f t="shared" si="38"/>
        <v>0</v>
      </c>
      <c r="AK251" s="197">
        <f t="shared" si="38"/>
        <v>0</v>
      </c>
      <c r="AL251" s="197">
        <f t="shared" si="38"/>
        <v>0</v>
      </c>
    </row>
    <row r="252" spans="1:38">
      <c r="A252" s="11" t="str">
        <f t="shared" si="32"/>
        <v>05-447975732012</v>
      </c>
      <c r="B252" t="s">
        <v>220</v>
      </c>
      <c r="C252" t="s">
        <v>221</v>
      </c>
      <c r="D252">
        <v>2012</v>
      </c>
      <c r="E252" t="s">
        <v>1076</v>
      </c>
      <c r="F252">
        <v>2889.65</v>
      </c>
      <c r="G252">
        <v>5</v>
      </c>
      <c r="H252" s="11" t="str">
        <f t="shared" si="31"/>
        <v>count</v>
      </c>
      <c r="I252" s="197" t="s">
        <v>890</v>
      </c>
      <c r="J252" s="197" t="s">
        <v>891</v>
      </c>
      <c r="K252" s="197" t="s">
        <v>146</v>
      </c>
      <c r="L252" s="197">
        <f t="shared" si="37"/>
        <v>5581</v>
      </c>
      <c r="M252" s="197">
        <f t="shared" si="37"/>
        <v>2711</v>
      </c>
      <c r="N252" s="197">
        <f t="shared" si="37"/>
        <v>267</v>
      </c>
      <c r="O252" s="197">
        <f t="shared" si="37"/>
        <v>425</v>
      </c>
      <c r="P252" s="197">
        <f t="shared" si="37"/>
        <v>0</v>
      </c>
      <c r="Q252" s="197">
        <f t="shared" si="37"/>
        <v>0</v>
      </c>
      <c r="R252" s="197">
        <f t="shared" si="37"/>
        <v>385</v>
      </c>
      <c r="S252" s="197">
        <f t="shared" si="37"/>
        <v>0</v>
      </c>
      <c r="T252" s="197">
        <f t="shared" si="37"/>
        <v>0</v>
      </c>
      <c r="U252" s="197">
        <f t="shared" si="37"/>
        <v>22506</v>
      </c>
      <c r="V252" s="197">
        <f t="shared" si="36"/>
        <v>33162</v>
      </c>
      <c r="W252" s="197">
        <f t="shared" si="36"/>
        <v>1760</v>
      </c>
      <c r="X252" s="197">
        <f t="shared" si="36"/>
        <v>5923</v>
      </c>
      <c r="Y252" s="197">
        <f t="shared" si="36"/>
        <v>0</v>
      </c>
      <c r="Z252" s="197">
        <f t="shared" si="36"/>
        <v>0</v>
      </c>
      <c r="AA252" s="197">
        <f t="shared" si="36"/>
        <v>115186</v>
      </c>
      <c r="AB252" s="197">
        <f t="shared" si="36"/>
        <v>0</v>
      </c>
      <c r="AC252" s="197">
        <f t="shared" si="36"/>
        <v>0</v>
      </c>
      <c r="AD252" s="197">
        <f t="shared" si="36"/>
        <v>29270.67</v>
      </c>
      <c r="AE252" s="197">
        <f t="shared" si="36"/>
        <v>32705</v>
      </c>
      <c r="AF252" s="197">
        <f t="shared" si="38"/>
        <v>740</v>
      </c>
      <c r="AG252" s="197">
        <f t="shared" si="38"/>
        <v>8930</v>
      </c>
      <c r="AH252" s="197">
        <f t="shared" si="38"/>
        <v>0</v>
      </c>
      <c r="AI252" s="197">
        <f t="shared" si="38"/>
        <v>0</v>
      </c>
      <c r="AJ252" s="197">
        <f t="shared" si="38"/>
        <v>171258</v>
      </c>
      <c r="AK252" s="197">
        <f t="shared" si="38"/>
        <v>0</v>
      </c>
      <c r="AL252" s="197">
        <f t="shared" si="38"/>
        <v>0</v>
      </c>
    </row>
    <row r="253" spans="1:38">
      <c r="A253" s="11" t="str">
        <f t="shared" si="32"/>
        <v>05-447975732013</v>
      </c>
      <c r="B253" t="s">
        <v>220</v>
      </c>
      <c r="C253" t="s">
        <v>221</v>
      </c>
      <c r="D253">
        <v>2013</v>
      </c>
      <c r="E253" t="s">
        <v>104</v>
      </c>
      <c r="F253">
        <v>610377.93000000005</v>
      </c>
      <c r="G253">
        <v>318</v>
      </c>
      <c r="H253" s="11" t="str">
        <f t="shared" si="31"/>
        <v>count</v>
      </c>
      <c r="I253" s="197" t="s">
        <v>890</v>
      </c>
      <c r="J253" s="197" t="s">
        <v>891</v>
      </c>
      <c r="K253" s="197" t="s">
        <v>145</v>
      </c>
      <c r="L253" s="197">
        <f t="shared" si="37"/>
        <v>77</v>
      </c>
      <c r="M253" s="197">
        <f t="shared" si="37"/>
        <v>30</v>
      </c>
      <c r="N253" s="197">
        <f t="shared" si="37"/>
        <v>3</v>
      </c>
      <c r="O253" s="197">
        <f t="shared" si="37"/>
        <v>2</v>
      </c>
      <c r="P253" s="197">
        <f t="shared" si="37"/>
        <v>0</v>
      </c>
      <c r="Q253" s="197">
        <f t="shared" si="37"/>
        <v>0</v>
      </c>
      <c r="R253" s="197">
        <f t="shared" si="37"/>
        <v>5</v>
      </c>
      <c r="S253" s="197">
        <f t="shared" si="37"/>
        <v>0</v>
      </c>
      <c r="T253" s="197">
        <f t="shared" si="37"/>
        <v>0</v>
      </c>
      <c r="U253" s="197">
        <f t="shared" si="37"/>
        <v>281</v>
      </c>
      <c r="V253" s="197">
        <f t="shared" si="36"/>
        <v>387</v>
      </c>
      <c r="W253" s="197">
        <f t="shared" si="36"/>
        <v>16</v>
      </c>
      <c r="X253" s="197">
        <f t="shared" si="36"/>
        <v>89</v>
      </c>
      <c r="Y253" s="197">
        <f t="shared" si="36"/>
        <v>0</v>
      </c>
      <c r="Z253" s="197">
        <f t="shared" si="36"/>
        <v>0</v>
      </c>
      <c r="AA253" s="197">
        <f t="shared" si="36"/>
        <v>1380</v>
      </c>
      <c r="AB253" s="197">
        <f t="shared" si="36"/>
        <v>0</v>
      </c>
      <c r="AC253" s="197">
        <f t="shared" si="36"/>
        <v>0</v>
      </c>
      <c r="AD253" s="197">
        <f t="shared" si="36"/>
        <v>326</v>
      </c>
      <c r="AE253" s="197">
        <f t="shared" si="36"/>
        <v>393</v>
      </c>
      <c r="AF253" s="197">
        <f t="shared" si="38"/>
        <v>7</v>
      </c>
      <c r="AG253" s="197">
        <f t="shared" si="38"/>
        <v>127</v>
      </c>
      <c r="AH253" s="197">
        <f t="shared" si="38"/>
        <v>0</v>
      </c>
      <c r="AI253" s="197">
        <f t="shared" si="38"/>
        <v>0</v>
      </c>
      <c r="AJ253" s="197">
        <f t="shared" si="38"/>
        <v>1997</v>
      </c>
      <c r="AK253" s="197">
        <f t="shared" si="38"/>
        <v>0</v>
      </c>
      <c r="AL253" s="197">
        <f t="shared" si="38"/>
        <v>0</v>
      </c>
    </row>
    <row r="254" spans="1:38">
      <c r="A254" s="11" t="str">
        <f t="shared" si="32"/>
        <v>05-447975732013</v>
      </c>
      <c r="B254" t="s">
        <v>220</v>
      </c>
      <c r="C254" t="s">
        <v>221</v>
      </c>
      <c r="D254">
        <v>2013</v>
      </c>
      <c r="E254" t="s">
        <v>106</v>
      </c>
      <c r="F254">
        <v>36829050.079999998</v>
      </c>
      <c r="G254">
        <v>24954</v>
      </c>
      <c r="H254" s="11" t="str">
        <f t="shared" si="31"/>
        <v>count</v>
      </c>
      <c r="I254" s="197" t="s">
        <v>896</v>
      </c>
      <c r="J254" s="197" t="s">
        <v>897</v>
      </c>
      <c r="K254" s="197" t="s">
        <v>146</v>
      </c>
      <c r="L254" s="197">
        <f t="shared" si="37"/>
        <v>455317.15</v>
      </c>
      <c r="M254" s="197">
        <f t="shared" si="37"/>
        <v>267205.92</v>
      </c>
      <c r="N254" s="197">
        <f t="shared" si="37"/>
        <v>71984.289999999994</v>
      </c>
      <c r="O254" s="197">
        <f t="shared" si="37"/>
        <v>0</v>
      </c>
      <c r="P254" s="197">
        <f t="shared" si="37"/>
        <v>0</v>
      </c>
      <c r="Q254" s="197">
        <f t="shared" si="37"/>
        <v>0</v>
      </c>
      <c r="R254" s="197">
        <f t="shared" si="37"/>
        <v>5059.18</v>
      </c>
      <c r="S254" s="197">
        <f t="shared" si="37"/>
        <v>0</v>
      </c>
      <c r="T254" s="197">
        <f t="shared" si="37"/>
        <v>0</v>
      </c>
      <c r="U254" s="197">
        <f t="shared" si="37"/>
        <v>3304898.69</v>
      </c>
      <c r="V254" s="197">
        <f t="shared" si="36"/>
        <v>2045994.56</v>
      </c>
      <c r="W254" s="197">
        <f t="shared" si="36"/>
        <v>588985.31000000006</v>
      </c>
      <c r="X254" s="197">
        <f t="shared" si="36"/>
        <v>0</v>
      </c>
      <c r="Y254" s="197">
        <f t="shared" si="36"/>
        <v>0</v>
      </c>
      <c r="Z254" s="197">
        <f t="shared" si="36"/>
        <v>0</v>
      </c>
      <c r="AA254" s="197">
        <f t="shared" si="36"/>
        <v>963187.78</v>
      </c>
      <c r="AB254" s="197">
        <f t="shared" si="36"/>
        <v>0</v>
      </c>
      <c r="AC254" s="197">
        <f t="shared" si="36"/>
        <v>0</v>
      </c>
      <c r="AD254" s="197">
        <f t="shared" si="36"/>
        <v>3258491.32</v>
      </c>
      <c r="AE254" s="197">
        <f t="shared" si="36"/>
        <v>1852688.04</v>
      </c>
      <c r="AF254" s="197">
        <f t="shared" si="38"/>
        <v>592758.06000000006</v>
      </c>
      <c r="AG254" s="197">
        <f t="shared" si="38"/>
        <v>0</v>
      </c>
      <c r="AH254" s="197">
        <f t="shared" si="38"/>
        <v>0</v>
      </c>
      <c r="AI254" s="197">
        <f t="shared" si="38"/>
        <v>0</v>
      </c>
      <c r="AJ254" s="197">
        <f t="shared" si="38"/>
        <v>1106270.58</v>
      </c>
      <c r="AK254" s="197">
        <f t="shared" si="38"/>
        <v>0</v>
      </c>
      <c r="AL254" s="197">
        <f t="shared" si="38"/>
        <v>0</v>
      </c>
    </row>
    <row r="255" spans="1:38">
      <c r="A255" s="11" t="str">
        <f t="shared" si="32"/>
        <v>05-447975732012</v>
      </c>
      <c r="B255" t="s">
        <v>220</v>
      </c>
      <c r="C255" t="s">
        <v>221</v>
      </c>
      <c r="D255">
        <v>2012</v>
      </c>
      <c r="E255" t="s">
        <v>1075</v>
      </c>
      <c r="F255">
        <v>9794.2199999999993</v>
      </c>
      <c r="G255">
        <v>8</v>
      </c>
      <c r="H255" s="11" t="str">
        <f t="shared" si="31"/>
        <v>count</v>
      </c>
      <c r="I255" s="197" t="s">
        <v>896</v>
      </c>
      <c r="J255" s="197" t="s">
        <v>897</v>
      </c>
      <c r="K255" s="197" t="s">
        <v>145</v>
      </c>
      <c r="L255" s="197">
        <f t="shared" si="37"/>
        <v>264</v>
      </c>
      <c r="M255" s="197">
        <f t="shared" si="37"/>
        <v>166</v>
      </c>
      <c r="N255" s="197">
        <f t="shared" si="37"/>
        <v>46</v>
      </c>
      <c r="O255" s="197">
        <f t="shared" si="37"/>
        <v>0</v>
      </c>
      <c r="P255" s="197">
        <f t="shared" si="37"/>
        <v>0</v>
      </c>
      <c r="Q255" s="197">
        <f t="shared" si="37"/>
        <v>0</v>
      </c>
      <c r="R255" s="197">
        <f t="shared" si="37"/>
        <v>4</v>
      </c>
      <c r="S255" s="197">
        <f t="shared" si="37"/>
        <v>0</v>
      </c>
      <c r="T255" s="197">
        <f t="shared" si="37"/>
        <v>0</v>
      </c>
      <c r="U255" s="197">
        <f t="shared" si="37"/>
        <v>2124</v>
      </c>
      <c r="V255" s="197">
        <f t="shared" si="36"/>
        <v>1341</v>
      </c>
      <c r="W255" s="197">
        <f t="shared" si="36"/>
        <v>401</v>
      </c>
      <c r="X255" s="197">
        <f t="shared" si="36"/>
        <v>0</v>
      </c>
      <c r="Y255" s="197">
        <f t="shared" si="36"/>
        <v>0</v>
      </c>
      <c r="Z255" s="197">
        <f t="shared" si="36"/>
        <v>0</v>
      </c>
      <c r="AA255" s="197">
        <f t="shared" ref="V255:AE280" si="39">SUMIFS(IF($K255="volume",$F:$F,$G:$G),$D:$D,AA$2,$B:$B,$I255,$E:$E,AA$3)</f>
        <v>768</v>
      </c>
      <c r="AB255" s="197">
        <f t="shared" si="39"/>
        <v>0</v>
      </c>
      <c r="AC255" s="197">
        <f t="shared" si="39"/>
        <v>0</v>
      </c>
      <c r="AD255" s="197">
        <f t="shared" si="39"/>
        <v>2013</v>
      </c>
      <c r="AE255" s="197">
        <f t="shared" si="39"/>
        <v>1170</v>
      </c>
      <c r="AF255" s="197">
        <f t="shared" si="38"/>
        <v>388</v>
      </c>
      <c r="AG255" s="197">
        <f t="shared" si="38"/>
        <v>0</v>
      </c>
      <c r="AH255" s="197">
        <f t="shared" si="38"/>
        <v>0</v>
      </c>
      <c r="AI255" s="197">
        <f t="shared" si="38"/>
        <v>0</v>
      </c>
      <c r="AJ255" s="197">
        <f t="shared" si="38"/>
        <v>807</v>
      </c>
      <c r="AK255" s="197">
        <f t="shared" si="38"/>
        <v>0</v>
      </c>
      <c r="AL255" s="197">
        <f t="shared" si="38"/>
        <v>0</v>
      </c>
    </row>
    <row r="256" spans="1:38">
      <c r="A256" s="11" t="str">
        <f t="shared" si="32"/>
        <v>05-447975732013</v>
      </c>
      <c r="B256" t="s">
        <v>220</v>
      </c>
      <c r="C256" t="s">
        <v>221</v>
      </c>
      <c r="D256">
        <v>2013</v>
      </c>
      <c r="E256" t="s">
        <v>63</v>
      </c>
      <c r="F256">
        <v>962416.77</v>
      </c>
      <c r="G256">
        <v>496</v>
      </c>
      <c r="H256" s="11" t="str">
        <f t="shared" si="31"/>
        <v>count</v>
      </c>
      <c r="I256" s="197" t="s">
        <v>907</v>
      </c>
      <c r="J256" s="197" t="s">
        <v>908</v>
      </c>
      <c r="K256" s="197" t="s">
        <v>146</v>
      </c>
      <c r="L256" s="197">
        <f t="shared" si="37"/>
        <v>0</v>
      </c>
      <c r="M256" s="197">
        <f t="shared" si="37"/>
        <v>0</v>
      </c>
      <c r="N256" s="197">
        <f t="shared" si="37"/>
        <v>0</v>
      </c>
      <c r="O256" s="197">
        <f t="shared" si="37"/>
        <v>0</v>
      </c>
      <c r="P256" s="197">
        <f t="shared" si="37"/>
        <v>0</v>
      </c>
      <c r="Q256" s="197">
        <f t="shared" ref="L256:U281" si="40">SUMIFS(IF($K256="volume",$F:$F,$G:$G),$D:$D,Q$2,$B:$B,$I256,$E:$E,Q$3)</f>
        <v>0</v>
      </c>
      <c r="R256" s="197">
        <f t="shared" si="40"/>
        <v>1</v>
      </c>
      <c r="S256" s="197">
        <f t="shared" si="40"/>
        <v>0</v>
      </c>
      <c r="T256" s="197">
        <f t="shared" si="40"/>
        <v>0</v>
      </c>
      <c r="U256" s="197">
        <f t="shared" si="40"/>
        <v>485564.01</v>
      </c>
      <c r="V256" s="197">
        <f t="shared" si="39"/>
        <v>223017.45</v>
      </c>
      <c r="W256" s="197">
        <f t="shared" si="39"/>
        <v>16614.509999999998</v>
      </c>
      <c r="X256" s="197">
        <f t="shared" si="39"/>
        <v>595087.37</v>
      </c>
      <c r="Y256" s="197">
        <f t="shared" si="39"/>
        <v>211589.4</v>
      </c>
      <c r="Z256" s="197">
        <f t="shared" si="39"/>
        <v>0</v>
      </c>
      <c r="AA256" s="197">
        <f t="shared" si="39"/>
        <v>82309.850000000006</v>
      </c>
      <c r="AB256" s="197">
        <f t="shared" si="39"/>
        <v>0</v>
      </c>
      <c r="AC256" s="197">
        <f t="shared" si="39"/>
        <v>0</v>
      </c>
      <c r="AD256" s="197">
        <f t="shared" si="39"/>
        <v>590393.67000000004</v>
      </c>
      <c r="AE256" s="197">
        <f t="shared" si="39"/>
        <v>262790.8</v>
      </c>
      <c r="AF256" s="197">
        <f t="shared" si="38"/>
        <v>39635.97</v>
      </c>
      <c r="AG256" s="197">
        <f t="shared" si="38"/>
        <v>812655.21</v>
      </c>
      <c r="AH256" s="197">
        <f t="shared" si="38"/>
        <v>384163.15</v>
      </c>
      <c r="AI256" s="197">
        <f t="shared" si="38"/>
        <v>0</v>
      </c>
      <c r="AJ256" s="197">
        <f t="shared" si="38"/>
        <v>107831.95</v>
      </c>
      <c r="AK256" s="197">
        <f t="shared" si="38"/>
        <v>0</v>
      </c>
      <c r="AL256" s="197">
        <f t="shared" si="38"/>
        <v>0</v>
      </c>
    </row>
    <row r="257" spans="1:38">
      <c r="A257" s="11" t="str">
        <f t="shared" si="32"/>
        <v>05-447975732012</v>
      </c>
      <c r="B257" t="s">
        <v>220</v>
      </c>
      <c r="C257" t="s">
        <v>221</v>
      </c>
      <c r="D257">
        <v>2012</v>
      </c>
      <c r="E257" t="s">
        <v>68</v>
      </c>
      <c r="F257">
        <v>1835682.09</v>
      </c>
      <c r="G257">
        <v>2035</v>
      </c>
      <c r="H257" s="11" t="str">
        <f t="shared" si="31"/>
        <v>count</v>
      </c>
      <c r="I257" s="197" t="s">
        <v>907</v>
      </c>
      <c r="J257" s="197" t="s">
        <v>908</v>
      </c>
      <c r="K257" s="197" t="s">
        <v>145</v>
      </c>
      <c r="L257" s="197">
        <f t="shared" si="40"/>
        <v>0</v>
      </c>
      <c r="M257" s="197">
        <f t="shared" si="40"/>
        <v>0</v>
      </c>
      <c r="N257" s="197">
        <f t="shared" si="40"/>
        <v>0</v>
      </c>
      <c r="O257" s="197">
        <f t="shared" si="40"/>
        <v>0</v>
      </c>
      <c r="P257" s="197">
        <f t="shared" si="40"/>
        <v>0</v>
      </c>
      <c r="Q257" s="197">
        <f t="shared" si="40"/>
        <v>0</v>
      </c>
      <c r="R257" s="197">
        <f t="shared" si="40"/>
        <v>1</v>
      </c>
      <c r="S257" s="197">
        <f t="shared" si="40"/>
        <v>0</v>
      </c>
      <c r="T257" s="197">
        <f t="shared" si="40"/>
        <v>0</v>
      </c>
      <c r="U257" s="197">
        <f t="shared" si="40"/>
        <v>483</v>
      </c>
      <c r="V257" s="197">
        <f t="shared" si="39"/>
        <v>215</v>
      </c>
      <c r="W257" s="197">
        <f t="shared" si="39"/>
        <v>19</v>
      </c>
      <c r="X257" s="197">
        <f t="shared" si="39"/>
        <v>429</v>
      </c>
      <c r="Y257" s="197">
        <f t="shared" si="39"/>
        <v>145</v>
      </c>
      <c r="Z257" s="197">
        <f t="shared" si="39"/>
        <v>0</v>
      </c>
      <c r="AA257" s="197">
        <f t="shared" si="39"/>
        <v>93</v>
      </c>
      <c r="AB257" s="197">
        <f t="shared" si="39"/>
        <v>0</v>
      </c>
      <c r="AC257" s="197">
        <f t="shared" si="39"/>
        <v>0</v>
      </c>
      <c r="AD257" s="197">
        <f t="shared" si="39"/>
        <v>564</v>
      </c>
      <c r="AE257" s="197">
        <f t="shared" si="39"/>
        <v>233</v>
      </c>
      <c r="AF257" s="197">
        <f t="shared" si="38"/>
        <v>28</v>
      </c>
      <c r="AG257" s="197">
        <f t="shared" si="38"/>
        <v>530</v>
      </c>
      <c r="AH257" s="197">
        <f t="shared" si="38"/>
        <v>250</v>
      </c>
      <c r="AI257" s="197">
        <f t="shared" si="38"/>
        <v>0</v>
      </c>
      <c r="AJ257" s="197">
        <f t="shared" si="38"/>
        <v>137</v>
      </c>
      <c r="AK257" s="197">
        <f t="shared" si="38"/>
        <v>0</v>
      </c>
      <c r="AL257" s="197">
        <f t="shared" si="38"/>
        <v>0</v>
      </c>
    </row>
    <row r="258" spans="1:38">
      <c r="A258" s="11" t="str">
        <f t="shared" si="32"/>
        <v>05-447975732011</v>
      </c>
      <c r="B258" t="s">
        <v>220</v>
      </c>
      <c r="C258" t="s">
        <v>221</v>
      </c>
      <c r="D258">
        <v>2011</v>
      </c>
      <c r="E258" t="s">
        <v>1076</v>
      </c>
      <c r="F258">
        <v>2420.4499999999998</v>
      </c>
      <c r="G258">
        <v>6</v>
      </c>
      <c r="H258" s="11" t="str">
        <f t="shared" ref="H258:H321" si="41">IF(B258=B257,"count","volume")</f>
        <v>count</v>
      </c>
      <c r="I258" s="197" t="s">
        <v>909</v>
      </c>
      <c r="J258" s="197" t="s">
        <v>910</v>
      </c>
      <c r="K258" s="197" t="s">
        <v>146</v>
      </c>
      <c r="L258" s="197">
        <f t="shared" si="40"/>
        <v>0</v>
      </c>
      <c r="M258" s="197">
        <f t="shared" si="40"/>
        <v>0</v>
      </c>
      <c r="N258" s="197">
        <f t="shared" si="40"/>
        <v>0</v>
      </c>
      <c r="O258" s="197">
        <f t="shared" si="40"/>
        <v>0</v>
      </c>
      <c r="P258" s="197">
        <f t="shared" si="40"/>
        <v>0</v>
      </c>
      <c r="Q258" s="197">
        <f t="shared" si="40"/>
        <v>0</v>
      </c>
      <c r="R258" s="197">
        <f t="shared" si="40"/>
        <v>0</v>
      </c>
      <c r="S258" s="197">
        <f t="shared" si="40"/>
        <v>0</v>
      </c>
      <c r="T258" s="197">
        <f t="shared" si="40"/>
        <v>0</v>
      </c>
      <c r="U258" s="197">
        <f t="shared" si="40"/>
        <v>430779.1</v>
      </c>
      <c r="V258" s="197">
        <f t="shared" si="39"/>
        <v>297407.74</v>
      </c>
      <c r="W258" s="197">
        <f t="shared" si="39"/>
        <v>0</v>
      </c>
      <c r="X258" s="197">
        <f t="shared" si="39"/>
        <v>0</v>
      </c>
      <c r="Y258" s="197">
        <f t="shared" si="39"/>
        <v>383959.23</v>
      </c>
      <c r="Z258" s="197">
        <f t="shared" si="39"/>
        <v>0</v>
      </c>
      <c r="AA258" s="197">
        <f t="shared" si="39"/>
        <v>19934.57</v>
      </c>
      <c r="AB258" s="197">
        <f t="shared" si="39"/>
        <v>0</v>
      </c>
      <c r="AC258" s="197">
        <f t="shared" si="39"/>
        <v>0</v>
      </c>
      <c r="AD258" s="197">
        <f t="shared" si="39"/>
        <v>571515.23</v>
      </c>
      <c r="AE258" s="197">
        <f t="shared" si="39"/>
        <v>332372.88</v>
      </c>
      <c r="AF258" s="197">
        <f t="shared" si="38"/>
        <v>0</v>
      </c>
      <c r="AG258" s="197">
        <f t="shared" si="38"/>
        <v>0</v>
      </c>
      <c r="AH258" s="197">
        <f t="shared" si="38"/>
        <v>533979.01</v>
      </c>
      <c r="AI258" s="197">
        <f t="shared" si="38"/>
        <v>0</v>
      </c>
      <c r="AJ258" s="197">
        <f t="shared" si="38"/>
        <v>25137.119999999999</v>
      </c>
      <c r="AK258" s="197">
        <f t="shared" si="38"/>
        <v>0</v>
      </c>
      <c r="AL258" s="197">
        <f t="shared" si="38"/>
        <v>0</v>
      </c>
    </row>
    <row r="259" spans="1:38">
      <c r="A259" s="11" t="str">
        <f t="shared" ref="A259:A322" si="42">B259&amp;D259</f>
        <v>05-447975732011</v>
      </c>
      <c r="B259" t="s">
        <v>220</v>
      </c>
      <c r="C259" t="s">
        <v>221</v>
      </c>
      <c r="D259">
        <v>2011</v>
      </c>
      <c r="E259" t="s">
        <v>106</v>
      </c>
      <c r="F259">
        <v>32280279.949999999</v>
      </c>
      <c r="G259">
        <v>23790</v>
      </c>
      <c r="H259" s="11" t="str">
        <f t="shared" si="41"/>
        <v>count</v>
      </c>
      <c r="I259" s="197" t="s">
        <v>909</v>
      </c>
      <c r="J259" s="197" t="s">
        <v>910</v>
      </c>
      <c r="K259" s="197" t="s">
        <v>145</v>
      </c>
      <c r="L259" s="197">
        <f t="shared" si="40"/>
        <v>0</v>
      </c>
      <c r="M259" s="197">
        <f t="shared" si="40"/>
        <v>0</v>
      </c>
      <c r="N259" s="197">
        <f t="shared" si="40"/>
        <v>0</v>
      </c>
      <c r="O259" s="197">
        <f t="shared" si="40"/>
        <v>0</v>
      </c>
      <c r="P259" s="197">
        <f t="shared" si="40"/>
        <v>0</v>
      </c>
      <c r="Q259" s="197">
        <f t="shared" si="40"/>
        <v>0</v>
      </c>
      <c r="R259" s="197">
        <f t="shared" si="40"/>
        <v>0</v>
      </c>
      <c r="S259" s="197">
        <f t="shared" si="40"/>
        <v>0</v>
      </c>
      <c r="T259" s="197">
        <f t="shared" si="40"/>
        <v>0</v>
      </c>
      <c r="U259" s="197">
        <f t="shared" si="40"/>
        <v>448</v>
      </c>
      <c r="V259" s="197">
        <f t="shared" si="39"/>
        <v>192</v>
      </c>
      <c r="W259" s="197">
        <f t="shared" si="39"/>
        <v>0</v>
      </c>
      <c r="X259" s="197">
        <f t="shared" si="39"/>
        <v>0</v>
      </c>
      <c r="Y259" s="197">
        <f t="shared" si="39"/>
        <v>297</v>
      </c>
      <c r="Z259" s="197">
        <f t="shared" si="39"/>
        <v>0</v>
      </c>
      <c r="AA259" s="197">
        <f t="shared" si="39"/>
        <v>64</v>
      </c>
      <c r="AB259" s="197">
        <f t="shared" si="39"/>
        <v>0</v>
      </c>
      <c r="AC259" s="197">
        <f t="shared" si="39"/>
        <v>0</v>
      </c>
      <c r="AD259" s="197">
        <f t="shared" si="39"/>
        <v>355</v>
      </c>
      <c r="AE259" s="197">
        <f t="shared" si="39"/>
        <v>168</v>
      </c>
      <c r="AF259" s="197">
        <f t="shared" si="38"/>
        <v>0</v>
      </c>
      <c r="AG259" s="197">
        <f t="shared" si="38"/>
        <v>0</v>
      </c>
      <c r="AH259" s="197">
        <f t="shared" si="38"/>
        <v>272</v>
      </c>
      <c r="AI259" s="197">
        <f t="shared" si="38"/>
        <v>0</v>
      </c>
      <c r="AJ259" s="197">
        <f t="shared" si="38"/>
        <v>45</v>
      </c>
      <c r="AK259" s="197">
        <f t="shared" si="38"/>
        <v>0</v>
      </c>
      <c r="AL259" s="197">
        <f t="shared" si="38"/>
        <v>0</v>
      </c>
    </row>
    <row r="260" spans="1:38">
      <c r="A260" s="11" t="str">
        <f t="shared" si="42"/>
        <v>05-447975732012</v>
      </c>
      <c r="B260" t="s">
        <v>220</v>
      </c>
      <c r="C260" t="s">
        <v>221</v>
      </c>
      <c r="D260">
        <v>2012</v>
      </c>
      <c r="E260" t="s">
        <v>69</v>
      </c>
      <c r="F260">
        <v>435320.75</v>
      </c>
      <c r="G260">
        <v>293</v>
      </c>
      <c r="H260" s="11" t="str">
        <f t="shared" si="41"/>
        <v>count</v>
      </c>
      <c r="I260" s="197" t="s">
        <v>914</v>
      </c>
      <c r="J260" s="197" t="s">
        <v>915</v>
      </c>
      <c r="K260" s="197" t="s">
        <v>146</v>
      </c>
      <c r="L260" s="197">
        <f t="shared" si="40"/>
        <v>0</v>
      </c>
      <c r="M260" s="197">
        <f t="shared" si="40"/>
        <v>0</v>
      </c>
      <c r="N260" s="197">
        <f t="shared" si="40"/>
        <v>0</v>
      </c>
      <c r="O260" s="197">
        <f t="shared" si="40"/>
        <v>0</v>
      </c>
      <c r="P260" s="197">
        <f t="shared" si="40"/>
        <v>0</v>
      </c>
      <c r="Q260" s="197">
        <f t="shared" si="40"/>
        <v>0</v>
      </c>
      <c r="R260" s="197">
        <f t="shared" si="40"/>
        <v>0</v>
      </c>
      <c r="S260" s="197">
        <f t="shared" si="40"/>
        <v>0</v>
      </c>
      <c r="T260" s="197">
        <f t="shared" si="40"/>
        <v>0</v>
      </c>
      <c r="U260" s="197">
        <f t="shared" si="40"/>
        <v>80107.69</v>
      </c>
      <c r="V260" s="197">
        <f t="shared" si="39"/>
        <v>62481.72</v>
      </c>
      <c r="W260" s="197">
        <f t="shared" si="39"/>
        <v>9639.75</v>
      </c>
      <c r="X260" s="197">
        <f t="shared" si="39"/>
        <v>0</v>
      </c>
      <c r="Y260" s="197">
        <f t="shared" si="39"/>
        <v>0</v>
      </c>
      <c r="Z260" s="197">
        <f t="shared" si="39"/>
        <v>0</v>
      </c>
      <c r="AA260" s="197">
        <f t="shared" si="39"/>
        <v>42140.46</v>
      </c>
      <c r="AB260" s="197">
        <f t="shared" si="39"/>
        <v>0</v>
      </c>
      <c r="AC260" s="197">
        <f t="shared" si="39"/>
        <v>0</v>
      </c>
      <c r="AD260" s="197">
        <f t="shared" si="39"/>
        <v>252263.49</v>
      </c>
      <c r="AE260" s="197">
        <f t="shared" si="39"/>
        <v>139391.89000000001</v>
      </c>
      <c r="AF260" s="197">
        <f t="shared" si="38"/>
        <v>20104.07</v>
      </c>
      <c r="AG260" s="197">
        <f t="shared" si="38"/>
        <v>2926.24</v>
      </c>
      <c r="AH260" s="197">
        <f t="shared" si="38"/>
        <v>0</v>
      </c>
      <c r="AI260" s="197">
        <f t="shared" si="38"/>
        <v>0</v>
      </c>
      <c r="AJ260" s="197">
        <f t="shared" si="38"/>
        <v>131238.72</v>
      </c>
      <c r="AK260" s="197">
        <f t="shared" si="38"/>
        <v>0</v>
      </c>
      <c r="AL260" s="197">
        <f t="shared" si="38"/>
        <v>0</v>
      </c>
    </row>
    <row r="261" spans="1:38">
      <c r="A261" s="11" t="str">
        <f t="shared" si="42"/>
        <v>05-447975732011</v>
      </c>
      <c r="B261" t="s">
        <v>220</v>
      </c>
      <c r="C261" t="s">
        <v>221</v>
      </c>
      <c r="D261">
        <v>2011</v>
      </c>
      <c r="E261" t="s">
        <v>105</v>
      </c>
      <c r="F261">
        <v>30352.97</v>
      </c>
      <c r="G261">
        <v>19</v>
      </c>
      <c r="H261" s="11" t="str">
        <f t="shared" si="41"/>
        <v>count</v>
      </c>
      <c r="I261" s="197" t="s">
        <v>914</v>
      </c>
      <c r="J261" s="197" t="s">
        <v>915</v>
      </c>
      <c r="K261" s="197" t="s">
        <v>145</v>
      </c>
      <c r="L261" s="197">
        <f t="shared" si="40"/>
        <v>0</v>
      </c>
      <c r="M261" s="197">
        <f t="shared" si="40"/>
        <v>0</v>
      </c>
      <c r="N261" s="197">
        <f t="shared" si="40"/>
        <v>0</v>
      </c>
      <c r="O261" s="197">
        <f t="shared" si="40"/>
        <v>0</v>
      </c>
      <c r="P261" s="197">
        <f t="shared" si="40"/>
        <v>0</v>
      </c>
      <c r="Q261" s="197">
        <f t="shared" si="40"/>
        <v>0</v>
      </c>
      <c r="R261" s="197">
        <f t="shared" si="40"/>
        <v>0</v>
      </c>
      <c r="S261" s="197">
        <f t="shared" si="40"/>
        <v>0</v>
      </c>
      <c r="T261" s="197">
        <f t="shared" si="40"/>
        <v>0</v>
      </c>
      <c r="U261" s="197">
        <f t="shared" si="40"/>
        <v>83</v>
      </c>
      <c r="V261" s="197">
        <f t="shared" si="39"/>
        <v>69</v>
      </c>
      <c r="W261" s="197">
        <f t="shared" si="39"/>
        <v>7</v>
      </c>
      <c r="X261" s="197">
        <f t="shared" si="39"/>
        <v>0</v>
      </c>
      <c r="Y261" s="197">
        <f t="shared" si="39"/>
        <v>0</v>
      </c>
      <c r="Z261" s="197">
        <f t="shared" si="39"/>
        <v>0</v>
      </c>
      <c r="AA261" s="197">
        <f t="shared" si="39"/>
        <v>48</v>
      </c>
      <c r="AB261" s="197">
        <f t="shared" si="39"/>
        <v>0</v>
      </c>
      <c r="AC261" s="197">
        <f t="shared" si="39"/>
        <v>0</v>
      </c>
      <c r="AD261" s="197">
        <f t="shared" si="39"/>
        <v>305</v>
      </c>
      <c r="AE261" s="197">
        <f t="shared" si="39"/>
        <v>163</v>
      </c>
      <c r="AF261" s="197">
        <f t="shared" si="38"/>
        <v>23</v>
      </c>
      <c r="AG261" s="197">
        <f t="shared" si="38"/>
        <v>2</v>
      </c>
      <c r="AH261" s="197">
        <f t="shared" si="38"/>
        <v>0</v>
      </c>
      <c r="AI261" s="197">
        <f t="shared" si="38"/>
        <v>0</v>
      </c>
      <c r="AJ261" s="197">
        <f t="shared" si="38"/>
        <v>180</v>
      </c>
      <c r="AK261" s="197">
        <f t="shared" si="38"/>
        <v>0</v>
      </c>
      <c r="AL261" s="197">
        <f t="shared" si="38"/>
        <v>0</v>
      </c>
    </row>
    <row r="262" spans="1:38">
      <c r="A262" s="11" t="str">
        <f t="shared" si="42"/>
        <v>05-447975732012</v>
      </c>
      <c r="B262" t="s">
        <v>220</v>
      </c>
      <c r="C262" t="s">
        <v>221</v>
      </c>
      <c r="D262">
        <v>2012</v>
      </c>
      <c r="E262" t="s">
        <v>63</v>
      </c>
      <c r="F262">
        <v>852899.28</v>
      </c>
      <c r="G262">
        <v>440</v>
      </c>
      <c r="H262" s="11" t="str">
        <f t="shared" si="41"/>
        <v>count</v>
      </c>
      <c r="I262" s="197" t="s">
        <v>917</v>
      </c>
      <c r="J262" s="197" t="s">
        <v>918</v>
      </c>
      <c r="K262" s="197" t="s">
        <v>146</v>
      </c>
      <c r="L262" s="197">
        <f t="shared" si="40"/>
        <v>0</v>
      </c>
      <c r="M262" s="197">
        <f t="shared" si="40"/>
        <v>0</v>
      </c>
      <c r="N262" s="197">
        <f t="shared" si="40"/>
        <v>0</v>
      </c>
      <c r="O262" s="197">
        <f t="shared" si="40"/>
        <v>0</v>
      </c>
      <c r="P262" s="197">
        <f t="shared" si="40"/>
        <v>0</v>
      </c>
      <c r="Q262" s="197">
        <f t="shared" si="40"/>
        <v>0</v>
      </c>
      <c r="R262" s="197">
        <f t="shared" si="40"/>
        <v>0</v>
      </c>
      <c r="S262" s="197">
        <f t="shared" si="40"/>
        <v>0</v>
      </c>
      <c r="T262" s="197">
        <f t="shared" si="40"/>
        <v>0</v>
      </c>
      <c r="U262" s="197">
        <f t="shared" si="40"/>
        <v>989238.94</v>
      </c>
      <c r="V262" s="197">
        <f t="shared" si="39"/>
        <v>530696.91</v>
      </c>
      <c r="W262" s="197">
        <f t="shared" si="39"/>
        <v>48180.71</v>
      </c>
      <c r="X262" s="197">
        <f t="shared" si="39"/>
        <v>0</v>
      </c>
      <c r="Y262" s="197">
        <f t="shared" si="39"/>
        <v>358464.28</v>
      </c>
      <c r="Z262" s="197">
        <f t="shared" si="39"/>
        <v>0</v>
      </c>
      <c r="AA262" s="197">
        <f t="shared" si="39"/>
        <v>48477.64</v>
      </c>
      <c r="AB262" s="197">
        <f t="shared" si="39"/>
        <v>0</v>
      </c>
      <c r="AC262" s="197">
        <f t="shared" si="39"/>
        <v>0</v>
      </c>
      <c r="AD262" s="197">
        <f t="shared" si="39"/>
        <v>1068340.45</v>
      </c>
      <c r="AE262" s="197">
        <f t="shared" si="39"/>
        <v>547220.4</v>
      </c>
      <c r="AF262" s="197">
        <f t="shared" si="38"/>
        <v>62349.9</v>
      </c>
      <c r="AG262" s="197">
        <f t="shared" si="38"/>
        <v>0</v>
      </c>
      <c r="AH262" s="197">
        <f t="shared" si="38"/>
        <v>383433.71</v>
      </c>
      <c r="AI262" s="197">
        <f t="shared" si="38"/>
        <v>0</v>
      </c>
      <c r="AJ262" s="197">
        <f t="shared" si="38"/>
        <v>36307.480000000003</v>
      </c>
      <c r="AK262" s="197">
        <f t="shared" si="38"/>
        <v>0</v>
      </c>
      <c r="AL262" s="197">
        <f t="shared" si="38"/>
        <v>0</v>
      </c>
    </row>
    <row r="263" spans="1:38">
      <c r="A263" s="11" t="str">
        <f t="shared" si="42"/>
        <v>05-447975732013</v>
      </c>
      <c r="B263" t="s">
        <v>220</v>
      </c>
      <c r="C263" t="s">
        <v>221</v>
      </c>
      <c r="D263">
        <v>2013</v>
      </c>
      <c r="E263" t="s">
        <v>105</v>
      </c>
      <c r="F263">
        <v>33891.629999999997</v>
      </c>
      <c r="G263">
        <v>23</v>
      </c>
      <c r="H263" s="11" t="str">
        <f t="shared" si="41"/>
        <v>count</v>
      </c>
      <c r="I263" s="197" t="s">
        <v>917</v>
      </c>
      <c r="J263" s="197" t="s">
        <v>918</v>
      </c>
      <c r="K263" s="197" t="s">
        <v>145</v>
      </c>
      <c r="L263" s="197">
        <f t="shared" si="40"/>
        <v>0</v>
      </c>
      <c r="M263" s="197">
        <f t="shared" si="40"/>
        <v>0</v>
      </c>
      <c r="N263" s="197">
        <f t="shared" si="40"/>
        <v>0</v>
      </c>
      <c r="O263" s="197">
        <f t="shared" si="40"/>
        <v>0</v>
      </c>
      <c r="P263" s="197">
        <f t="shared" si="40"/>
        <v>0</v>
      </c>
      <c r="Q263" s="197">
        <f t="shared" si="40"/>
        <v>0</v>
      </c>
      <c r="R263" s="197">
        <f t="shared" si="40"/>
        <v>0</v>
      </c>
      <c r="S263" s="197">
        <f t="shared" si="40"/>
        <v>0</v>
      </c>
      <c r="T263" s="197">
        <f t="shared" si="40"/>
        <v>0</v>
      </c>
      <c r="U263" s="197">
        <f t="shared" si="40"/>
        <v>2349</v>
      </c>
      <c r="V263" s="197">
        <f t="shared" si="39"/>
        <v>1268</v>
      </c>
      <c r="W263" s="197">
        <f t="shared" si="39"/>
        <v>113</v>
      </c>
      <c r="X263" s="197">
        <f t="shared" si="39"/>
        <v>0</v>
      </c>
      <c r="Y263" s="197">
        <f t="shared" si="39"/>
        <v>901</v>
      </c>
      <c r="Z263" s="197">
        <f t="shared" si="39"/>
        <v>0</v>
      </c>
      <c r="AA263" s="197">
        <f t="shared" si="39"/>
        <v>129</v>
      </c>
      <c r="AB263" s="197">
        <f t="shared" si="39"/>
        <v>0</v>
      </c>
      <c r="AC263" s="197">
        <f t="shared" si="39"/>
        <v>0</v>
      </c>
      <c r="AD263" s="197">
        <f t="shared" si="39"/>
        <v>2525</v>
      </c>
      <c r="AE263" s="197">
        <f t="shared" si="39"/>
        <v>1336</v>
      </c>
      <c r="AF263" s="197">
        <f t="shared" si="38"/>
        <v>132</v>
      </c>
      <c r="AG263" s="197">
        <f t="shared" si="38"/>
        <v>0</v>
      </c>
      <c r="AH263" s="197">
        <f t="shared" si="38"/>
        <v>939</v>
      </c>
      <c r="AI263" s="197">
        <f t="shared" si="38"/>
        <v>0</v>
      </c>
      <c r="AJ263" s="197">
        <f t="shared" si="38"/>
        <v>72</v>
      </c>
      <c r="AK263" s="197">
        <f t="shared" si="38"/>
        <v>0</v>
      </c>
      <c r="AL263" s="197">
        <f t="shared" si="38"/>
        <v>0</v>
      </c>
    </row>
    <row r="264" spans="1:38">
      <c r="A264" s="11" t="str">
        <f t="shared" si="42"/>
        <v>05-447975732012</v>
      </c>
      <c r="B264" t="s">
        <v>220</v>
      </c>
      <c r="C264" t="s">
        <v>221</v>
      </c>
      <c r="D264">
        <v>2012</v>
      </c>
      <c r="E264" t="s">
        <v>106</v>
      </c>
      <c r="F264">
        <v>37602932.979999997</v>
      </c>
      <c r="G264">
        <v>26522</v>
      </c>
      <c r="H264" s="11" t="str">
        <f t="shared" si="41"/>
        <v>count</v>
      </c>
      <c r="I264" s="197" t="s">
        <v>919</v>
      </c>
      <c r="J264" s="197" t="s">
        <v>920</v>
      </c>
      <c r="K264" s="197" t="s">
        <v>146</v>
      </c>
      <c r="L264" s="197">
        <f t="shared" si="40"/>
        <v>0</v>
      </c>
      <c r="M264" s="197">
        <f t="shared" si="40"/>
        <v>0</v>
      </c>
      <c r="N264" s="197">
        <f t="shared" si="40"/>
        <v>0</v>
      </c>
      <c r="O264" s="197">
        <f t="shared" si="40"/>
        <v>0</v>
      </c>
      <c r="P264" s="197">
        <f t="shared" si="40"/>
        <v>0</v>
      </c>
      <c r="Q264" s="197">
        <f t="shared" si="40"/>
        <v>0</v>
      </c>
      <c r="R264" s="197">
        <f t="shared" si="40"/>
        <v>0</v>
      </c>
      <c r="S264" s="197">
        <f t="shared" si="40"/>
        <v>0</v>
      </c>
      <c r="T264" s="197">
        <f t="shared" si="40"/>
        <v>0</v>
      </c>
      <c r="U264" s="197">
        <f t="shared" si="40"/>
        <v>617079.89</v>
      </c>
      <c r="V264" s="197">
        <f t="shared" si="39"/>
        <v>202746.32</v>
      </c>
      <c r="W264" s="197">
        <f t="shared" si="39"/>
        <v>27297.86</v>
      </c>
      <c r="X264" s="197">
        <f t="shared" si="39"/>
        <v>0</v>
      </c>
      <c r="Y264" s="197">
        <f t="shared" si="39"/>
        <v>0</v>
      </c>
      <c r="Z264" s="197">
        <f t="shared" si="39"/>
        <v>0</v>
      </c>
      <c r="AA264" s="197">
        <f t="shared" si="39"/>
        <v>113391.72</v>
      </c>
      <c r="AB264" s="197">
        <f t="shared" si="39"/>
        <v>0</v>
      </c>
      <c r="AC264" s="197">
        <f t="shared" si="39"/>
        <v>0</v>
      </c>
      <c r="AD264" s="197">
        <f t="shared" si="39"/>
        <v>773279.69</v>
      </c>
      <c r="AE264" s="197">
        <f t="shared" si="39"/>
        <v>296793.13</v>
      </c>
      <c r="AF264" s="197">
        <f t="shared" si="38"/>
        <v>41107.89</v>
      </c>
      <c r="AG264" s="197">
        <f t="shared" si="38"/>
        <v>0</v>
      </c>
      <c r="AH264" s="197">
        <f t="shared" si="38"/>
        <v>0</v>
      </c>
      <c r="AI264" s="197">
        <f t="shared" si="38"/>
        <v>0</v>
      </c>
      <c r="AJ264" s="197">
        <f t="shared" si="38"/>
        <v>178747.72</v>
      </c>
      <c r="AK264" s="197">
        <f t="shared" si="38"/>
        <v>0</v>
      </c>
      <c r="AL264" s="197">
        <f t="shared" si="38"/>
        <v>0</v>
      </c>
    </row>
    <row r="265" spans="1:38">
      <c r="A265" s="11" t="str">
        <f t="shared" si="42"/>
        <v>05-447975732013</v>
      </c>
      <c r="B265" t="s">
        <v>220</v>
      </c>
      <c r="C265" t="s">
        <v>221</v>
      </c>
      <c r="D265">
        <v>2013</v>
      </c>
      <c r="E265" t="s">
        <v>69</v>
      </c>
      <c r="F265">
        <v>781750.54</v>
      </c>
      <c r="G265">
        <v>480</v>
      </c>
      <c r="H265" s="11" t="str">
        <f t="shared" si="41"/>
        <v>count</v>
      </c>
      <c r="I265" s="197" t="s">
        <v>919</v>
      </c>
      <c r="J265" s="197" t="s">
        <v>920</v>
      </c>
      <c r="K265" s="197" t="s">
        <v>145</v>
      </c>
      <c r="L265" s="197">
        <f t="shared" si="40"/>
        <v>0</v>
      </c>
      <c r="M265" s="197">
        <f t="shared" si="40"/>
        <v>0</v>
      </c>
      <c r="N265" s="197">
        <f t="shared" si="40"/>
        <v>0</v>
      </c>
      <c r="O265" s="197">
        <f t="shared" si="40"/>
        <v>0</v>
      </c>
      <c r="P265" s="197">
        <f t="shared" si="40"/>
        <v>0</v>
      </c>
      <c r="Q265" s="197">
        <f t="shared" si="40"/>
        <v>0</v>
      </c>
      <c r="R265" s="197">
        <f t="shared" si="40"/>
        <v>0</v>
      </c>
      <c r="S265" s="197">
        <f t="shared" si="40"/>
        <v>0</v>
      </c>
      <c r="T265" s="197">
        <f t="shared" si="40"/>
        <v>0</v>
      </c>
      <c r="U265" s="197">
        <f t="shared" si="40"/>
        <v>653</v>
      </c>
      <c r="V265" s="197">
        <f t="shared" si="39"/>
        <v>230</v>
      </c>
      <c r="W265" s="197">
        <f t="shared" si="39"/>
        <v>32</v>
      </c>
      <c r="X265" s="197">
        <f t="shared" si="39"/>
        <v>0</v>
      </c>
      <c r="Y265" s="197">
        <f t="shared" si="39"/>
        <v>0</v>
      </c>
      <c r="Z265" s="197">
        <f t="shared" si="39"/>
        <v>0</v>
      </c>
      <c r="AA265" s="197">
        <f t="shared" si="39"/>
        <v>106</v>
      </c>
      <c r="AB265" s="197">
        <f t="shared" si="39"/>
        <v>0</v>
      </c>
      <c r="AC265" s="197">
        <f t="shared" si="39"/>
        <v>0</v>
      </c>
      <c r="AD265" s="197">
        <f t="shared" si="39"/>
        <v>803</v>
      </c>
      <c r="AE265" s="197">
        <f t="shared" si="39"/>
        <v>301</v>
      </c>
      <c r="AF265" s="197">
        <f t="shared" si="38"/>
        <v>41</v>
      </c>
      <c r="AG265" s="197">
        <f t="shared" si="38"/>
        <v>0</v>
      </c>
      <c r="AH265" s="197">
        <f t="shared" si="38"/>
        <v>0</v>
      </c>
      <c r="AI265" s="197">
        <f t="shared" si="38"/>
        <v>0</v>
      </c>
      <c r="AJ265" s="197">
        <f t="shared" si="38"/>
        <v>202</v>
      </c>
      <c r="AK265" s="197">
        <f t="shared" si="38"/>
        <v>0</v>
      </c>
      <c r="AL265" s="197">
        <f t="shared" si="38"/>
        <v>0</v>
      </c>
    </row>
    <row r="266" spans="1:38">
      <c r="A266" s="11" t="str">
        <f t="shared" si="42"/>
        <v>05-447975732012</v>
      </c>
      <c r="B266" t="s">
        <v>220</v>
      </c>
      <c r="C266" t="s">
        <v>221</v>
      </c>
      <c r="D266">
        <v>2012</v>
      </c>
      <c r="E266" t="s">
        <v>1074</v>
      </c>
      <c r="F266">
        <v>11808.95</v>
      </c>
      <c r="G266">
        <v>11</v>
      </c>
      <c r="H266" s="11" t="str">
        <f t="shared" si="41"/>
        <v>count</v>
      </c>
      <c r="I266" s="197" t="s">
        <v>922</v>
      </c>
      <c r="J266" s="197" t="s">
        <v>923</v>
      </c>
      <c r="K266" s="197" t="s">
        <v>146</v>
      </c>
      <c r="L266" s="197">
        <f t="shared" si="40"/>
        <v>0</v>
      </c>
      <c r="M266" s="197">
        <f t="shared" si="40"/>
        <v>0</v>
      </c>
      <c r="N266" s="197">
        <f t="shared" si="40"/>
        <v>0</v>
      </c>
      <c r="O266" s="197">
        <f t="shared" si="40"/>
        <v>0</v>
      </c>
      <c r="P266" s="197">
        <f t="shared" si="40"/>
        <v>0</v>
      </c>
      <c r="Q266" s="197">
        <f t="shared" si="40"/>
        <v>0</v>
      </c>
      <c r="R266" s="197">
        <f t="shared" si="40"/>
        <v>0</v>
      </c>
      <c r="S266" s="197">
        <f t="shared" si="40"/>
        <v>0</v>
      </c>
      <c r="T266" s="197">
        <f t="shared" si="40"/>
        <v>0</v>
      </c>
      <c r="U266" s="197">
        <f t="shared" si="40"/>
        <v>474141.9</v>
      </c>
      <c r="V266" s="197">
        <f t="shared" si="39"/>
        <v>143062.14000000001</v>
      </c>
      <c r="W266" s="197">
        <f t="shared" si="39"/>
        <v>4360.3999999999996</v>
      </c>
      <c r="X266" s="197">
        <f t="shared" si="39"/>
        <v>0</v>
      </c>
      <c r="Y266" s="197">
        <f t="shared" si="39"/>
        <v>64838.6</v>
      </c>
      <c r="Z266" s="197">
        <f t="shared" si="39"/>
        <v>0</v>
      </c>
      <c r="AA266" s="197">
        <f t="shared" si="39"/>
        <v>44531</v>
      </c>
      <c r="AB266" s="197">
        <f t="shared" si="39"/>
        <v>0</v>
      </c>
      <c r="AC266" s="197">
        <f t="shared" si="39"/>
        <v>0</v>
      </c>
      <c r="AD266" s="197">
        <f t="shared" si="39"/>
        <v>451030.51</v>
      </c>
      <c r="AE266" s="197">
        <f t="shared" si="39"/>
        <v>205879.51</v>
      </c>
      <c r="AF266" s="197">
        <f t="shared" si="38"/>
        <v>7910.55</v>
      </c>
      <c r="AG266" s="197">
        <f t="shared" si="38"/>
        <v>0</v>
      </c>
      <c r="AH266" s="197">
        <f t="shared" si="38"/>
        <v>85021.89</v>
      </c>
      <c r="AI266" s="197">
        <f t="shared" si="38"/>
        <v>0</v>
      </c>
      <c r="AJ266" s="197">
        <f t="shared" si="38"/>
        <v>80318.320000000007</v>
      </c>
      <c r="AK266" s="197">
        <f t="shared" si="38"/>
        <v>0</v>
      </c>
      <c r="AL266" s="197">
        <f t="shared" si="38"/>
        <v>0</v>
      </c>
    </row>
    <row r="267" spans="1:38">
      <c r="A267" s="11" t="str">
        <f t="shared" si="42"/>
        <v>05-447975732012</v>
      </c>
      <c r="B267" t="s">
        <v>220</v>
      </c>
      <c r="C267" t="s">
        <v>221</v>
      </c>
      <c r="D267">
        <v>2012</v>
      </c>
      <c r="E267" t="s">
        <v>104</v>
      </c>
      <c r="F267">
        <v>500163.77</v>
      </c>
      <c r="G267">
        <v>263</v>
      </c>
      <c r="H267" s="11" t="str">
        <f t="shared" si="41"/>
        <v>count</v>
      </c>
      <c r="I267" s="197" t="s">
        <v>922</v>
      </c>
      <c r="J267" s="197" t="s">
        <v>923</v>
      </c>
      <c r="K267" s="197" t="s">
        <v>145</v>
      </c>
      <c r="L267" s="197">
        <f t="shared" si="40"/>
        <v>0</v>
      </c>
      <c r="M267" s="197">
        <f t="shared" si="40"/>
        <v>0</v>
      </c>
      <c r="N267" s="197">
        <f t="shared" si="40"/>
        <v>0</v>
      </c>
      <c r="O267" s="197">
        <f t="shared" si="40"/>
        <v>0</v>
      </c>
      <c r="P267" s="197">
        <f t="shared" si="40"/>
        <v>0</v>
      </c>
      <c r="Q267" s="197">
        <f t="shared" si="40"/>
        <v>0</v>
      </c>
      <c r="R267" s="197">
        <f t="shared" si="40"/>
        <v>0</v>
      </c>
      <c r="S267" s="197">
        <f t="shared" si="40"/>
        <v>0</v>
      </c>
      <c r="T267" s="197">
        <f t="shared" si="40"/>
        <v>0</v>
      </c>
      <c r="U267" s="197">
        <f t="shared" si="40"/>
        <v>239</v>
      </c>
      <c r="V267" s="197">
        <f t="shared" si="39"/>
        <v>80</v>
      </c>
      <c r="W267" s="197">
        <f t="shared" si="39"/>
        <v>3</v>
      </c>
      <c r="X267" s="197">
        <f t="shared" si="39"/>
        <v>0</v>
      </c>
      <c r="Y267" s="197">
        <f t="shared" si="39"/>
        <v>30</v>
      </c>
      <c r="Z267" s="197">
        <f t="shared" si="39"/>
        <v>0</v>
      </c>
      <c r="AA267" s="197">
        <f t="shared" si="39"/>
        <v>26</v>
      </c>
      <c r="AB267" s="197">
        <f t="shared" si="39"/>
        <v>0</v>
      </c>
      <c r="AC267" s="197">
        <f t="shared" si="39"/>
        <v>0</v>
      </c>
      <c r="AD267" s="197">
        <f t="shared" si="39"/>
        <v>265</v>
      </c>
      <c r="AE267" s="197">
        <f t="shared" si="39"/>
        <v>105</v>
      </c>
      <c r="AF267" s="197">
        <f t="shared" si="38"/>
        <v>5</v>
      </c>
      <c r="AG267" s="197">
        <f t="shared" si="38"/>
        <v>0</v>
      </c>
      <c r="AH267" s="197">
        <f t="shared" si="38"/>
        <v>54</v>
      </c>
      <c r="AI267" s="197">
        <f t="shared" si="38"/>
        <v>0</v>
      </c>
      <c r="AJ267" s="197">
        <f t="shared" si="38"/>
        <v>57</v>
      </c>
      <c r="AK267" s="197">
        <f t="shared" si="38"/>
        <v>0</v>
      </c>
      <c r="AL267" s="197">
        <f t="shared" si="38"/>
        <v>0</v>
      </c>
    </row>
    <row r="268" spans="1:38">
      <c r="A268" s="11" t="str">
        <f t="shared" si="42"/>
        <v>05-452840522012</v>
      </c>
      <c r="B268" t="s">
        <v>223</v>
      </c>
      <c r="C268" t="s">
        <v>224</v>
      </c>
      <c r="D268">
        <v>2012</v>
      </c>
      <c r="E268" t="s">
        <v>1075</v>
      </c>
      <c r="F268">
        <v>5693.79</v>
      </c>
      <c r="G268">
        <v>8</v>
      </c>
      <c r="H268" s="11" t="str">
        <f t="shared" si="41"/>
        <v>volume</v>
      </c>
      <c r="I268" s="197" t="s">
        <v>924</v>
      </c>
      <c r="J268" s="197" t="s">
        <v>925</v>
      </c>
      <c r="K268" s="197" t="s">
        <v>146</v>
      </c>
      <c r="L268" s="197">
        <f t="shared" si="40"/>
        <v>0</v>
      </c>
      <c r="M268" s="197">
        <f t="shared" si="40"/>
        <v>0</v>
      </c>
      <c r="N268" s="197">
        <f t="shared" si="40"/>
        <v>0</v>
      </c>
      <c r="O268" s="197">
        <f t="shared" si="40"/>
        <v>0</v>
      </c>
      <c r="P268" s="197">
        <f t="shared" si="40"/>
        <v>0</v>
      </c>
      <c r="Q268" s="197">
        <f t="shared" si="40"/>
        <v>0</v>
      </c>
      <c r="R268" s="197">
        <f t="shared" si="40"/>
        <v>0</v>
      </c>
      <c r="S268" s="197">
        <f t="shared" si="40"/>
        <v>0</v>
      </c>
      <c r="T268" s="197">
        <f t="shared" si="40"/>
        <v>0</v>
      </c>
      <c r="U268" s="197">
        <f t="shared" si="40"/>
        <v>1011511.98</v>
      </c>
      <c r="V268" s="197">
        <f t="shared" si="39"/>
        <v>571591.22</v>
      </c>
      <c r="W268" s="197">
        <f t="shared" si="39"/>
        <v>80126.789999999994</v>
      </c>
      <c r="X268" s="197">
        <f t="shared" si="39"/>
        <v>0</v>
      </c>
      <c r="Y268" s="197">
        <f t="shared" si="39"/>
        <v>1133125.82</v>
      </c>
      <c r="Z268" s="197">
        <f t="shared" si="39"/>
        <v>0</v>
      </c>
      <c r="AA268" s="197">
        <f t="shared" si="39"/>
        <v>144698.12</v>
      </c>
      <c r="AB268" s="197">
        <f t="shared" si="39"/>
        <v>0</v>
      </c>
      <c r="AC268" s="197">
        <f t="shared" si="39"/>
        <v>0</v>
      </c>
      <c r="AD268" s="197">
        <f t="shared" si="39"/>
        <v>728014.83</v>
      </c>
      <c r="AE268" s="197">
        <f t="shared" si="39"/>
        <v>379176.89</v>
      </c>
      <c r="AF268" s="197">
        <f t="shared" si="38"/>
        <v>39106.43</v>
      </c>
      <c r="AG268" s="197">
        <f t="shared" si="38"/>
        <v>0</v>
      </c>
      <c r="AH268" s="197">
        <f t="shared" si="38"/>
        <v>752483.91</v>
      </c>
      <c r="AI268" s="197">
        <f t="shared" si="38"/>
        <v>0</v>
      </c>
      <c r="AJ268" s="197">
        <f t="shared" si="38"/>
        <v>65764.02</v>
      </c>
      <c r="AK268" s="197">
        <f t="shared" si="38"/>
        <v>0</v>
      </c>
      <c r="AL268" s="197">
        <f t="shared" si="38"/>
        <v>0</v>
      </c>
    </row>
    <row r="269" spans="1:38">
      <c r="A269" s="11" t="str">
        <f t="shared" si="42"/>
        <v>05-452840522013</v>
      </c>
      <c r="B269" t="s">
        <v>223</v>
      </c>
      <c r="C269" t="s">
        <v>224</v>
      </c>
      <c r="D269">
        <v>2013</v>
      </c>
      <c r="E269" t="s">
        <v>106</v>
      </c>
      <c r="F269">
        <v>3926137.18</v>
      </c>
      <c r="G269">
        <v>2021</v>
      </c>
      <c r="H269" s="11" t="str">
        <f t="shared" si="41"/>
        <v>count</v>
      </c>
      <c r="I269" s="197" t="s">
        <v>924</v>
      </c>
      <c r="J269" s="197" t="s">
        <v>925</v>
      </c>
      <c r="K269" s="197" t="s">
        <v>145</v>
      </c>
      <c r="L269" s="197">
        <f t="shared" si="40"/>
        <v>0</v>
      </c>
      <c r="M269" s="197">
        <f t="shared" si="40"/>
        <v>0</v>
      </c>
      <c r="N269" s="197">
        <f t="shared" si="40"/>
        <v>0</v>
      </c>
      <c r="O269" s="197">
        <f t="shared" si="40"/>
        <v>0</v>
      </c>
      <c r="P269" s="197">
        <f t="shared" si="40"/>
        <v>0</v>
      </c>
      <c r="Q269" s="197">
        <f t="shared" si="40"/>
        <v>0</v>
      </c>
      <c r="R269" s="197">
        <f t="shared" si="40"/>
        <v>0</v>
      </c>
      <c r="S269" s="197">
        <f t="shared" si="40"/>
        <v>0</v>
      </c>
      <c r="T269" s="197">
        <f t="shared" si="40"/>
        <v>0</v>
      </c>
      <c r="U269" s="197">
        <f t="shared" si="40"/>
        <v>1401</v>
      </c>
      <c r="V269" s="197">
        <f t="shared" si="39"/>
        <v>659</v>
      </c>
      <c r="W269" s="197">
        <f t="shared" si="39"/>
        <v>100</v>
      </c>
      <c r="X269" s="197">
        <f t="shared" si="39"/>
        <v>0</v>
      </c>
      <c r="Y269" s="197">
        <f t="shared" si="39"/>
        <v>855</v>
      </c>
      <c r="Z269" s="197">
        <f t="shared" si="39"/>
        <v>0</v>
      </c>
      <c r="AA269" s="197">
        <f t="shared" si="39"/>
        <v>328</v>
      </c>
      <c r="AB269" s="197">
        <f t="shared" si="39"/>
        <v>0</v>
      </c>
      <c r="AC269" s="197">
        <f t="shared" si="39"/>
        <v>0</v>
      </c>
      <c r="AD269" s="197">
        <f t="shared" si="39"/>
        <v>934</v>
      </c>
      <c r="AE269" s="197">
        <f t="shared" si="39"/>
        <v>426</v>
      </c>
      <c r="AF269" s="197">
        <f t="shared" si="38"/>
        <v>68</v>
      </c>
      <c r="AG269" s="197">
        <f t="shared" si="38"/>
        <v>0</v>
      </c>
      <c r="AH269" s="197">
        <f t="shared" si="38"/>
        <v>582</v>
      </c>
      <c r="AI269" s="197">
        <f t="shared" si="38"/>
        <v>0</v>
      </c>
      <c r="AJ269" s="197">
        <f t="shared" si="38"/>
        <v>185</v>
      </c>
      <c r="AK269" s="197">
        <f t="shared" si="38"/>
        <v>0</v>
      </c>
      <c r="AL269" s="197">
        <f t="shared" si="38"/>
        <v>0</v>
      </c>
    </row>
    <row r="270" spans="1:38">
      <c r="A270" s="11" t="str">
        <f t="shared" si="42"/>
        <v>05-452840522013</v>
      </c>
      <c r="B270" t="s">
        <v>223</v>
      </c>
      <c r="C270" t="s">
        <v>224</v>
      </c>
      <c r="D270">
        <v>2013</v>
      </c>
      <c r="E270" t="s">
        <v>104</v>
      </c>
      <c r="F270">
        <v>29362.58</v>
      </c>
      <c r="G270">
        <v>44</v>
      </c>
      <c r="H270" s="11" t="str">
        <f t="shared" si="41"/>
        <v>count</v>
      </c>
      <c r="I270" s="197" t="s">
        <v>932</v>
      </c>
      <c r="J270" s="197" t="s">
        <v>933</v>
      </c>
      <c r="K270" s="197" t="s">
        <v>146</v>
      </c>
      <c r="L270" s="197">
        <f t="shared" si="40"/>
        <v>2997591.74</v>
      </c>
      <c r="M270" s="197">
        <f t="shared" si="40"/>
        <v>825874.51</v>
      </c>
      <c r="N270" s="197">
        <f t="shared" si="40"/>
        <v>0</v>
      </c>
      <c r="O270" s="197">
        <f t="shared" si="40"/>
        <v>686598.69</v>
      </c>
      <c r="P270" s="197">
        <f t="shared" si="40"/>
        <v>54247.28</v>
      </c>
      <c r="Q270" s="197">
        <f t="shared" si="40"/>
        <v>2341930.5</v>
      </c>
      <c r="R270" s="197">
        <f t="shared" si="40"/>
        <v>0</v>
      </c>
      <c r="S270" s="197">
        <f t="shared" si="40"/>
        <v>0</v>
      </c>
      <c r="T270" s="197">
        <f t="shared" si="40"/>
        <v>0</v>
      </c>
      <c r="U270" s="197">
        <f t="shared" si="40"/>
        <v>3313054.5</v>
      </c>
      <c r="V270" s="197">
        <f t="shared" si="39"/>
        <v>1825094.01</v>
      </c>
      <c r="W270" s="197">
        <f t="shared" si="39"/>
        <v>78376.11</v>
      </c>
      <c r="X270" s="197">
        <f t="shared" si="39"/>
        <v>3685701.78</v>
      </c>
      <c r="Y270" s="197">
        <f t="shared" si="39"/>
        <v>27900.86</v>
      </c>
      <c r="Z270" s="197">
        <f t="shared" si="39"/>
        <v>10033214.65</v>
      </c>
      <c r="AA270" s="197">
        <f t="shared" si="39"/>
        <v>7958532.8700000001</v>
      </c>
      <c r="AB270" s="197">
        <f t="shared" si="39"/>
        <v>0</v>
      </c>
      <c r="AC270" s="197">
        <f t="shared" si="39"/>
        <v>0</v>
      </c>
      <c r="AD270" s="197">
        <f t="shared" si="39"/>
        <v>719786.14</v>
      </c>
      <c r="AE270" s="197">
        <f t="shared" si="39"/>
        <v>700844.7</v>
      </c>
      <c r="AF270" s="197">
        <f t="shared" si="38"/>
        <v>81276.160000000003</v>
      </c>
      <c r="AG270" s="197">
        <f t="shared" si="38"/>
        <v>4142591.87</v>
      </c>
      <c r="AH270" s="197">
        <f t="shared" si="38"/>
        <v>0</v>
      </c>
      <c r="AI270" s="197">
        <f t="shared" si="38"/>
        <v>11897425.890000001</v>
      </c>
      <c r="AJ270" s="197">
        <f t="shared" si="38"/>
        <v>15665913.98</v>
      </c>
      <c r="AK270" s="197">
        <f t="shared" si="38"/>
        <v>0</v>
      </c>
      <c r="AL270" s="197">
        <f t="shared" si="38"/>
        <v>0</v>
      </c>
    </row>
    <row r="271" spans="1:38">
      <c r="A271" s="11" t="str">
        <f t="shared" si="42"/>
        <v>05-452840522013</v>
      </c>
      <c r="B271" t="s">
        <v>223</v>
      </c>
      <c r="C271" t="s">
        <v>224</v>
      </c>
      <c r="D271">
        <v>2013</v>
      </c>
      <c r="E271" t="s">
        <v>63</v>
      </c>
      <c r="F271">
        <v>51378.57</v>
      </c>
      <c r="G271">
        <v>44</v>
      </c>
      <c r="H271" s="11" t="str">
        <f t="shared" si="41"/>
        <v>count</v>
      </c>
      <c r="I271" s="197" t="s">
        <v>932</v>
      </c>
      <c r="J271" s="197" t="s">
        <v>933</v>
      </c>
      <c r="K271" s="197" t="s">
        <v>145</v>
      </c>
      <c r="L271" s="197">
        <f t="shared" si="40"/>
        <v>5252</v>
      </c>
      <c r="M271" s="197">
        <f t="shared" si="40"/>
        <v>1347</v>
      </c>
      <c r="N271" s="197">
        <f t="shared" si="40"/>
        <v>0</v>
      </c>
      <c r="O271" s="197">
        <f t="shared" si="40"/>
        <v>992</v>
      </c>
      <c r="P271" s="197">
        <f t="shared" si="40"/>
        <v>92</v>
      </c>
      <c r="Q271" s="197">
        <f t="shared" si="40"/>
        <v>4525</v>
      </c>
      <c r="R271" s="197">
        <f t="shared" si="40"/>
        <v>0</v>
      </c>
      <c r="S271" s="197">
        <f t="shared" si="40"/>
        <v>0</v>
      </c>
      <c r="T271" s="197">
        <f t="shared" si="40"/>
        <v>0</v>
      </c>
      <c r="U271" s="197">
        <f t="shared" si="40"/>
        <v>5950</v>
      </c>
      <c r="V271" s="197">
        <f t="shared" si="39"/>
        <v>3272</v>
      </c>
      <c r="W271" s="197">
        <f t="shared" si="39"/>
        <v>148</v>
      </c>
      <c r="X271" s="197">
        <f t="shared" si="39"/>
        <v>5525</v>
      </c>
      <c r="Y271" s="197">
        <f t="shared" si="39"/>
        <v>52</v>
      </c>
      <c r="Z271" s="197">
        <f t="shared" si="39"/>
        <v>18711</v>
      </c>
      <c r="AA271" s="197">
        <f t="shared" si="39"/>
        <v>14282</v>
      </c>
      <c r="AB271" s="197">
        <f t="shared" si="39"/>
        <v>0</v>
      </c>
      <c r="AC271" s="197">
        <f t="shared" si="39"/>
        <v>0</v>
      </c>
      <c r="AD271" s="197">
        <f t="shared" si="39"/>
        <v>1446</v>
      </c>
      <c r="AE271" s="197">
        <f t="shared" si="39"/>
        <v>1431</v>
      </c>
      <c r="AF271" s="197">
        <f t="shared" si="38"/>
        <v>169</v>
      </c>
      <c r="AG271" s="197">
        <f t="shared" si="38"/>
        <v>6037</v>
      </c>
      <c r="AH271" s="197">
        <f t="shared" si="38"/>
        <v>0</v>
      </c>
      <c r="AI271" s="197">
        <f t="shared" si="38"/>
        <v>21914</v>
      </c>
      <c r="AJ271" s="197">
        <f t="shared" si="38"/>
        <v>27146</v>
      </c>
      <c r="AK271" s="197">
        <f t="shared" si="38"/>
        <v>0</v>
      </c>
      <c r="AL271" s="197">
        <f t="shared" si="38"/>
        <v>0</v>
      </c>
    </row>
    <row r="272" spans="1:38">
      <c r="A272" s="11" t="str">
        <f t="shared" si="42"/>
        <v>05-452840522011</v>
      </c>
      <c r="B272" t="s">
        <v>223</v>
      </c>
      <c r="C272" t="s">
        <v>224</v>
      </c>
      <c r="D272">
        <v>2011</v>
      </c>
      <c r="E272" t="s">
        <v>69</v>
      </c>
      <c r="F272">
        <v>464.95</v>
      </c>
      <c r="G272">
        <v>1</v>
      </c>
      <c r="H272" s="11" t="str">
        <f t="shared" si="41"/>
        <v>count</v>
      </c>
      <c r="I272" s="197" t="s">
        <v>934</v>
      </c>
      <c r="J272" s="197" t="s">
        <v>935</v>
      </c>
      <c r="K272" s="197" t="s">
        <v>146</v>
      </c>
      <c r="L272" s="197">
        <f t="shared" si="40"/>
        <v>0</v>
      </c>
      <c r="M272" s="197">
        <f t="shared" si="40"/>
        <v>0</v>
      </c>
      <c r="N272" s="197">
        <f t="shared" si="40"/>
        <v>0</v>
      </c>
      <c r="O272" s="197">
        <f t="shared" si="40"/>
        <v>0</v>
      </c>
      <c r="P272" s="197">
        <f t="shared" si="40"/>
        <v>0</v>
      </c>
      <c r="Q272" s="197">
        <f t="shared" si="40"/>
        <v>0</v>
      </c>
      <c r="R272" s="197">
        <f t="shared" si="40"/>
        <v>0</v>
      </c>
      <c r="S272" s="197">
        <f t="shared" si="40"/>
        <v>0</v>
      </c>
      <c r="T272" s="197">
        <f t="shared" si="40"/>
        <v>0</v>
      </c>
      <c r="U272" s="197">
        <f t="shared" si="40"/>
        <v>3703669.78</v>
      </c>
      <c r="V272" s="197">
        <f t="shared" si="39"/>
        <v>1069113.27</v>
      </c>
      <c r="W272" s="197">
        <f t="shared" si="39"/>
        <v>396463.65</v>
      </c>
      <c r="X272" s="197">
        <f t="shared" si="39"/>
        <v>0</v>
      </c>
      <c r="Y272" s="197">
        <f t="shared" si="39"/>
        <v>0</v>
      </c>
      <c r="Z272" s="197">
        <f t="shared" si="39"/>
        <v>0</v>
      </c>
      <c r="AA272" s="197">
        <f t="shared" si="39"/>
        <v>915462.78</v>
      </c>
      <c r="AB272" s="197">
        <f t="shared" si="39"/>
        <v>0</v>
      </c>
      <c r="AC272" s="197">
        <f t="shared" si="39"/>
        <v>0</v>
      </c>
      <c r="AD272" s="197">
        <f t="shared" si="39"/>
        <v>3975086.73</v>
      </c>
      <c r="AE272" s="197">
        <f t="shared" si="39"/>
        <v>1154903.94</v>
      </c>
      <c r="AF272" s="197">
        <f t="shared" si="38"/>
        <v>464105.98</v>
      </c>
      <c r="AG272" s="197">
        <f t="shared" si="38"/>
        <v>0</v>
      </c>
      <c r="AH272" s="197">
        <f t="shared" si="38"/>
        <v>0</v>
      </c>
      <c r="AI272" s="197">
        <f t="shared" si="38"/>
        <v>0</v>
      </c>
      <c r="AJ272" s="197">
        <f t="shared" si="38"/>
        <v>1233592.1200000001</v>
      </c>
      <c r="AK272" s="197">
        <f t="shared" si="38"/>
        <v>0</v>
      </c>
      <c r="AL272" s="197">
        <f t="shared" si="38"/>
        <v>0</v>
      </c>
    </row>
    <row r="273" spans="1:38">
      <c r="A273" s="11" t="str">
        <f t="shared" si="42"/>
        <v>05-452840522012</v>
      </c>
      <c r="B273" t="s">
        <v>223</v>
      </c>
      <c r="C273" t="s">
        <v>224</v>
      </c>
      <c r="D273">
        <v>2012</v>
      </c>
      <c r="E273" t="s">
        <v>1076</v>
      </c>
      <c r="F273">
        <v>532.20000000000005</v>
      </c>
      <c r="G273">
        <v>1</v>
      </c>
      <c r="H273" s="11" t="str">
        <f t="shared" si="41"/>
        <v>count</v>
      </c>
      <c r="I273" s="197" t="s">
        <v>934</v>
      </c>
      <c r="J273" s="197" t="s">
        <v>935</v>
      </c>
      <c r="K273" s="197" t="s">
        <v>145</v>
      </c>
      <c r="L273" s="197">
        <f t="shared" si="40"/>
        <v>0</v>
      </c>
      <c r="M273" s="197">
        <f t="shared" si="40"/>
        <v>0</v>
      </c>
      <c r="N273" s="197">
        <f t="shared" si="40"/>
        <v>0</v>
      </c>
      <c r="O273" s="197">
        <f t="shared" si="40"/>
        <v>0</v>
      </c>
      <c r="P273" s="197">
        <f t="shared" si="40"/>
        <v>0</v>
      </c>
      <c r="Q273" s="197">
        <f t="shared" si="40"/>
        <v>0</v>
      </c>
      <c r="R273" s="197">
        <f t="shared" si="40"/>
        <v>0</v>
      </c>
      <c r="S273" s="197">
        <f t="shared" si="40"/>
        <v>0</v>
      </c>
      <c r="T273" s="197">
        <f t="shared" si="40"/>
        <v>0</v>
      </c>
      <c r="U273" s="197">
        <f t="shared" si="40"/>
        <v>9182</v>
      </c>
      <c r="V273" s="197">
        <f t="shared" si="39"/>
        <v>2779</v>
      </c>
      <c r="W273" s="197">
        <f t="shared" si="39"/>
        <v>981</v>
      </c>
      <c r="X273" s="197">
        <f t="shared" si="39"/>
        <v>0</v>
      </c>
      <c r="Y273" s="197">
        <f t="shared" si="39"/>
        <v>0</v>
      </c>
      <c r="Z273" s="197">
        <f t="shared" si="39"/>
        <v>0</v>
      </c>
      <c r="AA273" s="197">
        <f t="shared" si="39"/>
        <v>2936</v>
      </c>
      <c r="AB273" s="197">
        <f t="shared" si="39"/>
        <v>0</v>
      </c>
      <c r="AC273" s="197">
        <f t="shared" si="39"/>
        <v>0</v>
      </c>
      <c r="AD273" s="197">
        <f t="shared" si="39"/>
        <v>9553</v>
      </c>
      <c r="AE273" s="197">
        <f t="shared" si="39"/>
        <v>2805</v>
      </c>
      <c r="AF273" s="197">
        <f t="shared" si="38"/>
        <v>1104</v>
      </c>
      <c r="AG273" s="197">
        <f t="shared" si="38"/>
        <v>0</v>
      </c>
      <c r="AH273" s="197">
        <f t="shared" si="38"/>
        <v>0</v>
      </c>
      <c r="AI273" s="197">
        <f t="shared" si="38"/>
        <v>0</v>
      </c>
      <c r="AJ273" s="197">
        <f t="shared" si="38"/>
        <v>3682</v>
      </c>
      <c r="AK273" s="197">
        <f t="shared" si="38"/>
        <v>0</v>
      </c>
      <c r="AL273" s="197">
        <f t="shared" si="38"/>
        <v>0</v>
      </c>
    </row>
    <row r="274" spans="1:38">
      <c r="A274" s="11" t="str">
        <f t="shared" si="42"/>
        <v>05-452840522011</v>
      </c>
      <c r="B274" t="s">
        <v>223</v>
      </c>
      <c r="C274" t="s">
        <v>224</v>
      </c>
      <c r="D274">
        <v>2011</v>
      </c>
      <c r="E274" t="s">
        <v>63</v>
      </c>
      <c r="F274">
        <v>20653.150000000001</v>
      </c>
      <c r="G274">
        <v>36</v>
      </c>
      <c r="H274" s="11" t="str">
        <f t="shared" si="41"/>
        <v>count</v>
      </c>
      <c r="I274" s="197" t="s">
        <v>941</v>
      </c>
      <c r="J274" s="197" t="s">
        <v>942</v>
      </c>
      <c r="K274" s="197" t="s">
        <v>146</v>
      </c>
      <c r="L274" s="197">
        <f t="shared" si="40"/>
        <v>0</v>
      </c>
      <c r="M274" s="197">
        <f t="shared" si="40"/>
        <v>0</v>
      </c>
      <c r="N274" s="197">
        <f t="shared" si="40"/>
        <v>0</v>
      </c>
      <c r="O274" s="197">
        <f t="shared" si="40"/>
        <v>0</v>
      </c>
      <c r="P274" s="197">
        <f t="shared" si="40"/>
        <v>0</v>
      </c>
      <c r="Q274" s="197">
        <f t="shared" si="40"/>
        <v>0</v>
      </c>
      <c r="R274" s="197">
        <f t="shared" si="40"/>
        <v>0</v>
      </c>
      <c r="S274" s="197">
        <f t="shared" si="40"/>
        <v>0</v>
      </c>
      <c r="T274" s="197">
        <f t="shared" si="40"/>
        <v>0</v>
      </c>
      <c r="U274" s="197">
        <f t="shared" si="40"/>
        <v>37193.519999999997</v>
      </c>
      <c r="V274" s="197">
        <f t="shared" si="39"/>
        <v>29057.3</v>
      </c>
      <c r="W274" s="197">
        <f t="shared" si="39"/>
        <v>8665.08</v>
      </c>
      <c r="X274" s="197">
        <f t="shared" si="39"/>
        <v>824025.39</v>
      </c>
      <c r="Y274" s="197">
        <f t="shared" si="39"/>
        <v>0</v>
      </c>
      <c r="Z274" s="197">
        <f t="shared" si="39"/>
        <v>0</v>
      </c>
      <c r="AA274" s="197">
        <f t="shared" si="39"/>
        <v>61230.85</v>
      </c>
      <c r="AB274" s="197">
        <f t="shared" si="39"/>
        <v>0</v>
      </c>
      <c r="AC274" s="197">
        <f t="shared" si="39"/>
        <v>0</v>
      </c>
      <c r="AD274" s="197">
        <f t="shared" si="39"/>
        <v>69557</v>
      </c>
      <c r="AE274" s="197">
        <f t="shared" si="39"/>
        <v>62847.6</v>
      </c>
      <c r="AF274" s="197">
        <f t="shared" si="38"/>
        <v>6004.47</v>
      </c>
      <c r="AG274" s="197">
        <f t="shared" si="38"/>
        <v>1215833.8799999999</v>
      </c>
      <c r="AH274" s="197">
        <f t="shared" si="38"/>
        <v>0</v>
      </c>
      <c r="AI274" s="197">
        <f t="shared" si="38"/>
        <v>0</v>
      </c>
      <c r="AJ274" s="197">
        <f t="shared" si="38"/>
        <v>224782.14</v>
      </c>
      <c r="AK274" s="197">
        <f t="shared" si="38"/>
        <v>0</v>
      </c>
      <c r="AL274" s="197">
        <f t="shared" si="38"/>
        <v>0</v>
      </c>
    </row>
    <row r="275" spans="1:38">
      <c r="A275" s="11" t="str">
        <f t="shared" si="42"/>
        <v>05-452840522011</v>
      </c>
      <c r="B275" t="s">
        <v>223</v>
      </c>
      <c r="C275" t="s">
        <v>224</v>
      </c>
      <c r="D275">
        <v>2011</v>
      </c>
      <c r="E275" t="s">
        <v>1074</v>
      </c>
      <c r="F275">
        <v>1734.8</v>
      </c>
      <c r="G275">
        <v>4</v>
      </c>
      <c r="H275" s="11" t="str">
        <f t="shared" si="41"/>
        <v>count</v>
      </c>
      <c r="I275" s="197" t="s">
        <v>941</v>
      </c>
      <c r="J275" s="197" t="s">
        <v>942</v>
      </c>
      <c r="K275" s="197" t="s">
        <v>145</v>
      </c>
      <c r="L275" s="197">
        <f t="shared" si="40"/>
        <v>0</v>
      </c>
      <c r="M275" s="197">
        <f t="shared" si="40"/>
        <v>0</v>
      </c>
      <c r="N275" s="197">
        <f t="shared" si="40"/>
        <v>0</v>
      </c>
      <c r="O275" s="197">
        <f t="shared" si="40"/>
        <v>0</v>
      </c>
      <c r="P275" s="197">
        <f t="shared" si="40"/>
        <v>0</v>
      </c>
      <c r="Q275" s="197">
        <f t="shared" si="40"/>
        <v>0</v>
      </c>
      <c r="R275" s="197">
        <f t="shared" si="40"/>
        <v>0</v>
      </c>
      <c r="S275" s="197">
        <f t="shared" si="40"/>
        <v>0</v>
      </c>
      <c r="T275" s="197">
        <f t="shared" si="40"/>
        <v>0</v>
      </c>
      <c r="U275" s="197">
        <f t="shared" si="40"/>
        <v>37</v>
      </c>
      <c r="V275" s="197">
        <f t="shared" si="39"/>
        <v>43</v>
      </c>
      <c r="W275" s="197">
        <f t="shared" si="39"/>
        <v>11</v>
      </c>
      <c r="X275" s="197">
        <f t="shared" si="39"/>
        <v>1067</v>
      </c>
      <c r="Y275" s="197">
        <f t="shared" si="39"/>
        <v>0</v>
      </c>
      <c r="Z275" s="197">
        <f t="shared" si="39"/>
        <v>0</v>
      </c>
      <c r="AA275" s="197">
        <f t="shared" si="39"/>
        <v>78</v>
      </c>
      <c r="AB275" s="197">
        <f t="shared" si="39"/>
        <v>0</v>
      </c>
      <c r="AC275" s="197">
        <f t="shared" si="39"/>
        <v>0</v>
      </c>
      <c r="AD275" s="197">
        <f t="shared" si="39"/>
        <v>81</v>
      </c>
      <c r="AE275" s="197">
        <f t="shared" si="39"/>
        <v>81</v>
      </c>
      <c r="AF275" s="197">
        <f t="shared" si="38"/>
        <v>8</v>
      </c>
      <c r="AG275" s="197">
        <f t="shared" si="38"/>
        <v>1567</v>
      </c>
      <c r="AH275" s="197">
        <f t="shared" si="38"/>
        <v>0</v>
      </c>
      <c r="AI275" s="197">
        <f t="shared" si="38"/>
        <v>0</v>
      </c>
      <c r="AJ275" s="197">
        <f t="shared" si="38"/>
        <v>325</v>
      </c>
      <c r="AK275" s="197">
        <f t="shared" si="38"/>
        <v>0</v>
      </c>
      <c r="AL275" s="197">
        <f t="shared" si="38"/>
        <v>0</v>
      </c>
    </row>
    <row r="276" spans="1:38">
      <c r="A276" s="11" t="str">
        <f t="shared" si="42"/>
        <v>05-452840522012</v>
      </c>
      <c r="B276" t="s">
        <v>223</v>
      </c>
      <c r="C276" t="s">
        <v>224</v>
      </c>
      <c r="D276">
        <v>2012</v>
      </c>
      <c r="E276" t="s">
        <v>105</v>
      </c>
      <c r="F276">
        <v>4728.7299999999996</v>
      </c>
      <c r="G276">
        <v>8</v>
      </c>
      <c r="H276" s="11" t="str">
        <f t="shared" si="41"/>
        <v>count</v>
      </c>
      <c r="I276" s="197" t="s">
        <v>952</v>
      </c>
      <c r="J276" s="197" t="s">
        <v>953</v>
      </c>
      <c r="K276" s="197" t="s">
        <v>146</v>
      </c>
      <c r="L276" s="197">
        <f t="shared" si="40"/>
        <v>0</v>
      </c>
      <c r="M276" s="197">
        <f t="shared" si="40"/>
        <v>0</v>
      </c>
      <c r="N276" s="197">
        <f t="shared" si="40"/>
        <v>0</v>
      </c>
      <c r="O276" s="197">
        <f t="shared" si="40"/>
        <v>0</v>
      </c>
      <c r="P276" s="197">
        <f t="shared" si="40"/>
        <v>0</v>
      </c>
      <c r="Q276" s="197">
        <f t="shared" si="40"/>
        <v>0</v>
      </c>
      <c r="R276" s="197">
        <f t="shared" si="40"/>
        <v>0</v>
      </c>
      <c r="S276" s="197">
        <f t="shared" si="40"/>
        <v>0</v>
      </c>
      <c r="T276" s="197">
        <f t="shared" si="40"/>
        <v>0</v>
      </c>
      <c r="U276" s="197">
        <f t="shared" si="40"/>
        <v>12903.44</v>
      </c>
      <c r="V276" s="197">
        <f t="shared" si="39"/>
        <v>5291.89</v>
      </c>
      <c r="W276" s="197">
        <f t="shared" si="39"/>
        <v>1128.27</v>
      </c>
      <c r="X276" s="197">
        <f t="shared" si="39"/>
        <v>0</v>
      </c>
      <c r="Y276" s="197">
        <f t="shared" si="39"/>
        <v>0</v>
      </c>
      <c r="Z276" s="197">
        <f t="shared" si="39"/>
        <v>0</v>
      </c>
      <c r="AA276" s="197">
        <f t="shared" si="39"/>
        <v>10654.2</v>
      </c>
      <c r="AB276" s="197">
        <f t="shared" si="39"/>
        <v>0</v>
      </c>
      <c r="AC276" s="197">
        <f t="shared" si="39"/>
        <v>0</v>
      </c>
      <c r="AD276" s="197">
        <f t="shared" si="39"/>
        <v>20619.419999999998</v>
      </c>
      <c r="AE276" s="197">
        <f t="shared" si="39"/>
        <v>6806.3</v>
      </c>
      <c r="AF276" s="197">
        <f t="shared" si="38"/>
        <v>1007.5</v>
      </c>
      <c r="AG276" s="197">
        <f t="shared" si="38"/>
        <v>0</v>
      </c>
      <c r="AH276" s="197">
        <f t="shared" si="38"/>
        <v>0</v>
      </c>
      <c r="AI276" s="197">
        <f t="shared" si="38"/>
        <v>0</v>
      </c>
      <c r="AJ276" s="197">
        <f t="shared" si="38"/>
        <v>10815.2</v>
      </c>
      <c r="AK276" s="197">
        <f t="shared" si="38"/>
        <v>0</v>
      </c>
      <c r="AL276" s="197">
        <f t="shared" si="38"/>
        <v>0</v>
      </c>
    </row>
    <row r="277" spans="1:38">
      <c r="A277" s="11" t="str">
        <f t="shared" si="42"/>
        <v>05-452840522011</v>
      </c>
      <c r="B277" t="s">
        <v>223</v>
      </c>
      <c r="C277" t="s">
        <v>224</v>
      </c>
      <c r="D277">
        <v>2011</v>
      </c>
      <c r="E277" t="s">
        <v>104</v>
      </c>
      <c r="F277">
        <v>7925.72</v>
      </c>
      <c r="G277">
        <v>17</v>
      </c>
      <c r="H277" s="11" t="str">
        <f t="shared" si="41"/>
        <v>count</v>
      </c>
      <c r="I277" s="197" t="s">
        <v>952</v>
      </c>
      <c r="J277" s="197" t="s">
        <v>953</v>
      </c>
      <c r="K277" s="197" t="s">
        <v>145</v>
      </c>
      <c r="L277" s="197">
        <f t="shared" si="40"/>
        <v>0</v>
      </c>
      <c r="M277" s="197">
        <f t="shared" si="40"/>
        <v>0</v>
      </c>
      <c r="N277" s="197">
        <f t="shared" si="40"/>
        <v>0</v>
      </c>
      <c r="O277" s="197">
        <f t="shared" si="40"/>
        <v>0</v>
      </c>
      <c r="P277" s="197">
        <f t="shared" si="40"/>
        <v>0</v>
      </c>
      <c r="Q277" s="197">
        <f t="shared" si="40"/>
        <v>0</v>
      </c>
      <c r="R277" s="197">
        <f t="shared" si="40"/>
        <v>0</v>
      </c>
      <c r="S277" s="197">
        <f t="shared" si="40"/>
        <v>0</v>
      </c>
      <c r="T277" s="197">
        <f t="shared" si="40"/>
        <v>0</v>
      </c>
      <c r="U277" s="197">
        <f t="shared" si="40"/>
        <v>132</v>
      </c>
      <c r="V277" s="197">
        <f t="shared" si="39"/>
        <v>52</v>
      </c>
      <c r="W277" s="197">
        <f t="shared" si="39"/>
        <v>14</v>
      </c>
      <c r="X277" s="197">
        <f t="shared" si="39"/>
        <v>0</v>
      </c>
      <c r="Y277" s="197">
        <f t="shared" si="39"/>
        <v>0</v>
      </c>
      <c r="Z277" s="197">
        <f t="shared" si="39"/>
        <v>0</v>
      </c>
      <c r="AA277" s="197">
        <f t="shared" si="39"/>
        <v>102</v>
      </c>
      <c r="AB277" s="197">
        <f t="shared" si="39"/>
        <v>0</v>
      </c>
      <c r="AC277" s="197">
        <f t="shared" si="39"/>
        <v>0</v>
      </c>
      <c r="AD277" s="197">
        <f t="shared" si="39"/>
        <v>265</v>
      </c>
      <c r="AE277" s="197">
        <f t="shared" si="39"/>
        <v>74</v>
      </c>
      <c r="AF277" s="197">
        <f t="shared" si="38"/>
        <v>16</v>
      </c>
      <c r="AG277" s="197">
        <f t="shared" si="38"/>
        <v>0</v>
      </c>
      <c r="AH277" s="197">
        <f t="shared" si="38"/>
        <v>0</v>
      </c>
      <c r="AI277" s="197">
        <f t="shared" si="38"/>
        <v>0</v>
      </c>
      <c r="AJ277" s="197">
        <f t="shared" si="38"/>
        <v>130</v>
      </c>
      <c r="AK277" s="197">
        <f t="shared" si="38"/>
        <v>0</v>
      </c>
      <c r="AL277" s="197">
        <f t="shared" si="38"/>
        <v>0</v>
      </c>
    </row>
    <row r="278" spans="1:38">
      <c r="A278" s="11" t="str">
        <f t="shared" si="42"/>
        <v>05-452840522011</v>
      </c>
      <c r="B278" t="s">
        <v>223</v>
      </c>
      <c r="C278" t="s">
        <v>224</v>
      </c>
      <c r="D278">
        <v>2011</v>
      </c>
      <c r="E278" t="s">
        <v>1075</v>
      </c>
      <c r="F278">
        <v>2351.5</v>
      </c>
      <c r="G278">
        <v>4</v>
      </c>
      <c r="H278" s="11" t="str">
        <f t="shared" si="41"/>
        <v>count</v>
      </c>
      <c r="I278" s="197" t="s">
        <v>966</v>
      </c>
      <c r="J278" s="197" t="s">
        <v>967</v>
      </c>
      <c r="K278" s="197" t="s">
        <v>146</v>
      </c>
      <c r="L278" s="197">
        <f t="shared" si="40"/>
        <v>0</v>
      </c>
      <c r="M278" s="197">
        <f t="shared" si="40"/>
        <v>0</v>
      </c>
      <c r="N278" s="197">
        <f t="shared" si="40"/>
        <v>0</v>
      </c>
      <c r="O278" s="197">
        <f t="shared" si="40"/>
        <v>0</v>
      </c>
      <c r="P278" s="197">
        <f t="shared" si="40"/>
        <v>0</v>
      </c>
      <c r="Q278" s="197">
        <f t="shared" si="40"/>
        <v>0</v>
      </c>
      <c r="R278" s="197">
        <f t="shared" si="40"/>
        <v>0</v>
      </c>
      <c r="S278" s="197">
        <f t="shared" si="40"/>
        <v>0</v>
      </c>
      <c r="T278" s="197">
        <f t="shared" si="40"/>
        <v>0</v>
      </c>
      <c r="U278" s="197">
        <f t="shared" si="40"/>
        <v>43348.56</v>
      </c>
      <c r="V278" s="197">
        <f t="shared" si="39"/>
        <v>27235.33</v>
      </c>
      <c r="W278" s="197">
        <f t="shared" si="39"/>
        <v>5489.53</v>
      </c>
      <c r="X278" s="197">
        <f t="shared" si="39"/>
        <v>0.13</v>
      </c>
      <c r="Y278" s="197">
        <f t="shared" si="39"/>
        <v>17033.650000000001</v>
      </c>
      <c r="Z278" s="197">
        <f t="shared" si="39"/>
        <v>0</v>
      </c>
      <c r="AA278" s="197">
        <f t="shared" si="39"/>
        <v>22250.93</v>
      </c>
      <c r="AB278" s="197">
        <f t="shared" si="39"/>
        <v>0</v>
      </c>
      <c r="AC278" s="197">
        <f t="shared" si="39"/>
        <v>0</v>
      </c>
      <c r="AD278" s="197">
        <f t="shared" si="39"/>
        <v>71675.47</v>
      </c>
      <c r="AE278" s="197">
        <f t="shared" si="39"/>
        <v>34827.56</v>
      </c>
      <c r="AF278" s="197">
        <f t="shared" si="38"/>
        <v>4659.45</v>
      </c>
      <c r="AG278" s="197">
        <f t="shared" si="38"/>
        <v>0</v>
      </c>
      <c r="AH278" s="197">
        <f t="shared" si="38"/>
        <v>21144.32</v>
      </c>
      <c r="AI278" s="197">
        <f t="shared" si="38"/>
        <v>0</v>
      </c>
      <c r="AJ278" s="197">
        <f t="shared" si="38"/>
        <v>27084.97</v>
      </c>
      <c r="AK278" s="197">
        <f t="shared" si="38"/>
        <v>0</v>
      </c>
      <c r="AL278" s="197">
        <f t="shared" si="38"/>
        <v>0</v>
      </c>
    </row>
    <row r="279" spans="1:38">
      <c r="A279" s="11" t="str">
        <f t="shared" si="42"/>
        <v>05-452840522013</v>
      </c>
      <c r="B279" t="s">
        <v>223</v>
      </c>
      <c r="C279" t="s">
        <v>224</v>
      </c>
      <c r="D279">
        <v>2013</v>
      </c>
      <c r="E279" t="s">
        <v>69</v>
      </c>
      <c r="F279">
        <v>141305.45000000001</v>
      </c>
      <c r="G279">
        <v>131</v>
      </c>
      <c r="H279" s="11" t="str">
        <f t="shared" si="41"/>
        <v>count</v>
      </c>
      <c r="I279" s="197" t="s">
        <v>966</v>
      </c>
      <c r="J279" s="197" t="s">
        <v>967</v>
      </c>
      <c r="K279" s="197" t="s">
        <v>145</v>
      </c>
      <c r="L279" s="197">
        <f t="shared" si="40"/>
        <v>0</v>
      </c>
      <c r="M279" s="197">
        <f t="shared" si="40"/>
        <v>0</v>
      </c>
      <c r="N279" s="197">
        <f t="shared" si="40"/>
        <v>0</v>
      </c>
      <c r="O279" s="197">
        <f t="shared" si="40"/>
        <v>0</v>
      </c>
      <c r="P279" s="197">
        <f t="shared" si="40"/>
        <v>0</v>
      </c>
      <c r="Q279" s="197">
        <f t="shared" si="40"/>
        <v>0</v>
      </c>
      <c r="R279" s="197">
        <f t="shared" si="40"/>
        <v>0</v>
      </c>
      <c r="S279" s="197">
        <f t="shared" si="40"/>
        <v>0</v>
      </c>
      <c r="T279" s="197">
        <f t="shared" si="40"/>
        <v>0</v>
      </c>
      <c r="U279" s="197">
        <f t="shared" si="40"/>
        <v>68</v>
      </c>
      <c r="V279" s="197">
        <f t="shared" si="39"/>
        <v>32</v>
      </c>
      <c r="W279" s="197">
        <f t="shared" si="39"/>
        <v>8</v>
      </c>
      <c r="X279" s="197">
        <f t="shared" si="39"/>
        <v>1</v>
      </c>
      <c r="Y279" s="197">
        <f t="shared" si="39"/>
        <v>7</v>
      </c>
      <c r="Z279" s="197">
        <f t="shared" si="39"/>
        <v>0</v>
      </c>
      <c r="AA279" s="197">
        <f t="shared" si="39"/>
        <v>16</v>
      </c>
      <c r="AB279" s="197">
        <f t="shared" si="39"/>
        <v>0</v>
      </c>
      <c r="AC279" s="197">
        <f t="shared" si="39"/>
        <v>0</v>
      </c>
      <c r="AD279" s="197">
        <f t="shared" si="39"/>
        <v>86</v>
      </c>
      <c r="AE279" s="197">
        <f t="shared" si="39"/>
        <v>48</v>
      </c>
      <c r="AF279" s="197">
        <f t="shared" si="38"/>
        <v>8</v>
      </c>
      <c r="AG279" s="197">
        <f t="shared" si="38"/>
        <v>0</v>
      </c>
      <c r="AH279" s="197">
        <f t="shared" si="38"/>
        <v>29</v>
      </c>
      <c r="AI279" s="197">
        <f t="shared" si="38"/>
        <v>0</v>
      </c>
      <c r="AJ279" s="197">
        <f t="shared" si="38"/>
        <v>33</v>
      </c>
      <c r="AK279" s="197">
        <f t="shared" si="38"/>
        <v>0</v>
      </c>
      <c r="AL279" s="197">
        <f t="shared" si="38"/>
        <v>0</v>
      </c>
    </row>
    <row r="280" spans="1:38">
      <c r="A280" s="11" t="str">
        <f t="shared" si="42"/>
        <v>05-452840522012</v>
      </c>
      <c r="B280" t="s">
        <v>223</v>
      </c>
      <c r="C280" t="s">
        <v>224</v>
      </c>
      <c r="D280">
        <v>2012</v>
      </c>
      <c r="E280" t="s">
        <v>63</v>
      </c>
      <c r="F280">
        <v>34679.97</v>
      </c>
      <c r="G280">
        <v>48</v>
      </c>
      <c r="H280" s="11" t="str">
        <f t="shared" si="41"/>
        <v>count</v>
      </c>
      <c r="I280" s="197" t="s">
        <v>979</v>
      </c>
      <c r="J280" s="197" t="s">
        <v>980</v>
      </c>
      <c r="K280" s="197" t="s">
        <v>146</v>
      </c>
      <c r="L280" s="197">
        <f t="shared" si="40"/>
        <v>0</v>
      </c>
      <c r="M280" s="197">
        <f t="shared" si="40"/>
        <v>0</v>
      </c>
      <c r="N280" s="197">
        <f t="shared" si="40"/>
        <v>0</v>
      </c>
      <c r="O280" s="197">
        <f t="shared" si="40"/>
        <v>0</v>
      </c>
      <c r="P280" s="197">
        <f t="shared" si="40"/>
        <v>0</v>
      </c>
      <c r="Q280" s="197">
        <f t="shared" si="40"/>
        <v>0</v>
      </c>
      <c r="R280" s="197">
        <f t="shared" si="40"/>
        <v>0</v>
      </c>
      <c r="S280" s="197">
        <f t="shared" si="40"/>
        <v>0</v>
      </c>
      <c r="T280" s="197">
        <f t="shared" si="40"/>
        <v>0</v>
      </c>
      <c r="U280" s="197">
        <f t="shared" si="40"/>
        <v>18547.400000000001</v>
      </c>
      <c r="V280" s="197">
        <f t="shared" si="39"/>
        <v>8572.5499999999993</v>
      </c>
      <c r="W280" s="197">
        <f t="shared" si="39"/>
        <v>483.57</v>
      </c>
      <c r="X280" s="197">
        <f t="shared" si="39"/>
        <v>0</v>
      </c>
      <c r="Y280" s="197">
        <f t="shared" si="39"/>
        <v>0</v>
      </c>
      <c r="Z280" s="197">
        <f t="shared" si="39"/>
        <v>0</v>
      </c>
      <c r="AA280" s="197">
        <f t="shared" si="39"/>
        <v>17901.240000000002</v>
      </c>
      <c r="AB280" s="197">
        <f t="shared" si="39"/>
        <v>0</v>
      </c>
      <c r="AC280" s="197">
        <f t="shared" si="39"/>
        <v>0</v>
      </c>
      <c r="AD280" s="197">
        <f t="shared" si="39"/>
        <v>105353.05</v>
      </c>
      <c r="AE280" s="197">
        <f t="shared" si="39"/>
        <v>111442.24000000001</v>
      </c>
      <c r="AF280" s="197">
        <f t="shared" si="38"/>
        <v>7947.07</v>
      </c>
      <c r="AG280" s="197">
        <f t="shared" si="38"/>
        <v>0</v>
      </c>
      <c r="AH280" s="197">
        <f t="shared" si="38"/>
        <v>0</v>
      </c>
      <c r="AI280" s="197">
        <f t="shared" si="38"/>
        <v>0</v>
      </c>
      <c r="AJ280" s="197">
        <f t="shared" si="38"/>
        <v>61641.81</v>
      </c>
      <c r="AK280" s="197">
        <f t="shared" si="38"/>
        <v>0</v>
      </c>
      <c r="AL280" s="197">
        <f t="shared" si="38"/>
        <v>0</v>
      </c>
    </row>
    <row r="281" spans="1:38">
      <c r="A281" s="11" t="str">
        <f t="shared" si="42"/>
        <v>05-452840522012</v>
      </c>
      <c r="B281" t="s">
        <v>223</v>
      </c>
      <c r="C281" t="s">
        <v>224</v>
      </c>
      <c r="D281">
        <v>2012</v>
      </c>
      <c r="E281" t="s">
        <v>106</v>
      </c>
      <c r="F281">
        <v>4067582.93</v>
      </c>
      <c r="G281">
        <v>5496</v>
      </c>
      <c r="H281" s="11" t="str">
        <f t="shared" si="41"/>
        <v>count</v>
      </c>
      <c r="I281" s="197" t="s">
        <v>979</v>
      </c>
      <c r="J281" s="197" t="s">
        <v>980</v>
      </c>
      <c r="K281" s="197" t="s">
        <v>145</v>
      </c>
      <c r="L281" s="197">
        <f t="shared" si="40"/>
        <v>0</v>
      </c>
      <c r="M281" s="197">
        <f t="shared" si="40"/>
        <v>0</v>
      </c>
      <c r="N281" s="197">
        <f t="shared" si="40"/>
        <v>0</v>
      </c>
      <c r="O281" s="197">
        <f t="shared" si="40"/>
        <v>0</v>
      </c>
      <c r="P281" s="197">
        <f t="shared" si="40"/>
        <v>0</v>
      </c>
      <c r="Q281" s="197">
        <f t="shared" si="40"/>
        <v>0</v>
      </c>
      <c r="R281" s="197">
        <f t="shared" si="40"/>
        <v>0</v>
      </c>
      <c r="S281" s="197">
        <f t="shared" si="40"/>
        <v>0</v>
      </c>
      <c r="T281" s="197">
        <f t="shared" si="40"/>
        <v>0</v>
      </c>
      <c r="U281" s="197">
        <f t="shared" si="40"/>
        <v>69</v>
      </c>
      <c r="V281" s="197">
        <f t="shared" ref="V281:AE306" si="43">SUMIFS(IF($K281="volume",$F:$F,$G:$G),$D:$D,V$2,$B:$B,$I281,$E:$E,V$3)</f>
        <v>37</v>
      </c>
      <c r="W281" s="197">
        <f t="shared" si="43"/>
        <v>3</v>
      </c>
      <c r="X281" s="197">
        <f t="shared" si="43"/>
        <v>0</v>
      </c>
      <c r="Y281" s="197">
        <f t="shared" si="43"/>
        <v>0</v>
      </c>
      <c r="Z281" s="197">
        <f t="shared" si="43"/>
        <v>0</v>
      </c>
      <c r="AA281" s="197">
        <f t="shared" si="43"/>
        <v>85</v>
      </c>
      <c r="AB281" s="197">
        <f t="shared" si="43"/>
        <v>0</v>
      </c>
      <c r="AC281" s="197">
        <f t="shared" si="43"/>
        <v>0</v>
      </c>
      <c r="AD281" s="197">
        <f t="shared" si="43"/>
        <v>289</v>
      </c>
      <c r="AE281" s="197">
        <f t="shared" si="43"/>
        <v>260</v>
      </c>
      <c r="AF281" s="197">
        <f t="shared" si="38"/>
        <v>29</v>
      </c>
      <c r="AG281" s="197">
        <f t="shared" si="38"/>
        <v>0</v>
      </c>
      <c r="AH281" s="197">
        <f t="shared" si="38"/>
        <v>0</v>
      </c>
      <c r="AI281" s="197">
        <f t="shared" si="38"/>
        <v>0</v>
      </c>
      <c r="AJ281" s="197">
        <f t="shared" si="38"/>
        <v>282</v>
      </c>
      <c r="AK281" s="197">
        <f t="shared" si="38"/>
        <v>0</v>
      </c>
      <c r="AL281" s="197">
        <f t="shared" si="38"/>
        <v>0</v>
      </c>
    </row>
    <row r="282" spans="1:38">
      <c r="A282" s="11" t="str">
        <f t="shared" si="42"/>
        <v>05-452840522013</v>
      </c>
      <c r="B282" t="s">
        <v>223</v>
      </c>
      <c r="C282" t="s">
        <v>224</v>
      </c>
      <c r="D282">
        <v>2013</v>
      </c>
      <c r="E282" t="s">
        <v>105</v>
      </c>
      <c r="F282">
        <v>8950.42</v>
      </c>
      <c r="G282">
        <v>6</v>
      </c>
      <c r="H282" s="11" t="str">
        <f t="shared" si="41"/>
        <v>count</v>
      </c>
      <c r="I282" s="197" t="s">
        <v>1001</v>
      </c>
      <c r="J282" s="197" t="s">
        <v>158</v>
      </c>
      <c r="K282" s="197" t="s">
        <v>146</v>
      </c>
      <c r="L282" s="197">
        <f t="shared" ref="L282:U307" si="44">SUMIFS(IF($K282="volume",$F:$F,$G:$G),$D:$D,L$2,$B:$B,$I282,$E:$E,L$3)</f>
        <v>0</v>
      </c>
      <c r="M282" s="197">
        <f t="shared" si="44"/>
        <v>0</v>
      </c>
      <c r="N282" s="197">
        <f t="shared" si="44"/>
        <v>0</v>
      </c>
      <c r="O282" s="197">
        <f t="shared" si="44"/>
        <v>0</v>
      </c>
      <c r="P282" s="197">
        <f t="shared" si="44"/>
        <v>0</v>
      </c>
      <c r="Q282" s="197">
        <f t="shared" si="44"/>
        <v>0</v>
      </c>
      <c r="R282" s="197">
        <f t="shared" si="44"/>
        <v>0</v>
      </c>
      <c r="S282" s="197">
        <f t="shared" si="44"/>
        <v>0</v>
      </c>
      <c r="T282" s="197">
        <f t="shared" si="44"/>
        <v>0</v>
      </c>
      <c r="U282" s="197">
        <f t="shared" si="44"/>
        <v>146458.35</v>
      </c>
      <c r="V282" s="197">
        <f t="shared" si="43"/>
        <v>80440.77</v>
      </c>
      <c r="W282" s="197">
        <f t="shared" si="43"/>
        <v>30084.73</v>
      </c>
      <c r="X282" s="197">
        <f t="shared" si="43"/>
        <v>0</v>
      </c>
      <c r="Y282" s="197">
        <f t="shared" si="43"/>
        <v>59274.83</v>
      </c>
      <c r="Z282" s="197">
        <f t="shared" si="43"/>
        <v>0</v>
      </c>
      <c r="AA282" s="197">
        <f t="shared" si="43"/>
        <v>87441.61</v>
      </c>
      <c r="AB282" s="197">
        <f t="shared" si="43"/>
        <v>0</v>
      </c>
      <c r="AC282" s="197">
        <f t="shared" si="43"/>
        <v>0</v>
      </c>
      <c r="AD282" s="197">
        <f t="shared" si="43"/>
        <v>828185.04</v>
      </c>
      <c r="AE282" s="197">
        <f t="shared" si="43"/>
        <v>405744.27</v>
      </c>
      <c r="AF282" s="197">
        <f t="shared" si="38"/>
        <v>131877.94</v>
      </c>
      <c r="AG282" s="197">
        <f t="shared" si="38"/>
        <v>0</v>
      </c>
      <c r="AH282" s="197">
        <f t="shared" si="38"/>
        <v>297590.77</v>
      </c>
      <c r="AI282" s="197">
        <f t="shared" si="38"/>
        <v>0</v>
      </c>
      <c r="AJ282" s="197">
        <f t="shared" si="38"/>
        <v>501963.49</v>
      </c>
      <c r="AK282" s="197">
        <f t="shared" si="38"/>
        <v>0</v>
      </c>
      <c r="AL282" s="197">
        <f t="shared" si="38"/>
        <v>0</v>
      </c>
    </row>
    <row r="283" spans="1:38">
      <c r="A283" s="11" t="str">
        <f t="shared" si="42"/>
        <v>05-452840522012</v>
      </c>
      <c r="B283" t="s">
        <v>223</v>
      </c>
      <c r="C283" t="s">
        <v>224</v>
      </c>
      <c r="D283">
        <v>2012</v>
      </c>
      <c r="E283" t="s">
        <v>1074</v>
      </c>
      <c r="F283">
        <v>1259.9000000000001</v>
      </c>
      <c r="G283">
        <v>2</v>
      </c>
      <c r="H283" s="11" t="str">
        <f t="shared" si="41"/>
        <v>count</v>
      </c>
      <c r="I283" s="197" t="s">
        <v>1001</v>
      </c>
      <c r="J283" s="197" t="s">
        <v>158</v>
      </c>
      <c r="K283" s="197" t="s">
        <v>145</v>
      </c>
      <c r="L283" s="197">
        <f t="shared" si="44"/>
        <v>0</v>
      </c>
      <c r="M283" s="197">
        <f t="shared" si="44"/>
        <v>0</v>
      </c>
      <c r="N283" s="197">
        <f t="shared" si="44"/>
        <v>0</v>
      </c>
      <c r="O283" s="197">
        <f t="shared" si="44"/>
        <v>0</v>
      </c>
      <c r="P283" s="197">
        <f t="shared" si="44"/>
        <v>0</v>
      </c>
      <c r="Q283" s="197">
        <f t="shared" si="44"/>
        <v>0</v>
      </c>
      <c r="R283" s="197">
        <f t="shared" si="44"/>
        <v>0</v>
      </c>
      <c r="S283" s="197">
        <f t="shared" si="44"/>
        <v>0</v>
      </c>
      <c r="T283" s="197">
        <f t="shared" si="44"/>
        <v>0</v>
      </c>
      <c r="U283" s="197">
        <f t="shared" si="44"/>
        <v>355</v>
      </c>
      <c r="V283" s="197">
        <f t="shared" si="43"/>
        <v>220</v>
      </c>
      <c r="W283" s="197">
        <f t="shared" si="43"/>
        <v>61</v>
      </c>
      <c r="X283" s="197">
        <f t="shared" si="43"/>
        <v>0</v>
      </c>
      <c r="Y283" s="197">
        <f t="shared" si="43"/>
        <v>142</v>
      </c>
      <c r="Z283" s="197">
        <f t="shared" si="43"/>
        <v>0</v>
      </c>
      <c r="AA283" s="197">
        <f t="shared" si="43"/>
        <v>264</v>
      </c>
      <c r="AB283" s="197">
        <f t="shared" si="43"/>
        <v>0</v>
      </c>
      <c r="AC283" s="197">
        <f t="shared" si="43"/>
        <v>0</v>
      </c>
      <c r="AD283" s="197">
        <f t="shared" si="43"/>
        <v>1637</v>
      </c>
      <c r="AE283" s="197">
        <f t="shared" si="43"/>
        <v>850</v>
      </c>
      <c r="AF283" s="197">
        <f t="shared" si="38"/>
        <v>234</v>
      </c>
      <c r="AG283" s="197">
        <f t="shared" si="38"/>
        <v>0</v>
      </c>
      <c r="AH283" s="197">
        <f t="shared" si="38"/>
        <v>564</v>
      </c>
      <c r="AI283" s="197">
        <f t="shared" si="38"/>
        <v>0</v>
      </c>
      <c r="AJ283" s="197">
        <f t="shared" si="38"/>
        <v>1258</v>
      </c>
      <c r="AK283" s="197">
        <f t="shared" si="38"/>
        <v>0</v>
      </c>
      <c r="AL283" s="197">
        <f t="shared" si="38"/>
        <v>0</v>
      </c>
    </row>
    <row r="284" spans="1:38">
      <c r="A284" s="11" t="str">
        <f t="shared" si="42"/>
        <v>05-452840522012</v>
      </c>
      <c r="B284" t="s">
        <v>223</v>
      </c>
      <c r="C284" t="s">
        <v>224</v>
      </c>
      <c r="D284">
        <v>2012</v>
      </c>
      <c r="E284" t="s">
        <v>69</v>
      </c>
      <c r="F284">
        <v>52192.66</v>
      </c>
      <c r="G284">
        <v>73</v>
      </c>
      <c r="H284" s="11" t="str">
        <f t="shared" si="41"/>
        <v>count</v>
      </c>
      <c r="I284" s="197" t="s">
        <v>1007</v>
      </c>
      <c r="J284" s="197" t="s">
        <v>1008</v>
      </c>
      <c r="K284" s="197" t="s">
        <v>146</v>
      </c>
      <c r="L284" s="197">
        <f t="shared" si="44"/>
        <v>0</v>
      </c>
      <c r="M284" s="197">
        <f t="shared" si="44"/>
        <v>0</v>
      </c>
      <c r="N284" s="197">
        <f t="shared" si="44"/>
        <v>0</v>
      </c>
      <c r="O284" s="197">
        <f t="shared" si="44"/>
        <v>0</v>
      </c>
      <c r="P284" s="197">
        <f t="shared" si="44"/>
        <v>0</v>
      </c>
      <c r="Q284" s="197">
        <f t="shared" si="44"/>
        <v>0</v>
      </c>
      <c r="R284" s="197">
        <f t="shared" si="44"/>
        <v>0</v>
      </c>
      <c r="S284" s="197">
        <f t="shared" si="44"/>
        <v>0</v>
      </c>
      <c r="T284" s="197">
        <f t="shared" si="44"/>
        <v>0</v>
      </c>
      <c r="U284" s="197">
        <f t="shared" si="44"/>
        <v>299913.75</v>
      </c>
      <c r="V284" s="197">
        <f t="shared" si="43"/>
        <v>133398.98000000001</v>
      </c>
      <c r="W284" s="197">
        <f t="shared" si="43"/>
        <v>31763.26</v>
      </c>
      <c r="X284" s="197">
        <f t="shared" si="43"/>
        <v>0</v>
      </c>
      <c r="Y284" s="197">
        <f t="shared" si="43"/>
        <v>131086.26</v>
      </c>
      <c r="Z284" s="197">
        <f t="shared" si="43"/>
        <v>0</v>
      </c>
      <c r="AA284" s="197">
        <f t="shared" si="43"/>
        <v>25836.62</v>
      </c>
      <c r="AB284" s="197">
        <f t="shared" si="43"/>
        <v>0</v>
      </c>
      <c r="AC284" s="197">
        <f t="shared" si="43"/>
        <v>0</v>
      </c>
      <c r="AD284" s="197">
        <f t="shared" si="43"/>
        <v>7146601.9400000004</v>
      </c>
      <c r="AE284" s="197">
        <f t="shared" si="43"/>
        <v>3733429.05</v>
      </c>
      <c r="AF284" s="197">
        <f t="shared" si="38"/>
        <v>906211.11</v>
      </c>
      <c r="AG284" s="197">
        <f t="shared" si="38"/>
        <v>56783.38</v>
      </c>
      <c r="AH284" s="197">
        <f t="shared" si="38"/>
        <v>4353329.4000000004</v>
      </c>
      <c r="AI284" s="197">
        <f t="shared" si="38"/>
        <v>0</v>
      </c>
      <c r="AJ284" s="197">
        <f t="shared" si="38"/>
        <v>1188248.49</v>
      </c>
      <c r="AK284" s="197">
        <f t="shared" si="38"/>
        <v>0</v>
      </c>
      <c r="AL284" s="197">
        <f t="shared" si="38"/>
        <v>0</v>
      </c>
    </row>
    <row r="285" spans="1:38">
      <c r="A285" s="11" t="str">
        <f t="shared" si="42"/>
        <v>05-452840522011</v>
      </c>
      <c r="B285" t="s">
        <v>223</v>
      </c>
      <c r="C285" t="s">
        <v>224</v>
      </c>
      <c r="D285">
        <v>2011</v>
      </c>
      <c r="E285" t="s">
        <v>106</v>
      </c>
      <c r="F285">
        <v>3708689.62</v>
      </c>
      <c r="G285">
        <v>7068</v>
      </c>
      <c r="H285" s="11" t="str">
        <f t="shared" si="41"/>
        <v>count</v>
      </c>
      <c r="I285" s="197" t="s">
        <v>1007</v>
      </c>
      <c r="J285" s="197" t="s">
        <v>1008</v>
      </c>
      <c r="K285" s="197" t="s">
        <v>145</v>
      </c>
      <c r="L285" s="197">
        <f t="shared" si="44"/>
        <v>0</v>
      </c>
      <c r="M285" s="197">
        <f t="shared" si="44"/>
        <v>0</v>
      </c>
      <c r="N285" s="197">
        <f t="shared" si="44"/>
        <v>0</v>
      </c>
      <c r="O285" s="197">
        <f t="shared" si="44"/>
        <v>0</v>
      </c>
      <c r="P285" s="197">
        <f t="shared" si="44"/>
        <v>0</v>
      </c>
      <c r="Q285" s="197">
        <f t="shared" si="44"/>
        <v>0</v>
      </c>
      <c r="R285" s="197">
        <f t="shared" si="44"/>
        <v>0</v>
      </c>
      <c r="S285" s="197">
        <f t="shared" si="44"/>
        <v>0</v>
      </c>
      <c r="T285" s="197">
        <f t="shared" si="44"/>
        <v>0</v>
      </c>
      <c r="U285" s="197">
        <f t="shared" si="44"/>
        <v>210</v>
      </c>
      <c r="V285" s="197">
        <f t="shared" si="43"/>
        <v>104</v>
      </c>
      <c r="W285" s="197">
        <f t="shared" si="43"/>
        <v>24</v>
      </c>
      <c r="X285" s="197">
        <f t="shared" si="43"/>
        <v>0</v>
      </c>
      <c r="Y285" s="197">
        <f t="shared" si="43"/>
        <v>95</v>
      </c>
      <c r="Z285" s="197">
        <f t="shared" si="43"/>
        <v>0</v>
      </c>
      <c r="AA285" s="197">
        <f t="shared" si="43"/>
        <v>30</v>
      </c>
      <c r="AB285" s="197">
        <f t="shared" si="43"/>
        <v>0</v>
      </c>
      <c r="AC285" s="197">
        <f t="shared" si="43"/>
        <v>0</v>
      </c>
      <c r="AD285" s="197">
        <f t="shared" si="43"/>
        <v>5163</v>
      </c>
      <c r="AE285" s="197">
        <f t="shared" si="43"/>
        <v>2739</v>
      </c>
      <c r="AF285" s="197">
        <f t="shared" si="38"/>
        <v>718</v>
      </c>
      <c r="AG285" s="197">
        <f t="shared" si="38"/>
        <v>27</v>
      </c>
      <c r="AH285" s="197">
        <f t="shared" si="38"/>
        <v>2795</v>
      </c>
      <c r="AI285" s="197">
        <f t="shared" si="38"/>
        <v>0</v>
      </c>
      <c r="AJ285" s="197">
        <f t="shared" si="38"/>
        <v>1141</v>
      </c>
      <c r="AK285" s="197">
        <f t="shared" si="38"/>
        <v>0</v>
      </c>
      <c r="AL285" s="197">
        <f t="shared" si="38"/>
        <v>0</v>
      </c>
    </row>
    <row r="286" spans="1:38">
      <c r="A286" s="11" t="str">
        <f t="shared" si="42"/>
        <v>05-452840522012</v>
      </c>
      <c r="B286" t="s">
        <v>223</v>
      </c>
      <c r="C286" t="s">
        <v>224</v>
      </c>
      <c r="D286">
        <v>2012</v>
      </c>
      <c r="E286" t="s">
        <v>104</v>
      </c>
      <c r="F286">
        <v>41698</v>
      </c>
      <c r="G286">
        <v>63</v>
      </c>
      <c r="H286" s="11" t="str">
        <f t="shared" si="41"/>
        <v>count</v>
      </c>
      <c r="I286" s="197" t="s">
        <v>1015</v>
      </c>
      <c r="J286" s="197" t="s">
        <v>1016</v>
      </c>
      <c r="K286" s="197" t="s">
        <v>146</v>
      </c>
      <c r="L286" s="197">
        <f t="shared" si="44"/>
        <v>0</v>
      </c>
      <c r="M286" s="197">
        <f t="shared" si="44"/>
        <v>0</v>
      </c>
      <c r="N286" s="197">
        <f t="shared" si="44"/>
        <v>0</v>
      </c>
      <c r="O286" s="197">
        <f t="shared" si="44"/>
        <v>0</v>
      </c>
      <c r="P286" s="197">
        <f t="shared" si="44"/>
        <v>0</v>
      </c>
      <c r="Q286" s="197">
        <f t="shared" si="44"/>
        <v>0</v>
      </c>
      <c r="R286" s="197">
        <f t="shared" si="44"/>
        <v>0</v>
      </c>
      <c r="S286" s="197">
        <f t="shared" si="44"/>
        <v>0</v>
      </c>
      <c r="T286" s="197">
        <f t="shared" si="44"/>
        <v>0</v>
      </c>
      <c r="U286" s="197">
        <f t="shared" si="44"/>
        <v>407186.27</v>
      </c>
      <c r="V286" s="197">
        <f t="shared" si="43"/>
        <v>133047.29</v>
      </c>
      <c r="W286" s="197">
        <f t="shared" si="43"/>
        <v>45682.38</v>
      </c>
      <c r="X286" s="197">
        <f t="shared" si="43"/>
        <v>0</v>
      </c>
      <c r="Y286" s="197">
        <f t="shared" si="43"/>
        <v>126877.01</v>
      </c>
      <c r="Z286" s="197">
        <f t="shared" si="43"/>
        <v>0</v>
      </c>
      <c r="AA286" s="197">
        <f t="shared" si="43"/>
        <v>107925.42</v>
      </c>
      <c r="AB286" s="197">
        <f t="shared" si="43"/>
        <v>0</v>
      </c>
      <c r="AC286" s="197">
        <f t="shared" si="43"/>
        <v>0</v>
      </c>
      <c r="AD286" s="197">
        <f t="shared" si="43"/>
        <v>2972129.73</v>
      </c>
      <c r="AE286" s="197">
        <f t="shared" si="43"/>
        <v>961687.4</v>
      </c>
      <c r="AF286" s="197">
        <f t="shared" si="38"/>
        <v>305714.33</v>
      </c>
      <c r="AG286" s="197">
        <f t="shared" si="38"/>
        <v>0</v>
      </c>
      <c r="AH286" s="197">
        <f t="shared" si="38"/>
        <v>1038926.61</v>
      </c>
      <c r="AI286" s="197">
        <f t="shared" si="38"/>
        <v>0</v>
      </c>
      <c r="AJ286" s="197">
        <f t="shared" ref="AF286:AL322" si="45">SUMIFS(IF($K286="volume",$F:$F,$G:$G),$D:$D,AJ$2,$B:$B,$I286,$E:$E,AJ$3)</f>
        <v>882078.17</v>
      </c>
      <c r="AK286" s="197">
        <f t="shared" si="45"/>
        <v>0</v>
      </c>
      <c r="AL286" s="197">
        <f t="shared" si="45"/>
        <v>0</v>
      </c>
    </row>
    <row r="287" spans="1:38">
      <c r="A287" s="11" t="str">
        <f t="shared" si="42"/>
        <v>05-452840522011</v>
      </c>
      <c r="B287" t="s">
        <v>223</v>
      </c>
      <c r="C287" t="s">
        <v>224</v>
      </c>
      <c r="D287">
        <v>2011</v>
      </c>
      <c r="E287" t="s">
        <v>105</v>
      </c>
      <c r="F287">
        <v>1142.47</v>
      </c>
      <c r="G287">
        <v>2</v>
      </c>
      <c r="H287" s="11" t="str">
        <f t="shared" si="41"/>
        <v>count</v>
      </c>
      <c r="I287" s="197" t="s">
        <v>1015</v>
      </c>
      <c r="J287" s="197" t="s">
        <v>1016</v>
      </c>
      <c r="K287" s="197" t="s">
        <v>145</v>
      </c>
      <c r="L287" s="197">
        <f t="shared" si="44"/>
        <v>0</v>
      </c>
      <c r="M287" s="197">
        <f t="shared" si="44"/>
        <v>0</v>
      </c>
      <c r="N287" s="197">
        <f t="shared" si="44"/>
        <v>0</v>
      </c>
      <c r="O287" s="197">
        <f t="shared" si="44"/>
        <v>0</v>
      </c>
      <c r="P287" s="197">
        <f t="shared" si="44"/>
        <v>0</v>
      </c>
      <c r="Q287" s="197">
        <f t="shared" si="44"/>
        <v>0</v>
      </c>
      <c r="R287" s="197">
        <f t="shared" si="44"/>
        <v>0</v>
      </c>
      <c r="S287" s="197">
        <f t="shared" si="44"/>
        <v>0</v>
      </c>
      <c r="T287" s="197">
        <f t="shared" si="44"/>
        <v>0</v>
      </c>
      <c r="U287" s="197">
        <f t="shared" si="44"/>
        <v>1463</v>
      </c>
      <c r="V287" s="197">
        <f t="shared" si="43"/>
        <v>476</v>
      </c>
      <c r="W287" s="197">
        <f t="shared" si="43"/>
        <v>157</v>
      </c>
      <c r="X287" s="197">
        <f t="shared" si="43"/>
        <v>0</v>
      </c>
      <c r="Y287" s="197">
        <f t="shared" si="43"/>
        <v>349</v>
      </c>
      <c r="Z287" s="197">
        <f t="shared" si="43"/>
        <v>0</v>
      </c>
      <c r="AA287" s="197">
        <f t="shared" si="43"/>
        <v>524</v>
      </c>
      <c r="AB287" s="197">
        <f t="shared" si="43"/>
        <v>0</v>
      </c>
      <c r="AC287" s="197">
        <f t="shared" si="43"/>
        <v>0</v>
      </c>
      <c r="AD287" s="197">
        <f t="shared" si="43"/>
        <v>10826</v>
      </c>
      <c r="AE287" s="197">
        <f t="shared" si="43"/>
        <v>3424</v>
      </c>
      <c r="AF287" s="197">
        <f t="shared" si="45"/>
        <v>1069</v>
      </c>
      <c r="AG287" s="197">
        <f t="shared" si="45"/>
        <v>0</v>
      </c>
      <c r="AH287" s="197">
        <f t="shared" si="45"/>
        <v>3345</v>
      </c>
      <c r="AI287" s="197">
        <f t="shared" si="45"/>
        <v>0</v>
      </c>
      <c r="AJ287" s="197">
        <f t="shared" si="45"/>
        <v>4320</v>
      </c>
      <c r="AK287" s="197">
        <f t="shared" si="45"/>
        <v>0</v>
      </c>
      <c r="AL287" s="197">
        <f t="shared" si="45"/>
        <v>0</v>
      </c>
    </row>
    <row r="288" spans="1:38">
      <c r="A288" s="11" t="str">
        <f t="shared" si="42"/>
        <v>05-452840522011</v>
      </c>
      <c r="B288" t="s">
        <v>223</v>
      </c>
      <c r="C288" t="s">
        <v>224</v>
      </c>
      <c r="D288">
        <v>2011</v>
      </c>
      <c r="E288" t="s">
        <v>1076</v>
      </c>
      <c r="F288">
        <v>1596.55</v>
      </c>
      <c r="G288">
        <v>3</v>
      </c>
      <c r="H288" s="11" t="str">
        <f t="shared" si="41"/>
        <v>count</v>
      </c>
      <c r="I288" s="197" t="s">
        <v>1028</v>
      </c>
      <c r="J288" s="197" t="s">
        <v>1029</v>
      </c>
      <c r="K288" s="197" t="s">
        <v>146</v>
      </c>
      <c r="L288" s="197">
        <f t="shared" si="44"/>
        <v>0</v>
      </c>
      <c r="M288" s="197">
        <f t="shared" si="44"/>
        <v>0</v>
      </c>
      <c r="N288" s="197">
        <f t="shared" si="44"/>
        <v>0</v>
      </c>
      <c r="O288" s="197">
        <f t="shared" si="44"/>
        <v>0</v>
      </c>
      <c r="P288" s="197">
        <f t="shared" si="44"/>
        <v>0</v>
      </c>
      <c r="Q288" s="197">
        <f t="shared" si="44"/>
        <v>0</v>
      </c>
      <c r="R288" s="197">
        <f t="shared" si="44"/>
        <v>0</v>
      </c>
      <c r="S288" s="197">
        <f t="shared" si="44"/>
        <v>0</v>
      </c>
      <c r="T288" s="197">
        <f t="shared" si="44"/>
        <v>0</v>
      </c>
      <c r="U288" s="197">
        <f t="shared" si="44"/>
        <v>0</v>
      </c>
      <c r="V288" s="197">
        <f t="shared" si="43"/>
        <v>2.57</v>
      </c>
      <c r="W288" s="197">
        <f t="shared" si="43"/>
        <v>0</v>
      </c>
      <c r="X288" s="197">
        <f t="shared" si="43"/>
        <v>0</v>
      </c>
      <c r="Y288" s="197">
        <f t="shared" si="43"/>
        <v>0</v>
      </c>
      <c r="Z288" s="197">
        <f t="shared" si="43"/>
        <v>0</v>
      </c>
      <c r="AA288" s="197">
        <f t="shared" si="43"/>
        <v>0</v>
      </c>
      <c r="AB288" s="197">
        <f t="shared" si="43"/>
        <v>0</v>
      </c>
      <c r="AC288" s="197">
        <f t="shared" si="43"/>
        <v>0</v>
      </c>
      <c r="AD288" s="197">
        <f t="shared" si="43"/>
        <v>263156.46000000002</v>
      </c>
      <c r="AE288" s="197">
        <f t="shared" si="43"/>
        <v>120448.11</v>
      </c>
      <c r="AF288" s="197">
        <f t="shared" si="45"/>
        <v>18472.12</v>
      </c>
      <c r="AG288" s="197">
        <f t="shared" si="45"/>
        <v>0</v>
      </c>
      <c r="AH288" s="197">
        <f t="shared" si="45"/>
        <v>198196.18</v>
      </c>
      <c r="AI288" s="197">
        <f t="shared" si="45"/>
        <v>0</v>
      </c>
      <c r="AJ288" s="197">
        <f t="shared" si="45"/>
        <v>117092.86</v>
      </c>
      <c r="AK288" s="197">
        <f t="shared" si="45"/>
        <v>0</v>
      </c>
      <c r="AL288" s="197">
        <f t="shared" si="45"/>
        <v>0</v>
      </c>
    </row>
    <row r="289" spans="1:38">
      <c r="A289" s="11" t="str">
        <f t="shared" si="42"/>
        <v>05-486015462012</v>
      </c>
      <c r="B289" t="s">
        <v>227</v>
      </c>
      <c r="C289" t="s">
        <v>228</v>
      </c>
      <c r="D289">
        <v>2012</v>
      </c>
      <c r="E289" t="s">
        <v>105</v>
      </c>
      <c r="F289">
        <v>426094.14</v>
      </c>
      <c r="G289">
        <v>299</v>
      </c>
      <c r="H289" s="11" t="str">
        <f t="shared" si="41"/>
        <v>volume</v>
      </c>
      <c r="I289" s="197" t="s">
        <v>1028</v>
      </c>
      <c r="J289" s="197" t="s">
        <v>1029</v>
      </c>
      <c r="K289" s="197" t="s">
        <v>145</v>
      </c>
      <c r="L289" s="197">
        <f t="shared" si="44"/>
        <v>0</v>
      </c>
      <c r="M289" s="197">
        <f t="shared" si="44"/>
        <v>0</v>
      </c>
      <c r="N289" s="197">
        <f t="shared" si="44"/>
        <v>0</v>
      </c>
      <c r="O289" s="197">
        <f t="shared" si="44"/>
        <v>0</v>
      </c>
      <c r="P289" s="197">
        <f t="shared" si="44"/>
        <v>0</v>
      </c>
      <c r="Q289" s="197">
        <f t="shared" si="44"/>
        <v>0</v>
      </c>
      <c r="R289" s="197">
        <f t="shared" si="44"/>
        <v>0</v>
      </c>
      <c r="S289" s="197">
        <f t="shared" si="44"/>
        <v>0</v>
      </c>
      <c r="T289" s="197">
        <f t="shared" si="44"/>
        <v>0</v>
      </c>
      <c r="U289" s="197">
        <f t="shared" si="44"/>
        <v>0</v>
      </c>
      <c r="V289" s="197">
        <f t="shared" si="43"/>
        <v>1</v>
      </c>
      <c r="W289" s="197">
        <f t="shared" si="43"/>
        <v>0</v>
      </c>
      <c r="X289" s="197">
        <f t="shared" si="43"/>
        <v>0</v>
      </c>
      <c r="Y289" s="197">
        <f t="shared" si="43"/>
        <v>0</v>
      </c>
      <c r="Z289" s="197">
        <f t="shared" si="43"/>
        <v>0</v>
      </c>
      <c r="AA289" s="197">
        <f t="shared" si="43"/>
        <v>0</v>
      </c>
      <c r="AB289" s="197">
        <f t="shared" si="43"/>
        <v>0</v>
      </c>
      <c r="AC289" s="197">
        <f t="shared" si="43"/>
        <v>0</v>
      </c>
      <c r="AD289" s="197">
        <f t="shared" si="43"/>
        <v>382</v>
      </c>
      <c r="AE289" s="197">
        <f t="shared" si="43"/>
        <v>173</v>
      </c>
      <c r="AF289" s="197">
        <f t="shared" si="45"/>
        <v>26</v>
      </c>
      <c r="AG289" s="197">
        <f t="shared" si="45"/>
        <v>0</v>
      </c>
      <c r="AH289" s="197">
        <f t="shared" si="45"/>
        <v>185</v>
      </c>
      <c r="AI289" s="197">
        <f t="shared" si="45"/>
        <v>0</v>
      </c>
      <c r="AJ289" s="197">
        <f t="shared" si="45"/>
        <v>200</v>
      </c>
      <c r="AK289" s="197">
        <f t="shared" si="45"/>
        <v>0</v>
      </c>
      <c r="AL289" s="197">
        <f t="shared" si="45"/>
        <v>0</v>
      </c>
    </row>
    <row r="290" spans="1:38">
      <c r="A290" s="11" t="str">
        <f t="shared" si="42"/>
        <v>05-486015462013</v>
      </c>
      <c r="B290" t="s">
        <v>227</v>
      </c>
      <c r="C290" t="s">
        <v>228</v>
      </c>
      <c r="D290">
        <v>2013</v>
      </c>
      <c r="E290" t="s">
        <v>69</v>
      </c>
      <c r="F290">
        <v>1883457.41</v>
      </c>
      <c r="G290">
        <v>1991</v>
      </c>
      <c r="H290" s="11" t="str">
        <f t="shared" si="41"/>
        <v>count</v>
      </c>
      <c r="I290" s="197" t="s">
        <v>1077</v>
      </c>
      <c r="J290" s="197" t="s">
        <v>1078</v>
      </c>
      <c r="K290" s="197" t="s">
        <v>146</v>
      </c>
      <c r="L290" s="197">
        <f t="shared" si="44"/>
        <v>1855957.36</v>
      </c>
      <c r="M290" s="197">
        <f t="shared" si="44"/>
        <v>1074156.07</v>
      </c>
      <c r="N290" s="197">
        <f t="shared" si="44"/>
        <v>45033.26</v>
      </c>
      <c r="O290" s="197">
        <f t="shared" si="44"/>
        <v>16242266.810000001</v>
      </c>
      <c r="P290" s="197">
        <f t="shared" si="44"/>
        <v>0</v>
      </c>
      <c r="Q290" s="197">
        <f t="shared" si="44"/>
        <v>0</v>
      </c>
      <c r="R290" s="197">
        <f t="shared" si="44"/>
        <v>2309.9499999999998</v>
      </c>
      <c r="S290" s="197">
        <f t="shared" si="44"/>
        <v>0</v>
      </c>
      <c r="T290" s="197">
        <f t="shared" si="44"/>
        <v>0</v>
      </c>
      <c r="U290" s="197">
        <f t="shared" si="44"/>
        <v>1758617.05</v>
      </c>
      <c r="V290" s="197">
        <f t="shared" si="43"/>
        <v>1313907.6399999999</v>
      </c>
      <c r="W290" s="197">
        <f t="shared" si="43"/>
        <v>71370.149999999994</v>
      </c>
      <c r="X290" s="197">
        <f t="shared" si="43"/>
        <v>40439703.469999999</v>
      </c>
      <c r="Y290" s="197">
        <f t="shared" si="43"/>
        <v>0</v>
      </c>
      <c r="Z290" s="197">
        <f t="shared" si="43"/>
        <v>0</v>
      </c>
      <c r="AA290" s="197">
        <f t="shared" si="43"/>
        <v>975948.59</v>
      </c>
      <c r="AB290" s="197">
        <f t="shared" si="43"/>
        <v>0</v>
      </c>
      <c r="AC290" s="197">
        <f t="shared" si="43"/>
        <v>0</v>
      </c>
      <c r="AD290" s="197">
        <f t="shared" si="43"/>
        <v>1367639.53</v>
      </c>
      <c r="AE290" s="197">
        <f t="shared" si="43"/>
        <v>924707.7</v>
      </c>
      <c r="AF290" s="197">
        <f t="shared" si="45"/>
        <v>89348.05</v>
      </c>
      <c r="AG290" s="197">
        <f t="shared" si="45"/>
        <v>39529003.659999996</v>
      </c>
      <c r="AH290" s="197">
        <f t="shared" si="45"/>
        <v>0</v>
      </c>
      <c r="AI290" s="197">
        <f t="shared" si="45"/>
        <v>0</v>
      </c>
      <c r="AJ290" s="197">
        <f t="shared" si="45"/>
        <v>1219531.24</v>
      </c>
      <c r="AK290" s="197">
        <f t="shared" si="45"/>
        <v>0</v>
      </c>
      <c r="AL290" s="197">
        <f t="shared" si="45"/>
        <v>0</v>
      </c>
    </row>
    <row r="291" spans="1:38">
      <c r="A291" s="11" t="str">
        <f t="shared" si="42"/>
        <v>05-486015462012</v>
      </c>
      <c r="B291" t="s">
        <v>227</v>
      </c>
      <c r="C291" t="s">
        <v>228</v>
      </c>
      <c r="D291">
        <v>2012</v>
      </c>
      <c r="E291" t="s">
        <v>1076</v>
      </c>
      <c r="F291">
        <v>11586.19</v>
      </c>
      <c r="G291">
        <v>7</v>
      </c>
      <c r="H291" s="11" t="str">
        <f t="shared" si="41"/>
        <v>count</v>
      </c>
      <c r="I291" s="197" t="s">
        <v>1077</v>
      </c>
      <c r="J291" s="197" t="s">
        <v>1078</v>
      </c>
      <c r="K291" s="197" t="s">
        <v>145</v>
      </c>
      <c r="L291" s="197">
        <f t="shared" si="44"/>
        <v>1860</v>
      </c>
      <c r="M291" s="197">
        <f t="shared" si="44"/>
        <v>887</v>
      </c>
      <c r="N291" s="197">
        <f t="shared" si="44"/>
        <v>57</v>
      </c>
      <c r="O291" s="197">
        <f t="shared" si="44"/>
        <v>9925</v>
      </c>
      <c r="P291" s="197">
        <f t="shared" si="44"/>
        <v>0</v>
      </c>
      <c r="Q291" s="197">
        <f t="shared" si="44"/>
        <v>0</v>
      </c>
      <c r="R291" s="197">
        <f t="shared" si="44"/>
        <v>4</v>
      </c>
      <c r="S291" s="197">
        <f t="shared" si="44"/>
        <v>0</v>
      </c>
      <c r="T291" s="197">
        <f t="shared" si="44"/>
        <v>0</v>
      </c>
      <c r="U291" s="197">
        <f t="shared" si="44"/>
        <v>1535</v>
      </c>
      <c r="V291" s="197">
        <f t="shared" si="43"/>
        <v>1072</v>
      </c>
      <c r="W291" s="197">
        <f t="shared" si="43"/>
        <v>85</v>
      </c>
      <c r="X291" s="197">
        <f t="shared" si="43"/>
        <v>24309</v>
      </c>
      <c r="Y291" s="197">
        <f t="shared" si="43"/>
        <v>0</v>
      </c>
      <c r="Z291" s="197">
        <f t="shared" si="43"/>
        <v>0</v>
      </c>
      <c r="AA291" s="197">
        <f t="shared" si="43"/>
        <v>1383</v>
      </c>
      <c r="AB291" s="197">
        <f t="shared" si="43"/>
        <v>0</v>
      </c>
      <c r="AC291" s="197">
        <f t="shared" si="43"/>
        <v>0</v>
      </c>
      <c r="AD291" s="197">
        <f t="shared" si="43"/>
        <v>1323</v>
      </c>
      <c r="AE291" s="197">
        <f t="shared" si="43"/>
        <v>835</v>
      </c>
      <c r="AF291" s="197">
        <f t="shared" si="45"/>
        <v>106</v>
      </c>
      <c r="AG291" s="197">
        <f t="shared" si="45"/>
        <v>23688</v>
      </c>
      <c r="AH291" s="197">
        <f t="shared" si="45"/>
        <v>0</v>
      </c>
      <c r="AI291" s="197">
        <f t="shared" si="45"/>
        <v>0</v>
      </c>
      <c r="AJ291" s="197">
        <f t="shared" si="45"/>
        <v>1788</v>
      </c>
      <c r="AK291" s="197">
        <f t="shared" si="45"/>
        <v>0</v>
      </c>
      <c r="AL291" s="197">
        <f t="shared" si="45"/>
        <v>0</v>
      </c>
    </row>
    <row r="292" spans="1:38">
      <c r="A292" s="11" t="str">
        <f t="shared" si="42"/>
        <v>05-486015462011</v>
      </c>
      <c r="B292" t="s">
        <v>227</v>
      </c>
      <c r="C292" t="s">
        <v>228</v>
      </c>
      <c r="D292">
        <v>2011</v>
      </c>
      <c r="E292" t="s">
        <v>63</v>
      </c>
      <c r="F292">
        <v>3473420.73</v>
      </c>
      <c r="G292">
        <v>2287</v>
      </c>
      <c r="H292" s="11" t="str">
        <f t="shared" si="41"/>
        <v>count</v>
      </c>
      <c r="I292" s="197" t="s">
        <v>1079</v>
      </c>
      <c r="J292" s="197" t="s">
        <v>1080</v>
      </c>
      <c r="K292" s="197" t="s">
        <v>146</v>
      </c>
      <c r="L292" s="197">
        <f t="shared" si="44"/>
        <v>590690.72</v>
      </c>
      <c r="M292" s="197">
        <f t="shared" si="44"/>
        <v>276306.21999999997</v>
      </c>
      <c r="N292" s="197">
        <f t="shared" si="44"/>
        <v>0</v>
      </c>
      <c r="O292" s="197">
        <f t="shared" si="44"/>
        <v>0</v>
      </c>
      <c r="P292" s="197">
        <f t="shared" si="44"/>
        <v>395702.06</v>
      </c>
      <c r="Q292" s="197">
        <f t="shared" si="44"/>
        <v>0</v>
      </c>
      <c r="R292" s="197">
        <f t="shared" si="44"/>
        <v>0</v>
      </c>
      <c r="S292" s="197">
        <f t="shared" si="44"/>
        <v>0</v>
      </c>
      <c r="T292" s="197">
        <f t="shared" si="44"/>
        <v>0</v>
      </c>
      <c r="U292" s="197">
        <f t="shared" si="44"/>
        <v>756698.62</v>
      </c>
      <c r="V292" s="197">
        <f t="shared" si="43"/>
        <v>376672.85</v>
      </c>
      <c r="W292" s="197">
        <f t="shared" si="43"/>
        <v>0</v>
      </c>
      <c r="X292" s="197">
        <f t="shared" si="43"/>
        <v>77761.7</v>
      </c>
      <c r="Y292" s="197">
        <f t="shared" si="43"/>
        <v>618374.67000000004</v>
      </c>
      <c r="Z292" s="197">
        <f t="shared" si="43"/>
        <v>0</v>
      </c>
      <c r="AA292" s="197">
        <f t="shared" si="43"/>
        <v>49319.61</v>
      </c>
      <c r="AB292" s="197">
        <f t="shared" si="43"/>
        <v>0</v>
      </c>
      <c r="AC292" s="197">
        <f t="shared" si="43"/>
        <v>0</v>
      </c>
      <c r="AD292" s="197">
        <f t="shared" si="43"/>
        <v>955075.56</v>
      </c>
      <c r="AE292" s="197">
        <f t="shared" si="43"/>
        <v>442584.18</v>
      </c>
      <c r="AF292" s="197">
        <f t="shared" si="45"/>
        <v>0</v>
      </c>
      <c r="AG292" s="197">
        <f t="shared" si="45"/>
        <v>238838.91</v>
      </c>
      <c r="AH292" s="197">
        <f t="shared" si="45"/>
        <v>720697.14</v>
      </c>
      <c r="AI292" s="197">
        <f t="shared" si="45"/>
        <v>0</v>
      </c>
      <c r="AJ292" s="197">
        <f t="shared" si="45"/>
        <v>80235.5</v>
      </c>
      <c r="AK292" s="197">
        <f t="shared" si="45"/>
        <v>0</v>
      </c>
      <c r="AL292" s="197">
        <f t="shared" si="45"/>
        <v>0</v>
      </c>
    </row>
    <row r="293" spans="1:38">
      <c r="A293" s="11" t="str">
        <f t="shared" si="42"/>
        <v>05-486015462011</v>
      </c>
      <c r="B293" t="s">
        <v>227</v>
      </c>
      <c r="C293" t="s">
        <v>228</v>
      </c>
      <c r="D293">
        <v>2011</v>
      </c>
      <c r="E293" t="s">
        <v>1074</v>
      </c>
      <c r="F293">
        <v>23001.52</v>
      </c>
      <c r="G293">
        <v>29</v>
      </c>
      <c r="H293" s="11" t="str">
        <f t="shared" si="41"/>
        <v>count</v>
      </c>
      <c r="I293" s="197" t="s">
        <v>1079</v>
      </c>
      <c r="J293" s="197" t="s">
        <v>1080</v>
      </c>
      <c r="K293" s="197" t="s">
        <v>145</v>
      </c>
      <c r="L293" s="197">
        <f t="shared" si="44"/>
        <v>178</v>
      </c>
      <c r="M293" s="197">
        <f t="shared" si="44"/>
        <v>80</v>
      </c>
      <c r="N293" s="197">
        <f t="shared" si="44"/>
        <v>0</v>
      </c>
      <c r="O293" s="197">
        <f t="shared" si="44"/>
        <v>0</v>
      </c>
      <c r="P293" s="197">
        <f t="shared" si="44"/>
        <v>105</v>
      </c>
      <c r="Q293" s="197">
        <f t="shared" si="44"/>
        <v>0</v>
      </c>
      <c r="R293" s="197">
        <f t="shared" si="44"/>
        <v>0</v>
      </c>
      <c r="S293" s="197">
        <f t="shared" si="44"/>
        <v>0</v>
      </c>
      <c r="T293" s="197">
        <f t="shared" si="44"/>
        <v>0</v>
      </c>
      <c r="U293" s="197">
        <f t="shared" si="44"/>
        <v>240</v>
      </c>
      <c r="V293" s="197">
        <f t="shared" si="43"/>
        <v>135</v>
      </c>
      <c r="W293" s="197">
        <f t="shared" si="43"/>
        <v>0</v>
      </c>
      <c r="X293" s="197">
        <f t="shared" si="43"/>
        <v>32</v>
      </c>
      <c r="Y293" s="197">
        <f t="shared" si="43"/>
        <v>173</v>
      </c>
      <c r="Z293" s="197">
        <f t="shared" si="43"/>
        <v>0</v>
      </c>
      <c r="AA293" s="197">
        <f t="shared" si="43"/>
        <v>23</v>
      </c>
      <c r="AB293" s="197">
        <f t="shared" si="43"/>
        <v>0</v>
      </c>
      <c r="AC293" s="197">
        <f t="shared" si="43"/>
        <v>0</v>
      </c>
      <c r="AD293" s="197">
        <f t="shared" si="43"/>
        <v>280</v>
      </c>
      <c r="AE293" s="197">
        <f t="shared" si="43"/>
        <v>134</v>
      </c>
      <c r="AF293" s="197">
        <f t="shared" si="45"/>
        <v>0</v>
      </c>
      <c r="AG293" s="197">
        <f t="shared" si="45"/>
        <v>59</v>
      </c>
      <c r="AH293" s="197">
        <f t="shared" si="45"/>
        <v>189</v>
      </c>
      <c r="AI293" s="197">
        <f t="shared" si="45"/>
        <v>0</v>
      </c>
      <c r="AJ293" s="197">
        <f t="shared" si="45"/>
        <v>39</v>
      </c>
      <c r="AK293" s="197">
        <f t="shared" si="45"/>
        <v>0</v>
      </c>
      <c r="AL293" s="197">
        <f t="shared" si="45"/>
        <v>0</v>
      </c>
    </row>
    <row r="294" spans="1:38">
      <c r="A294" s="11" t="str">
        <f t="shared" si="42"/>
        <v>05-486015462011</v>
      </c>
      <c r="B294" t="s">
        <v>227</v>
      </c>
      <c r="C294" t="s">
        <v>228</v>
      </c>
      <c r="D294">
        <v>2011</v>
      </c>
      <c r="E294" t="s">
        <v>104</v>
      </c>
      <c r="F294">
        <v>1927502.01</v>
      </c>
      <c r="G294">
        <v>1216</v>
      </c>
      <c r="H294" s="11" t="str">
        <f t="shared" si="41"/>
        <v>count</v>
      </c>
      <c r="I294" s="197" t="s">
        <v>1081</v>
      </c>
      <c r="J294" s="197" t="s">
        <v>1082</v>
      </c>
      <c r="K294" s="197" t="s">
        <v>146</v>
      </c>
      <c r="L294" s="197">
        <f t="shared" si="44"/>
        <v>5640293.5</v>
      </c>
      <c r="M294" s="197">
        <f t="shared" si="44"/>
        <v>2716892.65</v>
      </c>
      <c r="N294" s="197">
        <f t="shared" si="44"/>
        <v>855175.63</v>
      </c>
      <c r="O294" s="197">
        <f t="shared" si="44"/>
        <v>3456.34</v>
      </c>
      <c r="P294" s="197">
        <f t="shared" si="44"/>
        <v>447210.84</v>
      </c>
      <c r="Q294" s="197">
        <f t="shared" si="44"/>
        <v>0</v>
      </c>
      <c r="R294" s="197">
        <f t="shared" si="44"/>
        <v>3988.4</v>
      </c>
      <c r="S294" s="197">
        <f t="shared" si="44"/>
        <v>0</v>
      </c>
      <c r="T294" s="197">
        <f t="shared" si="44"/>
        <v>0</v>
      </c>
      <c r="U294" s="197">
        <f t="shared" si="44"/>
        <v>4411472.84</v>
      </c>
      <c r="V294" s="197">
        <f t="shared" si="43"/>
        <v>2499833.52</v>
      </c>
      <c r="W294" s="197">
        <f t="shared" si="43"/>
        <v>832760.73</v>
      </c>
      <c r="X294" s="197">
        <f t="shared" si="43"/>
        <v>4642.25</v>
      </c>
      <c r="Y294" s="197">
        <f t="shared" si="43"/>
        <v>1743158.29</v>
      </c>
      <c r="Z294" s="197">
        <f t="shared" si="43"/>
        <v>0</v>
      </c>
      <c r="AA294" s="197">
        <f t="shared" si="43"/>
        <v>1448926.47</v>
      </c>
      <c r="AB294" s="197">
        <f t="shared" si="43"/>
        <v>0</v>
      </c>
      <c r="AC294" s="197">
        <f t="shared" si="43"/>
        <v>0</v>
      </c>
      <c r="AD294" s="197">
        <f t="shared" si="43"/>
        <v>4289632.07</v>
      </c>
      <c r="AE294" s="197">
        <f t="shared" si="43"/>
        <v>2129872.21</v>
      </c>
      <c r="AF294" s="197">
        <f t="shared" si="45"/>
        <v>751089.15</v>
      </c>
      <c r="AG294" s="197">
        <f t="shared" si="45"/>
        <v>12393.93</v>
      </c>
      <c r="AH294" s="197">
        <f t="shared" si="45"/>
        <v>1902487.87</v>
      </c>
      <c r="AI294" s="197">
        <f t="shared" si="45"/>
        <v>0</v>
      </c>
      <c r="AJ294" s="197">
        <f t="shared" si="45"/>
        <v>1739992.16</v>
      </c>
      <c r="AK294" s="197">
        <f t="shared" si="45"/>
        <v>0</v>
      </c>
      <c r="AL294" s="197">
        <f t="shared" si="45"/>
        <v>0</v>
      </c>
    </row>
    <row r="295" spans="1:38">
      <c r="A295" s="11" t="str">
        <f t="shared" si="42"/>
        <v>05-486015462012</v>
      </c>
      <c r="B295" t="s">
        <v>227</v>
      </c>
      <c r="C295" t="s">
        <v>228</v>
      </c>
      <c r="D295">
        <v>2012</v>
      </c>
      <c r="E295" t="s">
        <v>1075</v>
      </c>
      <c r="F295">
        <v>79461.86</v>
      </c>
      <c r="G295">
        <v>54</v>
      </c>
      <c r="H295" s="11" t="str">
        <f t="shared" si="41"/>
        <v>count</v>
      </c>
      <c r="I295" s="197" t="s">
        <v>1081</v>
      </c>
      <c r="J295" s="197" t="s">
        <v>1082</v>
      </c>
      <c r="K295" s="197" t="s">
        <v>145</v>
      </c>
      <c r="L295" s="197">
        <f t="shared" si="44"/>
        <v>6148</v>
      </c>
      <c r="M295" s="197">
        <f t="shared" si="44"/>
        <v>2955</v>
      </c>
      <c r="N295" s="197">
        <f t="shared" si="44"/>
        <v>862</v>
      </c>
      <c r="O295" s="197">
        <f t="shared" si="44"/>
        <v>4</v>
      </c>
      <c r="P295" s="197">
        <f t="shared" si="44"/>
        <v>513</v>
      </c>
      <c r="Q295" s="197">
        <f t="shared" si="44"/>
        <v>0</v>
      </c>
      <c r="R295" s="197">
        <f t="shared" si="44"/>
        <v>7</v>
      </c>
      <c r="S295" s="197">
        <f t="shared" si="44"/>
        <v>0</v>
      </c>
      <c r="T295" s="197">
        <f t="shared" si="44"/>
        <v>0</v>
      </c>
      <c r="U295" s="197">
        <f t="shared" si="44"/>
        <v>4588</v>
      </c>
      <c r="V295" s="197">
        <f t="shared" si="43"/>
        <v>2719</v>
      </c>
      <c r="W295" s="197">
        <f t="shared" si="43"/>
        <v>868</v>
      </c>
      <c r="X295" s="197">
        <f t="shared" si="43"/>
        <v>5</v>
      </c>
      <c r="Y295" s="197">
        <f t="shared" si="43"/>
        <v>1745</v>
      </c>
      <c r="Z295" s="197">
        <f t="shared" si="43"/>
        <v>0</v>
      </c>
      <c r="AA295" s="197">
        <f t="shared" si="43"/>
        <v>1816</v>
      </c>
      <c r="AB295" s="197">
        <f t="shared" si="43"/>
        <v>0</v>
      </c>
      <c r="AC295" s="197">
        <f t="shared" si="43"/>
        <v>0</v>
      </c>
      <c r="AD295" s="197">
        <f t="shared" si="43"/>
        <v>4218</v>
      </c>
      <c r="AE295" s="197">
        <f t="shared" si="43"/>
        <v>2118</v>
      </c>
      <c r="AF295" s="197">
        <f t="shared" si="45"/>
        <v>700</v>
      </c>
      <c r="AG295" s="197">
        <f t="shared" si="45"/>
        <v>14</v>
      </c>
      <c r="AH295" s="197">
        <f t="shared" si="45"/>
        <v>1682</v>
      </c>
      <c r="AI295" s="197">
        <f t="shared" si="45"/>
        <v>0</v>
      </c>
      <c r="AJ295" s="197">
        <f t="shared" si="45"/>
        <v>1973</v>
      </c>
      <c r="AK295" s="197">
        <f t="shared" si="45"/>
        <v>0</v>
      </c>
      <c r="AL295" s="197">
        <f t="shared" si="45"/>
        <v>0</v>
      </c>
    </row>
    <row r="296" spans="1:38">
      <c r="A296" s="11" t="str">
        <f t="shared" si="42"/>
        <v>05-486015462012</v>
      </c>
      <c r="B296" t="s">
        <v>227</v>
      </c>
      <c r="C296" t="s">
        <v>228</v>
      </c>
      <c r="D296">
        <v>2012</v>
      </c>
      <c r="E296" t="s">
        <v>63</v>
      </c>
      <c r="F296">
        <v>3409415.01</v>
      </c>
      <c r="G296">
        <v>2234</v>
      </c>
      <c r="H296" s="11" t="str">
        <f t="shared" si="41"/>
        <v>count</v>
      </c>
      <c r="I296" s="197" t="s">
        <v>1083</v>
      </c>
      <c r="J296" s="197" t="s">
        <v>1084</v>
      </c>
      <c r="K296" s="197" t="s">
        <v>146</v>
      </c>
      <c r="L296" s="197">
        <f t="shared" si="44"/>
        <v>2100709.56</v>
      </c>
      <c r="M296" s="197">
        <f t="shared" si="44"/>
        <v>1097034.78</v>
      </c>
      <c r="N296" s="197">
        <f t="shared" si="44"/>
        <v>362179.71</v>
      </c>
      <c r="O296" s="197">
        <f t="shared" si="44"/>
        <v>33392.480000000003</v>
      </c>
      <c r="P296" s="197">
        <f t="shared" si="44"/>
        <v>767819.13</v>
      </c>
      <c r="Q296" s="197">
        <f t="shared" si="44"/>
        <v>0</v>
      </c>
      <c r="R296" s="197">
        <f t="shared" si="44"/>
        <v>3800.76</v>
      </c>
      <c r="S296" s="197">
        <f t="shared" si="44"/>
        <v>0</v>
      </c>
      <c r="T296" s="197">
        <f t="shared" si="44"/>
        <v>0</v>
      </c>
      <c r="U296" s="197">
        <f t="shared" si="44"/>
        <v>1831468.44</v>
      </c>
      <c r="V296" s="197">
        <f t="shared" si="43"/>
        <v>1123403.3600000001</v>
      </c>
      <c r="W296" s="197">
        <f t="shared" si="43"/>
        <v>330965.74</v>
      </c>
      <c r="X296" s="197">
        <f t="shared" si="43"/>
        <v>0</v>
      </c>
      <c r="Y296" s="197">
        <f t="shared" si="43"/>
        <v>761369.8</v>
      </c>
      <c r="Z296" s="197">
        <f t="shared" si="43"/>
        <v>0</v>
      </c>
      <c r="AA296" s="197">
        <f t="shared" si="43"/>
        <v>571439.98</v>
      </c>
      <c r="AB296" s="197">
        <f t="shared" si="43"/>
        <v>0</v>
      </c>
      <c r="AC296" s="197">
        <f t="shared" si="43"/>
        <v>0</v>
      </c>
      <c r="AD296" s="197">
        <f t="shared" si="43"/>
        <v>1964845.32</v>
      </c>
      <c r="AE296" s="197">
        <f t="shared" si="43"/>
        <v>1110380.3999999999</v>
      </c>
      <c r="AF296" s="197">
        <f t="shared" si="45"/>
        <v>412321.01</v>
      </c>
      <c r="AG296" s="197">
        <f t="shared" si="45"/>
        <v>0</v>
      </c>
      <c r="AH296" s="197">
        <f t="shared" si="45"/>
        <v>822286.89</v>
      </c>
      <c r="AI296" s="197">
        <f t="shared" si="45"/>
        <v>0</v>
      </c>
      <c r="AJ296" s="197">
        <f t="shared" si="45"/>
        <v>774542.43</v>
      </c>
      <c r="AK296" s="197">
        <f t="shared" si="45"/>
        <v>0</v>
      </c>
      <c r="AL296" s="197">
        <f t="shared" si="45"/>
        <v>0</v>
      </c>
    </row>
    <row r="297" spans="1:38">
      <c r="A297" s="11" t="str">
        <f t="shared" si="42"/>
        <v>05-486015462012</v>
      </c>
      <c r="B297" t="s">
        <v>227</v>
      </c>
      <c r="C297" t="s">
        <v>228</v>
      </c>
      <c r="D297">
        <v>2012</v>
      </c>
      <c r="E297" t="s">
        <v>1074</v>
      </c>
      <c r="F297">
        <v>37717.51</v>
      </c>
      <c r="G297">
        <v>22</v>
      </c>
      <c r="H297" s="11" t="str">
        <f t="shared" si="41"/>
        <v>count</v>
      </c>
      <c r="I297" s="197" t="s">
        <v>1083</v>
      </c>
      <c r="J297" s="197" t="s">
        <v>1084</v>
      </c>
      <c r="K297" s="197" t="s">
        <v>145</v>
      </c>
      <c r="L297" s="197">
        <f t="shared" si="44"/>
        <v>2708</v>
      </c>
      <c r="M297" s="197">
        <f t="shared" si="44"/>
        <v>1391</v>
      </c>
      <c r="N297" s="197">
        <f t="shared" si="44"/>
        <v>447</v>
      </c>
      <c r="O297" s="197">
        <f t="shared" si="44"/>
        <v>25</v>
      </c>
      <c r="P297" s="197">
        <f t="shared" si="44"/>
        <v>865</v>
      </c>
      <c r="Q297" s="197">
        <f t="shared" si="44"/>
        <v>0</v>
      </c>
      <c r="R297" s="197">
        <f t="shared" si="44"/>
        <v>9</v>
      </c>
      <c r="S297" s="197">
        <f t="shared" si="44"/>
        <v>0</v>
      </c>
      <c r="T297" s="197">
        <f t="shared" si="44"/>
        <v>0</v>
      </c>
      <c r="U297" s="197">
        <f t="shared" si="44"/>
        <v>2183</v>
      </c>
      <c r="V297" s="197">
        <f t="shared" si="43"/>
        <v>1306</v>
      </c>
      <c r="W297" s="197">
        <f t="shared" si="43"/>
        <v>397</v>
      </c>
      <c r="X297" s="197">
        <f t="shared" si="43"/>
        <v>0</v>
      </c>
      <c r="Y297" s="197">
        <f t="shared" si="43"/>
        <v>807</v>
      </c>
      <c r="Z297" s="197">
        <f t="shared" si="43"/>
        <v>0</v>
      </c>
      <c r="AA297" s="197">
        <f t="shared" si="43"/>
        <v>790</v>
      </c>
      <c r="AB297" s="197">
        <f t="shared" si="43"/>
        <v>0</v>
      </c>
      <c r="AC297" s="197">
        <f t="shared" si="43"/>
        <v>0</v>
      </c>
      <c r="AD297" s="197">
        <f t="shared" si="43"/>
        <v>2283</v>
      </c>
      <c r="AE297" s="197">
        <f t="shared" si="43"/>
        <v>1303</v>
      </c>
      <c r="AF297" s="197">
        <f t="shared" si="45"/>
        <v>426</v>
      </c>
      <c r="AG297" s="197">
        <f t="shared" si="45"/>
        <v>0</v>
      </c>
      <c r="AH297" s="197">
        <f t="shared" si="45"/>
        <v>905</v>
      </c>
      <c r="AI297" s="197">
        <f t="shared" si="45"/>
        <v>0</v>
      </c>
      <c r="AJ297" s="197">
        <f t="shared" si="45"/>
        <v>1060</v>
      </c>
      <c r="AK297" s="197">
        <f t="shared" si="45"/>
        <v>0</v>
      </c>
      <c r="AL297" s="197">
        <f t="shared" si="45"/>
        <v>0</v>
      </c>
    </row>
    <row r="298" spans="1:38">
      <c r="A298" s="11" t="str">
        <f t="shared" si="42"/>
        <v>05-486015462012</v>
      </c>
      <c r="B298" t="s">
        <v>227</v>
      </c>
      <c r="C298" t="s">
        <v>228</v>
      </c>
      <c r="D298">
        <v>2012</v>
      </c>
      <c r="E298" t="s">
        <v>69</v>
      </c>
      <c r="F298">
        <v>485628.92</v>
      </c>
      <c r="G298">
        <v>380</v>
      </c>
      <c r="H298" s="11" t="str">
        <f t="shared" si="41"/>
        <v>count</v>
      </c>
      <c r="I298" s="197" t="s">
        <v>1085</v>
      </c>
      <c r="J298" s="197" t="s">
        <v>1086</v>
      </c>
      <c r="K298" s="197" t="s">
        <v>146</v>
      </c>
      <c r="L298" s="197">
        <f t="shared" si="44"/>
        <v>1634901.53</v>
      </c>
      <c r="M298" s="197">
        <f t="shared" si="44"/>
        <v>819532.47</v>
      </c>
      <c r="N298" s="197">
        <f t="shared" si="44"/>
        <v>142409.32999999999</v>
      </c>
      <c r="O298" s="197">
        <f t="shared" si="44"/>
        <v>0</v>
      </c>
      <c r="P298" s="197">
        <f t="shared" si="44"/>
        <v>838342.77</v>
      </c>
      <c r="Q298" s="197">
        <f t="shared" si="44"/>
        <v>0</v>
      </c>
      <c r="R298" s="197">
        <f t="shared" si="44"/>
        <v>1999.26</v>
      </c>
      <c r="S298" s="197">
        <f t="shared" si="44"/>
        <v>0</v>
      </c>
      <c r="T298" s="197">
        <f t="shared" si="44"/>
        <v>0</v>
      </c>
      <c r="U298" s="197">
        <f t="shared" si="44"/>
        <v>1450100.63</v>
      </c>
      <c r="V298" s="197">
        <f t="shared" si="43"/>
        <v>877094.84</v>
      </c>
      <c r="W298" s="197">
        <f t="shared" si="43"/>
        <v>152192.22</v>
      </c>
      <c r="X298" s="197">
        <f t="shared" si="43"/>
        <v>0</v>
      </c>
      <c r="Y298" s="197">
        <f t="shared" si="43"/>
        <v>910614.48</v>
      </c>
      <c r="Z298" s="197">
        <f t="shared" si="43"/>
        <v>0</v>
      </c>
      <c r="AA298" s="197">
        <f t="shared" si="43"/>
        <v>316567.93</v>
      </c>
      <c r="AB298" s="197">
        <f t="shared" si="43"/>
        <v>0</v>
      </c>
      <c r="AC298" s="197">
        <f t="shared" si="43"/>
        <v>0</v>
      </c>
      <c r="AD298" s="197">
        <f t="shared" si="43"/>
        <v>1618564.45</v>
      </c>
      <c r="AE298" s="197">
        <f t="shared" si="43"/>
        <v>636563.31000000006</v>
      </c>
      <c r="AF298" s="197">
        <f t="shared" si="45"/>
        <v>111070.47</v>
      </c>
      <c r="AG298" s="197">
        <f t="shared" si="45"/>
        <v>0</v>
      </c>
      <c r="AH298" s="197">
        <f t="shared" si="45"/>
        <v>824443.54</v>
      </c>
      <c r="AI298" s="197">
        <f t="shared" si="45"/>
        <v>0</v>
      </c>
      <c r="AJ298" s="197">
        <f t="shared" si="45"/>
        <v>380077.96</v>
      </c>
      <c r="AK298" s="197">
        <f t="shared" si="45"/>
        <v>0</v>
      </c>
      <c r="AL298" s="197">
        <f t="shared" si="45"/>
        <v>0</v>
      </c>
    </row>
    <row r="299" spans="1:38">
      <c r="A299" s="11" t="str">
        <f t="shared" si="42"/>
        <v>05-486015462013</v>
      </c>
      <c r="B299" t="s">
        <v>227</v>
      </c>
      <c r="C299" t="s">
        <v>228</v>
      </c>
      <c r="D299">
        <v>2013</v>
      </c>
      <c r="E299" t="s">
        <v>105</v>
      </c>
      <c r="F299">
        <v>836824.98</v>
      </c>
      <c r="G299">
        <v>692</v>
      </c>
      <c r="H299" s="11" t="str">
        <f t="shared" si="41"/>
        <v>count</v>
      </c>
      <c r="I299" s="197" t="s">
        <v>1085</v>
      </c>
      <c r="J299" s="197" t="s">
        <v>1086</v>
      </c>
      <c r="K299" s="197" t="s">
        <v>145</v>
      </c>
      <c r="L299" s="197">
        <f t="shared" si="44"/>
        <v>2077</v>
      </c>
      <c r="M299" s="197">
        <f t="shared" si="44"/>
        <v>925</v>
      </c>
      <c r="N299" s="197">
        <f t="shared" si="44"/>
        <v>167</v>
      </c>
      <c r="O299" s="197">
        <f t="shared" si="44"/>
        <v>0</v>
      </c>
      <c r="P299" s="197">
        <f t="shared" si="44"/>
        <v>687</v>
      </c>
      <c r="Q299" s="197">
        <f t="shared" si="44"/>
        <v>0</v>
      </c>
      <c r="R299" s="197">
        <f t="shared" si="44"/>
        <v>5</v>
      </c>
      <c r="S299" s="197">
        <f t="shared" si="44"/>
        <v>0</v>
      </c>
      <c r="T299" s="197">
        <f t="shared" si="44"/>
        <v>0</v>
      </c>
      <c r="U299" s="197">
        <f t="shared" si="44"/>
        <v>1884</v>
      </c>
      <c r="V299" s="197">
        <f t="shared" si="43"/>
        <v>943</v>
      </c>
      <c r="W299" s="197">
        <f t="shared" si="43"/>
        <v>183</v>
      </c>
      <c r="X299" s="197">
        <f t="shared" si="43"/>
        <v>0</v>
      </c>
      <c r="Y299" s="197">
        <f t="shared" si="43"/>
        <v>767</v>
      </c>
      <c r="Z299" s="197">
        <f t="shared" si="43"/>
        <v>0</v>
      </c>
      <c r="AA299" s="197">
        <f t="shared" si="43"/>
        <v>520</v>
      </c>
      <c r="AB299" s="197">
        <f t="shared" si="43"/>
        <v>0</v>
      </c>
      <c r="AC299" s="197">
        <f t="shared" si="43"/>
        <v>0</v>
      </c>
      <c r="AD299" s="197">
        <f t="shared" si="43"/>
        <v>1843</v>
      </c>
      <c r="AE299" s="197">
        <f t="shared" si="43"/>
        <v>744</v>
      </c>
      <c r="AF299" s="197">
        <f t="shared" si="45"/>
        <v>145</v>
      </c>
      <c r="AG299" s="197">
        <f t="shared" si="45"/>
        <v>0</v>
      </c>
      <c r="AH299" s="197">
        <f t="shared" si="45"/>
        <v>712</v>
      </c>
      <c r="AI299" s="197">
        <f t="shared" si="45"/>
        <v>0</v>
      </c>
      <c r="AJ299" s="197">
        <f t="shared" si="45"/>
        <v>631</v>
      </c>
      <c r="AK299" s="197">
        <f t="shared" si="45"/>
        <v>0</v>
      </c>
      <c r="AL299" s="197">
        <f t="shared" si="45"/>
        <v>0</v>
      </c>
    </row>
    <row r="300" spans="1:38">
      <c r="A300" s="11" t="str">
        <f t="shared" si="42"/>
        <v>05-486015462012</v>
      </c>
      <c r="B300" t="s">
        <v>227</v>
      </c>
      <c r="C300" t="s">
        <v>228</v>
      </c>
      <c r="D300">
        <v>2012</v>
      </c>
      <c r="E300" t="s">
        <v>104</v>
      </c>
      <c r="F300">
        <v>1817071.54</v>
      </c>
      <c r="G300">
        <v>1236</v>
      </c>
      <c r="H300" s="11" t="str">
        <f t="shared" si="41"/>
        <v>count</v>
      </c>
      <c r="I300" s="197" t="s">
        <v>1087</v>
      </c>
      <c r="J300" s="197" t="s">
        <v>1088</v>
      </c>
      <c r="K300" s="197" t="s">
        <v>146</v>
      </c>
      <c r="L300" s="197">
        <f t="shared" si="44"/>
        <v>1962103.05</v>
      </c>
      <c r="M300" s="197">
        <f t="shared" si="44"/>
        <v>428473.01</v>
      </c>
      <c r="N300" s="197">
        <f t="shared" si="44"/>
        <v>92078.61</v>
      </c>
      <c r="O300" s="197">
        <f t="shared" si="44"/>
        <v>0</v>
      </c>
      <c r="P300" s="197">
        <f t="shared" si="44"/>
        <v>494098.62</v>
      </c>
      <c r="Q300" s="197">
        <f t="shared" si="44"/>
        <v>0</v>
      </c>
      <c r="R300" s="197">
        <f t="shared" si="44"/>
        <v>1245.93</v>
      </c>
      <c r="S300" s="197">
        <f t="shared" si="44"/>
        <v>0</v>
      </c>
      <c r="T300" s="197">
        <f t="shared" si="44"/>
        <v>0</v>
      </c>
      <c r="U300" s="197">
        <f t="shared" si="44"/>
        <v>1649547.42</v>
      </c>
      <c r="V300" s="197">
        <f t="shared" si="43"/>
        <v>422600.66</v>
      </c>
      <c r="W300" s="197">
        <f t="shared" si="43"/>
        <v>70343.039999999994</v>
      </c>
      <c r="X300" s="197">
        <f t="shared" si="43"/>
        <v>0</v>
      </c>
      <c r="Y300" s="197">
        <f t="shared" si="43"/>
        <v>528800.5</v>
      </c>
      <c r="Z300" s="197">
        <f t="shared" si="43"/>
        <v>0</v>
      </c>
      <c r="AA300" s="197">
        <f t="shared" si="43"/>
        <v>275918.40999999997</v>
      </c>
      <c r="AB300" s="197">
        <f t="shared" si="43"/>
        <v>0</v>
      </c>
      <c r="AC300" s="197">
        <f t="shared" si="43"/>
        <v>0</v>
      </c>
      <c r="AD300" s="197">
        <f t="shared" si="43"/>
        <v>1550777.61</v>
      </c>
      <c r="AE300" s="197">
        <f t="shared" si="43"/>
        <v>379793.03</v>
      </c>
      <c r="AF300" s="197">
        <f t="shared" si="45"/>
        <v>54715.97</v>
      </c>
      <c r="AG300" s="197">
        <f t="shared" si="45"/>
        <v>0</v>
      </c>
      <c r="AH300" s="197">
        <f t="shared" si="45"/>
        <v>395870.34</v>
      </c>
      <c r="AI300" s="197">
        <f t="shared" si="45"/>
        <v>0</v>
      </c>
      <c r="AJ300" s="197">
        <f t="shared" si="45"/>
        <v>289653</v>
      </c>
      <c r="AK300" s="197">
        <f t="shared" si="45"/>
        <v>0</v>
      </c>
      <c r="AL300" s="197">
        <f t="shared" si="45"/>
        <v>0</v>
      </c>
    </row>
    <row r="301" spans="1:38">
      <c r="A301" s="11" t="str">
        <f t="shared" si="42"/>
        <v>05-486015462011</v>
      </c>
      <c r="B301" t="s">
        <v>227</v>
      </c>
      <c r="C301" t="s">
        <v>228</v>
      </c>
      <c r="D301">
        <v>2011</v>
      </c>
      <c r="E301" t="s">
        <v>1076</v>
      </c>
      <c r="F301">
        <v>15330.5</v>
      </c>
      <c r="G301">
        <v>19</v>
      </c>
      <c r="H301" s="11" t="str">
        <f t="shared" si="41"/>
        <v>count</v>
      </c>
      <c r="I301" s="197" t="s">
        <v>1087</v>
      </c>
      <c r="J301" s="197" t="s">
        <v>1088</v>
      </c>
      <c r="K301" s="197" t="s">
        <v>145</v>
      </c>
      <c r="L301" s="197">
        <f t="shared" si="44"/>
        <v>2644</v>
      </c>
      <c r="M301" s="197">
        <f t="shared" si="44"/>
        <v>594</v>
      </c>
      <c r="N301" s="197">
        <f t="shared" si="44"/>
        <v>111</v>
      </c>
      <c r="O301" s="197">
        <f t="shared" si="44"/>
        <v>0</v>
      </c>
      <c r="P301" s="197">
        <f t="shared" si="44"/>
        <v>597</v>
      </c>
      <c r="Q301" s="197">
        <f t="shared" si="44"/>
        <v>0</v>
      </c>
      <c r="R301" s="197">
        <f t="shared" si="44"/>
        <v>2</v>
      </c>
      <c r="S301" s="197">
        <f t="shared" si="44"/>
        <v>0</v>
      </c>
      <c r="T301" s="197">
        <f t="shared" si="44"/>
        <v>0</v>
      </c>
      <c r="U301" s="197">
        <f t="shared" si="44"/>
        <v>2184</v>
      </c>
      <c r="V301" s="197">
        <f t="shared" si="43"/>
        <v>573</v>
      </c>
      <c r="W301" s="197">
        <f t="shared" si="43"/>
        <v>94</v>
      </c>
      <c r="X301" s="197">
        <f t="shared" si="43"/>
        <v>0</v>
      </c>
      <c r="Y301" s="197">
        <f t="shared" si="43"/>
        <v>609</v>
      </c>
      <c r="Z301" s="197">
        <f t="shared" si="43"/>
        <v>0</v>
      </c>
      <c r="AA301" s="197">
        <f t="shared" si="43"/>
        <v>480</v>
      </c>
      <c r="AB301" s="197">
        <f t="shared" si="43"/>
        <v>0</v>
      </c>
      <c r="AC301" s="197">
        <f t="shared" si="43"/>
        <v>0</v>
      </c>
      <c r="AD301" s="197">
        <f t="shared" si="43"/>
        <v>1930</v>
      </c>
      <c r="AE301" s="197">
        <f t="shared" si="43"/>
        <v>446</v>
      </c>
      <c r="AF301" s="197">
        <f t="shared" si="45"/>
        <v>69</v>
      </c>
      <c r="AG301" s="197">
        <f t="shared" si="45"/>
        <v>0</v>
      </c>
      <c r="AH301" s="197">
        <f t="shared" si="45"/>
        <v>473</v>
      </c>
      <c r="AI301" s="197">
        <f t="shared" si="45"/>
        <v>0</v>
      </c>
      <c r="AJ301" s="197">
        <f t="shared" si="45"/>
        <v>436</v>
      </c>
      <c r="AK301" s="197">
        <f t="shared" si="45"/>
        <v>0</v>
      </c>
      <c r="AL301" s="197">
        <f t="shared" si="45"/>
        <v>0</v>
      </c>
    </row>
    <row r="302" spans="1:38">
      <c r="A302" s="11" t="str">
        <f t="shared" si="42"/>
        <v>05-486015462011</v>
      </c>
      <c r="B302" t="s">
        <v>227</v>
      </c>
      <c r="C302" t="s">
        <v>228</v>
      </c>
      <c r="D302">
        <v>2011</v>
      </c>
      <c r="E302" t="s">
        <v>1075</v>
      </c>
      <c r="F302">
        <v>49551.37</v>
      </c>
      <c r="G302">
        <v>36</v>
      </c>
      <c r="H302" s="11" t="str">
        <f t="shared" si="41"/>
        <v>count</v>
      </c>
      <c r="I302" s="197" t="s">
        <v>1089</v>
      </c>
      <c r="J302" s="197" t="s">
        <v>1090</v>
      </c>
      <c r="K302" s="197" t="s">
        <v>146</v>
      </c>
      <c r="L302" s="197">
        <f t="shared" si="44"/>
        <v>780808.06</v>
      </c>
      <c r="M302" s="197">
        <f t="shared" si="44"/>
        <v>286203.87</v>
      </c>
      <c r="N302" s="197">
        <f t="shared" si="44"/>
        <v>107518.72</v>
      </c>
      <c r="O302" s="197">
        <f t="shared" si="44"/>
        <v>0</v>
      </c>
      <c r="P302" s="197">
        <f t="shared" si="44"/>
        <v>0</v>
      </c>
      <c r="Q302" s="197">
        <f t="shared" si="44"/>
        <v>0</v>
      </c>
      <c r="R302" s="197">
        <f t="shared" si="44"/>
        <v>0</v>
      </c>
      <c r="S302" s="197">
        <f t="shared" si="44"/>
        <v>0</v>
      </c>
      <c r="T302" s="197">
        <f t="shared" si="44"/>
        <v>0</v>
      </c>
      <c r="U302" s="197">
        <f t="shared" si="44"/>
        <v>609872.51</v>
      </c>
      <c r="V302" s="197">
        <f t="shared" si="43"/>
        <v>337053.54</v>
      </c>
      <c r="W302" s="197">
        <f t="shared" si="43"/>
        <v>126821.24</v>
      </c>
      <c r="X302" s="197">
        <f t="shared" si="43"/>
        <v>0</v>
      </c>
      <c r="Y302" s="197">
        <f t="shared" si="43"/>
        <v>0</v>
      </c>
      <c r="Z302" s="197">
        <f t="shared" si="43"/>
        <v>0</v>
      </c>
      <c r="AA302" s="197">
        <f t="shared" si="43"/>
        <v>298864.84000000003</v>
      </c>
      <c r="AB302" s="197">
        <f t="shared" si="43"/>
        <v>0</v>
      </c>
      <c r="AC302" s="197">
        <f t="shared" si="43"/>
        <v>0</v>
      </c>
      <c r="AD302" s="197">
        <f t="shared" si="43"/>
        <v>608377.48</v>
      </c>
      <c r="AE302" s="197">
        <f t="shared" si="43"/>
        <v>313356.23</v>
      </c>
      <c r="AF302" s="197">
        <f t="shared" si="45"/>
        <v>111626.97</v>
      </c>
      <c r="AG302" s="197">
        <f t="shared" si="45"/>
        <v>0</v>
      </c>
      <c r="AH302" s="197">
        <f t="shared" si="45"/>
        <v>0</v>
      </c>
      <c r="AI302" s="197">
        <f t="shared" si="45"/>
        <v>0</v>
      </c>
      <c r="AJ302" s="197">
        <f t="shared" si="45"/>
        <v>368303.66</v>
      </c>
      <c r="AK302" s="197">
        <f t="shared" si="45"/>
        <v>0</v>
      </c>
      <c r="AL302" s="197">
        <f t="shared" si="45"/>
        <v>0</v>
      </c>
    </row>
    <row r="303" spans="1:38">
      <c r="A303" s="11" t="str">
        <f t="shared" si="42"/>
        <v>05-486015462013</v>
      </c>
      <c r="B303" t="s">
        <v>227</v>
      </c>
      <c r="C303" t="s">
        <v>228</v>
      </c>
      <c r="D303">
        <v>2013</v>
      </c>
      <c r="E303" t="s">
        <v>63</v>
      </c>
      <c r="F303">
        <v>6070693.6900000004</v>
      </c>
      <c r="G303">
        <v>4790</v>
      </c>
      <c r="H303" s="11" t="str">
        <f t="shared" si="41"/>
        <v>count</v>
      </c>
      <c r="I303" s="197" t="s">
        <v>1089</v>
      </c>
      <c r="J303" s="197" t="s">
        <v>1090</v>
      </c>
      <c r="K303" s="197" t="s">
        <v>145</v>
      </c>
      <c r="L303" s="197">
        <f t="shared" si="44"/>
        <v>1094</v>
      </c>
      <c r="M303" s="197">
        <f t="shared" si="44"/>
        <v>431</v>
      </c>
      <c r="N303" s="197">
        <f t="shared" si="44"/>
        <v>151</v>
      </c>
      <c r="O303" s="197">
        <f t="shared" si="44"/>
        <v>0</v>
      </c>
      <c r="P303" s="197">
        <f t="shared" si="44"/>
        <v>0</v>
      </c>
      <c r="Q303" s="197">
        <f t="shared" si="44"/>
        <v>0</v>
      </c>
      <c r="R303" s="197">
        <f t="shared" si="44"/>
        <v>0</v>
      </c>
      <c r="S303" s="197">
        <f t="shared" si="44"/>
        <v>0</v>
      </c>
      <c r="T303" s="197">
        <f t="shared" si="44"/>
        <v>0</v>
      </c>
      <c r="U303" s="197">
        <f t="shared" si="44"/>
        <v>827</v>
      </c>
      <c r="V303" s="197">
        <f t="shared" si="43"/>
        <v>462</v>
      </c>
      <c r="W303" s="197">
        <f t="shared" si="43"/>
        <v>150</v>
      </c>
      <c r="X303" s="197">
        <f t="shared" si="43"/>
        <v>0</v>
      </c>
      <c r="Y303" s="197">
        <f t="shared" si="43"/>
        <v>0</v>
      </c>
      <c r="Z303" s="197">
        <f t="shared" si="43"/>
        <v>0</v>
      </c>
      <c r="AA303" s="197">
        <f t="shared" si="43"/>
        <v>431</v>
      </c>
      <c r="AB303" s="197">
        <f t="shared" si="43"/>
        <v>0</v>
      </c>
      <c r="AC303" s="197">
        <f t="shared" si="43"/>
        <v>0</v>
      </c>
      <c r="AD303" s="197">
        <f t="shared" si="43"/>
        <v>761</v>
      </c>
      <c r="AE303" s="197">
        <f t="shared" si="43"/>
        <v>410</v>
      </c>
      <c r="AF303" s="197">
        <f t="shared" si="45"/>
        <v>151</v>
      </c>
      <c r="AG303" s="197">
        <f t="shared" si="45"/>
        <v>0</v>
      </c>
      <c r="AH303" s="197">
        <f t="shared" si="45"/>
        <v>0</v>
      </c>
      <c r="AI303" s="197">
        <f t="shared" si="45"/>
        <v>0</v>
      </c>
      <c r="AJ303" s="197">
        <f t="shared" si="45"/>
        <v>575</v>
      </c>
      <c r="AK303" s="197">
        <f t="shared" si="45"/>
        <v>0</v>
      </c>
      <c r="AL303" s="197">
        <f t="shared" si="45"/>
        <v>0</v>
      </c>
    </row>
    <row r="304" spans="1:38">
      <c r="A304" s="11" t="str">
        <f t="shared" si="42"/>
        <v>05-486015462011</v>
      </c>
      <c r="B304" t="s">
        <v>227</v>
      </c>
      <c r="C304" t="s">
        <v>228</v>
      </c>
      <c r="D304">
        <v>2011</v>
      </c>
      <c r="E304" t="s">
        <v>69</v>
      </c>
      <c r="F304">
        <v>2532.0700000000002</v>
      </c>
      <c r="G304">
        <v>3</v>
      </c>
      <c r="H304" s="11" t="str">
        <f t="shared" si="41"/>
        <v>count</v>
      </c>
      <c r="I304" s="197" t="s">
        <v>1091</v>
      </c>
      <c r="J304" s="197" t="s">
        <v>1092</v>
      </c>
      <c r="K304" s="197" t="s">
        <v>146</v>
      </c>
      <c r="L304" s="197">
        <f t="shared" si="44"/>
        <v>8321323.3200000003</v>
      </c>
      <c r="M304" s="197">
        <f t="shared" si="44"/>
        <v>3141469.44</v>
      </c>
      <c r="N304" s="197">
        <f t="shared" si="44"/>
        <v>226448.3</v>
      </c>
      <c r="O304" s="197">
        <f t="shared" si="44"/>
        <v>0</v>
      </c>
      <c r="P304" s="197">
        <f t="shared" si="44"/>
        <v>4776243.9400000004</v>
      </c>
      <c r="Q304" s="197">
        <f t="shared" si="44"/>
        <v>0</v>
      </c>
      <c r="R304" s="197">
        <f t="shared" si="44"/>
        <v>15256.45</v>
      </c>
      <c r="S304" s="197">
        <f t="shared" si="44"/>
        <v>0</v>
      </c>
      <c r="T304" s="197">
        <f t="shared" si="44"/>
        <v>0</v>
      </c>
      <c r="U304" s="197">
        <f t="shared" si="44"/>
        <v>6770626.6699999999</v>
      </c>
      <c r="V304" s="197">
        <f t="shared" si="43"/>
        <v>2979685.7</v>
      </c>
      <c r="W304" s="197">
        <f t="shared" si="43"/>
        <v>209952.86</v>
      </c>
      <c r="X304" s="197">
        <f t="shared" si="43"/>
        <v>0</v>
      </c>
      <c r="Y304" s="197">
        <f t="shared" si="43"/>
        <v>4471290.6100000003</v>
      </c>
      <c r="Z304" s="197">
        <f t="shared" si="43"/>
        <v>0</v>
      </c>
      <c r="AA304" s="197">
        <f t="shared" si="43"/>
        <v>1394809.22</v>
      </c>
      <c r="AB304" s="197">
        <f t="shared" si="43"/>
        <v>0</v>
      </c>
      <c r="AC304" s="197">
        <f t="shared" si="43"/>
        <v>0</v>
      </c>
      <c r="AD304" s="197">
        <f t="shared" si="43"/>
        <v>6602617.79</v>
      </c>
      <c r="AE304" s="197">
        <f t="shared" si="43"/>
        <v>3134296.93</v>
      </c>
      <c r="AF304" s="197">
        <f t="shared" si="45"/>
        <v>197510.99</v>
      </c>
      <c r="AG304" s="197">
        <f t="shared" si="45"/>
        <v>0</v>
      </c>
      <c r="AH304" s="197">
        <f t="shared" si="45"/>
        <v>4162319.27</v>
      </c>
      <c r="AI304" s="197">
        <f t="shared" si="45"/>
        <v>0</v>
      </c>
      <c r="AJ304" s="197">
        <f t="shared" si="45"/>
        <v>1652775.74</v>
      </c>
      <c r="AK304" s="197">
        <f t="shared" si="45"/>
        <v>0</v>
      </c>
      <c r="AL304" s="197">
        <f t="shared" si="45"/>
        <v>0</v>
      </c>
    </row>
    <row r="305" spans="1:38">
      <c r="A305" s="11" t="str">
        <f t="shared" si="42"/>
        <v>05-486015462013</v>
      </c>
      <c r="B305" t="s">
        <v>227</v>
      </c>
      <c r="C305" t="s">
        <v>228</v>
      </c>
      <c r="D305">
        <v>2013</v>
      </c>
      <c r="E305" t="s">
        <v>104</v>
      </c>
      <c r="F305">
        <v>2863633.64</v>
      </c>
      <c r="G305">
        <v>2292</v>
      </c>
      <c r="H305" s="11" t="str">
        <f t="shared" si="41"/>
        <v>count</v>
      </c>
      <c r="I305" s="197" t="s">
        <v>1091</v>
      </c>
      <c r="J305" s="197" t="s">
        <v>1092</v>
      </c>
      <c r="K305" s="197" t="s">
        <v>145</v>
      </c>
      <c r="L305" s="197">
        <f t="shared" si="44"/>
        <v>22996</v>
      </c>
      <c r="M305" s="197">
        <f t="shared" si="44"/>
        <v>8429</v>
      </c>
      <c r="N305" s="197">
        <f t="shared" si="44"/>
        <v>712</v>
      </c>
      <c r="O305" s="197">
        <f t="shared" si="44"/>
        <v>0</v>
      </c>
      <c r="P305" s="197">
        <f t="shared" si="44"/>
        <v>9364</v>
      </c>
      <c r="Q305" s="197">
        <f t="shared" si="44"/>
        <v>0</v>
      </c>
      <c r="R305" s="197">
        <f t="shared" si="44"/>
        <v>59</v>
      </c>
      <c r="S305" s="197">
        <f t="shared" si="44"/>
        <v>0</v>
      </c>
      <c r="T305" s="197">
        <f t="shared" si="44"/>
        <v>0</v>
      </c>
      <c r="U305" s="197">
        <f t="shared" si="44"/>
        <v>16695</v>
      </c>
      <c r="V305" s="197">
        <f t="shared" si="43"/>
        <v>6847</v>
      </c>
      <c r="W305" s="197">
        <f t="shared" si="43"/>
        <v>637</v>
      </c>
      <c r="X305" s="197">
        <f t="shared" si="43"/>
        <v>0</v>
      </c>
      <c r="Y305" s="197">
        <f t="shared" si="43"/>
        <v>8816</v>
      </c>
      <c r="Z305" s="197">
        <f t="shared" si="43"/>
        <v>0</v>
      </c>
      <c r="AA305" s="197">
        <f t="shared" si="43"/>
        <v>4772</v>
      </c>
      <c r="AB305" s="197">
        <f t="shared" si="43"/>
        <v>0</v>
      </c>
      <c r="AC305" s="197">
        <f t="shared" si="43"/>
        <v>0</v>
      </c>
      <c r="AD305" s="197">
        <f t="shared" si="43"/>
        <v>16143</v>
      </c>
      <c r="AE305" s="197">
        <f t="shared" si="43"/>
        <v>5921</v>
      </c>
      <c r="AF305" s="197">
        <f t="shared" si="45"/>
        <v>547</v>
      </c>
      <c r="AG305" s="197">
        <f t="shared" si="45"/>
        <v>0</v>
      </c>
      <c r="AH305" s="197">
        <f t="shared" si="45"/>
        <v>7798</v>
      </c>
      <c r="AI305" s="197">
        <f t="shared" si="45"/>
        <v>0</v>
      </c>
      <c r="AJ305" s="197">
        <f t="shared" si="45"/>
        <v>5319</v>
      </c>
      <c r="AK305" s="197">
        <f t="shared" si="45"/>
        <v>0</v>
      </c>
      <c r="AL305" s="197">
        <f t="shared" si="45"/>
        <v>0</v>
      </c>
    </row>
    <row r="306" spans="1:38">
      <c r="A306" s="11" t="str">
        <f t="shared" si="42"/>
        <v>05-486015462011</v>
      </c>
      <c r="B306" t="s">
        <v>227</v>
      </c>
      <c r="C306" t="s">
        <v>228</v>
      </c>
      <c r="D306">
        <v>2011</v>
      </c>
      <c r="E306" t="s">
        <v>105</v>
      </c>
      <c r="F306">
        <v>461582.3</v>
      </c>
      <c r="G306">
        <v>291</v>
      </c>
      <c r="H306" s="11" t="str">
        <f t="shared" si="41"/>
        <v>count</v>
      </c>
      <c r="I306" s="197" t="s">
        <v>1093</v>
      </c>
      <c r="J306" s="197" t="s">
        <v>1094</v>
      </c>
      <c r="K306" s="197" t="s">
        <v>146</v>
      </c>
      <c r="L306" s="197">
        <f t="shared" si="44"/>
        <v>1871171.49</v>
      </c>
      <c r="M306" s="197">
        <f t="shared" si="44"/>
        <v>889742.59</v>
      </c>
      <c r="N306" s="197">
        <f t="shared" si="44"/>
        <v>0</v>
      </c>
      <c r="O306" s="197">
        <f t="shared" si="44"/>
        <v>0</v>
      </c>
      <c r="P306" s="197">
        <f t="shared" si="44"/>
        <v>0</v>
      </c>
      <c r="Q306" s="197">
        <f t="shared" si="44"/>
        <v>0</v>
      </c>
      <c r="R306" s="197">
        <f t="shared" si="44"/>
        <v>2399.14</v>
      </c>
      <c r="S306" s="197">
        <f t="shared" si="44"/>
        <v>0</v>
      </c>
      <c r="T306" s="197">
        <f t="shared" si="44"/>
        <v>0</v>
      </c>
      <c r="U306" s="197">
        <f t="shared" si="44"/>
        <v>1795833.39</v>
      </c>
      <c r="V306" s="197">
        <f t="shared" si="43"/>
        <v>958768.7</v>
      </c>
      <c r="W306" s="197">
        <f t="shared" si="43"/>
        <v>83601.850000000006</v>
      </c>
      <c r="X306" s="197">
        <f t="shared" si="43"/>
        <v>0</v>
      </c>
      <c r="Y306" s="197">
        <f t="shared" si="43"/>
        <v>0</v>
      </c>
      <c r="Z306" s="197">
        <f t="shared" si="43"/>
        <v>0</v>
      </c>
      <c r="AA306" s="197">
        <f t="shared" ref="V306:AK331" si="46">SUMIFS(IF($K306="volume",$F:$F,$G:$G),$D:$D,AA$2,$B:$B,$I306,$E:$E,AA$3)</f>
        <v>393835.35</v>
      </c>
      <c r="AB306" s="197">
        <f t="shared" si="46"/>
        <v>0</v>
      </c>
      <c r="AC306" s="197">
        <f t="shared" si="46"/>
        <v>0</v>
      </c>
      <c r="AD306" s="197">
        <f t="shared" si="46"/>
        <v>1547815.84</v>
      </c>
      <c r="AE306" s="197">
        <f t="shared" si="46"/>
        <v>841547.12</v>
      </c>
      <c r="AF306" s="197">
        <f t="shared" si="45"/>
        <v>196440.93</v>
      </c>
      <c r="AG306" s="197">
        <f t="shared" si="45"/>
        <v>0</v>
      </c>
      <c r="AH306" s="197">
        <f t="shared" si="45"/>
        <v>0</v>
      </c>
      <c r="AI306" s="197">
        <f t="shared" si="45"/>
        <v>0</v>
      </c>
      <c r="AJ306" s="197">
        <f t="shared" si="45"/>
        <v>432506.64</v>
      </c>
      <c r="AK306" s="197">
        <f t="shared" si="45"/>
        <v>0</v>
      </c>
      <c r="AL306" s="197">
        <f t="shared" si="45"/>
        <v>0</v>
      </c>
    </row>
    <row r="307" spans="1:38">
      <c r="A307" s="11" t="str">
        <f t="shared" si="42"/>
        <v>05-486076702012</v>
      </c>
      <c r="B307" t="s">
        <v>229</v>
      </c>
      <c r="C307" t="s">
        <v>230</v>
      </c>
      <c r="D307">
        <v>2012</v>
      </c>
      <c r="E307" t="s">
        <v>69</v>
      </c>
      <c r="F307">
        <v>200</v>
      </c>
      <c r="G307">
        <v>1</v>
      </c>
      <c r="H307" s="11" t="str">
        <f t="shared" si="41"/>
        <v>volume</v>
      </c>
      <c r="I307" s="197" t="s">
        <v>1093</v>
      </c>
      <c r="J307" s="197" t="s">
        <v>1094</v>
      </c>
      <c r="K307" s="197" t="s">
        <v>145</v>
      </c>
      <c r="L307" s="197">
        <f t="shared" si="44"/>
        <v>1427</v>
      </c>
      <c r="M307" s="197">
        <f t="shared" si="44"/>
        <v>669</v>
      </c>
      <c r="N307" s="197">
        <f t="shared" si="44"/>
        <v>0</v>
      </c>
      <c r="O307" s="197">
        <f t="shared" si="44"/>
        <v>0</v>
      </c>
      <c r="P307" s="197">
        <f t="shared" si="44"/>
        <v>0</v>
      </c>
      <c r="Q307" s="197">
        <f t="shared" ref="L307:U332" si="47">SUMIFS(IF($K307="volume",$F:$F,$G:$G),$D:$D,Q$2,$B:$B,$I307,$E:$E,Q$3)</f>
        <v>0</v>
      </c>
      <c r="R307" s="197">
        <f t="shared" si="47"/>
        <v>3</v>
      </c>
      <c r="S307" s="197">
        <f t="shared" si="47"/>
        <v>0</v>
      </c>
      <c r="T307" s="197">
        <f t="shared" si="47"/>
        <v>0</v>
      </c>
      <c r="U307" s="197">
        <f t="shared" si="47"/>
        <v>1323</v>
      </c>
      <c r="V307" s="197">
        <f t="shared" si="46"/>
        <v>755</v>
      </c>
      <c r="W307" s="197">
        <f t="shared" si="46"/>
        <v>74</v>
      </c>
      <c r="X307" s="197">
        <f t="shared" si="46"/>
        <v>0</v>
      </c>
      <c r="Y307" s="197">
        <f t="shared" si="46"/>
        <v>0</v>
      </c>
      <c r="Z307" s="197">
        <f t="shared" si="46"/>
        <v>0</v>
      </c>
      <c r="AA307" s="197">
        <f t="shared" si="46"/>
        <v>436</v>
      </c>
      <c r="AB307" s="197">
        <f t="shared" si="46"/>
        <v>0</v>
      </c>
      <c r="AC307" s="197">
        <f t="shared" si="46"/>
        <v>0</v>
      </c>
      <c r="AD307" s="197">
        <f t="shared" si="46"/>
        <v>1151</v>
      </c>
      <c r="AE307" s="197">
        <f t="shared" si="46"/>
        <v>665</v>
      </c>
      <c r="AF307" s="197">
        <f t="shared" si="45"/>
        <v>153</v>
      </c>
      <c r="AG307" s="197">
        <f t="shared" si="45"/>
        <v>0</v>
      </c>
      <c r="AH307" s="197">
        <f t="shared" si="45"/>
        <v>0</v>
      </c>
      <c r="AI307" s="197">
        <f t="shared" si="45"/>
        <v>0</v>
      </c>
      <c r="AJ307" s="197">
        <f t="shared" si="45"/>
        <v>455</v>
      </c>
      <c r="AK307" s="197">
        <f t="shared" si="45"/>
        <v>0</v>
      </c>
      <c r="AL307" s="197">
        <f t="shared" si="45"/>
        <v>0</v>
      </c>
    </row>
    <row r="308" spans="1:38">
      <c r="A308" s="11" t="str">
        <f t="shared" si="42"/>
        <v>05-486076702011</v>
      </c>
      <c r="B308" t="s">
        <v>229</v>
      </c>
      <c r="C308" t="s">
        <v>230</v>
      </c>
      <c r="D308">
        <v>2011</v>
      </c>
      <c r="E308" t="s">
        <v>106</v>
      </c>
      <c r="F308">
        <v>53130.400000000001</v>
      </c>
      <c r="G308">
        <v>75</v>
      </c>
      <c r="H308" s="11" t="str">
        <f t="shared" si="41"/>
        <v>count</v>
      </c>
      <c r="I308" s="197" t="s">
        <v>1095</v>
      </c>
      <c r="J308" s="197" t="s">
        <v>1096</v>
      </c>
      <c r="K308" s="197" t="s">
        <v>146</v>
      </c>
      <c r="L308" s="197">
        <f t="shared" si="47"/>
        <v>164952.18</v>
      </c>
      <c r="M308" s="197">
        <f t="shared" si="47"/>
        <v>93850.35</v>
      </c>
      <c r="N308" s="197">
        <f t="shared" si="47"/>
        <v>21182.7</v>
      </c>
      <c r="O308" s="197">
        <f t="shared" si="47"/>
        <v>0</v>
      </c>
      <c r="P308" s="197">
        <f t="shared" si="47"/>
        <v>58341.99</v>
      </c>
      <c r="Q308" s="197">
        <f t="shared" si="47"/>
        <v>0</v>
      </c>
      <c r="R308" s="197">
        <f t="shared" si="47"/>
        <v>0</v>
      </c>
      <c r="S308" s="197">
        <f t="shared" si="47"/>
        <v>0</v>
      </c>
      <c r="T308" s="197">
        <f t="shared" si="47"/>
        <v>0</v>
      </c>
      <c r="U308" s="197">
        <f t="shared" si="47"/>
        <v>135451</v>
      </c>
      <c r="V308" s="197">
        <f t="shared" si="46"/>
        <v>78424.11</v>
      </c>
      <c r="W308" s="197">
        <f t="shared" si="46"/>
        <v>13460.14</v>
      </c>
      <c r="X308" s="197">
        <f t="shared" si="46"/>
        <v>0</v>
      </c>
      <c r="Y308" s="197">
        <f t="shared" si="46"/>
        <v>31077.8</v>
      </c>
      <c r="Z308" s="197">
        <f t="shared" si="46"/>
        <v>0</v>
      </c>
      <c r="AA308" s="197">
        <f t="shared" si="46"/>
        <v>37440.89</v>
      </c>
      <c r="AB308" s="197">
        <f t="shared" si="46"/>
        <v>0</v>
      </c>
      <c r="AC308" s="197">
        <f t="shared" si="46"/>
        <v>0</v>
      </c>
      <c r="AD308" s="197">
        <f t="shared" si="46"/>
        <v>196692.96</v>
      </c>
      <c r="AE308" s="197">
        <f t="shared" si="46"/>
        <v>100343.9</v>
      </c>
      <c r="AF308" s="197">
        <f t="shared" si="45"/>
        <v>27595.200000000001</v>
      </c>
      <c r="AG308" s="197">
        <f t="shared" si="45"/>
        <v>0</v>
      </c>
      <c r="AH308" s="197">
        <f t="shared" si="45"/>
        <v>38412.589999999997</v>
      </c>
      <c r="AI308" s="197">
        <f t="shared" si="45"/>
        <v>0</v>
      </c>
      <c r="AJ308" s="197">
        <f t="shared" si="45"/>
        <v>64458.17</v>
      </c>
      <c r="AK308" s="197">
        <f t="shared" si="45"/>
        <v>0</v>
      </c>
      <c r="AL308" s="197">
        <f t="shared" si="45"/>
        <v>0</v>
      </c>
    </row>
    <row r="309" spans="1:38">
      <c r="A309" s="11" t="str">
        <f t="shared" si="42"/>
        <v>05-486076702011</v>
      </c>
      <c r="B309" t="s">
        <v>229</v>
      </c>
      <c r="C309" t="s">
        <v>230</v>
      </c>
      <c r="D309">
        <v>2011</v>
      </c>
      <c r="E309" t="s">
        <v>1076</v>
      </c>
      <c r="F309">
        <v>13339</v>
      </c>
      <c r="G309">
        <v>18</v>
      </c>
      <c r="H309" s="11" t="str">
        <f t="shared" si="41"/>
        <v>count</v>
      </c>
      <c r="I309" s="197" t="s">
        <v>1095</v>
      </c>
      <c r="J309" s="197" t="s">
        <v>1096</v>
      </c>
      <c r="K309" s="197" t="s">
        <v>145</v>
      </c>
      <c r="L309" s="197">
        <f t="shared" si="47"/>
        <v>247</v>
      </c>
      <c r="M309" s="197">
        <f t="shared" si="47"/>
        <v>139</v>
      </c>
      <c r="N309" s="197">
        <f t="shared" si="47"/>
        <v>36</v>
      </c>
      <c r="O309" s="197">
        <f t="shared" si="47"/>
        <v>0</v>
      </c>
      <c r="P309" s="197">
        <f t="shared" si="47"/>
        <v>70</v>
      </c>
      <c r="Q309" s="197">
        <f t="shared" si="47"/>
        <v>0</v>
      </c>
      <c r="R309" s="197">
        <f t="shared" si="47"/>
        <v>0</v>
      </c>
      <c r="S309" s="197">
        <f t="shared" si="47"/>
        <v>0</v>
      </c>
      <c r="T309" s="197">
        <f t="shared" si="47"/>
        <v>0</v>
      </c>
      <c r="U309" s="197">
        <f t="shared" si="47"/>
        <v>184</v>
      </c>
      <c r="V309" s="197">
        <f t="shared" si="46"/>
        <v>110</v>
      </c>
      <c r="W309" s="197">
        <f t="shared" si="46"/>
        <v>21</v>
      </c>
      <c r="X309" s="197">
        <f t="shared" si="46"/>
        <v>0</v>
      </c>
      <c r="Y309" s="197">
        <f t="shared" si="46"/>
        <v>42</v>
      </c>
      <c r="Z309" s="197">
        <f t="shared" si="46"/>
        <v>0</v>
      </c>
      <c r="AA309" s="197">
        <f t="shared" si="46"/>
        <v>61</v>
      </c>
      <c r="AB309" s="197">
        <f t="shared" si="46"/>
        <v>0</v>
      </c>
      <c r="AC309" s="197">
        <f t="shared" si="46"/>
        <v>0</v>
      </c>
      <c r="AD309" s="197">
        <f t="shared" si="46"/>
        <v>227</v>
      </c>
      <c r="AE309" s="197">
        <f t="shared" si="46"/>
        <v>95</v>
      </c>
      <c r="AF309" s="197">
        <f t="shared" si="45"/>
        <v>33</v>
      </c>
      <c r="AG309" s="197">
        <f t="shared" si="45"/>
        <v>0</v>
      </c>
      <c r="AH309" s="197">
        <f t="shared" si="45"/>
        <v>37</v>
      </c>
      <c r="AI309" s="197">
        <f t="shared" si="45"/>
        <v>0</v>
      </c>
      <c r="AJ309" s="197">
        <f t="shared" si="45"/>
        <v>92</v>
      </c>
      <c r="AK309" s="197">
        <f t="shared" si="45"/>
        <v>0</v>
      </c>
      <c r="AL309" s="197">
        <f t="shared" si="45"/>
        <v>0</v>
      </c>
    </row>
    <row r="310" spans="1:38">
      <c r="A310" s="11" t="str">
        <f t="shared" si="42"/>
        <v>05-486076702011</v>
      </c>
      <c r="B310" t="s">
        <v>229</v>
      </c>
      <c r="C310" t="s">
        <v>230</v>
      </c>
      <c r="D310">
        <v>2011</v>
      </c>
      <c r="E310" t="s">
        <v>1075</v>
      </c>
      <c r="F310">
        <v>13519.9</v>
      </c>
      <c r="G310">
        <v>19</v>
      </c>
      <c r="H310" s="11" t="str">
        <f t="shared" si="41"/>
        <v>count</v>
      </c>
      <c r="I310" s="197" t="s">
        <v>1097</v>
      </c>
      <c r="J310" s="197" t="s">
        <v>1098</v>
      </c>
      <c r="K310" s="197" t="s">
        <v>146</v>
      </c>
      <c r="L310" s="197">
        <f t="shared" si="47"/>
        <v>881311.31</v>
      </c>
      <c r="M310" s="197">
        <f t="shared" si="47"/>
        <v>666681.78</v>
      </c>
      <c r="N310" s="197">
        <f t="shared" si="47"/>
        <v>30740.42</v>
      </c>
      <c r="O310" s="197">
        <f t="shared" si="47"/>
        <v>0</v>
      </c>
      <c r="P310" s="197">
        <f t="shared" si="47"/>
        <v>376572.23</v>
      </c>
      <c r="Q310" s="197">
        <f t="shared" si="47"/>
        <v>0</v>
      </c>
      <c r="R310" s="197">
        <f t="shared" si="47"/>
        <v>3646.64</v>
      </c>
      <c r="S310" s="197">
        <f t="shared" si="47"/>
        <v>0</v>
      </c>
      <c r="T310" s="197">
        <f t="shared" si="47"/>
        <v>0</v>
      </c>
      <c r="U310" s="197">
        <f t="shared" si="47"/>
        <v>567424.06999999995</v>
      </c>
      <c r="V310" s="197">
        <f t="shared" si="46"/>
        <v>565012.86</v>
      </c>
      <c r="W310" s="197">
        <f t="shared" si="46"/>
        <v>43415.44</v>
      </c>
      <c r="X310" s="197">
        <f t="shared" si="46"/>
        <v>0</v>
      </c>
      <c r="Y310" s="197">
        <f t="shared" si="46"/>
        <v>189666.5</v>
      </c>
      <c r="Z310" s="197">
        <f t="shared" si="46"/>
        <v>0</v>
      </c>
      <c r="AA310" s="197">
        <f t="shared" si="46"/>
        <v>316597.8</v>
      </c>
      <c r="AB310" s="197">
        <f t="shared" si="46"/>
        <v>0</v>
      </c>
      <c r="AC310" s="197">
        <f t="shared" si="46"/>
        <v>0</v>
      </c>
      <c r="AD310" s="197">
        <f t="shared" si="46"/>
        <v>498241.5</v>
      </c>
      <c r="AE310" s="197">
        <f t="shared" si="46"/>
        <v>416165.84</v>
      </c>
      <c r="AF310" s="197">
        <f t="shared" si="45"/>
        <v>29822.240000000002</v>
      </c>
      <c r="AG310" s="197">
        <f t="shared" si="45"/>
        <v>0</v>
      </c>
      <c r="AH310" s="197">
        <f t="shared" si="45"/>
        <v>146421.47</v>
      </c>
      <c r="AI310" s="197">
        <f t="shared" si="45"/>
        <v>0</v>
      </c>
      <c r="AJ310" s="197">
        <f t="shared" si="45"/>
        <v>289331.09000000003</v>
      </c>
      <c r="AK310" s="197">
        <f t="shared" si="45"/>
        <v>0</v>
      </c>
      <c r="AL310" s="197">
        <f t="shared" si="45"/>
        <v>0</v>
      </c>
    </row>
    <row r="311" spans="1:38">
      <c r="A311" s="11" t="str">
        <f t="shared" si="42"/>
        <v>05-486076702011</v>
      </c>
      <c r="B311" t="s">
        <v>229</v>
      </c>
      <c r="C311" t="s">
        <v>230</v>
      </c>
      <c r="D311">
        <v>2011</v>
      </c>
      <c r="E311" t="s">
        <v>104</v>
      </c>
      <c r="F311">
        <v>2216</v>
      </c>
      <c r="G311">
        <v>3</v>
      </c>
      <c r="H311" s="11" t="str">
        <f t="shared" si="41"/>
        <v>count</v>
      </c>
      <c r="I311" s="197" t="s">
        <v>1097</v>
      </c>
      <c r="J311" s="197" t="s">
        <v>1098</v>
      </c>
      <c r="K311" s="197" t="s">
        <v>145</v>
      </c>
      <c r="L311" s="197">
        <f t="shared" si="47"/>
        <v>1675</v>
      </c>
      <c r="M311" s="197">
        <f t="shared" si="47"/>
        <v>1280</v>
      </c>
      <c r="N311" s="197">
        <f t="shared" si="47"/>
        <v>73</v>
      </c>
      <c r="O311" s="197">
        <f t="shared" si="47"/>
        <v>0</v>
      </c>
      <c r="P311" s="197">
        <f t="shared" si="47"/>
        <v>366</v>
      </c>
      <c r="Q311" s="197">
        <f t="shared" si="47"/>
        <v>0</v>
      </c>
      <c r="R311" s="197">
        <f t="shared" si="47"/>
        <v>7</v>
      </c>
      <c r="S311" s="197">
        <f t="shared" si="47"/>
        <v>0</v>
      </c>
      <c r="T311" s="197">
        <f t="shared" si="47"/>
        <v>0</v>
      </c>
      <c r="U311" s="197">
        <f t="shared" si="47"/>
        <v>975</v>
      </c>
      <c r="V311" s="197">
        <f t="shared" si="46"/>
        <v>1132</v>
      </c>
      <c r="W311" s="197">
        <f t="shared" si="46"/>
        <v>68</v>
      </c>
      <c r="X311" s="197">
        <f t="shared" si="46"/>
        <v>0</v>
      </c>
      <c r="Y311" s="197">
        <f t="shared" si="46"/>
        <v>331</v>
      </c>
      <c r="Z311" s="197">
        <f t="shared" si="46"/>
        <v>0</v>
      </c>
      <c r="AA311" s="197">
        <f t="shared" si="46"/>
        <v>615</v>
      </c>
      <c r="AB311" s="197">
        <f t="shared" si="46"/>
        <v>0</v>
      </c>
      <c r="AC311" s="197">
        <f t="shared" si="46"/>
        <v>0</v>
      </c>
      <c r="AD311" s="197">
        <f t="shared" si="46"/>
        <v>894</v>
      </c>
      <c r="AE311" s="197">
        <f t="shared" si="46"/>
        <v>842</v>
      </c>
      <c r="AF311" s="197">
        <f t="shared" si="45"/>
        <v>40</v>
      </c>
      <c r="AG311" s="197">
        <f t="shared" si="45"/>
        <v>0</v>
      </c>
      <c r="AH311" s="197">
        <f t="shared" si="45"/>
        <v>234</v>
      </c>
      <c r="AI311" s="197">
        <f t="shared" si="45"/>
        <v>0</v>
      </c>
      <c r="AJ311" s="197">
        <f t="shared" si="45"/>
        <v>580</v>
      </c>
      <c r="AK311" s="197">
        <f t="shared" si="45"/>
        <v>0</v>
      </c>
      <c r="AL311" s="197">
        <f t="shared" si="45"/>
        <v>0</v>
      </c>
    </row>
    <row r="312" spans="1:38">
      <c r="A312" s="11" t="str">
        <f t="shared" si="42"/>
        <v>05-486076702011</v>
      </c>
      <c r="B312" t="s">
        <v>229</v>
      </c>
      <c r="C312" t="s">
        <v>230</v>
      </c>
      <c r="D312">
        <v>2011</v>
      </c>
      <c r="E312" t="s">
        <v>1074</v>
      </c>
      <c r="F312">
        <v>16984.14</v>
      </c>
      <c r="G312">
        <v>28</v>
      </c>
      <c r="H312" s="11" t="str">
        <f t="shared" si="41"/>
        <v>count</v>
      </c>
      <c r="I312" s="197" t="s">
        <v>1099</v>
      </c>
      <c r="J312" s="197" t="s">
        <v>1100</v>
      </c>
      <c r="K312" s="197" t="s">
        <v>146</v>
      </c>
      <c r="L312" s="197">
        <f t="shared" si="47"/>
        <v>221414.04</v>
      </c>
      <c r="M312" s="197">
        <f t="shared" si="47"/>
        <v>164817.66</v>
      </c>
      <c r="N312" s="197">
        <f t="shared" si="47"/>
        <v>7927.1</v>
      </c>
      <c r="O312" s="197">
        <f t="shared" si="47"/>
        <v>0</v>
      </c>
      <c r="P312" s="197">
        <f t="shared" si="47"/>
        <v>192737.17</v>
      </c>
      <c r="Q312" s="197">
        <f t="shared" si="47"/>
        <v>0</v>
      </c>
      <c r="R312" s="197">
        <f t="shared" si="47"/>
        <v>0</v>
      </c>
      <c r="S312" s="197">
        <f t="shared" si="47"/>
        <v>0</v>
      </c>
      <c r="T312" s="197">
        <f t="shared" si="47"/>
        <v>0</v>
      </c>
      <c r="U312" s="197">
        <f t="shared" si="47"/>
        <v>124166.24</v>
      </c>
      <c r="V312" s="197">
        <f t="shared" si="46"/>
        <v>128701.44</v>
      </c>
      <c r="W312" s="197">
        <f t="shared" si="46"/>
        <v>7264.27</v>
      </c>
      <c r="X312" s="197">
        <f t="shared" si="46"/>
        <v>0</v>
      </c>
      <c r="Y312" s="197">
        <f t="shared" si="46"/>
        <v>108231.78</v>
      </c>
      <c r="Z312" s="197">
        <f t="shared" si="46"/>
        <v>0</v>
      </c>
      <c r="AA312" s="197">
        <f t="shared" si="46"/>
        <v>42920.51</v>
      </c>
      <c r="AB312" s="197">
        <f t="shared" si="46"/>
        <v>0</v>
      </c>
      <c r="AC312" s="197">
        <f t="shared" si="46"/>
        <v>0</v>
      </c>
      <c r="AD312" s="197">
        <f t="shared" si="46"/>
        <v>113535.28</v>
      </c>
      <c r="AE312" s="197">
        <f t="shared" si="46"/>
        <v>108028.89</v>
      </c>
      <c r="AF312" s="197">
        <f t="shared" si="45"/>
        <v>10937.91</v>
      </c>
      <c r="AG312" s="197">
        <f t="shared" si="45"/>
        <v>0</v>
      </c>
      <c r="AH312" s="197">
        <f t="shared" si="45"/>
        <v>91545.62</v>
      </c>
      <c r="AI312" s="197">
        <f t="shared" si="45"/>
        <v>0</v>
      </c>
      <c r="AJ312" s="197">
        <f t="shared" si="45"/>
        <v>49110.65</v>
      </c>
      <c r="AK312" s="197">
        <f t="shared" si="45"/>
        <v>0</v>
      </c>
      <c r="AL312" s="197">
        <f t="shared" si="45"/>
        <v>0</v>
      </c>
    </row>
    <row r="313" spans="1:38">
      <c r="A313" s="11" t="str">
        <f t="shared" si="42"/>
        <v>05-486076702011</v>
      </c>
      <c r="B313" t="s">
        <v>229</v>
      </c>
      <c r="C313" t="s">
        <v>230</v>
      </c>
      <c r="D313">
        <v>2011</v>
      </c>
      <c r="E313" t="s">
        <v>63</v>
      </c>
      <c r="F313">
        <v>21471.599999999999</v>
      </c>
      <c r="G313">
        <v>37</v>
      </c>
      <c r="H313" s="11" t="str">
        <f t="shared" si="41"/>
        <v>count</v>
      </c>
      <c r="I313" s="197" t="s">
        <v>1099</v>
      </c>
      <c r="J313" s="197" t="s">
        <v>1100</v>
      </c>
      <c r="K313" s="197" t="s">
        <v>145</v>
      </c>
      <c r="L313" s="197">
        <f t="shared" si="47"/>
        <v>539</v>
      </c>
      <c r="M313" s="197">
        <f t="shared" si="47"/>
        <v>340</v>
      </c>
      <c r="N313" s="197">
        <f t="shared" si="47"/>
        <v>20</v>
      </c>
      <c r="O313" s="197">
        <f t="shared" si="47"/>
        <v>0</v>
      </c>
      <c r="P313" s="197">
        <f t="shared" si="47"/>
        <v>387</v>
      </c>
      <c r="Q313" s="197">
        <f t="shared" si="47"/>
        <v>0</v>
      </c>
      <c r="R313" s="197">
        <f t="shared" si="47"/>
        <v>0</v>
      </c>
      <c r="S313" s="197">
        <f t="shared" si="47"/>
        <v>0</v>
      </c>
      <c r="T313" s="197">
        <f t="shared" si="47"/>
        <v>0</v>
      </c>
      <c r="U313" s="197">
        <f t="shared" si="47"/>
        <v>271</v>
      </c>
      <c r="V313" s="197">
        <f t="shared" si="46"/>
        <v>225</v>
      </c>
      <c r="W313" s="197">
        <f t="shared" si="46"/>
        <v>18</v>
      </c>
      <c r="X313" s="197">
        <f t="shared" si="46"/>
        <v>0</v>
      </c>
      <c r="Y313" s="197">
        <f t="shared" si="46"/>
        <v>215</v>
      </c>
      <c r="Z313" s="197">
        <f t="shared" si="46"/>
        <v>0</v>
      </c>
      <c r="AA313" s="197">
        <f t="shared" si="46"/>
        <v>96</v>
      </c>
      <c r="AB313" s="197">
        <f t="shared" si="46"/>
        <v>0</v>
      </c>
      <c r="AC313" s="197">
        <f t="shared" si="46"/>
        <v>0</v>
      </c>
      <c r="AD313" s="197">
        <f t="shared" si="46"/>
        <v>234</v>
      </c>
      <c r="AE313" s="197">
        <f t="shared" si="46"/>
        <v>206</v>
      </c>
      <c r="AF313" s="197">
        <f t="shared" si="45"/>
        <v>20</v>
      </c>
      <c r="AG313" s="197">
        <f t="shared" si="45"/>
        <v>0</v>
      </c>
      <c r="AH313" s="197">
        <f t="shared" si="45"/>
        <v>176</v>
      </c>
      <c r="AI313" s="197">
        <f t="shared" si="45"/>
        <v>0</v>
      </c>
      <c r="AJ313" s="197">
        <f t="shared" si="45"/>
        <v>106</v>
      </c>
      <c r="AK313" s="197">
        <f t="shared" si="45"/>
        <v>0</v>
      </c>
      <c r="AL313" s="197">
        <f t="shared" si="45"/>
        <v>0</v>
      </c>
    </row>
    <row r="314" spans="1:38">
      <c r="A314" s="11" t="str">
        <f t="shared" si="42"/>
        <v>05-613754402011</v>
      </c>
      <c r="B314" t="s">
        <v>254</v>
      </c>
      <c r="C314" t="s">
        <v>255</v>
      </c>
      <c r="D314">
        <v>2011</v>
      </c>
      <c r="E314" t="s">
        <v>104</v>
      </c>
      <c r="F314">
        <v>157720.51</v>
      </c>
      <c r="G314">
        <v>302</v>
      </c>
      <c r="H314" s="11" t="str">
        <f t="shared" si="41"/>
        <v>volume</v>
      </c>
      <c r="I314" s="197" t="s">
        <v>1101</v>
      </c>
      <c r="J314" s="197" t="s">
        <v>1102</v>
      </c>
      <c r="K314" s="197" t="s">
        <v>146</v>
      </c>
      <c r="L314" s="197">
        <f t="shared" si="47"/>
        <v>440656.96</v>
      </c>
      <c r="M314" s="197">
        <f t="shared" si="47"/>
        <v>206949.82</v>
      </c>
      <c r="N314" s="197">
        <f t="shared" si="47"/>
        <v>35277.040000000001</v>
      </c>
      <c r="O314" s="197">
        <f t="shared" si="47"/>
        <v>3372.49</v>
      </c>
      <c r="P314" s="197">
        <f t="shared" si="47"/>
        <v>125102.44</v>
      </c>
      <c r="Q314" s="197">
        <f t="shared" si="47"/>
        <v>0</v>
      </c>
      <c r="R314" s="197">
        <f t="shared" si="47"/>
        <v>1511.53</v>
      </c>
      <c r="S314" s="197">
        <f t="shared" si="47"/>
        <v>0</v>
      </c>
      <c r="T314" s="197">
        <f t="shared" si="47"/>
        <v>0</v>
      </c>
      <c r="U314" s="197">
        <f t="shared" si="47"/>
        <v>425752.82</v>
      </c>
      <c r="V314" s="197">
        <f t="shared" si="46"/>
        <v>273854.09000000003</v>
      </c>
      <c r="W314" s="197">
        <f t="shared" si="46"/>
        <v>57438.29</v>
      </c>
      <c r="X314" s="197">
        <f t="shared" si="46"/>
        <v>589627.12</v>
      </c>
      <c r="Y314" s="197">
        <f t="shared" si="46"/>
        <v>219415.6</v>
      </c>
      <c r="Z314" s="197">
        <f t="shared" si="46"/>
        <v>0</v>
      </c>
      <c r="AA314" s="197">
        <f t="shared" si="46"/>
        <v>139637.10999999999</v>
      </c>
      <c r="AB314" s="197">
        <f t="shared" si="46"/>
        <v>0</v>
      </c>
      <c r="AC314" s="197">
        <f t="shared" si="46"/>
        <v>0</v>
      </c>
      <c r="AD314" s="197">
        <f t="shared" si="46"/>
        <v>465669.97</v>
      </c>
      <c r="AE314" s="197">
        <f t="shared" si="46"/>
        <v>244885.06</v>
      </c>
      <c r="AF314" s="197">
        <f t="shared" si="45"/>
        <v>55550.84</v>
      </c>
      <c r="AG314" s="197">
        <f t="shared" si="45"/>
        <v>926269.51</v>
      </c>
      <c r="AH314" s="197">
        <f t="shared" si="45"/>
        <v>216127.7</v>
      </c>
      <c r="AI314" s="197">
        <f t="shared" si="45"/>
        <v>0</v>
      </c>
      <c r="AJ314" s="197">
        <f t="shared" si="45"/>
        <v>175267.19</v>
      </c>
      <c r="AK314" s="197">
        <f t="shared" si="45"/>
        <v>0</v>
      </c>
      <c r="AL314" s="197">
        <f t="shared" si="45"/>
        <v>0</v>
      </c>
    </row>
    <row r="315" spans="1:38">
      <c r="A315" s="11" t="str">
        <f t="shared" si="42"/>
        <v>05-613754402011</v>
      </c>
      <c r="B315" t="s">
        <v>254</v>
      </c>
      <c r="C315" t="s">
        <v>255</v>
      </c>
      <c r="D315">
        <v>2011</v>
      </c>
      <c r="E315" t="s">
        <v>63</v>
      </c>
      <c r="F315">
        <v>374564.98</v>
      </c>
      <c r="G315">
        <v>781</v>
      </c>
      <c r="H315" s="11" t="str">
        <f t="shared" si="41"/>
        <v>count</v>
      </c>
      <c r="I315" s="197" t="s">
        <v>1101</v>
      </c>
      <c r="J315" s="197" t="s">
        <v>1102</v>
      </c>
      <c r="K315" s="197" t="s">
        <v>145</v>
      </c>
      <c r="L315" s="197">
        <f t="shared" si="47"/>
        <v>630</v>
      </c>
      <c r="M315" s="197">
        <f t="shared" si="47"/>
        <v>302</v>
      </c>
      <c r="N315" s="197">
        <f t="shared" si="47"/>
        <v>52</v>
      </c>
      <c r="O315" s="197">
        <f t="shared" si="47"/>
        <v>6</v>
      </c>
      <c r="P315" s="197">
        <f t="shared" si="47"/>
        <v>170</v>
      </c>
      <c r="Q315" s="197">
        <f t="shared" si="47"/>
        <v>0</v>
      </c>
      <c r="R315" s="197">
        <f t="shared" si="47"/>
        <v>4</v>
      </c>
      <c r="S315" s="197">
        <f t="shared" si="47"/>
        <v>0</v>
      </c>
      <c r="T315" s="197">
        <f t="shared" si="47"/>
        <v>0</v>
      </c>
      <c r="U315" s="197">
        <f t="shared" si="47"/>
        <v>617</v>
      </c>
      <c r="V315" s="197">
        <f t="shared" si="46"/>
        <v>399</v>
      </c>
      <c r="W315" s="197">
        <f t="shared" si="46"/>
        <v>79</v>
      </c>
      <c r="X315" s="197">
        <f t="shared" si="46"/>
        <v>780</v>
      </c>
      <c r="Y315" s="197">
        <f t="shared" si="46"/>
        <v>293</v>
      </c>
      <c r="Z315" s="197">
        <f t="shared" si="46"/>
        <v>0</v>
      </c>
      <c r="AA315" s="197">
        <f t="shared" si="46"/>
        <v>231</v>
      </c>
      <c r="AB315" s="197">
        <f t="shared" si="46"/>
        <v>0</v>
      </c>
      <c r="AC315" s="197">
        <f t="shared" si="46"/>
        <v>0</v>
      </c>
      <c r="AD315" s="197">
        <f t="shared" si="46"/>
        <v>641</v>
      </c>
      <c r="AE315" s="197">
        <f t="shared" si="46"/>
        <v>331</v>
      </c>
      <c r="AF315" s="197">
        <f t="shared" si="45"/>
        <v>77</v>
      </c>
      <c r="AG315" s="197">
        <f t="shared" si="45"/>
        <v>1201</v>
      </c>
      <c r="AH315" s="197">
        <f t="shared" si="45"/>
        <v>251</v>
      </c>
      <c r="AI315" s="197">
        <f t="shared" si="45"/>
        <v>0</v>
      </c>
      <c r="AJ315" s="197">
        <f t="shared" si="45"/>
        <v>267</v>
      </c>
      <c r="AK315" s="197">
        <f t="shared" si="45"/>
        <v>0</v>
      </c>
      <c r="AL315" s="197">
        <f t="shared" si="45"/>
        <v>0</v>
      </c>
    </row>
    <row r="316" spans="1:38">
      <c r="A316" s="11" t="str">
        <f t="shared" si="42"/>
        <v>05-613754402011</v>
      </c>
      <c r="B316" t="s">
        <v>254</v>
      </c>
      <c r="C316" t="s">
        <v>255</v>
      </c>
      <c r="D316">
        <v>2011</v>
      </c>
      <c r="E316" t="s">
        <v>1074</v>
      </c>
      <c r="F316">
        <v>16484.45</v>
      </c>
      <c r="G316">
        <v>44</v>
      </c>
      <c r="H316" s="11" t="str">
        <f t="shared" si="41"/>
        <v>count</v>
      </c>
      <c r="I316" s="197" t="s">
        <v>1103</v>
      </c>
      <c r="J316" s="197" t="s">
        <v>1104</v>
      </c>
      <c r="K316" s="197" t="s">
        <v>146</v>
      </c>
      <c r="L316" s="197">
        <f t="shared" si="47"/>
        <v>577327.68999999994</v>
      </c>
      <c r="M316" s="197">
        <f t="shared" si="47"/>
        <v>362144.15</v>
      </c>
      <c r="N316" s="197">
        <f t="shared" si="47"/>
        <v>52955.35</v>
      </c>
      <c r="O316" s="197">
        <f t="shared" si="47"/>
        <v>887</v>
      </c>
      <c r="P316" s="197">
        <f t="shared" si="47"/>
        <v>0</v>
      </c>
      <c r="Q316" s="197">
        <f t="shared" si="47"/>
        <v>0</v>
      </c>
      <c r="R316" s="197">
        <f t="shared" si="47"/>
        <v>0</v>
      </c>
      <c r="S316" s="197">
        <f t="shared" si="47"/>
        <v>0</v>
      </c>
      <c r="T316" s="197">
        <f t="shared" si="47"/>
        <v>0</v>
      </c>
      <c r="U316" s="197">
        <f t="shared" si="47"/>
        <v>0</v>
      </c>
      <c r="V316" s="197">
        <f t="shared" si="46"/>
        <v>0</v>
      </c>
      <c r="W316" s="197">
        <f t="shared" si="46"/>
        <v>0</v>
      </c>
      <c r="X316" s="197">
        <f t="shared" si="46"/>
        <v>0</v>
      </c>
      <c r="Y316" s="197">
        <f t="shared" si="46"/>
        <v>0</v>
      </c>
      <c r="Z316" s="197">
        <f t="shared" si="46"/>
        <v>0</v>
      </c>
      <c r="AA316" s="197">
        <f t="shared" si="46"/>
        <v>0</v>
      </c>
      <c r="AB316" s="197">
        <f t="shared" si="46"/>
        <v>0</v>
      </c>
      <c r="AC316" s="197">
        <f t="shared" si="46"/>
        <v>0</v>
      </c>
      <c r="AD316" s="197">
        <f t="shared" si="46"/>
        <v>0</v>
      </c>
      <c r="AE316" s="197">
        <f t="shared" si="46"/>
        <v>0</v>
      </c>
      <c r="AF316" s="197">
        <f t="shared" si="45"/>
        <v>0</v>
      </c>
      <c r="AG316" s="197">
        <f t="shared" si="45"/>
        <v>0</v>
      </c>
      <c r="AH316" s="197">
        <f t="shared" si="45"/>
        <v>0</v>
      </c>
      <c r="AI316" s="197">
        <f t="shared" si="45"/>
        <v>0</v>
      </c>
      <c r="AJ316" s="197">
        <f t="shared" si="45"/>
        <v>0</v>
      </c>
      <c r="AK316" s="197">
        <f t="shared" si="45"/>
        <v>0</v>
      </c>
      <c r="AL316" s="197">
        <f t="shared" si="45"/>
        <v>0</v>
      </c>
    </row>
    <row r="317" spans="1:38">
      <c r="A317" s="11" t="str">
        <f t="shared" si="42"/>
        <v>05-613754402011</v>
      </c>
      <c r="B317" t="s">
        <v>254</v>
      </c>
      <c r="C317" t="s">
        <v>255</v>
      </c>
      <c r="D317">
        <v>2011</v>
      </c>
      <c r="E317" t="s">
        <v>1075</v>
      </c>
      <c r="F317">
        <v>5994.93</v>
      </c>
      <c r="G317">
        <v>17</v>
      </c>
      <c r="H317" s="11" t="str">
        <f t="shared" si="41"/>
        <v>count</v>
      </c>
      <c r="I317" s="197" t="s">
        <v>1103</v>
      </c>
      <c r="J317" s="197" t="s">
        <v>1104</v>
      </c>
      <c r="K317" s="197" t="s">
        <v>145</v>
      </c>
      <c r="L317" s="197">
        <f t="shared" si="47"/>
        <v>612</v>
      </c>
      <c r="M317" s="197">
        <f t="shared" si="47"/>
        <v>333</v>
      </c>
      <c r="N317" s="197">
        <f t="shared" si="47"/>
        <v>55</v>
      </c>
      <c r="O317" s="197">
        <f t="shared" si="47"/>
        <v>2</v>
      </c>
      <c r="P317" s="197">
        <f t="shared" si="47"/>
        <v>0</v>
      </c>
      <c r="Q317" s="197">
        <f t="shared" si="47"/>
        <v>0</v>
      </c>
      <c r="R317" s="197">
        <f t="shared" si="47"/>
        <v>0</v>
      </c>
      <c r="S317" s="197">
        <f t="shared" si="47"/>
        <v>0</v>
      </c>
      <c r="T317" s="197">
        <f t="shared" si="47"/>
        <v>0</v>
      </c>
      <c r="U317" s="197">
        <f t="shared" si="47"/>
        <v>0</v>
      </c>
      <c r="V317" s="197">
        <f t="shared" si="46"/>
        <v>0</v>
      </c>
      <c r="W317" s="197">
        <f t="shared" si="46"/>
        <v>0</v>
      </c>
      <c r="X317" s="197">
        <f t="shared" si="46"/>
        <v>0</v>
      </c>
      <c r="Y317" s="197">
        <f t="shared" si="46"/>
        <v>0</v>
      </c>
      <c r="Z317" s="197">
        <f t="shared" si="46"/>
        <v>0</v>
      </c>
      <c r="AA317" s="197">
        <f t="shared" si="46"/>
        <v>0</v>
      </c>
      <c r="AB317" s="197">
        <f t="shared" si="46"/>
        <v>0</v>
      </c>
      <c r="AC317" s="197">
        <f t="shared" si="46"/>
        <v>0</v>
      </c>
      <c r="AD317" s="197">
        <f t="shared" si="46"/>
        <v>0</v>
      </c>
      <c r="AE317" s="197">
        <f t="shared" si="46"/>
        <v>0</v>
      </c>
      <c r="AF317" s="197">
        <f t="shared" si="45"/>
        <v>0</v>
      </c>
      <c r="AG317" s="197">
        <f t="shared" si="45"/>
        <v>0</v>
      </c>
      <c r="AH317" s="197">
        <f t="shared" si="45"/>
        <v>0</v>
      </c>
      <c r="AI317" s="197">
        <f t="shared" si="45"/>
        <v>0</v>
      </c>
      <c r="AJ317" s="197">
        <f t="shared" si="45"/>
        <v>0</v>
      </c>
      <c r="AK317" s="197">
        <f t="shared" si="45"/>
        <v>0</v>
      </c>
      <c r="AL317" s="197">
        <f t="shared" si="45"/>
        <v>0</v>
      </c>
    </row>
    <row r="318" spans="1:38">
      <c r="A318" s="11" t="str">
        <f t="shared" si="42"/>
        <v>05-613754402012</v>
      </c>
      <c r="B318" t="s">
        <v>254</v>
      </c>
      <c r="C318" t="s">
        <v>255</v>
      </c>
      <c r="D318">
        <v>2012</v>
      </c>
      <c r="E318" t="s">
        <v>105</v>
      </c>
      <c r="F318">
        <v>35101.279999999999</v>
      </c>
      <c r="G318">
        <v>71</v>
      </c>
      <c r="H318" s="11" t="str">
        <f t="shared" si="41"/>
        <v>count</v>
      </c>
      <c r="I318" s="197" t="s">
        <v>1105</v>
      </c>
      <c r="J318" s="197" t="s">
        <v>1106</v>
      </c>
      <c r="K318" s="197" t="s">
        <v>146</v>
      </c>
      <c r="L318" s="197">
        <f t="shared" si="47"/>
        <v>1238553.82</v>
      </c>
      <c r="M318" s="197">
        <f t="shared" si="47"/>
        <v>526598.43000000005</v>
      </c>
      <c r="N318" s="197">
        <f t="shared" si="47"/>
        <v>153285.1</v>
      </c>
      <c r="O318" s="197">
        <f t="shared" si="47"/>
        <v>14990.24</v>
      </c>
      <c r="P318" s="197">
        <f t="shared" si="47"/>
        <v>0</v>
      </c>
      <c r="Q318" s="197">
        <f t="shared" si="47"/>
        <v>0</v>
      </c>
      <c r="R318" s="197">
        <f t="shared" si="47"/>
        <v>100</v>
      </c>
      <c r="S318" s="197">
        <f t="shared" si="47"/>
        <v>0</v>
      </c>
      <c r="T318" s="197">
        <f t="shared" si="47"/>
        <v>0</v>
      </c>
      <c r="U318" s="197">
        <f t="shared" si="47"/>
        <v>975329.39</v>
      </c>
      <c r="V318" s="197">
        <f t="shared" si="46"/>
        <v>597686.91</v>
      </c>
      <c r="W318" s="197">
        <f t="shared" si="46"/>
        <v>160187.82</v>
      </c>
      <c r="X318" s="197">
        <f t="shared" si="46"/>
        <v>0</v>
      </c>
      <c r="Y318" s="197">
        <f t="shared" si="46"/>
        <v>0</v>
      </c>
      <c r="Z318" s="197">
        <f t="shared" si="46"/>
        <v>0</v>
      </c>
      <c r="AA318" s="197">
        <f t="shared" si="46"/>
        <v>560579.54</v>
      </c>
      <c r="AB318" s="197">
        <f t="shared" si="46"/>
        <v>0</v>
      </c>
      <c r="AC318" s="197">
        <f t="shared" si="46"/>
        <v>0</v>
      </c>
      <c r="AD318" s="197">
        <f t="shared" si="46"/>
        <v>201664.76</v>
      </c>
      <c r="AE318" s="197">
        <f t="shared" si="46"/>
        <v>108671.11</v>
      </c>
      <c r="AF318" s="197">
        <f t="shared" si="45"/>
        <v>41337.269999999997</v>
      </c>
      <c r="AG318" s="197">
        <f t="shared" si="45"/>
        <v>0</v>
      </c>
      <c r="AH318" s="197">
        <f t="shared" si="45"/>
        <v>0</v>
      </c>
      <c r="AI318" s="197">
        <f t="shared" si="45"/>
        <v>0</v>
      </c>
      <c r="AJ318" s="197">
        <f t="shared" si="45"/>
        <v>133762.35</v>
      </c>
      <c r="AK318" s="197">
        <f t="shared" si="45"/>
        <v>0</v>
      </c>
      <c r="AL318" s="197">
        <f t="shared" si="45"/>
        <v>0</v>
      </c>
    </row>
    <row r="319" spans="1:38">
      <c r="A319" s="11" t="str">
        <f t="shared" si="42"/>
        <v>05-613754402012</v>
      </c>
      <c r="B319" t="s">
        <v>254</v>
      </c>
      <c r="C319" t="s">
        <v>255</v>
      </c>
      <c r="D319">
        <v>2012</v>
      </c>
      <c r="E319" t="s">
        <v>1076</v>
      </c>
      <c r="F319">
        <v>1186.1099999999999</v>
      </c>
      <c r="G319">
        <v>3</v>
      </c>
      <c r="H319" s="11" t="str">
        <f t="shared" si="41"/>
        <v>count</v>
      </c>
      <c r="I319" s="197" t="s">
        <v>1105</v>
      </c>
      <c r="J319" s="197" t="s">
        <v>1106</v>
      </c>
      <c r="K319" s="197" t="s">
        <v>145</v>
      </c>
      <c r="L319" s="197">
        <f t="shared" si="47"/>
        <v>1864</v>
      </c>
      <c r="M319" s="197">
        <f t="shared" si="47"/>
        <v>779</v>
      </c>
      <c r="N319" s="197">
        <f t="shared" si="47"/>
        <v>228</v>
      </c>
      <c r="O319" s="197">
        <f t="shared" si="47"/>
        <v>19</v>
      </c>
      <c r="P319" s="197">
        <f t="shared" si="47"/>
        <v>0</v>
      </c>
      <c r="Q319" s="197">
        <f t="shared" si="47"/>
        <v>0</v>
      </c>
      <c r="R319" s="197">
        <f t="shared" si="47"/>
        <v>1</v>
      </c>
      <c r="S319" s="197">
        <f t="shared" si="47"/>
        <v>0</v>
      </c>
      <c r="T319" s="197">
        <f t="shared" si="47"/>
        <v>0</v>
      </c>
      <c r="U319" s="197">
        <f t="shared" si="47"/>
        <v>1212</v>
      </c>
      <c r="V319" s="197">
        <f t="shared" si="46"/>
        <v>777</v>
      </c>
      <c r="W319" s="197">
        <f t="shared" si="46"/>
        <v>181</v>
      </c>
      <c r="X319" s="197">
        <f t="shared" si="46"/>
        <v>0</v>
      </c>
      <c r="Y319" s="197">
        <f t="shared" si="46"/>
        <v>0</v>
      </c>
      <c r="Z319" s="197">
        <f t="shared" si="46"/>
        <v>0</v>
      </c>
      <c r="AA319" s="197">
        <f t="shared" si="46"/>
        <v>863</v>
      </c>
      <c r="AB319" s="197">
        <f t="shared" si="46"/>
        <v>0</v>
      </c>
      <c r="AC319" s="197">
        <f t="shared" si="46"/>
        <v>0</v>
      </c>
      <c r="AD319" s="197">
        <f t="shared" si="46"/>
        <v>232</v>
      </c>
      <c r="AE319" s="197">
        <f t="shared" si="46"/>
        <v>138</v>
      </c>
      <c r="AF319" s="197">
        <f t="shared" si="45"/>
        <v>41</v>
      </c>
      <c r="AG319" s="197">
        <f t="shared" si="45"/>
        <v>0</v>
      </c>
      <c r="AH319" s="197">
        <f t="shared" si="45"/>
        <v>0</v>
      </c>
      <c r="AI319" s="197">
        <f t="shared" si="45"/>
        <v>0</v>
      </c>
      <c r="AJ319" s="197">
        <f t="shared" si="45"/>
        <v>176</v>
      </c>
      <c r="AK319" s="197">
        <f t="shared" si="45"/>
        <v>0</v>
      </c>
      <c r="AL319" s="197">
        <f t="shared" si="45"/>
        <v>0</v>
      </c>
    </row>
    <row r="320" spans="1:38">
      <c r="A320" s="11" t="str">
        <f t="shared" si="42"/>
        <v>05-613754402013</v>
      </c>
      <c r="B320" t="s">
        <v>254</v>
      </c>
      <c r="C320" t="s">
        <v>255</v>
      </c>
      <c r="D320">
        <v>2013</v>
      </c>
      <c r="E320" t="s">
        <v>69</v>
      </c>
      <c r="F320">
        <v>226474.91</v>
      </c>
      <c r="G320">
        <v>450</v>
      </c>
      <c r="H320" s="11" t="str">
        <f t="shared" si="41"/>
        <v>count</v>
      </c>
      <c r="I320" s="197" t="s">
        <v>1107</v>
      </c>
      <c r="J320" s="197" t="s">
        <v>1108</v>
      </c>
      <c r="K320" s="197" t="s">
        <v>146</v>
      </c>
      <c r="L320" s="197">
        <f t="shared" si="47"/>
        <v>509570.48</v>
      </c>
      <c r="M320" s="197">
        <f t="shared" si="47"/>
        <v>275212.87</v>
      </c>
      <c r="N320" s="197">
        <f t="shared" si="47"/>
        <v>0</v>
      </c>
      <c r="O320" s="197">
        <f t="shared" si="47"/>
        <v>0</v>
      </c>
      <c r="P320" s="197">
        <f t="shared" si="47"/>
        <v>239646</v>
      </c>
      <c r="Q320" s="197">
        <f t="shared" si="47"/>
        <v>0</v>
      </c>
      <c r="R320" s="197">
        <f t="shared" si="47"/>
        <v>0</v>
      </c>
      <c r="S320" s="197">
        <f t="shared" si="47"/>
        <v>0</v>
      </c>
      <c r="T320" s="197">
        <f t="shared" si="47"/>
        <v>0</v>
      </c>
      <c r="U320" s="197">
        <f t="shared" si="47"/>
        <v>912012.34</v>
      </c>
      <c r="V320" s="197">
        <f t="shared" si="46"/>
        <v>513037.54</v>
      </c>
      <c r="W320" s="197">
        <f t="shared" si="46"/>
        <v>6404.28</v>
      </c>
      <c r="X320" s="197">
        <f t="shared" si="46"/>
        <v>22395.61</v>
      </c>
      <c r="Y320" s="197">
        <f t="shared" si="46"/>
        <v>604149.30000000005</v>
      </c>
      <c r="Z320" s="197">
        <f t="shared" si="46"/>
        <v>0</v>
      </c>
      <c r="AA320" s="197">
        <f t="shared" si="46"/>
        <v>231781.06</v>
      </c>
      <c r="AB320" s="197">
        <f t="shared" si="46"/>
        <v>0</v>
      </c>
      <c r="AC320" s="197">
        <f t="shared" si="46"/>
        <v>0</v>
      </c>
      <c r="AD320" s="197">
        <f t="shared" si="46"/>
        <v>901391.08</v>
      </c>
      <c r="AE320" s="197">
        <f t="shared" si="46"/>
        <v>478787.89</v>
      </c>
      <c r="AF320" s="197">
        <f t="shared" si="45"/>
        <v>34176.660000000003</v>
      </c>
      <c r="AG320" s="197">
        <f t="shared" si="45"/>
        <v>19414.099999999999</v>
      </c>
      <c r="AH320" s="197">
        <f t="shared" si="45"/>
        <v>557215.52</v>
      </c>
      <c r="AI320" s="197">
        <f t="shared" si="45"/>
        <v>0</v>
      </c>
      <c r="AJ320" s="197">
        <f t="shared" si="45"/>
        <v>310267.58</v>
      </c>
      <c r="AK320" s="197">
        <f t="shared" si="45"/>
        <v>0</v>
      </c>
      <c r="AL320" s="197">
        <f t="shared" si="45"/>
        <v>0</v>
      </c>
    </row>
    <row r="321" spans="1:38">
      <c r="A321" s="11" t="str">
        <f t="shared" si="42"/>
        <v>05-613754402013</v>
      </c>
      <c r="B321" t="s">
        <v>254</v>
      </c>
      <c r="C321" t="s">
        <v>255</v>
      </c>
      <c r="D321">
        <v>2013</v>
      </c>
      <c r="E321" t="s">
        <v>105</v>
      </c>
      <c r="F321">
        <v>39181.21</v>
      </c>
      <c r="G321">
        <v>77</v>
      </c>
      <c r="H321" s="11" t="str">
        <f t="shared" si="41"/>
        <v>count</v>
      </c>
      <c r="I321" s="197" t="s">
        <v>1107</v>
      </c>
      <c r="J321" s="197" t="s">
        <v>1108</v>
      </c>
      <c r="K321" s="197" t="s">
        <v>145</v>
      </c>
      <c r="L321" s="197">
        <f t="shared" si="47"/>
        <v>467</v>
      </c>
      <c r="M321" s="197">
        <f t="shared" si="47"/>
        <v>250</v>
      </c>
      <c r="N321" s="197">
        <f t="shared" si="47"/>
        <v>0</v>
      </c>
      <c r="O321" s="197">
        <f t="shared" si="47"/>
        <v>0</v>
      </c>
      <c r="P321" s="197">
        <f t="shared" si="47"/>
        <v>213</v>
      </c>
      <c r="Q321" s="197">
        <f t="shared" si="47"/>
        <v>0</v>
      </c>
      <c r="R321" s="197">
        <f t="shared" si="47"/>
        <v>0</v>
      </c>
      <c r="S321" s="197">
        <f t="shared" si="47"/>
        <v>0</v>
      </c>
      <c r="T321" s="197">
        <f t="shared" si="47"/>
        <v>0</v>
      </c>
      <c r="U321" s="197">
        <f t="shared" si="47"/>
        <v>744</v>
      </c>
      <c r="V321" s="197">
        <f t="shared" si="46"/>
        <v>439</v>
      </c>
      <c r="W321" s="197">
        <f t="shared" si="46"/>
        <v>3</v>
      </c>
      <c r="X321" s="197">
        <f t="shared" si="46"/>
        <v>14</v>
      </c>
      <c r="Y321" s="197">
        <f t="shared" si="46"/>
        <v>453</v>
      </c>
      <c r="Z321" s="197">
        <f t="shared" si="46"/>
        <v>0</v>
      </c>
      <c r="AA321" s="197">
        <f t="shared" si="46"/>
        <v>214</v>
      </c>
      <c r="AB321" s="197">
        <f t="shared" si="46"/>
        <v>0</v>
      </c>
      <c r="AC321" s="197">
        <f t="shared" si="46"/>
        <v>0</v>
      </c>
      <c r="AD321" s="197">
        <f t="shared" si="46"/>
        <v>682</v>
      </c>
      <c r="AE321" s="197">
        <f t="shared" si="46"/>
        <v>364</v>
      </c>
      <c r="AF321" s="197">
        <f t="shared" si="45"/>
        <v>27</v>
      </c>
      <c r="AG321" s="197">
        <f t="shared" si="45"/>
        <v>17</v>
      </c>
      <c r="AH321" s="197">
        <f t="shared" si="45"/>
        <v>411</v>
      </c>
      <c r="AI321" s="197">
        <f t="shared" si="45"/>
        <v>0</v>
      </c>
      <c r="AJ321" s="197">
        <f t="shared" si="45"/>
        <v>270</v>
      </c>
      <c r="AK321" s="197">
        <f t="shared" si="45"/>
        <v>0</v>
      </c>
      <c r="AL321" s="197">
        <f t="shared" si="45"/>
        <v>0</v>
      </c>
    </row>
    <row r="322" spans="1:38">
      <c r="A322" s="11" t="str">
        <f t="shared" si="42"/>
        <v>05-613754402012</v>
      </c>
      <c r="B322" t="s">
        <v>254</v>
      </c>
      <c r="C322" t="s">
        <v>255</v>
      </c>
      <c r="D322">
        <v>2012</v>
      </c>
      <c r="E322" t="s">
        <v>164</v>
      </c>
      <c r="F322">
        <v>17519.36</v>
      </c>
      <c r="G322">
        <v>35</v>
      </c>
      <c r="H322" s="11" t="str">
        <f t="shared" ref="H322:H385" si="48">IF(B322=B321,"count","volume")</f>
        <v>count</v>
      </c>
      <c r="I322" s="197" t="s">
        <v>1109</v>
      </c>
      <c r="J322" s="197" t="s">
        <v>1110</v>
      </c>
      <c r="K322" s="197" t="s">
        <v>146</v>
      </c>
      <c r="L322" s="197">
        <f t="shared" si="47"/>
        <v>65414.34</v>
      </c>
      <c r="M322" s="197">
        <f t="shared" si="47"/>
        <v>23249.01</v>
      </c>
      <c r="N322" s="197">
        <f t="shared" si="47"/>
        <v>2451.75</v>
      </c>
      <c r="O322" s="197">
        <f t="shared" si="47"/>
        <v>2402345.94</v>
      </c>
      <c r="P322" s="197">
        <f t="shared" si="47"/>
        <v>0</v>
      </c>
      <c r="Q322" s="197">
        <f t="shared" si="47"/>
        <v>0</v>
      </c>
      <c r="R322" s="197">
        <f t="shared" si="47"/>
        <v>888.95</v>
      </c>
      <c r="S322" s="197">
        <f t="shared" si="47"/>
        <v>0</v>
      </c>
      <c r="T322" s="197">
        <f t="shared" si="47"/>
        <v>0</v>
      </c>
      <c r="U322" s="197">
        <f t="shared" si="47"/>
        <v>7898.48</v>
      </c>
      <c r="V322" s="197">
        <f t="shared" si="46"/>
        <v>862.95</v>
      </c>
      <c r="W322" s="197">
        <f t="shared" si="46"/>
        <v>0</v>
      </c>
      <c r="X322" s="197">
        <f t="shared" si="46"/>
        <v>126284.76</v>
      </c>
      <c r="Y322" s="197">
        <f t="shared" si="46"/>
        <v>0</v>
      </c>
      <c r="Z322" s="197">
        <f t="shared" si="46"/>
        <v>0</v>
      </c>
      <c r="AA322" s="197">
        <f t="shared" si="46"/>
        <v>0</v>
      </c>
      <c r="AB322" s="197">
        <f t="shared" si="46"/>
        <v>0</v>
      </c>
      <c r="AC322" s="197">
        <f t="shared" si="46"/>
        <v>0</v>
      </c>
      <c r="AD322" s="197">
        <f t="shared" si="46"/>
        <v>0</v>
      </c>
      <c r="AE322" s="197">
        <f t="shared" si="46"/>
        <v>0</v>
      </c>
      <c r="AF322" s="197">
        <f t="shared" si="45"/>
        <v>0</v>
      </c>
      <c r="AG322" s="197">
        <f t="shared" si="45"/>
        <v>0</v>
      </c>
      <c r="AH322" s="197">
        <f t="shared" si="45"/>
        <v>0</v>
      </c>
      <c r="AI322" s="197">
        <f t="shared" si="45"/>
        <v>0</v>
      </c>
      <c r="AJ322" s="197">
        <f t="shared" si="45"/>
        <v>0</v>
      </c>
      <c r="AK322" s="197">
        <f t="shared" si="45"/>
        <v>0</v>
      </c>
      <c r="AL322" s="197">
        <f t="shared" si="45"/>
        <v>0</v>
      </c>
    </row>
    <row r="323" spans="1:38">
      <c r="A323" s="11" t="str">
        <f t="shared" ref="A323:A386" si="49">B323&amp;D323</f>
        <v>05-613754402012</v>
      </c>
      <c r="B323" t="s">
        <v>254</v>
      </c>
      <c r="C323" t="s">
        <v>255</v>
      </c>
      <c r="D323">
        <v>2012</v>
      </c>
      <c r="E323" t="s">
        <v>104</v>
      </c>
      <c r="F323">
        <v>180691.41</v>
      </c>
      <c r="G323">
        <v>356</v>
      </c>
      <c r="H323" s="11" t="str">
        <f t="shared" si="48"/>
        <v>count</v>
      </c>
      <c r="I323" s="197" t="s">
        <v>1109</v>
      </c>
      <c r="J323" s="197" t="s">
        <v>1110</v>
      </c>
      <c r="K323" s="197" t="s">
        <v>145</v>
      </c>
      <c r="L323" s="197">
        <f t="shared" si="47"/>
        <v>69</v>
      </c>
      <c r="M323" s="197">
        <f t="shared" si="47"/>
        <v>32</v>
      </c>
      <c r="N323" s="197">
        <f t="shared" si="47"/>
        <v>5</v>
      </c>
      <c r="O323" s="197">
        <f t="shared" si="47"/>
        <v>3209</v>
      </c>
      <c r="P323" s="197">
        <f t="shared" si="47"/>
        <v>0</v>
      </c>
      <c r="Q323" s="197">
        <f t="shared" si="47"/>
        <v>0</v>
      </c>
      <c r="R323" s="197">
        <f t="shared" si="47"/>
        <v>1</v>
      </c>
      <c r="S323" s="197">
        <f t="shared" si="47"/>
        <v>0</v>
      </c>
      <c r="T323" s="197">
        <f t="shared" si="47"/>
        <v>0</v>
      </c>
      <c r="U323" s="197">
        <f t="shared" si="47"/>
        <v>7</v>
      </c>
      <c r="V323" s="197">
        <f t="shared" si="46"/>
        <v>1</v>
      </c>
      <c r="W323" s="197">
        <f t="shared" si="46"/>
        <v>0</v>
      </c>
      <c r="X323" s="197">
        <f t="shared" si="46"/>
        <v>166</v>
      </c>
      <c r="Y323" s="197">
        <f t="shared" si="46"/>
        <v>0</v>
      </c>
      <c r="Z323" s="197">
        <f t="shared" si="46"/>
        <v>0</v>
      </c>
      <c r="AA323" s="197">
        <f t="shared" si="46"/>
        <v>0</v>
      </c>
      <c r="AB323" s="197">
        <f t="shared" si="46"/>
        <v>0</v>
      </c>
      <c r="AC323" s="197">
        <f t="shared" si="46"/>
        <v>0</v>
      </c>
      <c r="AD323" s="197">
        <f t="shared" si="46"/>
        <v>0</v>
      </c>
      <c r="AE323" s="197">
        <f t="shared" si="46"/>
        <v>0</v>
      </c>
      <c r="AF323" s="197">
        <f t="shared" si="46"/>
        <v>0</v>
      </c>
      <c r="AG323" s="197">
        <f t="shared" si="46"/>
        <v>0</v>
      </c>
      <c r="AH323" s="197">
        <f t="shared" si="46"/>
        <v>0</v>
      </c>
      <c r="AI323" s="197">
        <f t="shared" si="46"/>
        <v>0</v>
      </c>
      <c r="AJ323" s="197">
        <f t="shared" si="46"/>
        <v>0</v>
      </c>
      <c r="AK323" s="197">
        <f t="shared" si="46"/>
        <v>0</v>
      </c>
      <c r="AL323" s="197">
        <f t="shared" ref="AF323:AL357" si="50">SUMIFS(IF($K323="volume",$F:$F,$G:$G),$D:$D,AL$2,$B:$B,$I323,$E:$E,AL$3)</f>
        <v>0</v>
      </c>
    </row>
    <row r="324" spans="1:38">
      <c r="A324" s="11" t="str">
        <f t="shared" si="49"/>
        <v>05-613754402012</v>
      </c>
      <c r="B324" t="s">
        <v>254</v>
      </c>
      <c r="C324" t="s">
        <v>255</v>
      </c>
      <c r="D324">
        <v>2012</v>
      </c>
      <c r="E324" t="s">
        <v>63</v>
      </c>
      <c r="F324">
        <v>438877.68</v>
      </c>
      <c r="G324">
        <v>861</v>
      </c>
      <c r="H324" s="11" t="str">
        <f t="shared" si="48"/>
        <v>count</v>
      </c>
      <c r="I324" s="197" t="s">
        <v>1111</v>
      </c>
      <c r="J324" s="197" t="s">
        <v>1112</v>
      </c>
      <c r="K324" s="197" t="s">
        <v>146</v>
      </c>
      <c r="L324" s="197">
        <f t="shared" si="47"/>
        <v>312241.19</v>
      </c>
      <c r="M324" s="197">
        <f t="shared" si="47"/>
        <v>91592.47</v>
      </c>
      <c r="N324" s="197">
        <f t="shared" si="47"/>
        <v>10273.700000000001</v>
      </c>
      <c r="O324" s="197">
        <f t="shared" si="47"/>
        <v>0</v>
      </c>
      <c r="P324" s="197">
        <f t="shared" si="47"/>
        <v>0</v>
      </c>
      <c r="Q324" s="197">
        <f t="shared" si="47"/>
        <v>0</v>
      </c>
      <c r="R324" s="197">
        <f t="shared" si="47"/>
        <v>0</v>
      </c>
      <c r="S324" s="197">
        <f t="shared" si="47"/>
        <v>0</v>
      </c>
      <c r="T324" s="197">
        <f t="shared" si="47"/>
        <v>0</v>
      </c>
      <c r="U324" s="197">
        <f t="shared" si="47"/>
        <v>394392.32000000001</v>
      </c>
      <c r="V324" s="197">
        <f t="shared" si="46"/>
        <v>112071.31</v>
      </c>
      <c r="W324" s="197">
        <f t="shared" si="46"/>
        <v>13242.9</v>
      </c>
      <c r="X324" s="197">
        <f t="shared" si="46"/>
        <v>0</v>
      </c>
      <c r="Y324" s="197">
        <f t="shared" si="46"/>
        <v>0</v>
      </c>
      <c r="Z324" s="197">
        <f t="shared" si="46"/>
        <v>0</v>
      </c>
      <c r="AA324" s="197">
        <f t="shared" si="46"/>
        <v>69258.75</v>
      </c>
      <c r="AB324" s="197">
        <f t="shared" si="46"/>
        <v>0</v>
      </c>
      <c r="AC324" s="197">
        <f t="shared" si="46"/>
        <v>0</v>
      </c>
      <c r="AD324" s="197">
        <f t="shared" si="46"/>
        <v>384761.38</v>
      </c>
      <c r="AE324" s="197">
        <f t="shared" si="46"/>
        <v>128417.39</v>
      </c>
      <c r="AF324" s="197">
        <f t="shared" si="50"/>
        <v>22079.8</v>
      </c>
      <c r="AG324" s="197">
        <f t="shared" si="50"/>
        <v>0</v>
      </c>
      <c r="AH324" s="197">
        <f t="shared" si="50"/>
        <v>0</v>
      </c>
      <c r="AI324" s="197">
        <f t="shared" si="50"/>
        <v>0</v>
      </c>
      <c r="AJ324" s="197">
        <f t="shared" si="50"/>
        <v>99290.11</v>
      </c>
      <c r="AK324" s="197">
        <f t="shared" si="50"/>
        <v>0</v>
      </c>
      <c r="AL324" s="197">
        <f t="shared" si="50"/>
        <v>0</v>
      </c>
    </row>
    <row r="325" spans="1:38">
      <c r="A325" s="11" t="str">
        <f t="shared" si="49"/>
        <v>05-613754402012</v>
      </c>
      <c r="B325" t="s">
        <v>254</v>
      </c>
      <c r="C325" t="s">
        <v>255</v>
      </c>
      <c r="D325">
        <v>2012</v>
      </c>
      <c r="E325" t="s">
        <v>133</v>
      </c>
      <c r="F325">
        <v>502.78</v>
      </c>
      <c r="G325">
        <v>1</v>
      </c>
      <c r="H325" s="11" t="str">
        <f t="shared" si="48"/>
        <v>count</v>
      </c>
      <c r="I325" s="197" t="s">
        <v>1111</v>
      </c>
      <c r="J325" s="197" t="s">
        <v>1112</v>
      </c>
      <c r="K325" s="197" t="s">
        <v>145</v>
      </c>
      <c r="L325" s="197">
        <f t="shared" si="47"/>
        <v>391</v>
      </c>
      <c r="M325" s="197">
        <f t="shared" si="47"/>
        <v>118</v>
      </c>
      <c r="N325" s="197">
        <f t="shared" si="47"/>
        <v>12</v>
      </c>
      <c r="O325" s="197">
        <f t="shared" si="47"/>
        <v>0</v>
      </c>
      <c r="P325" s="197">
        <f t="shared" si="47"/>
        <v>0</v>
      </c>
      <c r="Q325" s="197">
        <f t="shared" si="47"/>
        <v>0</v>
      </c>
      <c r="R325" s="197">
        <f t="shared" si="47"/>
        <v>0</v>
      </c>
      <c r="S325" s="197">
        <f t="shared" si="47"/>
        <v>0</v>
      </c>
      <c r="T325" s="197">
        <f t="shared" si="47"/>
        <v>0</v>
      </c>
      <c r="U325" s="197">
        <f t="shared" si="47"/>
        <v>457</v>
      </c>
      <c r="V325" s="197">
        <f t="shared" si="46"/>
        <v>128</v>
      </c>
      <c r="W325" s="197">
        <f t="shared" si="46"/>
        <v>18</v>
      </c>
      <c r="X325" s="197">
        <f t="shared" si="46"/>
        <v>0</v>
      </c>
      <c r="Y325" s="197">
        <f t="shared" si="46"/>
        <v>0</v>
      </c>
      <c r="Z325" s="197">
        <f t="shared" si="46"/>
        <v>0</v>
      </c>
      <c r="AA325" s="197">
        <f t="shared" si="46"/>
        <v>98</v>
      </c>
      <c r="AB325" s="197">
        <f t="shared" si="46"/>
        <v>0</v>
      </c>
      <c r="AC325" s="197">
        <f t="shared" si="46"/>
        <v>0</v>
      </c>
      <c r="AD325" s="197">
        <f t="shared" si="46"/>
        <v>440</v>
      </c>
      <c r="AE325" s="197">
        <f t="shared" si="46"/>
        <v>167</v>
      </c>
      <c r="AF325" s="197">
        <f t="shared" si="50"/>
        <v>29</v>
      </c>
      <c r="AG325" s="197">
        <f t="shared" si="50"/>
        <v>0</v>
      </c>
      <c r="AH325" s="197">
        <f t="shared" si="50"/>
        <v>0</v>
      </c>
      <c r="AI325" s="197">
        <f t="shared" si="50"/>
        <v>0</v>
      </c>
      <c r="AJ325" s="197">
        <f t="shared" si="50"/>
        <v>153</v>
      </c>
      <c r="AK325" s="197">
        <f t="shared" si="50"/>
        <v>0</v>
      </c>
      <c r="AL325" s="197">
        <f t="shared" si="50"/>
        <v>0</v>
      </c>
    </row>
    <row r="326" spans="1:38">
      <c r="A326" s="11" t="str">
        <f t="shared" si="49"/>
        <v>05-613754402012</v>
      </c>
      <c r="B326" t="s">
        <v>254</v>
      </c>
      <c r="C326" t="s">
        <v>255</v>
      </c>
      <c r="D326">
        <v>2012</v>
      </c>
      <c r="E326" t="s">
        <v>1074</v>
      </c>
      <c r="F326">
        <v>4176.47</v>
      </c>
      <c r="G326">
        <v>9</v>
      </c>
      <c r="H326" s="11" t="str">
        <f t="shared" si="48"/>
        <v>count</v>
      </c>
      <c r="I326" s="197" t="s">
        <v>1113</v>
      </c>
      <c r="J326" s="197" t="s">
        <v>1114</v>
      </c>
      <c r="K326" s="197" t="s">
        <v>146</v>
      </c>
      <c r="L326" s="197">
        <f t="shared" si="47"/>
        <v>177863.89</v>
      </c>
      <c r="M326" s="197">
        <f t="shared" si="47"/>
        <v>39236.82</v>
      </c>
      <c r="N326" s="197">
        <f t="shared" si="47"/>
        <v>3174.8</v>
      </c>
      <c r="O326" s="197">
        <f t="shared" si="47"/>
        <v>0</v>
      </c>
      <c r="P326" s="197">
        <f t="shared" si="47"/>
        <v>0</v>
      </c>
      <c r="Q326" s="197">
        <f t="shared" si="47"/>
        <v>0</v>
      </c>
      <c r="R326" s="197">
        <f t="shared" si="47"/>
        <v>0</v>
      </c>
      <c r="S326" s="197">
        <f t="shared" si="47"/>
        <v>0</v>
      </c>
      <c r="T326" s="197">
        <f t="shared" si="47"/>
        <v>0</v>
      </c>
      <c r="U326" s="197">
        <f t="shared" si="47"/>
        <v>160799.67999999999</v>
      </c>
      <c r="V326" s="197">
        <f t="shared" si="46"/>
        <v>56920.92</v>
      </c>
      <c r="W326" s="197">
        <f t="shared" si="46"/>
        <v>3105.73</v>
      </c>
      <c r="X326" s="197">
        <f t="shared" si="46"/>
        <v>345.8</v>
      </c>
      <c r="Y326" s="197">
        <f t="shared" si="46"/>
        <v>0</v>
      </c>
      <c r="Z326" s="197">
        <f t="shared" si="46"/>
        <v>0</v>
      </c>
      <c r="AA326" s="197">
        <f t="shared" si="46"/>
        <v>37525.199999999997</v>
      </c>
      <c r="AB326" s="197">
        <f t="shared" si="46"/>
        <v>0</v>
      </c>
      <c r="AC326" s="197">
        <f t="shared" si="46"/>
        <v>0</v>
      </c>
      <c r="AD326" s="197">
        <f t="shared" si="46"/>
        <v>139003.67000000001</v>
      </c>
      <c r="AE326" s="197">
        <f t="shared" si="46"/>
        <v>26433.17</v>
      </c>
      <c r="AF326" s="197">
        <f t="shared" si="50"/>
        <v>6053.81</v>
      </c>
      <c r="AG326" s="197">
        <f t="shared" si="50"/>
        <v>150</v>
      </c>
      <c r="AH326" s="197">
        <f t="shared" si="50"/>
        <v>0</v>
      </c>
      <c r="AI326" s="197">
        <f t="shared" si="50"/>
        <v>0</v>
      </c>
      <c r="AJ326" s="197">
        <f t="shared" si="50"/>
        <v>35076.639999999999</v>
      </c>
      <c r="AK326" s="197">
        <f t="shared" si="50"/>
        <v>0</v>
      </c>
      <c r="AL326" s="197">
        <f t="shared" si="50"/>
        <v>0</v>
      </c>
    </row>
    <row r="327" spans="1:38">
      <c r="A327" s="11" t="str">
        <f t="shared" si="49"/>
        <v>05-613754402011</v>
      </c>
      <c r="B327" t="s">
        <v>254</v>
      </c>
      <c r="C327" t="s">
        <v>255</v>
      </c>
      <c r="D327">
        <v>2011</v>
      </c>
      <c r="E327" t="s">
        <v>1076</v>
      </c>
      <c r="F327">
        <v>1071.8599999999999</v>
      </c>
      <c r="G327">
        <v>2</v>
      </c>
      <c r="H327" s="11" t="str">
        <f t="shared" si="48"/>
        <v>count</v>
      </c>
      <c r="I327" s="197" t="s">
        <v>1113</v>
      </c>
      <c r="J327" s="197" t="s">
        <v>1114</v>
      </c>
      <c r="K327" s="197" t="s">
        <v>145</v>
      </c>
      <c r="L327" s="197">
        <f t="shared" si="47"/>
        <v>354</v>
      </c>
      <c r="M327" s="197">
        <f t="shared" si="47"/>
        <v>86</v>
      </c>
      <c r="N327" s="197">
        <f t="shared" si="47"/>
        <v>7</v>
      </c>
      <c r="O327" s="197">
        <f t="shared" si="47"/>
        <v>0</v>
      </c>
      <c r="P327" s="197">
        <f t="shared" si="47"/>
        <v>0</v>
      </c>
      <c r="Q327" s="197">
        <f t="shared" si="47"/>
        <v>0</v>
      </c>
      <c r="R327" s="197">
        <f t="shared" si="47"/>
        <v>0</v>
      </c>
      <c r="S327" s="197">
        <f t="shared" si="47"/>
        <v>0</v>
      </c>
      <c r="T327" s="197">
        <f t="shared" si="47"/>
        <v>0</v>
      </c>
      <c r="U327" s="197">
        <f t="shared" si="47"/>
        <v>355</v>
      </c>
      <c r="V327" s="197">
        <f t="shared" si="46"/>
        <v>116</v>
      </c>
      <c r="W327" s="197">
        <f t="shared" si="46"/>
        <v>8</v>
      </c>
      <c r="X327" s="197">
        <f t="shared" si="46"/>
        <v>1</v>
      </c>
      <c r="Y327" s="197">
        <f t="shared" si="46"/>
        <v>0</v>
      </c>
      <c r="Z327" s="197">
        <f t="shared" si="46"/>
        <v>0</v>
      </c>
      <c r="AA327" s="197">
        <f t="shared" si="46"/>
        <v>94</v>
      </c>
      <c r="AB327" s="197">
        <f t="shared" si="46"/>
        <v>0</v>
      </c>
      <c r="AC327" s="197">
        <f t="shared" si="46"/>
        <v>0</v>
      </c>
      <c r="AD327" s="197">
        <f t="shared" si="46"/>
        <v>296</v>
      </c>
      <c r="AE327" s="197">
        <f t="shared" si="46"/>
        <v>49</v>
      </c>
      <c r="AF327" s="197">
        <f t="shared" si="50"/>
        <v>12</v>
      </c>
      <c r="AG327" s="197">
        <f t="shared" si="50"/>
        <v>1</v>
      </c>
      <c r="AH327" s="197">
        <f t="shared" si="50"/>
        <v>0</v>
      </c>
      <c r="AI327" s="197">
        <f t="shared" si="50"/>
        <v>0</v>
      </c>
      <c r="AJ327" s="197">
        <f t="shared" si="50"/>
        <v>72</v>
      </c>
      <c r="AK327" s="197">
        <f t="shared" si="50"/>
        <v>0</v>
      </c>
      <c r="AL327" s="197">
        <f t="shared" si="50"/>
        <v>0</v>
      </c>
    </row>
    <row r="328" spans="1:38">
      <c r="A328" s="11" t="str">
        <f t="shared" si="49"/>
        <v>05-613754402012</v>
      </c>
      <c r="B328" t="s">
        <v>254</v>
      </c>
      <c r="C328" t="s">
        <v>255</v>
      </c>
      <c r="D328">
        <v>2012</v>
      </c>
      <c r="E328" t="s">
        <v>69</v>
      </c>
      <c r="F328">
        <v>132065.42000000001</v>
      </c>
      <c r="G328">
        <v>282</v>
      </c>
      <c r="H328" s="11" t="str">
        <f t="shared" si="48"/>
        <v>count</v>
      </c>
      <c r="I328" s="197" t="s">
        <v>1115</v>
      </c>
      <c r="J328" s="197" t="s">
        <v>1116</v>
      </c>
      <c r="K328" s="197" t="s">
        <v>146</v>
      </c>
      <c r="L328" s="197">
        <f t="shared" si="47"/>
        <v>518419.37</v>
      </c>
      <c r="M328" s="197">
        <f t="shared" si="47"/>
        <v>223270.06</v>
      </c>
      <c r="N328" s="197">
        <f t="shared" si="47"/>
        <v>3037</v>
      </c>
      <c r="O328" s="197">
        <f t="shared" si="47"/>
        <v>870059.4</v>
      </c>
      <c r="P328" s="197">
        <f t="shared" si="47"/>
        <v>0</v>
      </c>
      <c r="Q328" s="197">
        <f t="shared" si="47"/>
        <v>0</v>
      </c>
      <c r="R328" s="197">
        <f t="shared" si="47"/>
        <v>5860</v>
      </c>
      <c r="S328" s="197">
        <f t="shared" si="47"/>
        <v>0</v>
      </c>
      <c r="T328" s="197">
        <f t="shared" si="47"/>
        <v>0</v>
      </c>
      <c r="U328" s="197">
        <f t="shared" si="47"/>
        <v>208509.5</v>
      </c>
      <c r="V328" s="197">
        <f t="shared" si="46"/>
        <v>453343.36</v>
      </c>
      <c r="W328" s="197">
        <f t="shared" si="46"/>
        <v>8875.5</v>
      </c>
      <c r="X328" s="197">
        <f t="shared" si="46"/>
        <v>1128835.1000000001</v>
      </c>
      <c r="Y328" s="197">
        <f t="shared" si="46"/>
        <v>0</v>
      </c>
      <c r="Z328" s="197">
        <f t="shared" si="46"/>
        <v>0</v>
      </c>
      <c r="AA328" s="197">
        <f t="shared" si="46"/>
        <v>875617.93</v>
      </c>
      <c r="AB328" s="197">
        <f t="shared" si="46"/>
        <v>0</v>
      </c>
      <c r="AC328" s="197">
        <f t="shared" si="46"/>
        <v>0</v>
      </c>
      <c r="AD328" s="197">
        <f t="shared" si="46"/>
        <v>171054.52</v>
      </c>
      <c r="AE328" s="197">
        <f t="shared" si="46"/>
        <v>289881.5</v>
      </c>
      <c r="AF328" s="197">
        <f t="shared" si="50"/>
        <v>13621.5</v>
      </c>
      <c r="AG328" s="197">
        <f t="shared" si="50"/>
        <v>1334646.79</v>
      </c>
      <c r="AH328" s="197">
        <f t="shared" si="50"/>
        <v>0</v>
      </c>
      <c r="AI328" s="197">
        <f t="shared" si="50"/>
        <v>0</v>
      </c>
      <c r="AJ328" s="197">
        <f t="shared" si="50"/>
        <v>1394157.69</v>
      </c>
      <c r="AK328" s="197">
        <f t="shared" si="50"/>
        <v>0</v>
      </c>
      <c r="AL328" s="197">
        <f t="shared" si="50"/>
        <v>0</v>
      </c>
    </row>
    <row r="329" spans="1:38">
      <c r="A329" s="11" t="str">
        <f t="shared" si="49"/>
        <v>05-613754402013</v>
      </c>
      <c r="B329" t="s">
        <v>254</v>
      </c>
      <c r="C329" t="s">
        <v>255</v>
      </c>
      <c r="D329">
        <v>2013</v>
      </c>
      <c r="E329" t="s">
        <v>63</v>
      </c>
      <c r="F329">
        <v>662032.29</v>
      </c>
      <c r="G329">
        <v>1253</v>
      </c>
      <c r="H329" s="11" t="str">
        <f t="shared" si="48"/>
        <v>count</v>
      </c>
      <c r="I329" s="197" t="s">
        <v>1115</v>
      </c>
      <c r="J329" s="197" t="s">
        <v>1116</v>
      </c>
      <c r="K329" s="197" t="s">
        <v>145</v>
      </c>
      <c r="L329" s="197">
        <f t="shared" si="47"/>
        <v>1507</v>
      </c>
      <c r="M329" s="197">
        <f t="shared" si="47"/>
        <v>636</v>
      </c>
      <c r="N329" s="197">
        <f t="shared" si="47"/>
        <v>18</v>
      </c>
      <c r="O329" s="197">
        <f t="shared" si="47"/>
        <v>2602</v>
      </c>
      <c r="P329" s="197">
        <f t="shared" si="47"/>
        <v>0</v>
      </c>
      <c r="Q329" s="197">
        <f t="shared" si="47"/>
        <v>0</v>
      </c>
      <c r="R329" s="197">
        <f t="shared" si="47"/>
        <v>17</v>
      </c>
      <c r="S329" s="197">
        <f t="shared" si="47"/>
        <v>0</v>
      </c>
      <c r="T329" s="197">
        <f t="shared" si="47"/>
        <v>0</v>
      </c>
      <c r="U329" s="197">
        <f t="shared" si="47"/>
        <v>647</v>
      </c>
      <c r="V329" s="197">
        <f t="shared" si="46"/>
        <v>1332</v>
      </c>
      <c r="W329" s="197">
        <f t="shared" si="46"/>
        <v>19</v>
      </c>
      <c r="X329" s="197">
        <f t="shared" si="46"/>
        <v>3194</v>
      </c>
      <c r="Y329" s="197">
        <f t="shared" si="46"/>
        <v>0</v>
      </c>
      <c r="Z329" s="197">
        <f t="shared" si="46"/>
        <v>0</v>
      </c>
      <c r="AA329" s="197">
        <f t="shared" si="46"/>
        <v>2579</v>
      </c>
      <c r="AB329" s="197">
        <f t="shared" si="46"/>
        <v>0</v>
      </c>
      <c r="AC329" s="197">
        <f t="shared" si="46"/>
        <v>0</v>
      </c>
      <c r="AD329" s="197">
        <f t="shared" si="46"/>
        <v>559</v>
      </c>
      <c r="AE329" s="197">
        <f t="shared" si="46"/>
        <v>897</v>
      </c>
      <c r="AF329" s="197">
        <f t="shared" si="50"/>
        <v>37</v>
      </c>
      <c r="AG329" s="197">
        <f t="shared" si="50"/>
        <v>3577</v>
      </c>
      <c r="AH329" s="197">
        <f t="shared" si="50"/>
        <v>0</v>
      </c>
      <c r="AI329" s="197">
        <f t="shared" si="50"/>
        <v>0</v>
      </c>
      <c r="AJ329" s="197">
        <f t="shared" si="50"/>
        <v>4284</v>
      </c>
      <c r="AK329" s="197">
        <f t="shared" si="50"/>
        <v>0</v>
      </c>
      <c r="AL329" s="197">
        <f t="shared" si="50"/>
        <v>0</v>
      </c>
    </row>
    <row r="330" spans="1:38">
      <c r="A330" s="11" t="str">
        <f t="shared" si="49"/>
        <v>05-613754402011</v>
      </c>
      <c r="B330" t="s">
        <v>254</v>
      </c>
      <c r="C330" t="s">
        <v>255</v>
      </c>
      <c r="D330">
        <v>2011</v>
      </c>
      <c r="E330" t="s">
        <v>105</v>
      </c>
      <c r="F330">
        <v>20401.37</v>
      </c>
      <c r="G330">
        <v>45</v>
      </c>
      <c r="H330" s="11" t="str">
        <f t="shared" si="48"/>
        <v>count</v>
      </c>
      <c r="I330" s="197" t="s">
        <v>1117</v>
      </c>
      <c r="J330" s="197" t="s">
        <v>1118</v>
      </c>
      <c r="K330" s="197" t="s">
        <v>146</v>
      </c>
      <c r="L330" s="197">
        <f t="shared" si="47"/>
        <v>169024.67</v>
      </c>
      <c r="M330" s="197">
        <f t="shared" si="47"/>
        <v>57522.400000000001</v>
      </c>
      <c r="N330" s="197">
        <f t="shared" si="47"/>
        <v>0</v>
      </c>
      <c r="O330" s="197">
        <f t="shared" si="47"/>
        <v>0</v>
      </c>
      <c r="P330" s="197">
        <f t="shared" si="47"/>
        <v>0</v>
      </c>
      <c r="Q330" s="197">
        <f t="shared" si="47"/>
        <v>0</v>
      </c>
      <c r="R330" s="197">
        <f t="shared" si="47"/>
        <v>1843.4</v>
      </c>
      <c r="S330" s="197">
        <f t="shared" si="47"/>
        <v>0</v>
      </c>
      <c r="T330" s="197">
        <f t="shared" si="47"/>
        <v>0</v>
      </c>
      <c r="U330" s="197">
        <f t="shared" si="47"/>
        <v>614563.37</v>
      </c>
      <c r="V330" s="197">
        <f t="shared" si="46"/>
        <v>215768.18</v>
      </c>
      <c r="W330" s="197">
        <f t="shared" si="46"/>
        <v>0</v>
      </c>
      <c r="X330" s="197">
        <f t="shared" si="46"/>
        <v>0</v>
      </c>
      <c r="Y330" s="197">
        <f t="shared" si="46"/>
        <v>0</v>
      </c>
      <c r="Z330" s="197">
        <f t="shared" si="46"/>
        <v>0</v>
      </c>
      <c r="AA330" s="197">
        <f t="shared" si="46"/>
        <v>151186.06</v>
      </c>
      <c r="AB330" s="197">
        <f t="shared" si="46"/>
        <v>0</v>
      </c>
      <c r="AC330" s="197">
        <f t="shared" si="46"/>
        <v>0</v>
      </c>
      <c r="AD330" s="197">
        <f t="shared" si="46"/>
        <v>762588.99</v>
      </c>
      <c r="AE330" s="197">
        <f t="shared" si="46"/>
        <v>235180.39</v>
      </c>
      <c r="AF330" s="197">
        <f t="shared" si="50"/>
        <v>0</v>
      </c>
      <c r="AG330" s="197">
        <f t="shared" si="50"/>
        <v>0</v>
      </c>
      <c r="AH330" s="197">
        <f t="shared" si="50"/>
        <v>0</v>
      </c>
      <c r="AI330" s="197">
        <f t="shared" si="50"/>
        <v>0</v>
      </c>
      <c r="AJ330" s="197">
        <f t="shared" si="50"/>
        <v>197945.59</v>
      </c>
      <c r="AK330" s="197">
        <f t="shared" si="50"/>
        <v>0</v>
      </c>
      <c r="AL330" s="197">
        <f t="shared" si="50"/>
        <v>0</v>
      </c>
    </row>
    <row r="331" spans="1:38">
      <c r="A331" s="11" t="str">
        <f t="shared" si="49"/>
        <v>05-613754402013</v>
      </c>
      <c r="B331" t="s">
        <v>254</v>
      </c>
      <c r="C331" t="s">
        <v>255</v>
      </c>
      <c r="D331">
        <v>2013</v>
      </c>
      <c r="E331" t="s">
        <v>104</v>
      </c>
      <c r="F331">
        <v>237251.96</v>
      </c>
      <c r="G331">
        <v>474</v>
      </c>
      <c r="H331" s="11" t="str">
        <f t="shared" si="48"/>
        <v>count</v>
      </c>
      <c r="I331" s="197" t="s">
        <v>1117</v>
      </c>
      <c r="J331" s="197" t="s">
        <v>1118</v>
      </c>
      <c r="K331" s="197" t="s">
        <v>145</v>
      </c>
      <c r="L331" s="197">
        <f t="shared" si="47"/>
        <v>198</v>
      </c>
      <c r="M331" s="197">
        <f t="shared" si="47"/>
        <v>90</v>
      </c>
      <c r="N331" s="197">
        <f t="shared" si="47"/>
        <v>0</v>
      </c>
      <c r="O331" s="197">
        <f t="shared" si="47"/>
        <v>0</v>
      </c>
      <c r="P331" s="197">
        <f t="shared" si="47"/>
        <v>0</v>
      </c>
      <c r="Q331" s="197">
        <f t="shared" si="47"/>
        <v>0</v>
      </c>
      <c r="R331" s="197">
        <f t="shared" si="47"/>
        <v>4</v>
      </c>
      <c r="S331" s="197">
        <f t="shared" si="47"/>
        <v>0</v>
      </c>
      <c r="T331" s="197">
        <f t="shared" si="47"/>
        <v>0</v>
      </c>
      <c r="U331" s="197">
        <f t="shared" si="47"/>
        <v>748</v>
      </c>
      <c r="V331" s="197">
        <f t="shared" si="46"/>
        <v>296</v>
      </c>
      <c r="W331" s="197">
        <f t="shared" si="46"/>
        <v>0</v>
      </c>
      <c r="X331" s="197">
        <f t="shared" si="46"/>
        <v>0</v>
      </c>
      <c r="Y331" s="197">
        <f t="shared" si="46"/>
        <v>0</v>
      </c>
      <c r="Z331" s="197">
        <f t="shared" ref="V331:AE356" si="51">SUMIFS(IF($K331="volume",$F:$F,$G:$G),$D:$D,Z$2,$B:$B,$I331,$E:$E,Z$3)</f>
        <v>0</v>
      </c>
      <c r="AA331" s="197">
        <f t="shared" si="51"/>
        <v>240</v>
      </c>
      <c r="AB331" s="197">
        <f t="shared" si="51"/>
        <v>0</v>
      </c>
      <c r="AC331" s="197">
        <f t="shared" si="51"/>
        <v>0</v>
      </c>
      <c r="AD331" s="197">
        <f t="shared" si="51"/>
        <v>774</v>
      </c>
      <c r="AE331" s="197">
        <f t="shared" si="51"/>
        <v>242</v>
      </c>
      <c r="AF331" s="197">
        <f t="shared" si="50"/>
        <v>0</v>
      </c>
      <c r="AG331" s="197">
        <f t="shared" si="50"/>
        <v>0</v>
      </c>
      <c r="AH331" s="197">
        <f t="shared" si="50"/>
        <v>0</v>
      </c>
      <c r="AI331" s="197">
        <f t="shared" si="50"/>
        <v>0</v>
      </c>
      <c r="AJ331" s="197">
        <f t="shared" si="50"/>
        <v>234</v>
      </c>
      <c r="AK331" s="197">
        <f t="shared" si="50"/>
        <v>0</v>
      </c>
      <c r="AL331" s="197">
        <f t="shared" si="50"/>
        <v>0</v>
      </c>
    </row>
    <row r="332" spans="1:38">
      <c r="A332" s="11" t="str">
        <f t="shared" si="49"/>
        <v>05-613754402012</v>
      </c>
      <c r="B332" t="s">
        <v>254</v>
      </c>
      <c r="C332" t="s">
        <v>255</v>
      </c>
      <c r="D332">
        <v>2012</v>
      </c>
      <c r="E332" t="s">
        <v>1075</v>
      </c>
      <c r="F332">
        <v>815.92</v>
      </c>
      <c r="G332">
        <v>2</v>
      </c>
      <c r="H332" s="11" t="str">
        <f t="shared" si="48"/>
        <v>count</v>
      </c>
      <c r="I332" s="197" t="s">
        <v>1119</v>
      </c>
      <c r="J332" s="197" t="s">
        <v>1120</v>
      </c>
      <c r="K332" s="197" t="s">
        <v>146</v>
      </c>
      <c r="L332" s="197">
        <f t="shared" si="47"/>
        <v>210319.7</v>
      </c>
      <c r="M332" s="197">
        <f t="shared" si="47"/>
        <v>87494.96</v>
      </c>
      <c r="N332" s="197">
        <f t="shared" si="47"/>
        <v>0</v>
      </c>
      <c r="O332" s="197">
        <f t="shared" si="47"/>
        <v>0</v>
      </c>
      <c r="P332" s="197">
        <f t="shared" si="47"/>
        <v>0</v>
      </c>
      <c r="Q332" s="197">
        <f t="shared" si="47"/>
        <v>0</v>
      </c>
      <c r="R332" s="197">
        <f t="shared" si="47"/>
        <v>444.34</v>
      </c>
      <c r="S332" s="197">
        <f t="shared" si="47"/>
        <v>0</v>
      </c>
      <c r="T332" s="197">
        <f t="shared" si="47"/>
        <v>0</v>
      </c>
      <c r="U332" s="197">
        <f t="shared" si="47"/>
        <v>1062237.8</v>
      </c>
      <c r="V332" s="197">
        <f t="shared" si="51"/>
        <v>458670.56</v>
      </c>
      <c r="W332" s="197">
        <f t="shared" si="51"/>
        <v>0</v>
      </c>
      <c r="X332" s="197">
        <f t="shared" si="51"/>
        <v>0</v>
      </c>
      <c r="Y332" s="197">
        <f t="shared" si="51"/>
        <v>0</v>
      </c>
      <c r="Z332" s="197">
        <f t="shared" si="51"/>
        <v>0</v>
      </c>
      <c r="AA332" s="197">
        <f t="shared" si="51"/>
        <v>153072.65</v>
      </c>
      <c r="AB332" s="197">
        <f t="shared" si="51"/>
        <v>0</v>
      </c>
      <c r="AC332" s="197">
        <f t="shared" si="51"/>
        <v>0</v>
      </c>
      <c r="AD332" s="197">
        <f t="shared" si="51"/>
        <v>984485.88</v>
      </c>
      <c r="AE332" s="197">
        <f t="shared" si="51"/>
        <v>490645.95</v>
      </c>
      <c r="AF332" s="197">
        <f t="shared" si="50"/>
        <v>0</v>
      </c>
      <c r="AG332" s="197">
        <f t="shared" si="50"/>
        <v>0</v>
      </c>
      <c r="AH332" s="197">
        <f t="shared" si="50"/>
        <v>34744.03</v>
      </c>
      <c r="AI332" s="197">
        <f t="shared" si="50"/>
        <v>0</v>
      </c>
      <c r="AJ332" s="197">
        <f t="shared" si="50"/>
        <v>206712.17</v>
      </c>
      <c r="AK332" s="197">
        <f t="shared" si="50"/>
        <v>0</v>
      </c>
      <c r="AL332" s="197">
        <f t="shared" si="50"/>
        <v>0</v>
      </c>
    </row>
    <row r="333" spans="1:38">
      <c r="A333" s="11" t="str">
        <f t="shared" si="49"/>
        <v>05-613754402011</v>
      </c>
      <c r="B333" t="s">
        <v>254</v>
      </c>
      <c r="C333" t="s">
        <v>255</v>
      </c>
      <c r="D333">
        <v>2011</v>
      </c>
      <c r="E333" t="s">
        <v>69</v>
      </c>
      <c r="F333">
        <v>754.69</v>
      </c>
      <c r="G333">
        <v>3</v>
      </c>
      <c r="H333" s="11" t="str">
        <f t="shared" si="48"/>
        <v>count</v>
      </c>
      <c r="I333" s="197" t="s">
        <v>1119</v>
      </c>
      <c r="J333" s="197" t="s">
        <v>1120</v>
      </c>
      <c r="K333" s="197" t="s">
        <v>145</v>
      </c>
      <c r="L333" s="197">
        <f t="shared" ref="L333:U357" si="52">SUMIFS(IF($K333="volume",$F:$F,$G:$G),$D:$D,L$2,$B:$B,$I333,$E:$E,L$3)</f>
        <v>158</v>
      </c>
      <c r="M333" s="197">
        <f t="shared" si="52"/>
        <v>59</v>
      </c>
      <c r="N333" s="197">
        <f t="shared" si="52"/>
        <v>0</v>
      </c>
      <c r="O333" s="197">
        <f t="shared" si="52"/>
        <v>0</v>
      </c>
      <c r="P333" s="197">
        <f t="shared" si="52"/>
        <v>0</v>
      </c>
      <c r="Q333" s="197">
        <f t="shared" si="52"/>
        <v>0</v>
      </c>
      <c r="R333" s="197">
        <f t="shared" si="52"/>
        <v>1</v>
      </c>
      <c r="S333" s="197">
        <f t="shared" si="52"/>
        <v>0</v>
      </c>
      <c r="T333" s="197">
        <f t="shared" si="52"/>
        <v>0</v>
      </c>
      <c r="U333" s="197">
        <f t="shared" si="52"/>
        <v>858</v>
      </c>
      <c r="V333" s="197">
        <f t="shared" si="51"/>
        <v>397</v>
      </c>
      <c r="W333" s="197">
        <f t="shared" si="51"/>
        <v>0</v>
      </c>
      <c r="X333" s="197">
        <f t="shared" si="51"/>
        <v>0</v>
      </c>
      <c r="Y333" s="197">
        <f t="shared" si="51"/>
        <v>0</v>
      </c>
      <c r="Z333" s="197">
        <f t="shared" si="51"/>
        <v>0</v>
      </c>
      <c r="AA333" s="197">
        <f t="shared" si="51"/>
        <v>156</v>
      </c>
      <c r="AB333" s="197">
        <f t="shared" si="51"/>
        <v>0</v>
      </c>
      <c r="AC333" s="197">
        <f t="shared" si="51"/>
        <v>0</v>
      </c>
      <c r="AD333" s="197">
        <f t="shared" si="51"/>
        <v>974</v>
      </c>
      <c r="AE333" s="197">
        <f t="shared" si="51"/>
        <v>447</v>
      </c>
      <c r="AF333" s="197">
        <f t="shared" si="50"/>
        <v>0</v>
      </c>
      <c r="AG333" s="197">
        <f t="shared" si="50"/>
        <v>0</v>
      </c>
      <c r="AH333" s="197">
        <f t="shared" si="50"/>
        <v>31</v>
      </c>
      <c r="AI333" s="197">
        <f t="shared" si="50"/>
        <v>0</v>
      </c>
      <c r="AJ333" s="197">
        <f t="shared" si="50"/>
        <v>210</v>
      </c>
      <c r="AK333" s="197">
        <f t="shared" si="50"/>
        <v>0</v>
      </c>
      <c r="AL333" s="197">
        <f t="shared" si="50"/>
        <v>0</v>
      </c>
    </row>
    <row r="334" spans="1:38">
      <c r="A334" s="11" t="str">
        <f t="shared" si="49"/>
        <v>05-676187142013</v>
      </c>
      <c r="B334" t="s">
        <v>268</v>
      </c>
      <c r="C334" t="s">
        <v>269</v>
      </c>
      <c r="D334">
        <v>2013</v>
      </c>
      <c r="E334" t="s">
        <v>63</v>
      </c>
      <c r="F334">
        <v>1174961.3600000001</v>
      </c>
      <c r="G334">
        <v>726</v>
      </c>
      <c r="H334" s="11" t="str">
        <f t="shared" si="48"/>
        <v>volume</v>
      </c>
      <c r="I334" s="197" t="s">
        <v>1121</v>
      </c>
      <c r="J334" s="197" t="s">
        <v>1122</v>
      </c>
      <c r="K334" s="197" t="s">
        <v>146</v>
      </c>
      <c r="L334" s="197">
        <f t="shared" si="52"/>
        <v>567111.48</v>
      </c>
      <c r="M334" s="197">
        <f t="shared" si="52"/>
        <v>255500.67</v>
      </c>
      <c r="N334" s="197">
        <f t="shared" si="52"/>
        <v>52095.83</v>
      </c>
      <c r="O334" s="197">
        <f t="shared" si="52"/>
        <v>0</v>
      </c>
      <c r="P334" s="197">
        <f t="shared" si="52"/>
        <v>0</v>
      </c>
      <c r="Q334" s="197">
        <f t="shared" si="52"/>
        <v>0</v>
      </c>
      <c r="R334" s="197">
        <f t="shared" si="52"/>
        <v>390.4</v>
      </c>
      <c r="S334" s="197">
        <f t="shared" si="52"/>
        <v>0</v>
      </c>
      <c r="T334" s="197">
        <f t="shared" si="52"/>
        <v>0</v>
      </c>
      <c r="U334" s="197">
        <f t="shared" si="52"/>
        <v>335375.02</v>
      </c>
      <c r="V334" s="197">
        <f t="shared" si="51"/>
        <v>247053.96</v>
      </c>
      <c r="W334" s="197">
        <f t="shared" si="51"/>
        <v>50518.27</v>
      </c>
      <c r="X334" s="197">
        <f t="shared" si="51"/>
        <v>0</v>
      </c>
      <c r="Y334" s="197">
        <f t="shared" si="51"/>
        <v>0</v>
      </c>
      <c r="Z334" s="197">
        <f t="shared" si="51"/>
        <v>0</v>
      </c>
      <c r="AA334" s="197">
        <f t="shared" si="51"/>
        <v>235209.13</v>
      </c>
      <c r="AB334" s="197">
        <f t="shared" si="51"/>
        <v>0</v>
      </c>
      <c r="AC334" s="197">
        <f t="shared" si="51"/>
        <v>0</v>
      </c>
      <c r="AD334" s="197">
        <f t="shared" si="51"/>
        <v>286067.06</v>
      </c>
      <c r="AE334" s="197">
        <f t="shared" si="51"/>
        <v>213194.78</v>
      </c>
      <c r="AF334" s="197">
        <f t="shared" si="50"/>
        <v>27564.15</v>
      </c>
      <c r="AG334" s="197">
        <f t="shared" si="50"/>
        <v>0</v>
      </c>
      <c r="AH334" s="197">
        <f t="shared" si="50"/>
        <v>0</v>
      </c>
      <c r="AI334" s="197">
        <f t="shared" si="50"/>
        <v>0</v>
      </c>
      <c r="AJ334" s="197">
        <f t="shared" si="50"/>
        <v>271166.90000000002</v>
      </c>
      <c r="AK334" s="197">
        <f t="shared" si="50"/>
        <v>0</v>
      </c>
      <c r="AL334" s="197">
        <f t="shared" si="50"/>
        <v>0</v>
      </c>
    </row>
    <row r="335" spans="1:38">
      <c r="A335" s="11" t="str">
        <f t="shared" si="49"/>
        <v>05-676187142013</v>
      </c>
      <c r="B335" t="s">
        <v>268</v>
      </c>
      <c r="C335" t="s">
        <v>269</v>
      </c>
      <c r="D335">
        <v>2013</v>
      </c>
      <c r="E335" t="s">
        <v>104</v>
      </c>
      <c r="F335">
        <v>499402.37</v>
      </c>
      <c r="G335">
        <v>274</v>
      </c>
      <c r="H335" s="11" t="str">
        <f t="shared" si="48"/>
        <v>count</v>
      </c>
      <c r="I335" s="197" t="s">
        <v>1121</v>
      </c>
      <c r="J335" s="197" t="s">
        <v>1122</v>
      </c>
      <c r="K335" s="197" t="s">
        <v>145</v>
      </c>
      <c r="L335" s="197">
        <f t="shared" si="52"/>
        <v>773</v>
      </c>
      <c r="M335" s="197">
        <f t="shared" si="52"/>
        <v>361</v>
      </c>
      <c r="N335" s="197">
        <f t="shared" si="52"/>
        <v>66</v>
      </c>
      <c r="O335" s="197">
        <f t="shared" si="52"/>
        <v>0</v>
      </c>
      <c r="P335" s="197">
        <f t="shared" si="52"/>
        <v>0</v>
      </c>
      <c r="Q335" s="197">
        <f t="shared" si="52"/>
        <v>0</v>
      </c>
      <c r="R335" s="197">
        <f t="shared" si="52"/>
        <v>2</v>
      </c>
      <c r="S335" s="197">
        <f t="shared" si="52"/>
        <v>0</v>
      </c>
      <c r="T335" s="197">
        <f t="shared" si="52"/>
        <v>0</v>
      </c>
      <c r="U335" s="197">
        <f t="shared" si="52"/>
        <v>523</v>
      </c>
      <c r="V335" s="197">
        <f t="shared" si="51"/>
        <v>371</v>
      </c>
      <c r="W335" s="197">
        <f t="shared" si="51"/>
        <v>65</v>
      </c>
      <c r="X335" s="197">
        <f t="shared" si="51"/>
        <v>0</v>
      </c>
      <c r="Y335" s="197">
        <f t="shared" si="51"/>
        <v>0</v>
      </c>
      <c r="Z335" s="197">
        <f t="shared" si="51"/>
        <v>0</v>
      </c>
      <c r="AA335" s="197">
        <f t="shared" si="51"/>
        <v>468</v>
      </c>
      <c r="AB335" s="197">
        <f t="shared" si="51"/>
        <v>0</v>
      </c>
      <c r="AC335" s="197">
        <f t="shared" si="51"/>
        <v>0</v>
      </c>
      <c r="AD335" s="197">
        <f t="shared" si="51"/>
        <v>402</v>
      </c>
      <c r="AE335" s="197">
        <f t="shared" si="51"/>
        <v>288</v>
      </c>
      <c r="AF335" s="197">
        <f t="shared" si="50"/>
        <v>38</v>
      </c>
      <c r="AG335" s="197">
        <f t="shared" si="50"/>
        <v>0</v>
      </c>
      <c r="AH335" s="197">
        <f t="shared" si="50"/>
        <v>0</v>
      </c>
      <c r="AI335" s="197">
        <f t="shared" si="50"/>
        <v>0</v>
      </c>
      <c r="AJ335" s="197">
        <f t="shared" si="50"/>
        <v>531</v>
      </c>
      <c r="AK335" s="197">
        <f t="shared" si="50"/>
        <v>0</v>
      </c>
      <c r="AL335" s="197">
        <f t="shared" si="50"/>
        <v>0</v>
      </c>
    </row>
    <row r="336" spans="1:38">
      <c r="A336" s="11" t="str">
        <f t="shared" si="49"/>
        <v>05-676187142011</v>
      </c>
      <c r="B336" t="s">
        <v>268</v>
      </c>
      <c r="C336" t="s">
        <v>269</v>
      </c>
      <c r="D336">
        <v>2011</v>
      </c>
      <c r="E336" t="s">
        <v>105</v>
      </c>
      <c r="F336">
        <v>14841.26</v>
      </c>
      <c r="G336">
        <v>15</v>
      </c>
      <c r="H336" s="11" t="str">
        <f t="shared" si="48"/>
        <v>count</v>
      </c>
      <c r="I336" s="197" t="s">
        <v>1123</v>
      </c>
      <c r="J336" s="197" t="s">
        <v>1124</v>
      </c>
      <c r="K336" s="197" t="s">
        <v>146</v>
      </c>
      <c r="L336" s="197">
        <f t="shared" si="52"/>
        <v>96094.19</v>
      </c>
      <c r="M336" s="197">
        <f t="shared" si="52"/>
        <v>23076.83</v>
      </c>
      <c r="N336" s="197">
        <f t="shared" si="52"/>
        <v>1318.5</v>
      </c>
      <c r="O336" s="197">
        <f t="shared" si="52"/>
        <v>2400</v>
      </c>
      <c r="P336" s="197">
        <f t="shared" si="52"/>
        <v>0</v>
      </c>
      <c r="Q336" s="197">
        <f t="shared" si="52"/>
        <v>0</v>
      </c>
      <c r="R336" s="197">
        <f t="shared" si="52"/>
        <v>165</v>
      </c>
      <c r="S336" s="197">
        <f t="shared" si="52"/>
        <v>0</v>
      </c>
      <c r="T336" s="197">
        <f t="shared" si="52"/>
        <v>0</v>
      </c>
      <c r="U336" s="197">
        <f t="shared" si="52"/>
        <v>72135.990000000005</v>
      </c>
      <c r="V336" s="197">
        <f t="shared" si="51"/>
        <v>42886.48</v>
      </c>
      <c r="W336" s="197">
        <f t="shared" si="51"/>
        <v>1545.49</v>
      </c>
      <c r="X336" s="197">
        <f t="shared" si="51"/>
        <v>3262.5</v>
      </c>
      <c r="Y336" s="197">
        <f t="shared" si="51"/>
        <v>0</v>
      </c>
      <c r="Z336" s="197">
        <f t="shared" si="51"/>
        <v>0</v>
      </c>
      <c r="AA336" s="197">
        <f t="shared" si="51"/>
        <v>99949.55</v>
      </c>
      <c r="AB336" s="197">
        <f t="shared" si="51"/>
        <v>0</v>
      </c>
      <c r="AC336" s="197">
        <f t="shared" si="51"/>
        <v>0</v>
      </c>
      <c r="AD336" s="197">
        <f t="shared" si="51"/>
        <v>62953.84</v>
      </c>
      <c r="AE336" s="197">
        <f t="shared" si="51"/>
        <v>46142.5</v>
      </c>
      <c r="AF336" s="197">
        <f t="shared" si="50"/>
        <v>2042.5</v>
      </c>
      <c r="AG336" s="197">
        <f t="shared" si="50"/>
        <v>12045</v>
      </c>
      <c r="AH336" s="197">
        <f t="shared" si="50"/>
        <v>0</v>
      </c>
      <c r="AI336" s="197">
        <f t="shared" si="50"/>
        <v>0</v>
      </c>
      <c r="AJ336" s="197">
        <f t="shared" si="50"/>
        <v>133540.99</v>
      </c>
      <c r="AK336" s="197">
        <f t="shared" si="50"/>
        <v>0</v>
      </c>
      <c r="AL336" s="197">
        <f t="shared" si="50"/>
        <v>0</v>
      </c>
    </row>
    <row r="337" spans="1:38">
      <c r="A337" s="11" t="str">
        <f t="shared" si="49"/>
        <v>05-676187142011</v>
      </c>
      <c r="B337" t="s">
        <v>268</v>
      </c>
      <c r="C337" t="s">
        <v>269</v>
      </c>
      <c r="D337">
        <v>2011</v>
      </c>
      <c r="E337" t="s">
        <v>133</v>
      </c>
      <c r="F337">
        <v>10791.5</v>
      </c>
      <c r="G337">
        <v>3</v>
      </c>
      <c r="H337" s="11" t="str">
        <f t="shared" si="48"/>
        <v>count</v>
      </c>
      <c r="I337" s="197" t="s">
        <v>1123</v>
      </c>
      <c r="J337" s="197" t="s">
        <v>1124</v>
      </c>
      <c r="K337" s="197" t="s">
        <v>145</v>
      </c>
      <c r="L337" s="197">
        <f t="shared" si="52"/>
        <v>418</v>
      </c>
      <c r="M337" s="197">
        <f t="shared" si="52"/>
        <v>94</v>
      </c>
      <c r="N337" s="197">
        <f t="shared" si="52"/>
        <v>2</v>
      </c>
      <c r="O337" s="197">
        <f t="shared" si="52"/>
        <v>32</v>
      </c>
      <c r="P337" s="197">
        <f t="shared" si="52"/>
        <v>0</v>
      </c>
      <c r="Q337" s="197">
        <f t="shared" si="52"/>
        <v>0</v>
      </c>
      <c r="R337" s="197">
        <f t="shared" si="52"/>
        <v>1</v>
      </c>
      <c r="S337" s="197">
        <f t="shared" si="52"/>
        <v>0</v>
      </c>
      <c r="T337" s="197">
        <f t="shared" si="52"/>
        <v>0</v>
      </c>
      <c r="U337" s="197">
        <f t="shared" si="52"/>
        <v>351</v>
      </c>
      <c r="V337" s="197">
        <f t="shared" si="51"/>
        <v>169</v>
      </c>
      <c r="W337" s="197">
        <f t="shared" si="51"/>
        <v>6</v>
      </c>
      <c r="X337" s="197">
        <f t="shared" si="51"/>
        <v>43</v>
      </c>
      <c r="Y337" s="197">
        <f t="shared" si="51"/>
        <v>0</v>
      </c>
      <c r="Z337" s="197">
        <f t="shared" si="51"/>
        <v>0</v>
      </c>
      <c r="AA337" s="197">
        <f t="shared" si="51"/>
        <v>475</v>
      </c>
      <c r="AB337" s="197">
        <f t="shared" si="51"/>
        <v>0</v>
      </c>
      <c r="AC337" s="197">
        <f t="shared" si="51"/>
        <v>0</v>
      </c>
      <c r="AD337" s="197">
        <f t="shared" si="51"/>
        <v>325</v>
      </c>
      <c r="AE337" s="197">
        <f t="shared" si="51"/>
        <v>171</v>
      </c>
      <c r="AF337" s="197">
        <f t="shared" si="50"/>
        <v>12</v>
      </c>
      <c r="AG337" s="197">
        <f t="shared" si="50"/>
        <v>84</v>
      </c>
      <c r="AH337" s="197">
        <f t="shared" si="50"/>
        <v>0</v>
      </c>
      <c r="AI337" s="197">
        <f t="shared" si="50"/>
        <v>0</v>
      </c>
      <c r="AJ337" s="197">
        <f t="shared" si="50"/>
        <v>666</v>
      </c>
      <c r="AK337" s="197">
        <f t="shared" si="50"/>
        <v>0</v>
      </c>
      <c r="AL337" s="197">
        <f t="shared" si="50"/>
        <v>0</v>
      </c>
    </row>
    <row r="338" spans="1:38">
      <c r="A338" s="11" t="str">
        <f t="shared" si="49"/>
        <v>05-676187142012</v>
      </c>
      <c r="B338" t="s">
        <v>268</v>
      </c>
      <c r="C338" t="s">
        <v>269</v>
      </c>
      <c r="D338">
        <v>2012</v>
      </c>
      <c r="E338" t="s">
        <v>104</v>
      </c>
      <c r="F338">
        <v>383457.28000000003</v>
      </c>
      <c r="G338">
        <v>227</v>
      </c>
      <c r="H338" s="11" t="str">
        <f t="shared" si="48"/>
        <v>count</v>
      </c>
      <c r="I338" s="197" t="s">
        <v>1125</v>
      </c>
      <c r="J338" s="197" t="s">
        <v>1126</v>
      </c>
      <c r="K338" s="197" t="s">
        <v>146</v>
      </c>
      <c r="L338" s="197">
        <f t="shared" si="52"/>
        <v>11347090.48</v>
      </c>
      <c r="M338" s="197">
        <f t="shared" si="52"/>
        <v>10472366.02</v>
      </c>
      <c r="N338" s="197">
        <f t="shared" si="52"/>
        <v>289828.46000000002</v>
      </c>
      <c r="O338" s="197">
        <f t="shared" si="52"/>
        <v>3806826.59</v>
      </c>
      <c r="P338" s="197">
        <f t="shared" si="52"/>
        <v>8401840.3000000007</v>
      </c>
      <c r="Q338" s="197">
        <f t="shared" si="52"/>
        <v>0</v>
      </c>
      <c r="R338" s="197">
        <f t="shared" si="52"/>
        <v>17748.61</v>
      </c>
      <c r="S338" s="197">
        <f t="shared" si="52"/>
        <v>0</v>
      </c>
      <c r="T338" s="197">
        <f t="shared" si="52"/>
        <v>0</v>
      </c>
      <c r="U338" s="197">
        <f t="shared" si="52"/>
        <v>13872639.9</v>
      </c>
      <c r="V338" s="197">
        <f t="shared" si="51"/>
        <v>13142984.18</v>
      </c>
      <c r="W338" s="197">
        <f t="shared" si="51"/>
        <v>454703.81</v>
      </c>
      <c r="X338" s="197">
        <f t="shared" si="51"/>
        <v>5482047.4100000001</v>
      </c>
      <c r="Y338" s="197">
        <f t="shared" si="51"/>
        <v>8423947.7799999993</v>
      </c>
      <c r="Z338" s="197">
        <f t="shared" si="51"/>
        <v>0</v>
      </c>
      <c r="AA338" s="197">
        <f t="shared" si="51"/>
        <v>4477295.4000000004</v>
      </c>
      <c r="AB338" s="197">
        <f t="shared" si="51"/>
        <v>0</v>
      </c>
      <c r="AC338" s="197">
        <f t="shared" si="51"/>
        <v>0</v>
      </c>
      <c r="AD338" s="197">
        <f t="shared" si="51"/>
        <v>13430629.33</v>
      </c>
      <c r="AE338" s="197">
        <f t="shared" si="51"/>
        <v>11452757.35</v>
      </c>
      <c r="AF338" s="197">
        <f t="shared" si="50"/>
        <v>510054.71</v>
      </c>
      <c r="AG338" s="197">
        <f t="shared" si="50"/>
        <v>6288699.1299999999</v>
      </c>
      <c r="AH338" s="197">
        <f t="shared" si="50"/>
        <v>6298373.3300000001</v>
      </c>
      <c r="AI338" s="197">
        <f t="shared" si="50"/>
        <v>0</v>
      </c>
      <c r="AJ338" s="197">
        <f t="shared" si="50"/>
        <v>5451310.6799999997</v>
      </c>
      <c r="AK338" s="197">
        <f t="shared" si="50"/>
        <v>0</v>
      </c>
      <c r="AL338" s="197">
        <f t="shared" si="50"/>
        <v>0</v>
      </c>
    </row>
    <row r="339" spans="1:38">
      <c r="A339" s="11" t="str">
        <f t="shared" si="49"/>
        <v>05-676187142013</v>
      </c>
      <c r="B339" t="s">
        <v>268</v>
      </c>
      <c r="C339" t="s">
        <v>269</v>
      </c>
      <c r="D339">
        <v>2013</v>
      </c>
      <c r="E339" t="s">
        <v>105</v>
      </c>
      <c r="F339">
        <v>82930.28</v>
      </c>
      <c r="G339">
        <v>57</v>
      </c>
      <c r="H339" s="11" t="str">
        <f t="shared" si="48"/>
        <v>count</v>
      </c>
      <c r="I339" s="197" t="s">
        <v>1125</v>
      </c>
      <c r="J339" s="197" t="s">
        <v>1126</v>
      </c>
      <c r="K339" s="197" t="s">
        <v>145</v>
      </c>
      <c r="L339" s="197">
        <f t="shared" si="52"/>
        <v>4528</v>
      </c>
      <c r="M339" s="197">
        <f t="shared" si="52"/>
        <v>3507</v>
      </c>
      <c r="N339" s="197">
        <f t="shared" si="52"/>
        <v>142</v>
      </c>
      <c r="O339" s="197">
        <f t="shared" si="52"/>
        <v>1505</v>
      </c>
      <c r="P339" s="197">
        <f t="shared" si="52"/>
        <v>2898</v>
      </c>
      <c r="Q339" s="197">
        <f t="shared" si="52"/>
        <v>0</v>
      </c>
      <c r="R339" s="197">
        <f t="shared" si="52"/>
        <v>11</v>
      </c>
      <c r="S339" s="197">
        <f t="shared" si="52"/>
        <v>0</v>
      </c>
      <c r="T339" s="197">
        <f t="shared" si="52"/>
        <v>0</v>
      </c>
      <c r="U339" s="197">
        <f t="shared" si="52"/>
        <v>5137</v>
      </c>
      <c r="V339" s="197">
        <f t="shared" si="51"/>
        <v>4385</v>
      </c>
      <c r="W339" s="197">
        <f t="shared" si="51"/>
        <v>204</v>
      </c>
      <c r="X339" s="197">
        <f t="shared" si="51"/>
        <v>2047</v>
      </c>
      <c r="Y339" s="197">
        <f t="shared" si="51"/>
        <v>2908</v>
      </c>
      <c r="Z339" s="197">
        <f t="shared" si="51"/>
        <v>0</v>
      </c>
      <c r="AA339" s="197">
        <f t="shared" si="51"/>
        <v>2004</v>
      </c>
      <c r="AB339" s="197">
        <f t="shared" si="51"/>
        <v>0</v>
      </c>
      <c r="AC339" s="197">
        <f t="shared" si="51"/>
        <v>0</v>
      </c>
      <c r="AD339" s="197">
        <f t="shared" si="51"/>
        <v>4683</v>
      </c>
      <c r="AE339" s="197">
        <f t="shared" si="51"/>
        <v>3447</v>
      </c>
      <c r="AF339" s="197">
        <f t="shared" si="50"/>
        <v>190</v>
      </c>
      <c r="AG339" s="197">
        <f t="shared" si="50"/>
        <v>2283</v>
      </c>
      <c r="AH339" s="197">
        <f t="shared" si="50"/>
        <v>2087</v>
      </c>
      <c r="AI339" s="197">
        <f t="shared" si="50"/>
        <v>0</v>
      </c>
      <c r="AJ339" s="197">
        <f t="shared" si="50"/>
        <v>2275</v>
      </c>
      <c r="AK339" s="197">
        <f t="shared" si="50"/>
        <v>0</v>
      </c>
      <c r="AL339" s="197">
        <f t="shared" si="50"/>
        <v>0</v>
      </c>
    </row>
    <row r="340" spans="1:38">
      <c r="A340" s="11" t="str">
        <f t="shared" si="49"/>
        <v>05-676187142012</v>
      </c>
      <c r="B340" t="s">
        <v>268</v>
      </c>
      <c r="C340" t="s">
        <v>269</v>
      </c>
      <c r="D340">
        <v>2012</v>
      </c>
      <c r="E340" t="s">
        <v>69</v>
      </c>
      <c r="F340">
        <v>188469.81</v>
      </c>
      <c r="G340">
        <v>154</v>
      </c>
      <c r="H340" s="11" t="str">
        <f t="shared" si="48"/>
        <v>count</v>
      </c>
      <c r="I340" s="197" t="s">
        <v>1127</v>
      </c>
      <c r="J340" s="197" t="s">
        <v>1128</v>
      </c>
      <c r="K340" s="197" t="s">
        <v>146</v>
      </c>
      <c r="L340" s="197">
        <f t="shared" si="52"/>
        <v>571423.54</v>
      </c>
      <c r="M340" s="197">
        <f t="shared" si="52"/>
        <v>362471.62</v>
      </c>
      <c r="N340" s="197">
        <f t="shared" si="52"/>
        <v>65512.98</v>
      </c>
      <c r="O340" s="197">
        <f t="shared" si="52"/>
        <v>6199.01</v>
      </c>
      <c r="P340" s="197">
        <f t="shared" si="52"/>
        <v>241010.13</v>
      </c>
      <c r="Q340" s="197">
        <f t="shared" si="52"/>
        <v>0</v>
      </c>
      <c r="R340" s="197">
        <f t="shared" si="52"/>
        <v>350</v>
      </c>
      <c r="S340" s="197">
        <f t="shared" si="52"/>
        <v>0</v>
      </c>
      <c r="T340" s="197">
        <f t="shared" si="52"/>
        <v>0</v>
      </c>
      <c r="U340" s="197">
        <f t="shared" si="52"/>
        <v>591172.23</v>
      </c>
      <c r="V340" s="197">
        <f t="shared" si="51"/>
        <v>329543.11</v>
      </c>
      <c r="W340" s="197">
        <f t="shared" si="51"/>
        <v>130275.05</v>
      </c>
      <c r="X340" s="197">
        <f t="shared" si="51"/>
        <v>60301.31</v>
      </c>
      <c r="Y340" s="197">
        <f t="shared" si="51"/>
        <v>236150.58</v>
      </c>
      <c r="Z340" s="197">
        <f t="shared" si="51"/>
        <v>0</v>
      </c>
      <c r="AA340" s="197">
        <f t="shared" si="51"/>
        <v>256232.78</v>
      </c>
      <c r="AB340" s="197">
        <f t="shared" si="51"/>
        <v>0</v>
      </c>
      <c r="AC340" s="197">
        <f t="shared" si="51"/>
        <v>0</v>
      </c>
      <c r="AD340" s="197">
        <f t="shared" si="51"/>
        <v>684171.42</v>
      </c>
      <c r="AE340" s="197">
        <f t="shared" si="51"/>
        <v>353747.52</v>
      </c>
      <c r="AF340" s="197">
        <f t="shared" si="50"/>
        <v>129985.45</v>
      </c>
      <c r="AG340" s="197">
        <f t="shared" si="50"/>
        <v>57106.23</v>
      </c>
      <c r="AH340" s="197">
        <f t="shared" si="50"/>
        <v>290309.71999999997</v>
      </c>
      <c r="AI340" s="197">
        <f t="shared" si="50"/>
        <v>0</v>
      </c>
      <c r="AJ340" s="197">
        <f t="shared" si="50"/>
        <v>386091.04</v>
      </c>
      <c r="AK340" s="197">
        <f t="shared" si="50"/>
        <v>0</v>
      </c>
      <c r="AL340" s="197">
        <f t="shared" si="50"/>
        <v>0</v>
      </c>
    </row>
    <row r="341" spans="1:38">
      <c r="A341" s="11" t="str">
        <f t="shared" si="49"/>
        <v>05-676187142012</v>
      </c>
      <c r="B341" t="s">
        <v>268</v>
      </c>
      <c r="C341" t="s">
        <v>269</v>
      </c>
      <c r="D341">
        <v>2012</v>
      </c>
      <c r="E341" t="s">
        <v>63</v>
      </c>
      <c r="F341">
        <v>753327.06</v>
      </c>
      <c r="G341">
        <v>519</v>
      </c>
      <c r="H341" s="11" t="str">
        <f t="shared" si="48"/>
        <v>count</v>
      </c>
      <c r="I341" s="197" t="s">
        <v>1127</v>
      </c>
      <c r="J341" s="197" t="s">
        <v>1128</v>
      </c>
      <c r="K341" s="197" t="s">
        <v>145</v>
      </c>
      <c r="L341" s="197">
        <f t="shared" si="52"/>
        <v>684</v>
      </c>
      <c r="M341" s="197">
        <f t="shared" si="52"/>
        <v>406</v>
      </c>
      <c r="N341" s="197">
        <f t="shared" si="52"/>
        <v>78</v>
      </c>
      <c r="O341" s="197">
        <f t="shared" si="52"/>
        <v>5</v>
      </c>
      <c r="P341" s="197">
        <f t="shared" si="52"/>
        <v>208</v>
      </c>
      <c r="Q341" s="197">
        <f t="shared" si="52"/>
        <v>0</v>
      </c>
      <c r="R341" s="197">
        <f t="shared" si="52"/>
        <v>2</v>
      </c>
      <c r="S341" s="197">
        <f t="shared" si="52"/>
        <v>0</v>
      </c>
      <c r="T341" s="197">
        <f t="shared" si="52"/>
        <v>0</v>
      </c>
      <c r="U341" s="197">
        <f t="shared" si="52"/>
        <v>642</v>
      </c>
      <c r="V341" s="197">
        <f t="shared" si="51"/>
        <v>372</v>
      </c>
      <c r="W341" s="197">
        <f t="shared" si="51"/>
        <v>135</v>
      </c>
      <c r="X341" s="197">
        <f t="shared" si="51"/>
        <v>57</v>
      </c>
      <c r="Y341" s="197">
        <f t="shared" si="51"/>
        <v>221</v>
      </c>
      <c r="Z341" s="197">
        <f t="shared" si="51"/>
        <v>0</v>
      </c>
      <c r="AA341" s="197">
        <f t="shared" si="51"/>
        <v>288</v>
      </c>
      <c r="AB341" s="197">
        <f t="shared" si="51"/>
        <v>0</v>
      </c>
      <c r="AC341" s="197">
        <f t="shared" si="51"/>
        <v>0</v>
      </c>
      <c r="AD341" s="197">
        <f t="shared" si="51"/>
        <v>737</v>
      </c>
      <c r="AE341" s="197">
        <f t="shared" si="51"/>
        <v>384</v>
      </c>
      <c r="AF341" s="197">
        <f t="shared" si="50"/>
        <v>137</v>
      </c>
      <c r="AG341" s="197">
        <f t="shared" si="50"/>
        <v>57</v>
      </c>
      <c r="AH341" s="197">
        <f t="shared" si="50"/>
        <v>287</v>
      </c>
      <c r="AI341" s="197">
        <f t="shared" si="50"/>
        <v>0</v>
      </c>
      <c r="AJ341" s="197">
        <f t="shared" si="50"/>
        <v>435</v>
      </c>
      <c r="AK341" s="197">
        <f t="shared" si="50"/>
        <v>0</v>
      </c>
      <c r="AL341" s="197">
        <f t="shared" si="50"/>
        <v>0</v>
      </c>
    </row>
    <row r="342" spans="1:38">
      <c r="A342" s="11" t="str">
        <f t="shared" si="49"/>
        <v>05-676187142012</v>
      </c>
      <c r="B342" t="s">
        <v>268</v>
      </c>
      <c r="C342" t="s">
        <v>269</v>
      </c>
      <c r="D342">
        <v>2012</v>
      </c>
      <c r="E342" t="s">
        <v>133</v>
      </c>
      <c r="F342">
        <v>52084.45</v>
      </c>
      <c r="G342">
        <v>49</v>
      </c>
      <c r="H342" s="11" t="str">
        <f t="shared" si="48"/>
        <v>count</v>
      </c>
      <c r="I342" s="197" t="s">
        <v>1129</v>
      </c>
      <c r="J342" s="197" t="s">
        <v>1130</v>
      </c>
      <c r="K342" s="197" t="s">
        <v>146</v>
      </c>
      <c r="L342" s="197">
        <f t="shared" si="52"/>
        <v>258808.02</v>
      </c>
      <c r="M342" s="197">
        <f t="shared" si="52"/>
        <v>58053.599999999999</v>
      </c>
      <c r="N342" s="197">
        <f t="shared" si="52"/>
        <v>2750</v>
      </c>
      <c r="O342" s="197">
        <f t="shared" si="52"/>
        <v>0</v>
      </c>
      <c r="P342" s="197">
        <f t="shared" si="52"/>
        <v>177986.28</v>
      </c>
      <c r="Q342" s="197">
        <f t="shared" si="52"/>
        <v>0</v>
      </c>
      <c r="R342" s="197">
        <f t="shared" si="52"/>
        <v>0</v>
      </c>
      <c r="S342" s="197">
        <f t="shared" si="52"/>
        <v>0</v>
      </c>
      <c r="T342" s="197">
        <f t="shared" si="52"/>
        <v>0</v>
      </c>
      <c r="U342" s="197">
        <f t="shared" si="52"/>
        <v>408741.38</v>
      </c>
      <c r="V342" s="197">
        <f t="shared" si="51"/>
        <v>159951.54</v>
      </c>
      <c r="W342" s="197">
        <f t="shared" si="51"/>
        <v>18174.96</v>
      </c>
      <c r="X342" s="197">
        <f t="shared" si="51"/>
        <v>7660</v>
      </c>
      <c r="Y342" s="197">
        <f t="shared" si="51"/>
        <v>174628.97</v>
      </c>
      <c r="Z342" s="197">
        <f t="shared" si="51"/>
        <v>0</v>
      </c>
      <c r="AA342" s="197">
        <f t="shared" si="51"/>
        <v>60271.65</v>
      </c>
      <c r="AB342" s="197">
        <f t="shared" si="51"/>
        <v>0</v>
      </c>
      <c r="AC342" s="197">
        <f t="shared" si="51"/>
        <v>0</v>
      </c>
      <c r="AD342" s="197">
        <f t="shared" si="51"/>
        <v>325622.67</v>
      </c>
      <c r="AE342" s="197">
        <f t="shared" si="51"/>
        <v>185678.05</v>
      </c>
      <c r="AF342" s="197">
        <f t="shared" si="50"/>
        <v>16476.72</v>
      </c>
      <c r="AG342" s="197">
        <f t="shared" si="50"/>
        <v>0</v>
      </c>
      <c r="AH342" s="197">
        <f t="shared" si="50"/>
        <v>107636.58</v>
      </c>
      <c r="AI342" s="197">
        <f t="shared" si="50"/>
        <v>0</v>
      </c>
      <c r="AJ342" s="197">
        <f t="shared" si="50"/>
        <v>23299.45</v>
      </c>
      <c r="AK342" s="197">
        <f t="shared" si="50"/>
        <v>0</v>
      </c>
      <c r="AL342" s="197">
        <f t="shared" si="50"/>
        <v>0</v>
      </c>
    </row>
    <row r="343" spans="1:38">
      <c r="A343" s="11" t="str">
        <f t="shared" si="49"/>
        <v>05-676187142011</v>
      </c>
      <c r="B343" t="s">
        <v>268</v>
      </c>
      <c r="C343" t="s">
        <v>269</v>
      </c>
      <c r="D343">
        <v>2011</v>
      </c>
      <c r="E343" t="s">
        <v>63</v>
      </c>
      <c r="F343">
        <v>823425.11</v>
      </c>
      <c r="G343">
        <v>468</v>
      </c>
      <c r="H343" s="11" t="str">
        <f t="shared" si="48"/>
        <v>count</v>
      </c>
      <c r="I343" s="197" t="s">
        <v>1129</v>
      </c>
      <c r="J343" s="197" t="s">
        <v>1130</v>
      </c>
      <c r="K343" s="197" t="s">
        <v>145</v>
      </c>
      <c r="L343" s="197">
        <f t="shared" si="52"/>
        <v>76</v>
      </c>
      <c r="M343" s="197">
        <f t="shared" si="52"/>
        <v>18</v>
      </c>
      <c r="N343" s="197">
        <f t="shared" si="52"/>
        <v>1</v>
      </c>
      <c r="O343" s="197">
        <f t="shared" si="52"/>
        <v>0</v>
      </c>
      <c r="P343" s="197">
        <f t="shared" si="52"/>
        <v>46</v>
      </c>
      <c r="Q343" s="197">
        <f t="shared" si="52"/>
        <v>0</v>
      </c>
      <c r="R343" s="197">
        <f t="shared" si="52"/>
        <v>0</v>
      </c>
      <c r="S343" s="197">
        <f t="shared" si="52"/>
        <v>0</v>
      </c>
      <c r="T343" s="197">
        <f t="shared" si="52"/>
        <v>0</v>
      </c>
      <c r="U343" s="197">
        <f t="shared" si="52"/>
        <v>108</v>
      </c>
      <c r="V343" s="197">
        <f t="shared" si="51"/>
        <v>57</v>
      </c>
      <c r="W343" s="197">
        <f t="shared" si="51"/>
        <v>5</v>
      </c>
      <c r="X343" s="197">
        <f t="shared" si="51"/>
        <v>1</v>
      </c>
      <c r="Y343" s="197">
        <f t="shared" si="51"/>
        <v>51</v>
      </c>
      <c r="Z343" s="197">
        <f t="shared" si="51"/>
        <v>0</v>
      </c>
      <c r="AA343" s="197">
        <f t="shared" si="51"/>
        <v>32</v>
      </c>
      <c r="AB343" s="197">
        <f t="shared" si="51"/>
        <v>0</v>
      </c>
      <c r="AC343" s="197">
        <f t="shared" si="51"/>
        <v>0</v>
      </c>
      <c r="AD343" s="197">
        <f t="shared" si="51"/>
        <v>98</v>
      </c>
      <c r="AE343" s="197">
        <f t="shared" si="51"/>
        <v>52</v>
      </c>
      <c r="AF343" s="197">
        <f t="shared" si="50"/>
        <v>6</v>
      </c>
      <c r="AG343" s="197">
        <f t="shared" si="50"/>
        <v>0</v>
      </c>
      <c r="AH343" s="197">
        <f t="shared" si="50"/>
        <v>21</v>
      </c>
      <c r="AI343" s="197">
        <f t="shared" si="50"/>
        <v>0</v>
      </c>
      <c r="AJ343" s="197">
        <f t="shared" si="50"/>
        <v>19</v>
      </c>
      <c r="AK343" s="197">
        <f t="shared" si="50"/>
        <v>0</v>
      </c>
      <c r="AL343" s="197">
        <f t="shared" si="50"/>
        <v>0</v>
      </c>
    </row>
    <row r="344" spans="1:38">
      <c r="A344" s="11" t="str">
        <f t="shared" si="49"/>
        <v>05-676187142011</v>
      </c>
      <c r="B344" t="s">
        <v>268</v>
      </c>
      <c r="C344" t="s">
        <v>269</v>
      </c>
      <c r="D344">
        <v>2011</v>
      </c>
      <c r="E344" t="s">
        <v>104</v>
      </c>
      <c r="F344">
        <v>314367.81</v>
      </c>
      <c r="G344">
        <v>176</v>
      </c>
      <c r="H344" s="11" t="str">
        <f t="shared" si="48"/>
        <v>count</v>
      </c>
      <c r="I344" s="197" t="s">
        <v>1131</v>
      </c>
      <c r="J344" s="197" t="s">
        <v>1132</v>
      </c>
      <c r="K344" s="197" t="s">
        <v>146</v>
      </c>
      <c r="L344" s="197">
        <f t="shared" si="52"/>
        <v>153852.48000000001</v>
      </c>
      <c r="M344" s="197">
        <f t="shared" si="52"/>
        <v>43118.48</v>
      </c>
      <c r="N344" s="197">
        <f t="shared" si="52"/>
        <v>7133.5</v>
      </c>
      <c r="O344" s="197">
        <f t="shared" si="52"/>
        <v>0</v>
      </c>
      <c r="P344" s="197">
        <f t="shared" si="52"/>
        <v>0</v>
      </c>
      <c r="Q344" s="197">
        <f t="shared" si="52"/>
        <v>0</v>
      </c>
      <c r="R344" s="197">
        <f t="shared" si="52"/>
        <v>245</v>
      </c>
      <c r="S344" s="197">
        <f t="shared" si="52"/>
        <v>0</v>
      </c>
      <c r="T344" s="197">
        <f t="shared" si="52"/>
        <v>0</v>
      </c>
      <c r="U344" s="197">
        <f t="shared" si="52"/>
        <v>77708.05</v>
      </c>
      <c r="V344" s="197">
        <f t="shared" si="51"/>
        <v>39539.910000000003</v>
      </c>
      <c r="W344" s="197">
        <f t="shared" si="51"/>
        <v>4052.5</v>
      </c>
      <c r="X344" s="197">
        <f t="shared" si="51"/>
        <v>0</v>
      </c>
      <c r="Y344" s="197">
        <f t="shared" si="51"/>
        <v>0</v>
      </c>
      <c r="Z344" s="197">
        <f t="shared" si="51"/>
        <v>0</v>
      </c>
      <c r="AA344" s="197">
        <f t="shared" si="51"/>
        <v>122377.22</v>
      </c>
      <c r="AB344" s="197">
        <f t="shared" si="51"/>
        <v>0</v>
      </c>
      <c r="AC344" s="197">
        <f t="shared" si="51"/>
        <v>0</v>
      </c>
      <c r="AD344" s="197">
        <f t="shared" si="51"/>
        <v>76093.48</v>
      </c>
      <c r="AE344" s="197">
        <f t="shared" si="51"/>
        <v>33116.01</v>
      </c>
      <c r="AF344" s="197">
        <f t="shared" si="50"/>
        <v>2661.55</v>
      </c>
      <c r="AG344" s="197">
        <f t="shared" si="50"/>
        <v>0</v>
      </c>
      <c r="AH344" s="197">
        <f t="shared" si="50"/>
        <v>0</v>
      </c>
      <c r="AI344" s="197">
        <f t="shared" si="50"/>
        <v>0</v>
      </c>
      <c r="AJ344" s="197">
        <f t="shared" si="50"/>
        <v>132199.91</v>
      </c>
      <c r="AK344" s="197">
        <f t="shared" si="50"/>
        <v>0</v>
      </c>
      <c r="AL344" s="197">
        <f t="shared" si="50"/>
        <v>0</v>
      </c>
    </row>
    <row r="345" spans="1:38">
      <c r="A345" s="11" t="str">
        <f t="shared" si="49"/>
        <v>05-676187142012</v>
      </c>
      <c r="B345" t="s">
        <v>268</v>
      </c>
      <c r="C345" t="s">
        <v>269</v>
      </c>
      <c r="D345">
        <v>2012</v>
      </c>
      <c r="E345" t="s">
        <v>105</v>
      </c>
      <c r="F345">
        <v>41066.730000000003</v>
      </c>
      <c r="G345">
        <v>25</v>
      </c>
      <c r="H345" s="11" t="str">
        <f t="shared" si="48"/>
        <v>count</v>
      </c>
      <c r="I345" s="197" t="s">
        <v>1131</v>
      </c>
      <c r="J345" s="197" t="s">
        <v>1132</v>
      </c>
      <c r="K345" s="197" t="s">
        <v>145</v>
      </c>
      <c r="L345" s="197">
        <f t="shared" si="52"/>
        <v>1002</v>
      </c>
      <c r="M345" s="197">
        <f t="shared" si="52"/>
        <v>309</v>
      </c>
      <c r="N345" s="197">
        <f t="shared" si="52"/>
        <v>21</v>
      </c>
      <c r="O345" s="197">
        <f t="shared" si="52"/>
        <v>0</v>
      </c>
      <c r="P345" s="197">
        <f t="shared" si="52"/>
        <v>0</v>
      </c>
      <c r="Q345" s="197">
        <f t="shared" si="52"/>
        <v>0</v>
      </c>
      <c r="R345" s="197">
        <f t="shared" si="52"/>
        <v>1</v>
      </c>
      <c r="S345" s="197">
        <f t="shared" si="52"/>
        <v>0</v>
      </c>
      <c r="T345" s="197">
        <f t="shared" si="52"/>
        <v>0</v>
      </c>
      <c r="U345" s="197">
        <f t="shared" si="52"/>
        <v>470</v>
      </c>
      <c r="V345" s="197">
        <f t="shared" si="51"/>
        <v>254</v>
      </c>
      <c r="W345" s="197">
        <f t="shared" si="51"/>
        <v>14</v>
      </c>
      <c r="X345" s="197">
        <f t="shared" si="51"/>
        <v>0</v>
      </c>
      <c r="Y345" s="197">
        <f t="shared" si="51"/>
        <v>0</v>
      </c>
      <c r="Z345" s="197">
        <f t="shared" si="51"/>
        <v>0</v>
      </c>
      <c r="AA345" s="197">
        <f t="shared" si="51"/>
        <v>759</v>
      </c>
      <c r="AB345" s="197">
        <f t="shared" si="51"/>
        <v>0</v>
      </c>
      <c r="AC345" s="197">
        <f t="shared" si="51"/>
        <v>0</v>
      </c>
      <c r="AD345" s="197">
        <f t="shared" si="51"/>
        <v>414</v>
      </c>
      <c r="AE345" s="197">
        <f t="shared" si="51"/>
        <v>165</v>
      </c>
      <c r="AF345" s="197">
        <f t="shared" si="50"/>
        <v>10</v>
      </c>
      <c r="AG345" s="197">
        <f t="shared" si="50"/>
        <v>0</v>
      </c>
      <c r="AH345" s="197">
        <f t="shared" si="50"/>
        <v>0</v>
      </c>
      <c r="AI345" s="197">
        <f t="shared" si="50"/>
        <v>0</v>
      </c>
      <c r="AJ345" s="197">
        <f t="shared" si="50"/>
        <v>789</v>
      </c>
      <c r="AK345" s="197">
        <f t="shared" si="50"/>
        <v>0</v>
      </c>
      <c r="AL345" s="197">
        <f t="shared" si="50"/>
        <v>0</v>
      </c>
    </row>
    <row r="346" spans="1:38">
      <c r="A346" s="11" t="str">
        <f t="shared" si="49"/>
        <v>05-676187142013</v>
      </c>
      <c r="B346" t="s">
        <v>268</v>
      </c>
      <c r="C346" t="s">
        <v>269</v>
      </c>
      <c r="D346">
        <v>2013</v>
      </c>
      <c r="E346" t="s">
        <v>69</v>
      </c>
      <c r="F346">
        <v>417181.39</v>
      </c>
      <c r="G346">
        <v>295</v>
      </c>
      <c r="H346" s="11" t="str">
        <f t="shared" si="48"/>
        <v>count</v>
      </c>
      <c r="I346" s="197" t="s">
        <v>1133</v>
      </c>
      <c r="J346" s="197" t="s">
        <v>1134</v>
      </c>
      <c r="K346" s="197" t="s">
        <v>146</v>
      </c>
      <c r="L346" s="197">
        <f t="shared" si="52"/>
        <v>493129.49</v>
      </c>
      <c r="M346" s="197">
        <f t="shared" si="52"/>
        <v>280826.31</v>
      </c>
      <c r="N346" s="197">
        <f t="shared" si="52"/>
        <v>74735.179999999993</v>
      </c>
      <c r="O346" s="197">
        <f t="shared" si="52"/>
        <v>0</v>
      </c>
      <c r="P346" s="197">
        <f t="shared" si="52"/>
        <v>324269.81</v>
      </c>
      <c r="Q346" s="197">
        <f t="shared" si="52"/>
        <v>0</v>
      </c>
      <c r="R346" s="197">
        <f t="shared" si="52"/>
        <v>0</v>
      </c>
      <c r="S346" s="197">
        <f t="shared" si="52"/>
        <v>0</v>
      </c>
      <c r="T346" s="197">
        <f t="shared" si="52"/>
        <v>0</v>
      </c>
      <c r="U346" s="197">
        <f t="shared" si="52"/>
        <v>77940.149999999994</v>
      </c>
      <c r="V346" s="197">
        <f t="shared" si="51"/>
        <v>75965.240000000005</v>
      </c>
      <c r="W346" s="197">
        <f t="shared" si="51"/>
        <v>4069.8</v>
      </c>
      <c r="X346" s="197">
        <f t="shared" si="51"/>
        <v>0</v>
      </c>
      <c r="Y346" s="197">
        <f t="shared" si="51"/>
        <v>185735.51</v>
      </c>
      <c r="Z346" s="197">
        <f t="shared" si="51"/>
        <v>0</v>
      </c>
      <c r="AA346" s="197">
        <f t="shared" si="51"/>
        <v>7528</v>
      </c>
      <c r="AB346" s="197">
        <f t="shared" si="51"/>
        <v>0</v>
      </c>
      <c r="AC346" s="197">
        <f t="shared" si="51"/>
        <v>0</v>
      </c>
      <c r="AD346" s="197">
        <f t="shared" si="51"/>
        <v>0</v>
      </c>
      <c r="AE346" s="197">
        <f t="shared" si="51"/>
        <v>0</v>
      </c>
      <c r="AF346" s="197">
        <f t="shared" si="50"/>
        <v>0</v>
      </c>
      <c r="AG346" s="197">
        <f t="shared" si="50"/>
        <v>0</v>
      </c>
      <c r="AH346" s="197">
        <f t="shared" si="50"/>
        <v>0</v>
      </c>
      <c r="AI346" s="197">
        <f t="shared" si="50"/>
        <v>0</v>
      </c>
      <c r="AJ346" s="197">
        <f t="shared" si="50"/>
        <v>0</v>
      </c>
      <c r="AK346" s="197">
        <f t="shared" si="50"/>
        <v>0</v>
      </c>
      <c r="AL346" s="197">
        <f t="shared" si="50"/>
        <v>0</v>
      </c>
    </row>
    <row r="347" spans="1:38">
      <c r="A347" s="11" t="str">
        <f t="shared" si="49"/>
        <v>05-676187142013</v>
      </c>
      <c r="B347" t="s">
        <v>268</v>
      </c>
      <c r="C347" t="s">
        <v>269</v>
      </c>
      <c r="D347">
        <v>2013</v>
      </c>
      <c r="E347" t="s">
        <v>133</v>
      </c>
      <c r="F347">
        <v>65377.94</v>
      </c>
      <c r="G347">
        <v>37</v>
      </c>
      <c r="H347" s="11" t="str">
        <f t="shared" si="48"/>
        <v>count</v>
      </c>
      <c r="I347" s="197" t="s">
        <v>1133</v>
      </c>
      <c r="J347" s="197" t="s">
        <v>1134</v>
      </c>
      <c r="K347" s="197" t="s">
        <v>145</v>
      </c>
      <c r="L347" s="197">
        <f t="shared" si="52"/>
        <v>347</v>
      </c>
      <c r="M347" s="197">
        <f t="shared" si="52"/>
        <v>165</v>
      </c>
      <c r="N347" s="197">
        <f t="shared" si="52"/>
        <v>61</v>
      </c>
      <c r="O347" s="197">
        <f t="shared" si="52"/>
        <v>0</v>
      </c>
      <c r="P347" s="197">
        <f t="shared" si="52"/>
        <v>134</v>
      </c>
      <c r="Q347" s="197">
        <f t="shared" si="52"/>
        <v>0</v>
      </c>
      <c r="R347" s="197">
        <f t="shared" si="52"/>
        <v>0</v>
      </c>
      <c r="S347" s="197">
        <f t="shared" si="52"/>
        <v>0</v>
      </c>
      <c r="T347" s="197">
        <f t="shared" si="52"/>
        <v>0</v>
      </c>
      <c r="U347" s="197">
        <f t="shared" si="52"/>
        <v>25</v>
      </c>
      <c r="V347" s="197">
        <f t="shared" si="51"/>
        <v>25</v>
      </c>
      <c r="W347" s="197">
        <f t="shared" si="51"/>
        <v>2</v>
      </c>
      <c r="X347" s="197">
        <f t="shared" si="51"/>
        <v>0</v>
      </c>
      <c r="Y347" s="197">
        <f t="shared" si="51"/>
        <v>49</v>
      </c>
      <c r="Z347" s="197">
        <f t="shared" si="51"/>
        <v>0</v>
      </c>
      <c r="AA347" s="197">
        <f t="shared" si="51"/>
        <v>4</v>
      </c>
      <c r="AB347" s="197">
        <f t="shared" si="51"/>
        <v>0</v>
      </c>
      <c r="AC347" s="197">
        <f t="shared" si="51"/>
        <v>0</v>
      </c>
      <c r="AD347" s="197">
        <f t="shared" si="51"/>
        <v>0</v>
      </c>
      <c r="AE347" s="197">
        <f t="shared" si="51"/>
        <v>0</v>
      </c>
      <c r="AF347" s="197">
        <f t="shared" si="50"/>
        <v>0</v>
      </c>
      <c r="AG347" s="197">
        <f t="shared" si="50"/>
        <v>0</v>
      </c>
      <c r="AH347" s="197">
        <f t="shared" si="50"/>
        <v>0</v>
      </c>
      <c r="AI347" s="197">
        <f t="shared" si="50"/>
        <v>0</v>
      </c>
      <c r="AJ347" s="197">
        <f t="shared" si="50"/>
        <v>0</v>
      </c>
      <c r="AK347" s="197">
        <f t="shared" si="50"/>
        <v>0</v>
      </c>
      <c r="AL347" s="197">
        <f t="shared" si="50"/>
        <v>0</v>
      </c>
    </row>
    <row r="348" spans="1:38">
      <c r="A348" s="11" t="str">
        <f t="shared" si="49"/>
        <v>05-718398462011</v>
      </c>
      <c r="B348" t="s">
        <v>276</v>
      </c>
      <c r="C348" t="s">
        <v>277</v>
      </c>
      <c r="D348">
        <v>2011</v>
      </c>
      <c r="E348" t="s">
        <v>133</v>
      </c>
      <c r="F348">
        <v>864698.79</v>
      </c>
      <c r="G348">
        <v>422</v>
      </c>
      <c r="H348" s="11" t="str">
        <f t="shared" si="48"/>
        <v>volume</v>
      </c>
      <c r="I348" s="197" t="s">
        <v>1135</v>
      </c>
      <c r="J348" s="197" t="s">
        <v>1136</v>
      </c>
      <c r="K348" s="197" t="s">
        <v>146</v>
      </c>
      <c r="L348" s="197">
        <f t="shared" si="52"/>
        <v>869676.4</v>
      </c>
      <c r="M348" s="197">
        <f t="shared" si="52"/>
        <v>618696.31999999995</v>
      </c>
      <c r="N348" s="197">
        <f t="shared" si="52"/>
        <v>0</v>
      </c>
      <c r="O348" s="197">
        <f t="shared" si="52"/>
        <v>47491.08</v>
      </c>
      <c r="P348" s="197">
        <f t="shared" si="52"/>
        <v>0</v>
      </c>
      <c r="Q348" s="197">
        <f t="shared" si="52"/>
        <v>0</v>
      </c>
      <c r="R348" s="197">
        <f t="shared" si="52"/>
        <v>0</v>
      </c>
      <c r="S348" s="197">
        <f t="shared" si="52"/>
        <v>0</v>
      </c>
      <c r="T348" s="197">
        <f t="shared" si="52"/>
        <v>0</v>
      </c>
      <c r="U348" s="197">
        <f t="shared" si="52"/>
        <v>747764.51</v>
      </c>
      <c r="V348" s="197">
        <f t="shared" si="51"/>
        <v>516713</v>
      </c>
      <c r="W348" s="197">
        <f t="shared" si="51"/>
        <v>0</v>
      </c>
      <c r="X348" s="197">
        <f t="shared" si="51"/>
        <v>44868.9</v>
      </c>
      <c r="Y348" s="197">
        <f t="shared" si="51"/>
        <v>0</v>
      </c>
      <c r="Z348" s="197">
        <f t="shared" si="51"/>
        <v>0</v>
      </c>
      <c r="AA348" s="197">
        <f t="shared" si="51"/>
        <v>178474.25</v>
      </c>
      <c r="AB348" s="197">
        <f t="shared" si="51"/>
        <v>0</v>
      </c>
      <c r="AC348" s="197">
        <f t="shared" si="51"/>
        <v>0</v>
      </c>
      <c r="AD348" s="197">
        <f t="shared" si="51"/>
        <v>707524.79</v>
      </c>
      <c r="AE348" s="197">
        <f t="shared" si="51"/>
        <v>477510.76</v>
      </c>
      <c r="AF348" s="197">
        <f t="shared" si="50"/>
        <v>0</v>
      </c>
      <c r="AG348" s="197">
        <f t="shared" si="50"/>
        <v>0</v>
      </c>
      <c r="AH348" s="197">
        <f t="shared" si="50"/>
        <v>0</v>
      </c>
      <c r="AI348" s="197">
        <f t="shared" si="50"/>
        <v>0</v>
      </c>
      <c r="AJ348" s="197">
        <f t="shared" si="50"/>
        <v>176468.27</v>
      </c>
      <c r="AK348" s="197">
        <f t="shared" si="50"/>
        <v>0</v>
      </c>
      <c r="AL348" s="197">
        <f t="shared" si="50"/>
        <v>0</v>
      </c>
    </row>
    <row r="349" spans="1:38">
      <c r="A349" s="11" t="str">
        <f t="shared" si="49"/>
        <v>05-718398462011</v>
      </c>
      <c r="B349" t="s">
        <v>276</v>
      </c>
      <c r="C349" t="s">
        <v>277</v>
      </c>
      <c r="D349">
        <v>2011</v>
      </c>
      <c r="E349" t="s">
        <v>69</v>
      </c>
      <c r="F349">
        <v>700</v>
      </c>
      <c r="G349">
        <v>1</v>
      </c>
      <c r="H349" s="11" t="str">
        <f t="shared" si="48"/>
        <v>count</v>
      </c>
      <c r="I349" s="197" t="s">
        <v>1135</v>
      </c>
      <c r="J349" s="197" t="s">
        <v>1136</v>
      </c>
      <c r="K349" s="197" t="s">
        <v>145</v>
      </c>
      <c r="L349" s="197">
        <f t="shared" si="52"/>
        <v>752</v>
      </c>
      <c r="M349" s="197">
        <f t="shared" si="52"/>
        <v>499</v>
      </c>
      <c r="N349" s="197">
        <f t="shared" si="52"/>
        <v>0</v>
      </c>
      <c r="O349" s="197">
        <f t="shared" si="52"/>
        <v>28</v>
      </c>
      <c r="P349" s="197">
        <f t="shared" si="52"/>
        <v>0</v>
      </c>
      <c r="Q349" s="197">
        <f t="shared" si="52"/>
        <v>0</v>
      </c>
      <c r="R349" s="197">
        <f t="shared" si="52"/>
        <v>0</v>
      </c>
      <c r="S349" s="197">
        <f t="shared" si="52"/>
        <v>0</v>
      </c>
      <c r="T349" s="197">
        <f t="shared" si="52"/>
        <v>0</v>
      </c>
      <c r="U349" s="197">
        <f t="shared" si="52"/>
        <v>614</v>
      </c>
      <c r="V349" s="197">
        <f t="shared" si="51"/>
        <v>438</v>
      </c>
      <c r="W349" s="197">
        <f t="shared" si="51"/>
        <v>0</v>
      </c>
      <c r="X349" s="197">
        <f t="shared" si="51"/>
        <v>7</v>
      </c>
      <c r="Y349" s="197">
        <f t="shared" si="51"/>
        <v>0</v>
      </c>
      <c r="Z349" s="197">
        <f t="shared" si="51"/>
        <v>0</v>
      </c>
      <c r="AA349" s="197">
        <f t="shared" si="51"/>
        <v>170</v>
      </c>
      <c r="AB349" s="197">
        <f t="shared" si="51"/>
        <v>0</v>
      </c>
      <c r="AC349" s="197">
        <f t="shared" si="51"/>
        <v>0</v>
      </c>
      <c r="AD349" s="197">
        <f t="shared" si="51"/>
        <v>575</v>
      </c>
      <c r="AE349" s="197">
        <f t="shared" si="51"/>
        <v>396</v>
      </c>
      <c r="AF349" s="197">
        <f t="shared" si="50"/>
        <v>0</v>
      </c>
      <c r="AG349" s="197">
        <f t="shared" si="50"/>
        <v>0</v>
      </c>
      <c r="AH349" s="197">
        <f t="shared" si="50"/>
        <v>0</v>
      </c>
      <c r="AI349" s="197">
        <f t="shared" si="50"/>
        <v>0</v>
      </c>
      <c r="AJ349" s="197">
        <f t="shared" si="50"/>
        <v>163</v>
      </c>
      <c r="AK349" s="197">
        <f t="shared" si="50"/>
        <v>0</v>
      </c>
      <c r="AL349" s="197">
        <f t="shared" si="50"/>
        <v>0</v>
      </c>
    </row>
    <row r="350" spans="1:38">
      <c r="A350" s="11" t="str">
        <f t="shared" si="49"/>
        <v>05-718398462012</v>
      </c>
      <c r="B350" t="s">
        <v>276</v>
      </c>
      <c r="C350" t="s">
        <v>277</v>
      </c>
      <c r="D350">
        <v>2012</v>
      </c>
      <c r="E350" t="s">
        <v>104</v>
      </c>
      <c r="F350">
        <v>621406.74</v>
      </c>
      <c r="G350">
        <v>348</v>
      </c>
      <c r="H350" s="11" t="str">
        <f t="shared" si="48"/>
        <v>count</v>
      </c>
      <c r="I350" s="197" t="s">
        <v>1137</v>
      </c>
      <c r="J350" s="197" t="s">
        <v>1138</v>
      </c>
      <c r="K350" s="197" t="s">
        <v>146</v>
      </c>
      <c r="L350" s="197">
        <f t="shared" si="52"/>
        <v>402589.62</v>
      </c>
      <c r="M350" s="197">
        <f t="shared" si="52"/>
        <v>241172.58</v>
      </c>
      <c r="N350" s="197">
        <f t="shared" si="52"/>
        <v>0</v>
      </c>
      <c r="O350" s="197">
        <f t="shared" si="52"/>
        <v>0</v>
      </c>
      <c r="P350" s="197">
        <f t="shared" si="52"/>
        <v>337494.3</v>
      </c>
      <c r="Q350" s="197">
        <f t="shared" si="52"/>
        <v>0</v>
      </c>
      <c r="R350" s="197">
        <f t="shared" si="52"/>
        <v>0</v>
      </c>
      <c r="S350" s="197">
        <f t="shared" si="52"/>
        <v>0</v>
      </c>
      <c r="T350" s="197">
        <f t="shared" si="52"/>
        <v>0</v>
      </c>
      <c r="U350" s="197">
        <f t="shared" si="52"/>
        <v>414965.05</v>
      </c>
      <c r="V350" s="197">
        <f t="shared" si="51"/>
        <v>221051.77</v>
      </c>
      <c r="W350" s="197">
        <f t="shared" si="51"/>
        <v>0</v>
      </c>
      <c r="X350" s="197">
        <f t="shared" si="51"/>
        <v>0</v>
      </c>
      <c r="Y350" s="197">
        <f t="shared" si="51"/>
        <v>423047.1</v>
      </c>
      <c r="Z350" s="197">
        <f t="shared" si="51"/>
        <v>0</v>
      </c>
      <c r="AA350" s="197">
        <f t="shared" si="51"/>
        <v>42527.21</v>
      </c>
      <c r="AB350" s="197">
        <f t="shared" si="51"/>
        <v>0</v>
      </c>
      <c r="AC350" s="197">
        <f t="shared" si="51"/>
        <v>0</v>
      </c>
      <c r="AD350" s="197">
        <f t="shared" si="51"/>
        <v>549760.32999999996</v>
      </c>
      <c r="AE350" s="197">
        <f t="shared" si="51"/>
        <v>328367.34000000003</v>
      </c>
      <c r="AF350" s="197">
        <f t="shared" si="50"/>
        <v>0</v>
      </c>
      <c r="AG350" s="197">
        <f t="shared" si="50"/>
        <v>0</v>
      </c>
      <c r="AH350" s="197">
        <f t="shared" si="50"/>
        <v>36851</v>
      </c>
      <c r="AI350" s="197">
        <f t="shared" si="50"/>
        <v>0</v>
      </c>
      <c r="AJ350" s="197">
        <f t="shared" si="50"/>
        <v>42820.61</v>
      </c>
      <c r="AK350" s="197">
        <f t="shared" si="50"/>
        <v>0</v>
      </c>
      <c r="AL350" s="197">
        <f t="shared" si="50"/>
        <v>0</v>
      </c>
    </row>
    <row r="351" spans="1:38">
      <c r="A351" s="11" t="str">
        <f t="shared" si="49"/>
        <v>05-718398462012</v>
      </c>
      <c r="B351" t="s">
        <v>276</v>
      </c>
      <c r="C351" t="s">
        <v>277</v>
      </c>
      <c r="D351">
        <v>2012</v>
      </c>
      <c r="E351" t="s">
        <v>63</v>
      </c>
      <c r="F351">
        <v>912686</v>
      </c>
      <c r="G351">
        <v>483</v>
      </c>
      <c r="H351" s="11" t="str">
        <f t="shared" si="48"/>
        <v>count</v>
      </c>
      <c r="I351" s="197" t="s">
        <v>1137</v>
      </c>
      <c r="J351" s="197" t="s">
        <v>1138</v>
      </c>
      <c r="K351" s="197" t="s">
        <v>145</v>
      </c>
      <c r="L351" s="197">
        <f t="shared" si="52"/>
        <v>304</v>
      </c>
      <c r="M351" s="197">
        <f t="shared" si="52"/>
        <v>184</v>
      </c>
      <c r="N351" s="197">
        <f t="shared" si="52"/>
        <v>0</v>
      </c>
      <c r="O351" s="197">
        <f t="shared" si="52"/>
        <v>0</v>
      </c>
      <c r="P351" s="197">
        <f t="shared" si="52"/>
        <v>267</v>
      </c>
      <c r="Q351" s="197">
        <f t="shared" si="52"/>
        <v>0</v>
      </c>
      <c r="R351" s="197">
        <f t="shared" si="52"/>
        <v>0</v>
      </c>
      <c r="S351" s="197">
        <f t="shared" si="52"/>
        <v>0</v>
      </c>
      <c r="T351" s="197">
        <f t="shared" si="52"/>
        <v>0</v>
      </c>
      <c r="U351" s="197">
        <f t="shared" si="52"/>
        <v>313</v>
      </c>
      <c r="V351" s="197">
        <f t="shared" si="51"/>
        <v>164</v>
      </c>
      <c r="W351" s="197">
        <f t="shared" si="51"/>
        <v>0</v>
      </c>
      <c r="X351" s="197">
        <f t="shared" si="51"/>
        <v>0</v>
      </c>
      <c r="Y351" s="197">
        <f t="shared" si="51"/>
        <v>350</v>
      </c>
      <c r="Z351" s="197">
        <f t="shared" si="51"/>
        <v>0</v>
      </c>
      <c r="AA351" s="197">
        <f t="shared" si="51"/>
        <v>33</v>
      </c>
      <c r="AB351" s="197">
        <f t="shared" si="51"/>
        <v>0</v>
      </c>
      <c r="AC351" s="197">
        <f t="shared" si="51"/>
        <v>0</v>
      </c>
      <c r="AD351" s="197">
        <f t="shared" si="51"/>
        <v>387</v>
      </c>
      <c r="AE351" s="197">
        <f t="shared" si="51"/>
        <v>259</v>
      </c>
      <c r="AF351" s="197">
        <f t="shared" si="50"/>
        <v>0</v>
      </c>
      <c r="AG351" s="197">
        <f t="shared" si="50"/>
        <v>0</v>
      </c>
      <c r="AH351" s="197">
        <f t="shared" si="50"/>
        <v>16</v>
      </c>
      <c r="AI351" s="197">
        <f t="shared" si="50"/>
        <v>0</v>
      </c>
      <c r="AJ351" s="197">
        <f t="shared" si="50"/>
        <v>29</v>
      </c>
      <c r="AK351" s="197">
        <f t="shared" si="50"/>
        <v>0</v>
      </c>
      <c r="AL351" s="197">
        <f t="shared" si="50"/>
        <v>0</v>
      </c>
    </row>
    <row r="352" spans="1:38">
      <c r="A352" s="11" t="str">
        <f t="shared" si="49"/>
        <v>05-718398462013</v>
      </c>
      <c r="B352" t="s">
        <v>276</v>
      </c>
      <c r="C352" t="s">
        <v>277</v>
      </c>
      <c r="D352">
        <v>2013</v>
      </c>
      <c r="E352" t="s">
        <v>63</v>
      </c>
      <c r="F352">
        <v>827122.83</v>
      </c>
      <c r="G352">
        <v>450</v>
      </c>
      <c r="H352" s="11" t="str">
        <f t="shared" si="48"/>
        <v>count</v>
      </c>
      <c r="I352" s="197" t="s">
        <v>1139</v>
      </c>
      <c r="J352" s="197" t="s">
        <v>1140</v>
      </c>
      <c r="K352" s="197" t="s">
        <v>146</v>
      </c>
      <c r="L352" s="197">
        <f t="shared" si="52"/>
        <v>2893395.14</v>
      </c>
      <c r="M352" s="197">
        <f t="shared" si="52"/>
        <v>1622308.4</v>
      </c>
      <c r="N352" s="197">
        <f t="shared" si="52"/>
        <v>0</v>
      </c>
      <c r="O352" s="197">
        <f t="shared" si="52"/>
        <v>2407.38</v>
      </c>
      <c r="P352" s="197">
        <f t="shared" si="52"/>
        <v>0</v>
      </c>
      <c r="Q352" s="197">
        <f t="shared" si="52"/>
        <v>0</v>
      </c>
      <c r="R352" s="197">
        <f t="shared" si="52"/>
        <v>595.58000000000004</v>
      </c>
      <c r="S352" s="197">
        <f t="shared" si="52"/>
        <v>0</v>
      </c>
      <c r="T352" s="197">
        <f t="shared" si="52"/>
        <v>0</v>
      </c>
      <c r="U352" s="197">
        <f t="shared" si="52"/>
        <v>2710623.42</v>
      </c>
      <c r="V352" s="197">
        <f t="shared" si="51"/>
        <v>1690197.97</v>
      </c>
      <c r="W352" s="197">
        <f t="shared" si="51"/>
        <v>0</v>
      </c>
      <c r="X352" s="197">
        <f t="shared" si="51"/>
        <v>0</v>
      </c>
      <c r="Y352" s="197">
        <f t="shared" si="51"/>
        <v>0</v>
      </c>
      <c r="Z352" s="197">
        <f t="shared" si="51"/>
        <v>0</v>
      </c>
      <c r="AA352" s="197">
        <f t="shared" si="51"/>
        <v>358384.11</v>
      </c>
      <c r="AB352" s="197">
        <f t="shared" si="51"/>
        <v>0</v>
      </c>
      <c r="AC352" s="197">
        <f t="shared" si="51"/>
        <v>0</v>
      </c>
      <c r="AD352" s="197">
        <f t="shared" si="51"/>
        <v>1937164.35</v>
      </c>
      <c r="AE352" s="197">
        <f t="shared" si="51"/>
        <v>1210537.81</v>
      </c>
      <c r="AF352" s="197">
        <f t="shared" si="50"/>
        <v>0</v>
      </c>
      <c r="AG352" s="197">
        <f t="shared" si="50"/>
        <v>28242.38</v>
      </c>
      <c r="AH352" s="197">
        <f t="shared" si="50"/>
        <v>0</v>
      </c>
      <c r="AI352" s="197">
        <f t="shared" si="50"/>
        <v>0</v>
      </c>
      <c r="AJ352" s="197">
        <f t="shared" si="50"/>
        <v>339960.91</v>
      </c>
      <c r="AK352" s="197">
        <f t="shared" si="50"/>
        <v>0</v>
      </c>
      <c r="AL352" s="197">
        <f t="shared" si="50"/>
        <v>0</v>
      </c>
    </row>
    <row r="353" spans="1:38">
      <c r="A353" s="11" t="str">
        <f t="shared" si="49"/>
        <v>05-718398462013</v>
      </c>
      <c r="B353" t="s">
        <v>276</v>
      </c>
      <c r="C353" t="s">
        <v>277</v>
      </c>
      <c r="D353">
        <v>2013</v>
      </c>
      <c r="E353" t="s">
        <v>104</v>
      </c>
      <c r="F353">
        <v>638581.18999999994</v>
      </c>
      <c r="G353">
        <v>304</v>
      </c>
      <c r="H353" s="11" t="str">
        <f t="shared" si="48"/>
        <v>count</v>
      </c>
      <c r="I353" s="197" t="s">
        <v>1139</v>
      </c>
      <c r="J353" s="197" t="s">
        <v>1140</v>
      </c>
      <c r="K353" s="197" t="s">
        <v>145</v>
      </c>
      <c r="L353" s="197">
        <f t="shared" si="52"/>
        <v>2289</v>
      </c>
      <c r="M353" s="197">
        <f t="shared" si="52"/>
        <v>1203</v>
      </c>
      <c r="N353" s="197">
        <f t="shared" si="52"/>
        <v>0</v>
      </c>
      <c r="O353" s="197">
        <f t="shared" si="52"/>
        <v>2</v>
      </c>
      <c r="P353" s="197">
        <f t="shared" si="52"/>
        <v>0</v>
      </c>
      <c r="Q353" s="197">
        <f t="shared" si="52"/>
        <v>0</v>
      </c>
      <c r="R353" s="197">
        <f t="shared" si="52"/>
        <v>2</v>
      </c>
      <c r="S353" s="197">
        <f t="shared" si="52"/>
        <v>0</v>
      </c>
      <c r="T353" s="197">
        <f t="shared" si="52"/>
        <v>0</v>
      </c>
      <c r="U353" s="197">
        <f t="shared" si="52"/>
        <v>1932</v>
      </c>
      <c r="V353" s="197">
        <f t="shared" si="51"/>
        <v>1233</v>
      </c>
      <c r="W353" s="197">
        <f t="shared" si="51"/>
        <v>0</v>
      </c>
      <c r="X353" s="197">
        <f t="shared" si="51"/>
        <v>0</v>
      </c>
      <c r="Y353" s="197">
        <f t="shared" si="51"/>
        <v>0</v>
      </c>
      <c r="Z353" s="197">
        <f t="shared" si="51"/>
        <v>0</v>
      </c>
      <c r="AA353" s="197">
        <f t="shared" si="51"/>
        <v>396</v>
      </c>
      <c r="AB353" s="197">
        <f t="shared" si="51"/>
        <v>0</v>
      </c>
      <c r="AC353" s="197">
        <f t="shared" si="51"/>
        <v>0</v>
      </c>
      <c r="AD353" s="197">
        <f t="shared" si="51"/>
        <v>1633</v>
      </c>
      <c r="AE353" s="197">
        <f t="shared" si="51"/>
        <v>1014</v>
      </c>
      <c r="AF353" s="197">
        <f t="shared" si="50"/>
        <v>0</v>
      </c>
      <c r="AG353" s="197">
        <f t="shared" si="50"/>
        <v>19</v>
      </c>
      <c r="AH353" s="197">
        <f t="shared" si="50"/>
        <v>0</v>
      </c>
      <c r="AI353" s="197">
        <f t="shared" si="50"/>
        <v>0</v>
      </c>
      <c r="AJ353" s="197">
        <f t="shared" si="50"/>
        <v>400</v>
      </c>
      <c r="AK353" s="197">
        <f t="shared" si="50"/>
        <v>0</v>
      </c>
      <c r="AL353" s="197">
        <f t="shared" si="50"/>
        <v>0</v>
      </c>
    </row>
    <row r="354" spans="1:38">
      <c r="A354" s="11" t="str">
        <f t="shared" si="49"/>
        <v>05-718398462013</v>
      </c>
      <c r="B354" t="s">
        <v>276</v>
      </c>
      <c r="C354" t="s">
        <v>277</v>
      </c>
      <c r="D354">
        <v>2013</v>
      </c>
      <c r="E354" t="s">
        <v>69</v>
      </c>
      <c r="F354">
        <v>105076.02</v>
      </c>
      <c r="G354">
        <v>84</v>
      </c>
      <c r="H354" s="11" t="str">
        <f t="shared" si="48"/>
        <v>count</v>
      </c>
      <c r="I354" s="197" t="s">
        <v>1141</v>
      </c>
      <c r="J354" s="197" t="s">
        <v>1142</v>
      </c>
      <c r="K354" s="197" t="s">
        <v>146</v>
      </c>
      <c r="L354" s="197">
        <f t="shared" si="52"/>
        <v>278476.55</v>
      </c>
      <c r="M354" s="197">
        <f t="shared" si="52"/>
        <v>190735.93</v>
      </c>
      <c r="N354" s="197">
        <f t="shared" si="52"/>
        <v>33962.04</v>
      </c>
      <c r="O354" s="197">
        <f t="shared" si="52"/>
        <v>652.63</v>
      </c>
      <c r="P354" s="197">
        <f t="shared" si="52"/>
        <v>0</v>
      </c>
      <c r="Q354" s="197">
        <f t="shared" si="52"/>
        <v>0</v>
      </c>
      <c r="R354" s="197">
        <f t="shared" si="52"/>
        <v>713.67</v>
      </c>
      <c r="S354" s="197">
        <f t="shared" si="52"/>
        <v>0</v>
      </c>
      <c r="T354" s="197">
        <f t="shared" si="52"/>
        <v>0</v>
      </c>
      <c r="U354" s="197">
        <f t="shared" si="52"/>
        <v>240972.54</v>
      </c>
      <c r="V354" s="197">
        <f t="shared" si="51"/>
        <v>124294.54</v>
      </c>
      <c r="W354" s="197">
        <f t="shared" si="51"/>
        <v>27355.77</v>
      </c>
      <c r="X354" s="197">
        <f t="shared" si="51"/>
        <v>0</v>
      </c>
      <c r="Y354" s="197">
        <f t="shared" si="51"/>
        <v>0</v>
      </c>
      <c r="Z354" s="197">
        <f t="shared" si="51"/>
        <v>0</v>
      </c>
      <c r="AA354" s="197">
        <f t="shared" si="51"/>
        <v>69551.55</v>
      </c>
      <c r="AB354" s="197">
        <f t="shared" si="51"/>
        <v>0</v>
      </c>
      <c r="AC354" s="197">
        <f t="shared" si="51"/>
        <v>0</v>
      </c>
      <c r="AD354" s="197">
        <f t="shared" si="51"/>
        <v>188209.06</v>
      </c>
      <c r="AE354" s="197">
        <f t="shared" si="51"/>
        <v>108851.97</v>
      </c>
      <c r="AF354" s="197">
        <f t="shared" si="50"/>
        <v>16845.77</v>
      </c>
      <c r="AG354" s="197">
        <f t="shared" si="50"/>
        <v>0</v>
      </c>
      <c r="AH354" s="197">
        <f t="shared" si="50"/>
        <v>0</v>
      </c>
      <c r="AI354" s="197">
        <f t="shared" si="50"/>
        <v>0</v>
      </c>
      <c r="AJ354" s="197">
        <f t="shared" si="50"/>
        <v>86073.17</v>
      </c>
      <c r="AK354" s="197">
        <f t="shared" si="50"/>
        <v>0</v>
      </c>
      <c r="AL354" s="197">
        <f t="shared" si="50"/>
        <v>0</v>
      </c>
    </row>
    <row r="355" spans="1:38">
      <c r="A355" s="11" t="str">
        <f t="shared" si="49"/>
        <v>05-718398462011</v>
      </c>
      <c r="B355" t="s">
        <v>276</v>
      </c>
      <c r="C355" t="s">
        <v>277</v>
      </c>
      <c r="D355">
        <v>2011</v>
      </c>
      <c r="E355" t="s">
        <v>63</v>
      </c>
      <c r="F355">
        <v>890248.38</v>
      </c>
      <c r="G355">
        <v>475</v>
      </c>
      <c r="H355" s="11" t="str">
        <f t="shared" si="48"/>
        <v>count</v>
      </c>
      <c r="I355" s="197" t="s">
        <v>1141</v>
      </c>
      <c r="J355" s="197" t="s">
        <v>1142</v>
      </c>
      <c r="K355" s="197" t="s">
        <v>145</v>
      </c>
      <c r="L355" s="197">
        <f t="shared" si="52"/>
        <v>319</v>
      </c>
      <c r="M355" s="197">
        <f t="shared" si="52"/>
        <v>157</v>
      </c>
      <c r="N355" s="197">
        <f t="shared" si="52"/>
        <v>33</v>
      </c>
      <c r="O355" s="197">
        <f t="shared" si="52"/>
        <v>2</v>
      </c>
      <c r="P355" s="197">
        <f t="shared" si="52"/>
        <v>0</v>
      </c>
      <c r="Q355" s="197">
        <f t="shared" si="52"/>
        <v>0</v>
      </c>
      <c r="R355" s="197">
        <f t="shared" si="52"/>
        <v>1</v>
      </c>
      <c r="S355" s="197">
        <f t="shared" si="52"/>
        <v>0</v>
      </c>
      <c r="T355" s="197">
        <f t="shared" si="52"/>
        <v>0</v>
      </c>
      <c r="U355" s="197">
        <f t="shared" si="52"/>
        <v>260</v>
      </c>
      <c r="V355" s="197">
        <f t="shared" si="51"/>
        <v>121</v>
      </c>
      <c r="W355" s="197">
        <f t="shared" si="51"/>
        <v>23</v>
      </c>
      <c r="X355" s="197">
        <f t="shared" si="51"/>
        <v>0</v>
      </c>
      <c r="Y355" s="197">
        <f t="shared" si="51"/>
        <v>0</v>
      </c>
      <c r="Z355" s="197">
        <f t="shared" si="51"/>
        <v>0</v>
      </c>
      <c r="AA355" s="197">
        <f t="shared" si="51"/>
        <v>92</v>
      </c>
      <c r="AB355" s="197">
        <f t="shared" si="51"/>
        <v>0</v>
      </c>
      <c r="AC355" s="197">
        <f t="shared" si="51"/>
        <v>0</v>
      </c>
      <c r="AD355" s="197">
        <f t="shared" si="51"/>
        <v>225</v>
      </c>
      <c r="AE355" s="197">
        <f t="shared" si="51"/>
        <v>129</v>
      </c>
      <c r="AF355" s="197">
        <f t="shared" si="50"/>
        <v>19</v>
      </c>
      <c r="AG355" s="197">
        <f t="shared" si="50"/>
        <v>0</v>
      </c>
      <c r="AH355" s="197">
        <f t="shared" si="50"/>
        <v>0</v>
      </c>
      <c r="AI355" s="197">
        <f t="shared" si="50"/>
        <v>0</v>
      </c>
      <c r="AJ355" s="197">
        <f t="shared" si="50"/>
        <v>125</v>
      </c>
      <c r="AK355" s="197">
        <f t="shared" si="50"/>
        <v>0</v>
      </c>
      <c r="AL355" s="197">
        <f t="shared" si="50"/>
        <v>0</v>
      </c>
    </row>
    <row r="356" spans="1:38">
      <c r="A356" s="11" t="str">
        <f t="shared" si="49"/>
        <v>05-718398462011</v>
      </c>
      <c r="B356" t="s">
        <v>276</v>
      </c>
      <c r="C356" t="s">
        <v>277</v>
      </c>
      <c r="D356">
        <v>2011</v>
      </c>
      <c r="E356" t="s">
        <v>104</v>
      </c>
      <c r="F356">
        <v>755180.42</v>
      </c>
      <c r="G356">
        <v>387</v>
      </c>
      <c r="H356" s="11" t="str">
        <f t="shared" si="48"/>
        <v>count</v>
      </c>
      <c r="I356" s="197" t="s">
        <v>1143</v>
      </c>
      <c r="J356" s="197" t="s">
        <v>1144</v>
      </c>
      <c r="K356" s="197" t="s">
        <v>146</v>
      </c>
      <c r="L356" s="197">
        <f t="shared" si="52"/>
        <v>583938.17000000004</v>
      </c>
      <c r="M356" s="197">
        <f t="shared" si="52"/>
        <v>262843</v>
      </c>
      <c r="N356" s="197">
        <f t="shared" si="52"/>
        <v>65738.47</v>
      </c>
      <c r="O356" s="197">
        <f t="shared" si="52"/>
        <v>0</v>
      </c>
      <c r="P356" s="197">
        <f t="shared" si="52"/>
        <v>93607.92</v>
      </c>
      <c r="Q356" s="197">
        <f t="shared" si="52"/>
        <v>0</v>
      </c>
      <c r="R356" s="197">
        <f t="shared" si="52"/>
        <v>150</v>
      </c>
      <c r="S356" s="197">
        <f t="shared" si="52"/>
        <v>0</v>
      </c>
      <c r="T356" s="197">
        <f t="shared" si="52"/>
        <v>0</v>
      </c>
      <c r="U356" s="197">
        <f t="shared" si="52"/>
        <v>431379.36</v>
      </c>
      <c r="V356" s="197">
        <f t="shared" si="51"/>
        <v>321703.03000000003</v>
      </c>
      <c r="W356" s="197">
        <f t="shared" si="51"/>
        <v>74311.960000000006</v>
      </c>
      <c r="X356" s="197">
        <f t="shared" si="51"/>
        <v>0</v>
      </c>
      <c r="Y356" s="197">
        <f t="shared" si="51"/>
        <v>113421.27</v>
      </c>
      <c r="Z356" s="197">
        <f t="shared" si="51"/>
        <v>0</v>
      </c>
      <c r="AA356" s="197">
        <f t="shared" si="51"/>
        <v>427551.46</v>
      </c>
      <c r="AB356" s="197">
        <f t="shared" si="51"/>
        <v>0</v>
      </c>
      <c r="AC356" s="197">
        <f t="shared" si="51"/>
        <v>0</v>
      </c>
      <c r="AD356" s="197">
        <f t="shared" si="51"/>
        <v>523393.06</v>
      </c>
      <c r="AE356" s="197">
        <f t="shared" ref="V356:AE357" si="53">SUMIFS(IF($K356="volume",$F:$F,$G:$G),$D:$D,AE$2,$B:$B,$I356,$E:$E,AE$3)</f>
        <v>338864.31</v>
      </c>
      <c r="AF356" s="197">
        <f t="shared" si="50"/>
        <v>89132.59</v>
      </c>
      <c r="AG356" s="197">
        <f t="shared" si="50"/>
        <v>0</v>
      </c>
      <c r="AH356" s="197">
        <f t="shared" si="50"/>
        <v>152329.17000000001</v>
      </c>
      <c r="AI356" s="197">
        <f t="shared" si="50"/>
        <v>0</v>
      </c>
      <c r="AJ356" s="197">
        <f t="shared" si="50"/>
        <v>667746.71</v>
      </c>
      <c r="AK356" s="197">
        <f t="shared" si="50"/>
        <v>0</v>
      </c>
      <c r="AL356" s="197">
        <f t="shared" si="50"/>
        <v>0</v>
      </c>
    </row>
    <row r="357" spans="1:38">
      <c r="A357" s="11" t="str">
        <f t="shared" si="49"/>
        <v>05-718398462013</v>
      </c>
      <c r="B357" t="s">
        <v>276</v>
      </c>
      <c r="C357" t="s">
        <v>277</v>
      </c>
      <c r="D357">
        <v>2013</v>
      </c>
      <c r="E357" t="s">
        <v>133</v>
      </c>
      <c r="F357">
        <v>892775.28</v>
      </c>
      <c r="G357">
        <v>360</v>
      </c>
      <c r="H357" s="11" t="str">
        <f t="shared" si="48"/>
        <v>count</v>
      </c>
      <c r="I357" s="197" t="s">
        <v>1143</v>
      </c>
      <c r="J357" s="197" t="s">
        <v>1144</v>
      </c>
      <c r="K357" s="197" t="s">
        <v>145</v>
      </c>
      <c r="L357" s="197">
        <f t="shared" si="52"/>
        <v>2082</v>
      </c>
      <c r="M357" s="197">
        <f t="shared" si="52"/>
        <v>991</v>
      </c>
      <c r="N357" s="197">
        <f t="shared" si="52"/>
        <v>249</v>
      </c>
      <c r="O357" s="197">
        <f t="shared" si="52"/>
        <v>0</v>
      </c>
      <c r="P357" s="197">
        <f t="shared" si="52"/>
        <v>306</v>
      </c>
      <c r="Q357" s="197">
        <f t="shared" si="52"/>
        <v>0</v>
      </c>
      <c r="R357" s="197">
        <f t="shared" si="52"/>
        <v>1</v>
      </c>
      <c r="S357" s="197">
        <f t="shared" si="52"/>
        <v>0</v>
      </c>
      <c r="T357" s="197">
        <f t="shared" si="52"/>
        <v>0</v>
      </c>
      <c r="U357" s="197">
        <f t="shared" si="52"/>
        <v>1353</v>
      </c>
      <c r="V357" s="197">
        <f t="shared" si="53"/>
        <v>1011</v>
      </c>
      <c r="W357" s="197">
        <f t="shared" si="53"/>
        <v>237</v>
      </c>
      <c r="X357" s="197">
        <f t="shared" si="53"/>
        <v>0</v>
      </c>
      <c r="Y357" s="197">
        <f t="shared" si="53"/>
        <v>315</v>
      </c>
      <c r="Z357" s="197">
        <f t="shared" si="53"/>
        <v>0</v>
      </c>
      <c r="AA357" s="197">
        <f t="shared" si="53"/>
        <v>1316</v>
      </c>
      <c r="AB357" s="197">
        <f t="shared" si="53"/>
        <v>0</v>
      </c>
      <c r="AC357" s="197">
        <f t="shared" si="53"/>
        <v>0</v>
      </c>
      <c r="AD357" s="197">
        <f t="shared" si="53"/>
        <v>1468</v>
      </c>
      <c r="AE357" s="197">
        <f t="shared" si="53"/>
        <v>931</v>
      </c>
      <c r="AF357" s="197">
        <f t="shared" si="50"/>
        <v>271</v>
      </c>
      <c r="AG357" s="197">
        <f t="shared" si="50"/>
        <v>0</v>
      </c>
      <c r="AH357" s="197">
        <f t="shared" si="50"/>
        <v>338</v>
      </c>
      <c r="AI357" s="197">
        <f t="shared" si="50"/>
        <v>0</v>
      </c>
      <c r="AJ357" s="197">
        <f t="shared" si="50"/>
        <v>1863</v>
      </c>
      <c r="AK357" s="197">
        <f t="shared" si="50"/>
        <v>0</v>
      </c>
      <c r="AL357" s="197">
        <f t="shared" si="50"/>
        <v>0</v>
      </c>
    </row>
    <row r="358" spans="1:38">
      <c r="A358" s="11" t="str">
        <f t="shared" si="49"/>
        <v>05-718398462012</v>
      </c>
      <c r="B358" t="s">
        <v>276</v>
      </c>
      <c r="C358" t="s">
        <v>277</v>
      </c>
      <c r="D358">
        <v>2012</v>
      </c>
      <c r="E358" t="s">
        <v>133</v>
      </c>
      <c r="F358">
        <v>852709.42</v>
      </c>
      <c r="G358">
        <v>419</v>
      </c>
      <c r="H358" s="11" t="str">
        <f t="shared" si="48"/>
        <v>count</v>
      </c>
      <c r="I358" s="197"/>
      <c r="J358" s="197"/>
      <c r="K358" s="197"/>
      <c r="L358" s="197"/>
      <c r="M358" s="197"/>
      <c r="N358" s="197"/>
      <c r="O358" s="197"/>
      <c r="P358" s="197"/>
      <c r="Q358" s="197"/>
      <c r="R358" s="197"/>
      <c r="S358" s="197"/>
      <c r="T358" s="197"/>
      <c r="U358" s="197"/>
      <c r="V358" s="197"/>
      <c r="W358" s="197"/>
      <c r="X358" s="197"/>
      <c r="Y358" s="197"/>
      <c r="Z358" s="197"/>
      <c r="AA358" s="197"/>
      <c r="AB358" s="197"/>
      <c r="AC358" s="197"/>
      <c r="AD358" s="197"/>
      <c r="AE358" s="197"/>
      <c r="AF358" s="197"/>
      <c r="AG358" s="197"/>
      <c r="AH358" s="197"/>
      <c r="AI358" s="197"/>
      <c r="AJ358" s="197"/>
      <c r="AK358" s="197"/>
      <c r="AL358" s="197"/>
    </row>
    <row r="359" spans="1:38">
      <c r="A359" s="11" t="str">
        <f t="shared" si="49"/>
        <v>05-718398462012</v>
      </c>
      <c r="B359" t="s">
        <v>276</v>
      </c>
      <c r="C359" t="s">
        <v>277</v>
      </c>
      <c r="D359">
        <v>2012</v>
      </c>
      <c r="E359" t="s">
        <v>69</v>
      </c>
      <c r="F359">
        <v>141821.19</v>
      </c>
      <c r="G359">
        <v>96</v>
      </c>
      <c r="H359" s="11" t="str">
        <f t="shared" si="48"/>
        <v>count</v>
      </c>
      <c r="I359" s="197"/>
      <c r="J359" s="197"/>
      <c r="K359" s="197"/>
      <c r="L359" s="197"/>
      <c r="M359" s="197"/>
      <c r="N359" s="197"/>
      <c r="O359" s="197"/>
      <c r="P359" s="197"/>
      <c r="Q359" s="197"/>
      <c r="R359" s="197"/>
      <c r="S359" s="197"/>
      <c r="T359" s="197"/>
      <c r="U359" s="197"/>
      <c r="V359" s="197"/>
      <c r="W359" s="197"/>
      <c r="X359" s="197"/>
      <c r="Y359" s="197"/>
      <c r="Z359" s="197"/>
      <c r="AA359" s="197"/>
      <c r="AB359" s="197"/>
      <c r="AC359" s="197"/>
      <c r="AD359" s="197"/>
      <c r="AE359" s="197"/>
      <c r="AF359" s="197"/>
      <c r="AG359" s="197"/>
      <c r="AH359" s="197"/>
      <c r="AI359" s="197"/>
      <c r="AJ359" s="197"/>
      <c r="AK359" s="197"/>
      <c r="AL359" s="197"/>
    </row>
    <row r="360" spans="1:38">
      <c r="A360" s="11" t="str">
        <f t="shared" si="49"/>
        <v>05-718398462013</v>
      </c>
      <c r="B360" t="s">
        <v>276</v>
      </c>
      <c r="C360" t="s">
        <v>277</v>
      </c>
      <c r="D360">
        <v>2013</v>
      </c>
      <c r="E360" t="s">
        <v>105</v>
      </c>
      <c r="F360">
        <v>14157.9</v>
      </c>
      <c r="G360">
        <v>3</v>
      </c>
      <c r="H360" s="11" t="str">
        <f t="shared" si="48"/>
        <v>count</v>
      </c>
      <c r="I360" s="197"/>
      <c r="J360" s="197"/>
      <c r="K360" s="197"/>
      <c r="L360" s="197"/>
      <c r="M360" s="197"/>
      <c r="N360" s="197"/>
      <c r="O360" s="197"/>
      <c r="P360" s="197"/>
      <c r="Q360" s="197"/>
      <c r="R360" s="197"/>
      <c r="S360" s="197"/>
      <c r="T360" s="197"/>
      <c r="U360" s="197"/>
      <c r="V360" s="197"/>
      <c r="W360" s="197"/>
      <c r="X360" s="197"/>
      <c r="Y360" s="197"/>
      <c r="Z360" s="197"/>
      <c r="AA360" s="197"/>
      <c r="AB360" s="197"/>
      <c r="AC360" s="197"/>
      <c r="AD360" s="197"/>
      <c r="AE360" s="197"/>
      <c r="AF360" s="197"/>
      <c r="AG360" s="197"/>
      <c r="AH360" s="197"/>
      <c r="AI360" s="197"/>
      <c r="AJ360" s="197"/>
      <c r="AK360" s="197"/>
      <c r="AL360" s="197"/>
    </row>
    <row r="361" spans="1:38">
      <c r="A361" s="11" t="str">
        <f t="shared" si="49"/>
        <v>05-731734472013</v>
      </c>
      <c r="B361" t="s">
        <v>287</v>
      </c>
      <c r="C361" t="s">
        <v>288</v>
      </c>
      <c r="D361">
        <v>2013</v>
      </c>
      <c r="E361" t="s">
        <v>104</v>
      </c>
      <c r="F361">
        <v>171251.56</v>
      </c>
      <c r="G361">
        <v>173</v>
      </c>
      <c r="H361" s="11" t="str">
        <f t="shared" si="48"/>
        <v>volume</v>
      </c>
      <c r="I361" s="197"/>
      <c r="J361" s="197"/>
      <c r="K361" s="197"/>
      <c r="L361" s="197"/>
      <c r="M361" s="197"/>
      <c r="N361" s="197"/>
      <c r="O361" s="197"/>
      <c r="P361" s="197"/>
      <c r="Q361" s="197"/>
      <c r="R361" s="197"/>
      <c r="S361" s="197"/>
      <c r="T361" s="197"/>
      <c r="U361" s="197"/>
      <c r="V361" s="197"/>
      <c r="W361" s="197"/>
      <c r="X361" s="197"/>
      <c r="Y361" s="197"/>
      <c r="Z361" s="197"/>
      <c r="AA361" s="197"/>
      <c r="AB361" s="197"/>
      <c r="AC361" s="197"/>
      <c r="AD361" s="197"/>
      <c r="AE361" s="197"/>
      <c r="AF361" s="197"/>
      <c r="AG361" s="197"/>
      <c r="AH361" s="197"/>
      <c r="AI361" s="197"/>
      <c r="AJ361" s="197"/>
      <c r="AK361" s="197"/>
      <c r="AL361" s="197"/>
    </row>
    <row r="362" spans="1:38">
      <c r="A362" s="11" t="str">
        <f t="shared" si="49"/>
        <v>05-731734472013</v>
      </c>
      <c r="B362" t="s">
        <v>287</v>
      </c>
      <c r="C362" t="s">
        <v>288</v>
      </c>
      <c r="D362">
        <v>2013</v>
      </c>
      <c r="E362" t="s">
        <v>63</v>
      </c>
      <c r="F362">
        <v>384016.99</v>
      </c>
      <c r="G362">
        <v>347</v>
      </c>
      <c r="H362" s="11" t="str">
        <f t="shared" si="48"/>
        <v>count</v>
      </c>
      <c r="I362" s="197"/>
      <c r="J362" s="197"/>
      <c r="K362" s="197"/>
      <c r="L362" s="197"/>
      <c r="M362" s="197"/>
      <c r="N362" s="197"/>
      <c r="O362" s="197"/>
      <c r="P362" s="197"/>
      <c r="Q362" s="197"/>
      <c r="R362" s="197"/>
      <c r="S362" s="197"/>
      <c r="T362" s="197"/>
      <c r="U362" s="197"/>
      <c r="V362" s="197"/>
      <c r="W362" s="197"/>
      <c r="X362" s="197"/>
      <c r="Y362" s="197"/>
      <c r="Z362" s="197"/>
      <c r="AA362" s="197"/>
      <c r="AB362" s="197"/>
      <c r="AC362" s="197"/>
      <c r="AD362" s="197"/>
      <c r="AE362" s="197"/>
      <c r="AF362" s="197"/>
      <c r="AG362" s="197"/>
      <c r="AH362" s="197"/>
      <c r="AI362" s="197"/>
      <c r="AJ362" s="197"/>
      <c r="AK362" s="197"/>
      <c r="AL362" s="197"/>
    </row>
    <row r="363" spans="1:38">
      <c r="A363" s="11" t="str">
        <f t="shared" si="49"/>
        <v>05-731734472011</v>
      </c>
      <c r="B363" t="s">
        <v>287</v>
      </c>
      <c r="C363" t="s">
        <v>288</v>
      </c>
      <c r="D363">
        <v>2011</v>
      </c>
      <c r="E363" t="s">
        <v>105</v>
      </c>
      <c r="F363">
        <v>34827.300000000003</v>
      </c>
      <c r="G363">
        <v>43</v>
      </c>
      <c r="H363" s="11" t="str">
        <f t="shared" si="48"/>
        <v>count</v>
      </c>
      <c r="I363" s="197"/>
      <c r="J363" s="197"/>
      <c r="K363" s="197"/>
      <c r="L363" s="197"/>
      <c r="M363" s="197"/>
      <c r="N363" s="197"/>
      <c r="O363" s="197"/>
      <c r="P363" s="197"/>
      <c r="Q363" s="197"/>
      <c r="R363" s="197"/>
      <c r="S363" s="197"/>
      <c r="T363" s="197"/>
      <c r="U363" s="197"/>
      <c r="V363" s="197"/>
      <c r="W363" s="197"/>
      <c r="X363" s="197"/>
      <c r="Y363" s="197"/>
      <c r="Z363" s="197"/>
      <c r="AA363" s="197"/>
      <c r="AB363" s="197"/>
      <c r="AC363" s="197"/>
      <c r="AD363" s="197"/>
      <c r="AE363" s="197"/>
      <c r="AF363" s="197"/>
      <c r="AG363" s="197"/>
      <c r="AH363" s="197"/>
      <c r="AI363" s="197"/>
      <c r="AJ363" s="197"/>
      <c r="AK363" s="197"/>
      <c r="AL363" s="197"/>
    </row>
    <row r="364" spans="1:38">
      <c r="A364" s="11" t="str">
        <f t="shared" si="49"/>
        <v>05-731734472012</v>
      </c>
      <c r="B364" t="s">
        <v>287</v>
      </c>
      <c r="C364" t="s">
        <v>288</v>
      </c>
      <c r="D364">
        <v>2012</v>
      </c>
      <c r="E364" t="s">
        <v>69</v>
      </c>
      <c r="F364">
        <v>58288.3</v>
      </c>
      <c r="G364">
        <v>81</v>
      </c>
      <c r="H364" s="11" t="str">
        <f t="shared" si="48"/>
        <v>count</v>
      </c>
      <c r="I364" s="197"/>
      <c r="J364" s="197"/>
      <c r="K364" s="197"/>
      <c r="L364" s="197"/>
      <c r="M364" s="197"/>
      <c r="N364" s="197"/>
      <c r="O364" s="197"/>
      <c r="P364" s="197"/>
      <c r="Q364" s="197"/>
      <c r="R364" s="197"/>
      <c r="S364" s="197"/>
      <c r="T364" s="197"/>
      <c r="U364" s="197"/>
      <c r="V364" s="197"/>
      <c r="W364" s="197"/>
      <c r="X364" s="197"/>
      <c r="Y364" s="197"/>
      <c r="Z364" s="197"/>
      <c r="AA364" s="197"/>
      <c r="AB364" s="197"/>
      <c r="AC364" s="197"/>
      <c r="AD364" s="197"/>
      <c r="AE364" s="197"/>
      <c r="AF364" s="197"/>
      <c r="AG364" s="197"/>
      <c r="AH364" s="197"/>
      <c r="AI364" s="197"/>
      <c r="AJ364" s="197"/>
      <c r="AK364" s="197"/>
      <c r="AL364" s="197"/>
    </row>
    <row r="365" spans="1:38">
      <c r="A365" s="11" t="str">
        <f t="shared" si="49"/>
        <v>05-731734472012</v>
      </c>
      <c r="B365" t="s">
        <v>287</v>
      </c>
      <c r="C365" t="s">
        <v>288</v>
      </c>
      <c r="D365">
        <v>2012</v>
      </c>
      <c r="E365" t="s">
        <v>104</v>
      </c>
      <c r="F365">
        <v>181872.61</v>
      </c>
      <c r="G365">
        <v>187</v>
      </c>
      <c r="H365" s="11" t="str">
        <f t="shared" si="48"/>
        <v>count</v>
      </c>
      <c r="I365" s="197"/>
      <c r="J365" s="197"/>
      <c r="K365" s="197"/>
      <c r="L365" s="197"/>
      <c r="M365" s="197"/>
      <c r="N365" s="197"/>
      <c r="O365" s="197"/>
      <c r="P365" s="197"/>
      <c r="Q365" s="197"/>
      <c r="R365" s="197"/>
      <c r="S365" s="197"/>
      <c r="T365" s="197"/>
      <c r="U365" s="197"/>
      <c r="V365" s="197"/>
      <c r="W365" s="197"/>
      <c r="X365" s="197"/>
      <c r="Y365" s="197"/>
      <c r="Z365" s="197"/>
      <c r="AA365" s="197"/>
      <c r="AB365" s="197"/>
      <c r="AC365" s="197"/>
      <c r="AD365" s="197"/>
      <c r="AE365" s="197"/>
      <c r="AF365" s="197"/>
      <c r="AG365" s="197"/>
      <c r="AH365" s="197"/>
      <c r="AI365" s="197"/>
      <c r="AJ365" s="197"/>
      <c r="AK365" s="197"/>
      <c r="AL365" s="197"/>
    </row>
    <row r="366" spans="1:38">
      <c r="A366" s="11" t="str">
        <f t="shared" si="49"/>
        <v>05-731734472013</v>
      </c>
      <c r="B366" t="s">
        <v>287</v>
      </c>
      <c r="C366" t="s">
        <v>288</v>
      </c>
      <c r="D366">
        <v>2013</v>
      </c>
      <c r="E366" t="s">
        <v>105</v>
      </c>
      <c r="F366">
        <v>58420.6</v>
      </c>
      <c r="G366">
        <v>51</v>
      </c>
      <c r="H366" s="11" t="str">
        <f t="shared" si="48"/>
        <v>count</v>
      </c>
      <c r="I366" s="197"/>
      <c r="J366" s="197"/>
      <c r="K366" s="197"/>
      <c r="L366" s="197"/>
      <c r="M366" s="197"/>
      <c r="N366" s="197"/>
      <c r="O366" s="197"/>
      <c r="P366" s="197"/>
      <c r="Q366" s="197"/>
      <c r="R366" s="197"/>
      <c r="S366" s="197"/>
      <c r="T366" s="197"/>
      <c r="U366" s="197"/>
      <c r="V366" s="197"/>
      <c r="W366" s="197"/>
      <c r="X366" s="197"/>
      <c r="Y366" s="197"/>
      <c r="Z366" s="197"/>
      <c r="AA366" s="197"/>
      <c r="AB366" s="197"/>
      <c r="AC366" s="197"/>
      <c r="AD366" s="197"/>
      <c r="AE366" s="197"/>
      <c r="AF366" s="197"/>
      <c r="AG366" s="197"/>
      <c r="AH366" s="197"/>
      <c r="AI366" s="197"/>
      <c r="AJ366" s="197"/>
      <c r="AK366" s="197"/>
      <c r="AL366" s="197"/>
    </row>
    <row r="367" spans="1:38">
      <c r="A367" s="11" t="str">
        <f t="shared" si="49"/>
        <v>05-731734472012</v>
      </c>
      <c r="B367" t="s">
        <v>287</v>
      </c>
      <c r="C367" t="s">
        <v>288</v>
      </c>
      <c r="D367">
        <v>2012</v>
      </c>
      <c r="E367" t="s">
        <v>63</v>
      </c>
      <c r="F367">
        <v>352900.72</v>
      </c>
      <c r="G367">
        <v>344</v>
      </c>
      <c r="H367" s="11" t="str">
        <f t="shared" si="48"/>
        <v>count</v>
      </c>
      <c r="I367" s="197"/>
      <c r="J367" s="197"/>
      <c r="K367" s="197"/>
      <c r="L367" s="197"/>
      <c r="M367" s="197"/>
      <c r="N367" s="197"/>
      <c r="O367" s="197"/>
      <c r="P367" s="197"/>
      <c r="Q367" s="197"/>
      <c r="R367" s="197"/>
      <c r="S367" s="197"/>
      <c r="T367" s="197"/>
      <c r="U367" s="197"/>
      <c r="V367" s="197"/>
      <c r="W367" s="197"/>
      <c r="X367" s="197"/>
      <c r="Y367" s="197"/>
      <c r="Z367" s="197"/>
      <c r="AA367" s="197"/>
      <c r="AB367" s="197"/>
      <c r="AC367" s="197"/>
      <c r="AD367" s="197"/>
      <c r="AE367" s="197"/>
      <c r="AF367" s="197"/>
      <c r="AG367" s="197"/>
      <c r="AH367" s="197"/>
      <c r="AI367" s="197"/>
      <c r="AJ367" s="197"/>
      <c r="AK367" s="197"/>
      <c r="AL367" s="197"/>
    </row>
    <row r="368" spans="1:38">
      <c r="A368" s="11" t="str">
        <f t="shared" si="49"/>
        <v>05-731734472013</v>
      </c>
      <c r="B368" t="s">
        <v>287</v>
      </c>
      <c r="C368" t="s">
        <v>288</v>
      </c>
      <c r="D368">
        <v>2013</v>
      </c>
      <c r="E368" t="s">
        <v>69</v>
      </c>
      <c r="F368">
        <v>89509.86</v>
      </c>
      <c r="G368">
        <v>95</v>
      </c>
      <c r="H368" s="11" t="str">
        <f t="shared" si="48"/>
        <v>count</v>
      </c>
      <c r="I368" s="197"/>
      <c r="J368" s="197"/>
      <c r="K368" s="197"/>
      <c r="L368" s="197"/>
      <c r="M368" s="197"/>
      <c r="N368" s="197"/>
      <c r="O368" s="197"/>
      <c r="P368" s="197"/>
      <c r="Q368" s="197"/>
      <c r="R368" s="197"/>
      <c r="S368" s="197"/>
      <c r="T368" s="197"/>
      <c r="U368" s="197"/>
      <c r="V368" s="197"/>
      <c r="W368" s="197"/>
      <c r="X368" s="197"/>
      <c r="Y368" s="197"/>
      <c r="Z368" s="197"/>
      <c r="AA368" s="197"/>
      <c r="AB368" s="197"/>
      <c r="AC368" s="197"/>
      <c r="AD368" s="197"/>
      <c r="AE368" s="197"/>
      <c r="AF368" s="197"/>
      <c r="AG368" s="197"/>
      <c r="AH368" s="197"/>
      <c r="AI368" s="197"/>
      <c r="AJ368" s="197"/>
      <c r="AK368" s="197"/>
      <c r="AL368" s="197"/>
    </row>
    <row r="369" spans="1:38">
      <c r="A369" s="11" t="str">
        <f t="shared" si="49"/>
        <v>05-731734472011</v>
      </c>
      <c r="B369" t="s">
        <v>287</v>
      </c>
      <c r="C369" t="s">
        <v>288</v>
      </c>
      <c r="D369">
        <v>2011</v>
      </c>
      <c r="E369" t="s">
        <v>63</v>
      </c>
      <c r="F369">
        <v>375116.12</v>
      </c>
      <c r="G369">
        <v>378</v>
      </c>
      <c r="H369" s="11" t="str">
        <f t="shared" si="48"/>
        <v>count</v>
      </c>
      <c r="I369" s="197"/>
      <c r="J369" s="197"/>
      <c r="K369" s="197"/>
      <c r="L369" s="197"/>
      <c r="M369" s="197"/>
      <c r="N369" s="197"/>
      <c r="O369" s="197"/>
      <c r="P369" s="197"/>
      <c r="Q369" s="197"/>
      <c r="R369" s="197"/>
      <c r="S369" s="197"/>
      <c r="T369" s="197"/>
      <c r="U369" s="197"/>
      <c r="V369" s="197"/>
      <c r="W369" s="197"/>
      <c r="X369" s="197"/>
      <c r="Y369" s="197"/>
      <c r="Z369" s="197"/>
      <c r="AA369" s="197"/>
      <c r="AB369" s="197"/>
      <c r="AC369" s="197"/>
      <c r="AD369" s="197"/>
      <c r="AE369" s="197"/>
      <c r="AF369" s="197"/>
      <c r="AG369" s="197"/>
      <c r="AH369" s="197"/>
      <c r="AI369" s="197"/>
      <c r="AJ369" s="197"/>
      <c r="AK369" s="197"/>
      <c r="AL369" s="197"/>
    </row>
    <row r="370" spans="1:38">
      <c r="A370" s="11" t="str">
        <f t="shared" si="49"/>
        <v>05-731734472012</v>
      </c>
      <c r="B370" t="s">
        <v>287</v>
      </c>
      <c r="C370" t="s">
        <v>288</v>
      </c>
      <c r="D370">
        <v>2012</v>
      </c>
      <c r="E370" t="s">
        <v>105</v>
      </c>
      <c r="F370">
        <v>42550.3</v>
      </c>
      <c r="G370">
        <v>42</v>
      </c>
      <c r="H370" s="11" t="str">
        <f t="shared" si="48"/>
        <v>count</v>
      </c>
      <c r="I370" s="197"/>
      <c r="J370" s="197"/>
      <c r="K370" s="197"/>
      <c r="L370" s="197"/>
      <c r="M370" s="197"/>
      <c r="N370" s="197"/>
      <c r="O370" s="197"/>
      <c r="P370" s="197"/>
      <c r="Q370" s="197"/>
      <c r="R370" s="197"/>
      <c r="S370" s="197"/>
      <c r="T370" s="197"/>
      <c r="U370" s="197"/>
      <c r="V370" s="197"/>
      <c r="W370" s="197"/>
      <c r="X370" s="197"/>
      <c r="Y370" s="197"/>
      <c r="Z370" s="197"/>
      <c r="AA370" s="197"/>
      <c r="AB370" s="197"/>
      <c r="AC370" s="197"/>
      <c r="AD370" s="197"/>
      <c r="AE370" s="197"/>
      <c r="AF370" s="197"/>
      <c r="AG370" s="197"/>
      <c r="AH370" s="197"/>
      <c r="AI370" s="197"/>
      <c r="AJ370" s="197"/>
      <c r="AK370" s="197"/>
      <c r="AL370" s="197"/>
    </row>
    <row r="371" spans="1:38">
      <c r="A371" s="11" t="str">
        <f t="shared" si="49"/>
        <v>05-731734472011</v>
      </c>
      <c r="B371" t="s">
        <v>287</v>
      </c>
      <c r="C371" t="s">
        <v>288</v>
      </c>
      <c r="D371">
        <v>2011</v>
      </c>
      <c r="E371" t="s">
        <v>104</v>
      </c>
      <c r="F371">
        <v>191302.42</v>
      </c>
      <c r="G371">
        <v>214</v>
      </c>
      <c r="H371" s="11" t="str">
        <f t="shared" si="48"/>
        <v>count</v>
      </c>
      <c r="I371" s="197"/>
      <c r="J371" s="197"/>
      <c r="K371" s="197"/>
      <c r="L371" s="197"/>
      <c r="M371" s="197"/>
      <c r="N371" s="197"/>
      <c r="O371" s="197"/>
      <c r="P371" s="197"/>
      <c r="Q371" s="197"/>
      <c r="R371" s="197"/>
      <c r="S371" s="197"/>
      <c r="T371" s="197"/>
      <c r="U371" s="197"/>
      <c r="V371" s="197"/>
      <c r="W371" s="197"/>
      <c r="X371" s="197"/>
      <c r="Y371" s="197"/>
      <c r="Z371" s="197"/>
      <c r="AA371" s="197"/>
      <c r="AB371" s="197"/>
      <c r="AC371" s="197"/>
      <c r="AD371" s="197"/>
      <c r="AE371" s="197"/>
      <c r="AF371" s="197"/>
      <c r="AG371" s="197"/>
      <c r="AH371" s="197"/>
      <c r="AI371" s="197"/>
      <c r="AJ371" s="197"/>
      <c r="AK371" s="197"/>
      <c r="AL371" s="197"/>
    </row>
    <row r="372" spans="1:38">
      <c r="A372" s="11" t="str">
        <f t="shared" si="49"/>
        <v>05-741033862013</v>
      </c>
      <c r="B372" t="s">
        <v>294</v>
      </c>
      <c r="C372" t="s">
        <v>295</v>
      </c>
      <c r="D372">
        <v>2013</v>
      </c>
      <c r="E372" t="s">
        <v>69</v>
      </c>
      <c r="F372">
        <v>98893.37</v>
      </c>
      <c r="G372">
        <v>115</v>
      </c>
      <c r="H372" s="11" t="str">
        <f t="shared" si="48"/>
        <v>volume</v>
      </c>
      <c r="I372" s="197"/>
      <c r="J372" s="197"/>
      <c r="K372" s="197"/>
      <c r="L372" s="197"/>
      <c r="M372" s="197"/>
      <c r="N372" s="197"/>
      <c r="O372" s="197"/>
      <c r="P372" s="197"/>
      <c r="Q372" s="197"/>
      <c r="R372" s="197"/>
      <c r="S372" s="197"/>
      <c r="T372" s="197"/>
      <c r="U372" s="197"/>
      <c r="V372" s="197"/>
      <c r="W372" s="197"/>
      <c r="X372" s="197"/>
      <c r="Y372" s="197"/>
      <c r="Z372" s="197"/>
      <c r="AA372" s="197"/>
      <c r="AB372" s="197"/>
      <c r="AC372" s="197"/>
      <c r="AD372" s="197"/>
      <c r="AE372" s="197"/>
      <c r="AF372" s="197"/>
      <c r="AG372" s="197"/>
      <c r="AH372" s="197"/>
      <c r="AI372" s="197"/>
      <c r="AJ372" s="197"/>
      <c r="AK372" s="197"/>
      <c r="AL372" s="197"/>
    </row>
    <row r="373" spans="1:38">
      <c r="A373" s="11" t="str">
        <f t="shared" si="49"/>
        <v>05-741033862013</v>
      </c>
      <c r="B373" t="s">
        <v>294</v>
      </c>
      <c r="C373" t="s">
        <v>295</v>
      </c>
      <c r="D373">
        <v>2013</v>
      </c>
      <c r="E373" t="s">
        <v>63</v>
      </c>
      <c r="F373">
        <v>286163.23</v>
      </c>
      <c r="G373">
        <v>305</v>
      </c>
      <c r="H373" s="11" t="str">
        <f t="shared" si="48"/>
        <v>count</v>
      </c>
      <c r="I373" s="197"/>
      <c r="J373" s="197"/>
      <c r="K373" s="197"/>
      <c r="L373" s="197"/>
      <c r="M373" s="197"/>
      <c r="N373" s="197"/>
      <c r="O373" s="197"/>
      <c r="P373" s="197"/>
      <c r="Q373" s="197"/>
      <c r="R373" s="197"/>
      <c r="S373" s="197"/>
      <c r="T373" s="197"/>
      <c r="U373" s="197"/>
      <c r="V373" s="197"/>
      <c r="W373" s="197"/>
      <c r="X373" s="197"/>
      <c r="Y373" s="197"/>
      <c r="Z373" s="197"/>
      <c r="AA373" s="197"/>
      <c r="AB373" s="197"/>
      <c r="AC373" s="197"/>
      <c r="AD373" s="197"/>
      <c r="AE373" s="197"/>
      <c r="AF373" s="197"/>
      <c r="AG373" s="197"/>
      <c r="AH373" s="197"/>
      <c r="AI373" s="197"/>
      <c r="AJ373" s="197"/>
      <c r="AK373" s="197"/>
      <c r="AL373" s="197"/>
    </row>
    <row r="374" spans="1:38">
      <c r="A374" s="11" t="str">
        <f t="shared" si="49"/>
        <v>05-741033862013</v>
      </c>
      <c r="B374" t="s">
        <v>294</v>
      </c>
      <c r="C374" t="s">
        <v>295</v>
      </c>
      <c r="D374">
        <v>2013</v>
      </c>
      <c r="E374" t="s">
        <v>104</v>
      </c>
      <c r="F374">
        <v>132981.66</v>
      </c>
      <c r="G374">
        <v>140</v>
      </c>
      <c r="H374" s="11" t="str">
        <f t="shared" si="48"/>
        <v>count</v>
      </c>
      <c r="I374" s="197"/>
      <c r="J374" s="197"/>
      <c r="K374" s="197"/>
      <c r="L374" s="197"/>
      <c r="M374" s="197"/>
      <c r="N374" s="197"/>
      <c r="O374" s="197"/>
      <c r="P374" s="197"/>
      <c r="Q374" s="197"/>
      <c r="R374" s="197"/>
      <c r="S374" s="197"/>
      <c r="T374" s="197"/>
      <c r="U374" s="197"/>
      <c r="V374" s="197"/>
      <c r="W374" s="197"/>
      <c r="X374" s="197"/>
      <c r="Y374" s="197"/>
      <c r="Z374" s="197"/>
      <c r="AA374" s="197"/>
      <c r="AB374" s="197"/>
      <c r="AC374" s="197"/>
      <c r="AD374" s="197"/>
      <c r="AE374" s="197"/>
      <c r="AF374" s="197"/>
      <c r="AG374" s="197"/>
      <c r="AH374" s="197"/>
      <c r="AI374" s="197"/>
      <c r="AJ374" s="197"/>
      <c r="AK374" s="197"/>
      <c r="AL374" s="197"/>
    </row>
    <row r="375" spans="1:38">
      <c r="A375" s="11" t="str">
        <f t="shared" si="49"/>
        <v>05-741033862011</v>
      </c>
      <c r="B375" t="s">
        <v>294</v>
      </c>
      <c r="C375" t="s">
        <v>295</v>
      </c>
      <c r="D375">
        <v>2011</v>
      </c>
      <c r="E375" t="s">
        <v>105</v>
      </c>
      <c r="F375">
        <v>10772.04</v>
      </c>
      <c r="G375">
        <v>13</v>
      </c>
      <c r="H375" s="11" t="str">
        <f t="shared" si="48"/>
        <v>count</v>
      </c>
      <c r="I375" s="197"/>
      <c r="J375" s="197"/>
      <c r="K375" s="197"/>
      <c r="L375" s="197"/>
      <c r="M375" s="197"/>
      <c r="N375" s="197"/>
      <c r="O375" s="197"/>
      <c r="P375" s="197"/>
      <c r="Q375" s="197"/>
      <c r="R375" s="197"/>
      <c r="S375" s="197"/>
      <c r="T375" s="197"/>
      <c r="U375" s="197"/>
      <c r="V375" s="197"/>
      <c r="W375" s="197"/>
      <c r="X375" s="197"/>
      <c r="Y375" s="197"/>
      <c r="Z375" s="197"/>
      <c r="AA375" s="197"/>
      <c r="AB375" s="197"/>
      <c r="AC375" s="197"/>
      <c r="AD375" s="197"/>
      <c r="AE375" s="197"/>
      <c r="AF375" s="197"/>
      <c r="AG375" s="197"/>
      <c r="AH375" s="197"/>
      <c r="AI375" s="197"/>
      <c r="AJ375" s="197"/>
      <c r="AK375" s="197"/>
      <c r="AL375" s="197"/>
    </row>
    <row r="376" spans="1:38">
      <c r="A376" s="11" t="str">
        <f t="shared" si="49"/>
        <v>05-741033862011</v>
      </c>
      <c r="B376" t="s">
        <v>294</v>
      </c>
      <c r="C376" t="s">
        <v>295</v>
      </c>
      <c r="D376">
        <v>2011</v>
      </c>
      <c r="E376" t="s">
        <v>106</v>
      </c>
      <c r="F376">
        <v>111</v>
      </c>
      <c r="G376">
        <v>1</v>
      </c>
      <c r="H376" s="11" t="str">
        <f t="shared" si="48"/>
        <v>count</v>
      </c>
      <c r="I376" s="197"/>
      <c r="J376" s="197"/>
      <c r="K376" s="197"/>
      <c r="L376" s="197"/>
      <c r="M376" s="197"/>
      <c r="N376" s="197"/>
      <c r="O376" s="197"/>
      <c r="P376" s="197"/>
      <c r="Q376" s="197"/>
      <c r="R376" s="197"/>
      <c r="S376" s="197"/>
      <c r="T376" s="197"/>
      <c r="U376" s="197"/>
      <c r="V376" s="197"/>
      <c r="W376" s="197"/>
      <c r="X376" s="197"/>
      <c r="Y376" s="197"/>
      <c r="Z376" s="197"/>
      <c r="AA376" s="197"/>
      <c r="AB376" s="197"/>
      <c r="AC376" s="197"/>
      <c r="AD376" s="197"/>
      <c r="AE376" s="197"/>
      <c r="AF376" s="197"/>
      <c r="AG376" s="197"/>
      <c r="AH376" s="197"/>
      <c r="AI376" s="197"/>
      <c r="AJ376" s="197"/>
      <c r="AK376" s="197"/>
      <c r="AL376" s="197"/>
    </row>
    <row r="377" spans="1:38">
      <c r="A377" s="11" t="str">
        <f t="shared" si="49"/>
        <v>05-741033862012</v>
      </c>
      <c r="B377" t="s">
        <v>294</v>
      </c>
      <c r="C377" t="s">
        <v>295</v>
      </c>
      <c r="D377">
        <v>2012</v>
      </c>
      <c r="E377" t="s">
        <v>133</v>
      </c>
      <c r="F377">
        <v>115004.73</v>
      </c>
      <c r="G377">
        <v>110</v>
      </c>
      <c r="H377" s="11" t="str">
        <f t="shared" si="48"/>
        <v>count</v>
      </c>
      <c r="I377" s="197"/>
      <c r="J377" s="197"/>
      <c r="K377" s="197"/>
      <c r="L377" s="197"/>
      <c r="M377" s="197"/>
      <c r="N377" s="197"/>
      <c r="O377" s="197"/>
      <c r="P377" s="197"/>
      <c r="Q377" s="197"/>
      <c r="R377" s="197"/>
      <c r="S377" s="197"/>
      <c r="T377" s="197"/>
      <c r="U377" s="197"/>
      <c r="V377" s="197"/>
      <c r="W377" s="197"/>
      <c r="X377" s="197"/>
      <c r="Y377" s="197"/>
      <c r="Z377" s="197"/>
      <c r="AA377" s="197"/>
      <c r="AB377" s="197"/>
      <c r="AC377" s="197"/>
      <c r="AD377" s="197"/>
      <c r="AE377" s="197"/>
      <c r="AF377" s="197"/>
      <c r="AG377" s="197"/>
      <c r="AH377" s="197"/>
      <c r="AI377" s="197"/>
      <c r="AJ377" s="197"/>
      <c r="AK377" s="197"/>
      <c r="AL377" s="197"/>
    </row>
    <row r="378" spans="1:38">
      <c r="A378" s="11" t="str">
        <f t="shared" si="49"/>
        <v>05-741033862012</v>
      </c>
      <c r="B378" t="s">
        <v>294</v>
      </c>
      <c r="C378" t="s">
        <v>295</v>
      </c>
      <c r="D378">
        <v>2012</v>
      </c>
      <c r="E378" t="s">
        <v>69</v>
      </c>
      <c r="F378">
        <v>101883.22</v>
      </c>
      <c r="G378">
        <v>132</v>
      </c>
      <c r="H378" s="11" t="str">
        <f t="shared" si="48"/>
        <v>count</v>
      </c>
      <c r="I378" s="197"/>
      <c r="J378" s="197"/>
      <c r="K378" s="197"/>
      <c r="L378" s="197"/>
      <c r="M378" s="197"/>
      <c r="N378" s="197"/>
      <c r="O378" s="197"/>
      <c r="P378" s="197"/>
      <c r="Q378" s="197"/>
      <c r="R378" s="197"/>
      <c r="S378" s="197"/>
      <c r="T378" s="197"/>
      <c r="U378" s="197"/>
      <c r="V378" s="197"/>
      <c r="W378" s="197"/>
      <c r="X378" s="197"/>
      <c r="Y378" s="197"/>
      <c r="Z378" s="197"/>
      <c r="AA378" s="197"/>
      <c r="AB378" s="197"/>
      <c r="AC378" s="197"/>
      <c r="AD378" s="197"/>
      <c r="AE378" s="197"/>
      <c r="AF378" s="197"/>
      <c r="AG378" s="197"/>
      <c r="AH378" s="197"/>
      <c r="AI378" s="197"/>
      <c r="AJ378" s="197"/>
      <c r="AK378" s="197"/>
      <c r="AL378" s="197"/>
    </row>
    <row r="379" spans="1:38">
      <c r="A379" s="11" t="str">
        <f t="shared" si="49"/>
        <v>05-741033862012</v>
      </c>
      <c r="B379" t="s">
        <v>294</v>
      </c>
      <c r="C379" t="s">
        <v>295</v>
      </c>
      <c r="D379">
        <v>2012</v>
      </c>
      <c r="E379" t="s">
        <v>105</v>
      </c>
      <c r="F379">
        <v>16827.099999999999</v>
      </c>
      <c r="G379">
        <v>20</v>
      </c>
      <c r="H379" s="11" t="str">
        <f t="shared" si="48"/>
        <v>count</v>
      </c>
      <c r="I379" s="197"/>
      <c r="J379" s="197"/>
      <c r="K379" s="197"/>
      <c r="L379" s="197"/>
      <c r="M379" s="197"/>
      <c r="N379" s="197"/>
      <c r="O379" s="197"/>
      <c r="P379" s="197"/>
      <c r="Q379" s="197"/>
      <c r="R379" s="197"/>
      <c r="S379" s="197"/>
      <c r="T379" s="197"/>
      <c r="U379" s="197"/>
      <c r="V379" s="197"/>
      <c r="W379" s="197"/>
      <c r="X379" s="197"/>
      <c r="Y379" s="197"/>
      <c r="Z379" s="197"/>
      <c r="AA379" s="197"/>
      <c r="AB379" s="197"/>
      <c r="AC379" s="197"/>
      <c r="AD379" s="197"/>
      <c r="AE379" s="197"/>
      <c r="AF379" s="197"/>
      <c r="AG379" s="197"/>
      <c r="AH379" s="197"/>
      <c r="AI379" s="197"/>
      <c r="AJ379" s="197"/>
      <c r="AK379" s="197"/>
      <c r="AL379" s="197"/>
    </row>
    <row r="380" spans="1:38">
      <c r="A380" s="11" t="str">
        <f t="shared" si="49"/>
        <v>05-741033862011</v>
      </c>
      <c r="B380" t="s">
        <v>294</v>
      </c>
      <c r="C380" t="s">
        <v>295</v>
      </c>
      <c r="D380">
        <v>2011</v>
      </c>
      <c r="E380" t="s">
        <v>133</v>
      </c>
      <c r="F380">
        <v>98392</v>
      </c>
      <c r="G380">
        <v>117</v>
      </c>
      <c r="H380" s="11" t="str">
        <f t="shared" si="48"/>
        <v>count</v>
      </c>
      <c r="I380" s="197"/>
      <c r="J380" s="197"/>
      <c r="K380" s="197"/>
      <c r="L380" s="197"/>
      <c r="M380" s="197"/>
      <c r="N380" s="197"/>
      <c r="O380" s="197"/>
      <c r="P380" s="197"/>
      <c r="Q380" s="197"/>
      <c r="R380" s="197"/>
      <c r="S380" s="197"/>
      <c r="T380" s="197"/>
      <c r="U380" s="197"/>
      <c r="V380" s="197"/>
      <c r="W380" s="197"/>
      <c r="X380" s="197"/>
      <c r="Y380" s="197"/>
      <c r="Z380" s="197"/>
      <c r="AA380" s="197"/>
      <c r="AB380" s="197"/>
      <c r="AC380" s="197"/>
      <c r="AD380" s="197"/>
      <c r="AE380" s="197"/>
      <c r="AF380" s="197"/>
      <c r="AG380" s="197"/>
      <c r="AH380" s="197"/>
      <c r="AI380" s="197"/>
      <c r="AJ380" s="197"/>
      <c r="AK380" s="197"/>
      <c r="AL380" s="197"/>
    </row>
    <row r="381" spans="1:38">
      <c r="A381" s="11" t="str">
        <f t="shared" si="49"/>
        <v>05-741033862011</v>
      </c>
      <c r="B381" t="s">
        <v>294</v>
      </c>
      <c r="C381" t="s">
        <v>295</v>
      </c>
      <c r="D381">
        <v>2011</v>
      </c>
      <c r="E381" t="s">
        <v>63</v>
      </c>
      <c r="F381">
        <v>434834.39</v>
      </c>
      <c r="G381">
        <v>570</v>
      </c>
      <c r="H381" s="11" t="str">
        <f t="shared" si="48"/>
        <v>count</v>
      </c>
      <c r="I381" s="197"/>
      <c r="J381" s="197"/>
      <c r="K381" s="197"/>
      <c r="L381" s="197"/>
      <c r="M381" s="197"/>
      <c r="N381" s="197"/>
      <c r="O381" s="197"/>
      <c r="P381" s="197"/>
      <c r="Q381" s="197"/>
      <c r="R381" s="197"/>
      <c r="S381" s="197"/>
      <c r="T381" s="197"/>
      <c r="U381" s="197"/>
      <c r="V381" s="197"/>
      <c r="W381" s="197"/>
      <c r="X381" s="197"/>
      <c r="Y381" s="197"/>
      <c r="Z381" s="197"/>
      <c r="AA381" s="197"/>
      <c r="AB381" s="197"/>
      <c r="AC381" s="197"/>
      <c r="AD381" s="197"/>
      <c r="AE381" s="197"/>
      <c r="AF381" s="197"/>
      <c r="AG381" s="197"/>
      <c r="AH381" s="197"/>
      <c r="AI381" s="197"/>
      <c r="AJ381" s="197"/>
      <c r="AK381" s="197"/>
      <c r="AL381" s="197"/>
    </row>
    <row r="382" spans="1:38">
      <c r="A382" s="11" t="str">
        <f t="shared" si="49"/>
        <v>05-741033862013</v>
      </c>
      <c r="B382" t="s">
        <v>294</v>
      </c>
      <c r="C382" t="s">
        <v>295</v>
      </c>
      <c r="D382">
        <v>2013</v>
      </c>
      <c r="E382" t="s">
        <v>105</v>
      </c>
      <c r="F382">
        <v>15925.46</v>
      </c>
      <c r="G382">
        <v>14</v>
      </c>
      <c r="H382" s="11" t="str">
        <f t="shared" si="48"/>
        <v>count</v>
      </c>
      <c r="I382" s="197"/>
      <c r="J382" s="197"/>
      <c r="K382" s="197"/>
      <c r="L382" s="197"/>
      <c r="M382" s="197"/>
      <c r="N382" s="197"/>
      <c r="O382" s="197"/>
      <c r="P382" s="197"/>
      <c r="Q382" s="197"/>
      <c r="R382" s="197"/>
      <c r="S382" s="197"/>
      <c r="T382" s="197"/>
      <c r="U382" s="197"/>
      <c r="V382" s="197"/>
      <c r="W382" s="197"/>
      <c r="X382" s="197"/>
      <c r="Y382" s="197"/>
      <c r="Z382" s="197"/>
      <c r="AA382" s="197"/>
      <c r="AB382" s="197"/>
      <c r="AC382" s="197"/>
      <c r="AD382" s="197"/>
      <c r="AE382" s="197"/>
      <c r="AF382" s="197"/>
      <c r="AG382" s="197"/>
      <c r="AH382" s="197"/>
      <c r="AI382" s="197"/>
      <c r="AJ382" s="197"/>
      <c r="AK382" s="197"/>
      <c r="AL382" s="197"/>
    </row>
    <row r="383" spans="1:38">
      <c r="A383" s="11" t="str">
        <f t="shared" si="49"/>
        <v>05-741033862011</v>
      </c>
      <c r="B383" t="s">
        <v>294</v>
      </c>
      <c r="C383" t="s">
        <v>295</v>
      </c>
      <c r="D383">
        <v>2011</v>
      </c>
      <c r="E383" t="s">
        <v>104</v>
      </c>
      <c r="F383">
        <v>166342.28</v>
      </c>
      <c r="G383">
        <v>197</v>
      </c>
      <c r="H383" s="11" t="str">
        <f t="shared" si="48"/>
        <v>count</v>
      </c>
      <c r="I383" s="197"/>
      <c r="J383" s="197"/>
      <c r="K383" s="197"/>
      <c r="L383" s="197"/>
      <c r="M383" s="197"/>
      <c r="N383" s="197"/>
      <c r="O383" s="197"/>
      <c r="P383" s="197"/>
      <c r="Q383" s="197"/>
      <c r="R383" s="197"/>
      <c r="S383" s="197"/>
      <c r="T383" s="197"/>
      <c r="U383" s="197"/>
      <c r="V383" s="197"/>
      <c r="W383" s="197"/>
      <c r="X383" s="197"/>
      <c r="Y383" s="197"/>
      <c r="Z383" s="197"/>
      <c r="AA383" s="197"/>
      <c r="AB383" s="197"/>
      <c r="AC383" s="197"/>
      <c r="AD383" s="197"/>
      <c r="AE383" s="197"/>
      <c r="AF383" s="197"/>
      <c r="AG383" s="197"/>
      <c r="AH383" s="197"/>
      <c r="AI383" s="197"/>
      <c r="AJ383" s="197"/>
      <c r="AK383" s="197"/>
      <c r="AL383" s="197"/>
    </row>
    <row r="384" spans="1:38">
      <c r="A384" s="11" t="str">
        <f t="shared" si="49"/>
        <v>05-741033862013</v>
      </c>
      <c r="B384" t="s">
        <v>294</v>
      </c>
      <c r="C384" t="s">
        <v>295</v>
      </c>
      <c r="D384">
        <v>2013</v>
      </c>
      <c r="E384" t="s">
        <v>133</v>
      </c>
      <c r="F384">
        <v>114800.44</v>
      </c>
      <c r="G384">
        <v>103</v>
      </c>
      <c r="H384" s="11" t="str">
        <f t="shared" si="48"/>
        <v>count</v>
      </c>
      <c r="I384" s="197"/>
      <c r="J384" s="197"/>
      <c r="K384" s="197"/>
      <c r="L384" s="197"/>
      <c r="M384" s="197"/>
      <c r="N384" s="197"/>
      <c r="O384" s="197"/>
      <c r="P384" s="197"/>
      <c r="Q384" s="197"/>
      <c r="R384" s="197"/>
      <c r="S384" s="197"/>
      <c r="T384" s="197"/>
      <c r="U384" s="197"/>
      <c r="V384" s="197"/>
      <c r="W384" s="197"/>
      <c r="X384" s="197"/>
      <c r="Y384" s="197"/>
      <c r="Z384" s="197"/>
      <c r="AA384" s="197"/>
      <c r="AB384" s="197"/>
      <c r="AC384" s="197"/>
      <c r="AD384" s="197"/>
      <c r="AE384" s="197"/>
      <c r="AF384" s="197"/>
      <c r="AG384" s="197"/>
      <c r="AH384" s="197"/>
      <c r="AI384" s="197"/>
      <c r="AJ384" s="197"/>
      <c r="AK384" s="197"/>
      <c r="AL384" s="197"/>
    </row>
    <row r="385" spans="1:38">
      <c r="A385" s="11" t="str">
        <f t="shared" si="49"/>
        <v>05-741033862012</v>
      </c>
      <c r="B385" t="s">
        <v>294</v>
      </c>
      <c r="C385" t="s">
        <v>295</v>
      </c>
      <c r="D385">
        <v>2012</v>
      </c>
      <c r="E385" t="s">
        <v>104</v>
      </c>
      <c r="F385">
        <v>134077.24</v>
      </c>
      <c r="G385">
        <v>156</v>
      </c>
      <c r="H385" s="11" t="str">
        <f t="shared" si="48"/>
        <v>count</v>
      </c>
      <c r="I385" s="197"/>
      <c r="J385" s="197"/>
      <c r="K385" s="197"/>
      <c r="L385" s="197"/>
      <c r="M385" s="197"/>
      <c r="N385" s="197"/>
      <c r="O385" s="197"/>
      <c r="P385" s="197"/>
      <c r="Q385" s="197"/>
      <c r="R385" s="197"/>
      <c r="S385" s="197"/>
      <c r="T385" s="197"/>
      <c r="U385" s="197"/>
      <c r="V385" s="197"/>
      <c r="W385" s="197"/>
      <c r="X385" s="197"/>
      <c r="Y385" s="197"/>
      <c r="Z385" s="197"/>
      <c r="AA385" s="197"/>
      <c r="AB385" s="197"/>
      <c r="AC385" s="197"/>
      <c r="AD385" s="197"/>
      <c r="AE385" s="197"/>
      <c r="AF385" s="197"/>
      <c r="AG385" s="197"/>
      <c r="AH385" s="197"/>
      <c r="AI385" s="197"/>
      <c r="AJ385" s="197"/>
      <c r="AK385" s="197"/>
      <c r="AL385" s="197"/>
    </row>
    <row r="386" spans="1:38">
      <c r="A386" s="11" t="str">
        <f t="shared" si="49"/>
        <v>05-741033862012</v>
      </c>
      <c r="B386" t="s">
        <v>294</v>
      </c>
      <c r="C386" t="s">
        <v>295</v>
      </c>
      <c r="D386">
        <v>2012</v>
      </c>
      <c r="E386" t="s">
        <v>63</v>
      </c>
      <c r="F386">
        <v>312675.01</v>
      </c>
      <c r="G386">
        <v>381</v>
      </c>
      <c r="H386" s="11" t="str">
        <f t="shared" ref="H386:H449" si="54">IF(B386=B385,"count","volume")</f>
        <v>count</v>
      </c>
      <c r="I386" s="197"/>
      <c r="J386" s="197"/>
      <c r="K386" s="197"/>
      <c r="L386" s="197"/>
      <c r="M386" s="197"/>
      <c r="N386" s="197"/>
      <c r="O386" s="197"/>
      <c r="P386" s="197"/>
      <c r="Q386" s="197"/>
      <c r="R386" s="197"/>
      <c r="S386" s="197"/>
      <c r="T386" s="197"/>
      <c r="U386" s="197"/>
      <c r="V386" s="197"/>
      <c r="W386" s="197"/>
      <c r="X386" s="197"/>
      <c r="Y386" s="197"/>
      <c r="Z386" s="197"/>
      <c r="AA386" s="197"/>
      <c r="AB386" s="197"/>
      <c r="AC386" s="197"/>
      <c r="AD386" s="197"/>
      <c r="AE386" s="197"/>
      <c r="AF386" s="197"/>
      <c r="AG386" s="197"/>
      <c r="AH386" s="197"/>
      <c r="AI386" s="197"/>
      <c r="AJ386" s="197"/>
      <c r="AK386" s="197"/>
      <c r="AL386" s="197"/>
    </row>
    <row r="387" spans="1:38">
      <c r="A387" s="11" t="str">
        <f t="shared" ref="A387:A450" si="55">B387&amp;D387</f>
        <v>05-750084792013</v>
      </c>
      <c r="B387" t="s">
        <v>296</v>
      </c>
      <c r="C387" t="s">
        <v>297</v>
      </c>
      <c r="D387">
        <v>2013</v>
      </c>
      <c r="E387" t="s">
        <v>104</v>
      </c>
      <c r="F387">
        <v>163084.49</v>
      </c>
      <c r="G387">
        <v>180</v>
      </c>
      <c r="H387" s="11" t="str">
        <f t="shared" si="54"/>
        <v>volume</v>
      </c>
      <c r="I387" s="197"/>
      <c r="J387" s="197"/>
      <c r="K387" s="197"/>
      <c r="L387" s="197"/>
      <c r="M387" s="197"/>
      <c r="N387" s="197"/>
      <c r="O387" s="197"/>
      <c r="P387" s="197"/>
      <c r="Q387" s="197"/>
      <c r="R387" s="197"/>
      <c r="S387" s="197"/>
      <c r="T387" s="197"/>
      <c r="U387" s="197"/>
      <c r="V387" s="197"/>
      <c r="W387" s="197"/>
      <c r="X387" s="197"/>
      <c r="Y387" s="197"/>
      <c r="Z387" s="197"/>
      <c r="AA387" s="197"/>
      <c r="AB387" s="197"/>
      <c r="AC387" s="197"/>
      <c r="AD387" s="197"/>
      <c r="AE387" s="197"/>
      <c r="AF387" s="197"/>
      <c r="AG387" s="197"/>
      <c r="AH387" s="197"/>
      <c r="AI387" s="197"/>
      <c r="AJ387" s="197"/>
      <c r="AK387" s="197"/>
      <c r="AL387" s="197"/>
    </row>
    <row r="388" spans="1:38">
      <c r="A388" s="11" t="str">
        <f t="shared" si="55"/>
        <v>05-750084792012</v>
      </c>
      <c r="B388" t="s">
        <v>296</v>
      </c>
      <c r="C388" t="s">
        <v>297</v>
      </c>
      <c r="D388">
        <v>2012</v>
      </c>
      <c r="E388" t="s">
        <v>106</v>
      </c>
      <c r="F388">
        <v>19314.599999999999</v>
      </c>
      <c r="G388">
        <v>4</v>
      </c>
      <c r="H388" s="11" t="str">
        <f t="shared" si="54"/>
        <v>count</v>
      </c>
      <c r="I388" s="197"/>
      <c r="J388" s="197"/>
      <c r="K388" s="197"/>
      <c r="L388" s="197"/>
      <c r="M388" s="197"/>
      <c r="N388" s="197"/>
      <c r="O388" s="197"/>
      <c r="P388" s="197"/>
      <c r="Q388" s="197"/>
      <c r="R388" s="197"/>
      <c r="S388" s="197"/>
      <c r="T388" s="197"/>
      <c r="U388" s="197"/>
      <c r="V388" s="197"/>
      <c r="W388" s="197"/>
      <c r="X388" s="197"/>
      <c r="Y388" s="197"/>
      <c r="Z388" s="197"/>
      <c r="AA388" s="197"/>
      <c r="AB388" s="197"/>
      <c r="AC388" s="197"/>
      <c r="AD388" s="197"/>
      <c r="AE388" s="197"/>
      <c r="AF388" s="197"/>
      <c r="AG388" s="197"/>
      <c r="AH388" s="197"/>
      <c r="AI388" s="197"/>
      <c r="AJ388" s="197"/>
      <c r="AK388" s="197"/>
      <c r="AL388" s="197"/>
    </row>
    <row r="389" spans="1:38">
      <c r="A389" s="11" t="str">
        <f t="shared" si="55"/>
        <v>05-750084792013</v>
      </c>
      <c r="B389" t="s">
        <v>296</v>
      </c>
      <c r="C389" t="s">
        <v>297</v>
      </c>
      <c r="D389">
        <v>2013</v>
      </c>
      <c r="E389" t="s">
        <v>63</v>
      </c>
      <c r="F389">
        <v>259027.79</v>
      </c>
      <c r="G389">
        <v>268</v>
      </c>
      <c r="H389" s="11" t="str">
        <f t="shared" si="54"/>
        <v>count</v>
      </c>
      <c r="I389" s="197"/>
      <c r="J389" s="197"/>
      <c r="K389" s="197"/>
      <c r="L389" s="197"/>
      <c r="M389" s="197"/>
      <c r="N389" s="197"/>
      <c r="O389" s="197"/>
      <c r="P389" s="197"/>
      <c r="Q389" s="197"/>
      <c r="R389" s="197"/>
      <c r="S389" s="197"/>
      <c r="T389" s="197"/>
      <c r="U389" s="197"/>
      <c r="V389" s="197"/>
      <c r="W389" s="197"/>
      <c r="X389" s="197"/>
      <c r="Y389" s="197"/>
      <c r="Z389" s="197"/>
      <c r="AA389" s="197"/>
      <c r="AB389" s="197"/>
      <c r="AC389" s="197"/>
      <c r="AD389" s="197"/>
      <c r="AE389" s="197"/>
      <c r="AF389" s="197"/>
      <c r="AG389" s="197"/>
      <c r="AH389" s="197"/>
      <c r="AI389" s="197"/>
      <c r="AJ389" s="197"/>
      <c r="AK389" s="197"/>
      <c r="AL389" s="197"/>
    </row>
    <row r="390" spans="1:38">
      <c r="A390" s="11" t="str">
        <f t="shared" si="55"/>
        <v>05-750084792011</v>
      </c>
      <c r="B390" t="s">
        <v>296</v>
      </c>
      <c r="C390" t="s">
        <v>297</v>
      </c>
      <c r="D390">
        <v>2011</v>
      </c>
      <c r="E390" t="s">
        <v>105</v>
      </c>
      <c r="F390">
        <v>58614.86</v>
      </c>
      <c r="G390">
        <v>74</v>
      </c>
      <c r="H390" s="11" t="str">
        <f t="shared" si="54"/>
        <v>count</v>
      </c>
      <c r="I390" s="197"/>
      <c r="J390" s="197"/>
      <c r="K390" s="197"/>
      <c r="L390" s="197"/>
      <c r="M390" s="197"/>
      <c r="N390" s="197"/>
      <c r="O390" s="197"/>
      <c r="P390" s="197"/>
      <c r="Q390" s="197"/>
      <c r="R390" s="197"/>
      <c r="S390" s="197"/>
      <c r="T390" s="197"/>
      <c r="U390" s="197"/>
      <c r="V390" s="197"/>
      <c r="W390" s="197"/>
      <c r="X390" s="197"/>
      <c r="Y390" s="197"/>
      <c r="Z390" s="197"/>
      <c r="AA390" s="197"/>
      <c r="AB390" s="197"/>
      <c r="AC390" s="197"/>
      <c r="AD390" s="197"/>
      <c r="AE390" s="197"/>
      <c r="AF390" s="197"/>
      <c r="AG390" s="197"/>
      <c r="AH390" s="197"/>
      <c r="AI390" s="197"/>
      <c r="AJ390" s="197"/>
      <c r="AK390" s="197"/>
      <c r="AL390" s="197"/>
    </row>
    <row r="391" spans="1:38">
      <c r="A391" s="11" t="str">
        <f t="shared" si="55"/>
        <v>05-750084792011</v>
      </c>
      <c r="B391" t="s">
        <v>296</v>
      </c>
      <c r="C391" t="s">
        <v>297</v>
      </c>
      <c r="D391">
        <v>2011</v>
      </c>
      <c r="E391" t="s">
        <v>106</v>
      </c>
      <c r="F391">
        <v>11343</v>
      </c>
      <c r="G391">
        <v>9</v>
      </c>
      <c r="H391" s="11" t="str">
        <f t="shared" si="54"/>
        <v>count</v>
      </c>
      <c r="I391" s="197"/>
      <c r="J391" s="197"/>
      <c r="K391" s="197"/>
      <c r="L391" s="197"/>
      <c r="M391" s="197"/>
      <c r="N391" s="197"/>
      <c r="O391" s="197"/>
      <c r="P391" s="197"/>
      <c r="Q391" s="197"/>
      <c r="R391" s="197"/>
      <c r="S391" s="197"/>
      <c r="T391" s="197"/>
      <c r="U391" s="197"/>
      <c r="V391" s="197"/>
      <c r="W391" s="197"/>
      <c r="X391" s="197"/>
      <c r="Y391" s="197"/>
      <c r="Z391" s="197"/>
      <c r="AA391" s="197"/>
      <c r="AB391" s="197"/>
      <c r="AC391" s="197"/>
      <c r="AD391" s="197"/>
      <c r="AE391" s="197"/>
      <c r="AF391" s="197"/>
      <c r="AG391" s="197"/>
      <c r="AH391" s="197"/>
      <c r="AI391" s="197"/>
      <c r="AJ391" s="197"/>
      <c r="AK391" s="197"/>
      <c r="AL391" s="197"/>
    </row>
    <row r="392" spans="1:38">
      <c r="A392" s="11" t="str">
        <f t="shared" si="55"/>
        <v>05-750084792013</v>
      </c>
      <c r="B392" t="s">
        <v>296</v>
      </c>
      <c r="C392" t="s">
        <v>297</v>
      </c>
      <c r="D392">
        <v>2013</v>
      </c>
      <c r="E392" t="s">
        <v>69</v>
      </c>
      <c r="F392">
        <v>130031.62</v>
      </c>
      <c r="G392">
        <v>163</v>
      </c>
      <c r="H392" s="11" t="str">
        <f t="shared" si="54"/>
        <v>count</v>
      </c>
      <c r="I392" s="197"/>
      <c r="J392" s="197"/>
      <c r="K392" s="197"/>
      <c r="L392" s="197"/>
      <c r="M392" s="197"/>
      <c r="N392" s="197"/>
      <c r="O392" s="197"/>
      <c r="P392" s="197"/>
      <c r="Q392" s="197"/>
      <c r="R392" s="197"/>
      <c r="S392" s="197"/>
      <c r="T392" s="197"/>
      <c r="U392" s="197"/>
      <c r="V392" s="197"/>
      <c r="W392" s="197"/>
      <c r="X392" s="197"/>
      <c r="Y392" s="197"/>
      <c r="Z392" s="197"/>
      <c r="AA392" s="197"/>
      <c r="AB392" s="197"/>
      <c r="AC392" s="197"/>
      <c r="AD392" s="197"/>
      <c r="AE392" s="197"/>
      <c r="AF392" s="197"/>
      <c r="AG392" s="197"/>
      <c r="AH392" s="197"/>
      <c r="AI392" s="197"/>
      <c r="AJ392" s="197"/>
      <c r="AK392" s="197"/>
      <c r="AL392" s="197"/>
    </row>
    <row r="393" spans="1:38">
      <c r="A393" s="11" t="str">
        <f t="shared" si="55"/>
        <v>05-750084792012</v>
      </c>
      <c r="B393" t="s">
        <v>296</v>
      </c>
      <c r="C393" t="s">
        <v>297</v>
      </c>
      <c r="D393">
        <v>2012</v>
      </c>
      <c r="E393" t="s">
        <v>105</v>
      </c>
      <c r="F393">
        <v>62598.18</v>
      </c>
      <c r="G393">
        <v>66</v>
      </c>
      <c r="H393" s="11" t="str">
        <f t="shared" si="54"/>
        <v>count</v>
      </c>
      <c r="I393" s="197"/>
      <c r="J393" s="197"/>
      <c r="K393" s="197"/>
      <c r="L393" s="197"/>
      <c r="M393" s="197"/>
      <c r="N393" s="197"/>
      <c r="O393" s="197"/>
      <c r="P393" s="197"/>
      <c r="Q393" s="197"/>
      <c r="R393" s="197"/>
      <c r="S393" s="197"/>
      <c r="T393" s="197"/>
      <c r="U393" s="197"/>
      <c r="V393" s="197"/>
      <c r="W393" s="197"/>
      <c r="X393" s="197"/>
      <c r="Y393" s="197"/>
      <c r="Z393" s="197"/>
      <c r="AA393" s="197"/>
      <c r="AB393" s="197"/>
      <c r="AC393" s="197"/>
      <c r="AD393" s="197"/>
      <c r="AE393" s="197"/>
      <c r="AF393" s="197"/>
      <c r="AG393" s="197"/>
      <c r="AH393" s="197"/>
      <c r="AI393" s="197"/>
      <c r="AJ393" s="197"/>
      <c r="AK393" s="197"/>
      <c r="AL393" s="197"/>
    </row>
    <row r="394" spans="1:38">
      <c r="A394" s="11" t="str">
        <f t="shared" si="55"/>
        <v>05-750084792011</v>
      </c>
      <c r="B394" t="s">
        <v>296</v>
      </c>
      <c r="C394" t="s">
        <v>297</v>
      </c>
      <c r="D394">
        <v>2011</v>
      </c>
      <c r="E394" t="s">
        <v>63</v>
      </c>
      <c r="F394">
        <v>614499.27</v>
      </c>
      <c r="G394">
        <v>725</v>
      </c>
      <c r="H394" s="11" t="str">
        <f t="shared" si="54"/>
        <v>count</v>
      </c>
      <c r="I394" s="197"/>
      <c r="J394" s="197"/>
      <c r="K394" s="197"/>
      <c r="L394" s="197"/>
      <c r="M394" s="197"/>
      <c r="N394" s="197"/>
      <c r="O394" s="197"/>
      <c r="P394" s="197"/>
      <c r="Q394" s="197"/>
      <c r="R394" s="197"/>
      <c r="S394" s="197"/>
      <c r="T394" s="197"/>
      <c r="U394" s="197"/>
      <c r="V394" s="197"/>
      <c r="W394" s="197"/>
      <c r="X394" s="197"/>
      <c r="Y394" s="197"/>
      <c r="Z394" s="197"/>
      <c r="AA394" s="197"/>
      <c r="AB394" s="197"/>
      <c r="AC394" s="197"/>
      <c r="AD394" s="197"/>
      <c r="AE394" s="197"/>
      <c r="AF394" s="197"/>
      <c r="AG394" s="197"/>
      <c r="AH394" s="197"/>
      <c r="AI394" s="197"/>
      <c r="AJ394" s="197"/>
      <c r="AK394" s="197"/>
      <c r="AL394" s="197"/>
    </row>
    <row r="395" spans="1:38">
      <c r="A395" s="11" t="str">
        <f t="shared" si="55"/>
        <v>05-750084792013</v>
      </c>
      <c r="B395" t="s">
        <v>296</v>
      </c>
      <c r="C395" t="s">
        <v>297</v>
      </c>
      <c r="D395">
        <v>2013</v>
      </c>
      <c r="E395" t="s">
        <v>105</v>
      </c>
      <c r="F395">
        <v>40760.949999999997</v>
      </c>
      <c r="G395">
        <v>47</v>
      </c>
      <c r="H395" s="11" t="str">
        <f t="shared" si="54"/>
        <v>count</v>
      </c>
      <c r="I395" s="197"/>
      <c r="J395" s="197"/>
      <c r="K395" s="197"/>
      <c r="L395" s="197"/>
      <c r="M395" s="197"/>
      <c r="N395" s="197"/>
      <c r="O395" s="197"/>
      <c r="P395" s="197"/>
      <c r="Q395" s="197"/>
      <c r="R395" s="197"/>
      <c r="S395" s="197"/>
      <c r="T395" s="197"/>
      <c r="U395" s="197"/>
      <c r="V395" s="197"/>
      <c r="W395" s="197"/>
      <c r="X395" s="197"/>
      <c r="Y395" s="197"/>
      <c r="Z395" s="197"/>
      <c r="AA395" s="197"/>
      <c r="AB395" s="197"/>
      <c r="AC395" s="197"/>
      <c r="AD395" s="197"/>
      <c r="AE395" s="197"/>
      <c r="AF395" s="197"/>
      <c r="AG395" s="197"/>
      <c r="AH395" s="197"/>
      <c r="AI395" s="197"/>
      <c r="AJ395" s="197"/>
      <c r="AK395" s="197"/>
      <c r="AL395" s="197"/>
    </row>
    <row r="396" spans="1:38">
      <c r="A396" s="11" t="str">
        <f t="shared" si="55"/>
        <v>05-750084792012</v>
      </c>
      <c r="B396" t="s">
        <v>296</v>
      </c>
      <c r="C396" t="s">
        <v>297</v>
      </c>
      <c r="D396">
        <v>2012</v>
      </c>
      <c r="E396" t="s">
        <v>69</v>
      </c>
      <c r="F396">
        <v>184104.21</v>
      </c>
      <c r="G396">
        <v>247</v>
      </c>
      <c r="H396" s="11" t="str">
        <f t="shared" si="54"/>
        <v>count</v>
      </c>
      <c r="I396" s="197"/>
      <c r="J396" s="197"/>
      <c r="K396" s="197"/>
      <c r="L396" s="197"/>
      <c r="M396" s="197"/>
      <c r="N396" s="197"/>
      <c r="O396" s="197"/>
      <c r="P396" s="197"/>
      <c r="Q396" s="197"/>
      <c r="R396" s="197"/>
      <c r="S396" s="197"/>
      <c r="T396" s="197"/>
      <c r="U396" s="197"/>
      <c r="V396" s="197"/>
      <c r="W396" s="197"/>
      <c r="X396" s="197"/>
      <c r="Y396" s="197"/>
      <c r="Z396" s="197"/>
      <c r="AA396" s="197"/>
      <c r="AB396" s="197"/>
      <c r="AC396" s="197"/>
      <c r="AD396" s="197"/>
      <c r="AE396" s="197"/>
      <c r="AF396" s="197"/>
      <c r="AG396" s="197"/>
      <c r="AH396" s="197"/>
      <c r="AI396" s="197"/>
      <c r="AJ396" s="197"/>
      <c r="AK396" s="197"/>
      <c r="AL396" s="197"/>
    </row>
    <row r="397" spans="1:38">
      <c r="A397" s="11" t="str">
        <f t="shared" si="55"/>
        <v>05-750084792011</v>
      </c>
      <c r="B397" t="s">
        <v>296</v>
      </c>
      <c r="C397" t="s">
        <v>297</v>
      </c>
      <c r="D397">
        <v>2011</v>
      </c>
      <c r="E397" t="s">
        <v>104</v>
      </c>
      <c r="F397">
        <v>274193.09000000003</v>
      </c>
      <c r="G397">
        <v>296</v>
      </c>
      <c r="H397" s="11" t="str">
        <f t="shared" si="54"/>
        <v>count</v>
      </c>
      <c r="I397" s="197"/>
      <c r="J397" s="197"/>
      <c r="K397" s="197"/>
      <c r="L397" s="197"/>
      <c r="M397" s="197"/>
      <c r="N397" s="197"/>
      <c r="O397" s="197"/>
      <c r="P397" s="197"/>
      <c r="Q397" s="197"/>
      <c r="R397" s="197"/>
      <c r="S397" s="197"/>
      <c r="T397" s="197"/>
      <c r="U397" s="197"/>
      <c r="V397" s="197"/>
      <c r="W397" s="197"/>
      <c r="X397" s="197"/>
      <c r="Y397" s="197"/>
      <c r="Z397" s="197"/>
      <c r="AA397" s="197"/>
      <c r="AB397" s="197"/>
      <c r="AC397" s="197"/>
      <c r="AD397" s="197"/>
      <c r="AE397" s="197"/>
      <c r="AF397" s="197"/>
      <c r="AG397" s="197"/>
      <c r="AH397" s="197"/>
      <c r="AI397" s="197"/>
      <c r="AJ397" s="197"/>
      <c r="AK397" s="197"/>
      <c r="AL397" s="197"/>
    </row>
    <row r="398" spans="1:38">
      <c r="A398" s="11" t="str">
        <f t="shared" si="55"/>
        <v>05-750084792012</v>
      </c>
      <c r="B398" t="s">
        <v>296</v>
      </c>
      <c r="C398" t="s">
        <v>297</v>
      </c>
      <c r="D398">
        <v>2012</v>
      </c>
      <c r="E398" t="s">
        <v>133</v>
      </c>
      <c r="F398">
        <v>4487</v>
      </c>
      <c r="G398">
        <v>5</v>
      </c>
      <c r="H398" s="11" t="str">
        <f t="shared" si="54"/>
        <v>count</v>
      </c>
      <c r="I398" s="197"/>
      <c r="J398" s="197"/>
      <c r="K398" s="197"/>
      <c r="L398" s="197"/>
      <c r="M398" s="197"/>
      <c r="N398" s="197"/>
      <c r="O398" s="197"/>
      <c r="P398" s="197"/>
      <c r="Q398" s="197"/>
      <c r="R398" s="197"/>
      <c r="S398" s="197"/>
      <c r="T398" s="197"/>
      <c r="U398" s="197"/>
      <c r="V398" s="197"/>
      <c r="W398" s="197"/>
      <c r="X398" s="197"/>
      <c r="Y398" s="197"/>
      <c r="Z398" s="197"/>
      <c r="AA398" s="197"/>
      <c r="AB398" s="197"/>
      <c r="AC398" s="197"/>
      <c r="AD398" s="197"/>
      <c r="AE398" s="197"/>
      <c r="AF398" s="197"/>
      <c r="AG398" s="197"/>
      <c r="AH398" s="197"/>
      <c r="AI398" s="197"/>
      <c r="AJ398" s="197"/>
      <c r="AK398" s="197"/>
      <c r="AL398" s="197"/>
    </row>
    <row r="399" spans="1:38">
      <c r="A399" s="11" t="str">
        <f t="shared" si="55"/>
        <v>05-750084792012</v>
      </c>
      <c r="B399" t="s">
        <v>296</v>
      </c>
      <c r="C399" t="s">
        <v>297</v>
      </c>
      <c r="D399">
        <v>2012</v>
      </c>
      <c r="E399" t="s">
        <v>63</v>
      </c>
      <c r="F399">
        <v>434162.3</v>
      </c>
      <c r="G399">
        <v>448</v>
      </c>
      <c r="H399" s="11" t="str">
        <f t="shared" si="54"/>
        <v>count</v>
      </c>
      <c r="I399" s="197"/>
      <c r="J399" s="197"/>
      <c r="K399" s="197"/>
      <c r="L399" s="197"/>
      <c r="M399" s="197"/>
      <c r="N399" s="197"/>
      <c r="O399" s="197"/>
      <c r="P399" s="197"/>
      <c r="Q399" s="197"/>
      <c r="R399" s="197"/>
      <c r="S399" s="197"/>
      <c r="T399" s="197"/>
      <c r="U399" s="197"/>
      <c r="V399" s="197"/>
      <c r="W399" s="197"/>
      <c r="X399" s="197"/>
      <c r="Y399" s="197"/>
      <c r="Z399" s="197"/>
      <c r="AA399" s="197"/>
      <c r="AB399" s="197"/>
      <c r="AC399" s="197"/>
      <c r="AD399" s="197"/>
      <c r="AE399" s="197"/>
      <c r="AF399" s="197"/>
      <c r="AG399" s="197"/>
      <c r="AH399" s="197"/>
      <c r="AI399" s="197"/>
      <c r="AJ399" s="197"/>
      <c r="AK399" s="197"/>
      <c r="AL399" s="197"/>
    </row>
    <row r="400" spans="1:38">
      <c r="A400" s="11" t="str">
        <f t="shared" si="55"/>
        <v>05-750084792012</v>
      </c>
      <c r="B400" t="s">
        <v>296</v>
      </c>
      <c r="C400" t="s">
        <v>297</v>
      </c>
      <c r="D400">
        <v>2012</v>
      </c>
      <c r="E400" t="s">
        <v>104</v>
      </c>
      <c r="F400">
        <v>217444.56</v>
      </c>
      <c r="G400">
        <v>243</v>
      </c>
      <c r="H400" s="11" t="str">
        <f t="shared" si="54"/>
        <v>count</v>
      </c>
      <c r="I400" s="197"/>
      <c r="J400" s="197"/>
      <c r="K400" s="197"/>
      <c r="L400" s="197"/>
      <c r="M400" s="197"/>
      <c r="N400" s="197"/>
      <c r="O400" s="197"/>
      <c r="P400" s="197"/>
      <c r="Q400" s="197"/>
      <c r="R400" s="197"/>
      <c r="S400" s="197"/>
      <c r="T400" s="197"/>
      <c r="U400" s="197"/>
      <c r="V400" s="197"/>
      <c r="W400" s="197"/>
      <c r="X400" s="197"/>
      <c r="Y400" s="197"/>
      <c r="Z400" s="197"/>
      <c r="AA400" s="197"/>
      <c r="AB400" s="197"/>
      <c r="AC400" s="197"/>
      <c r="AD400" s="197"/>
      <c r="AE400" s="197"/>
      <c r="AF400" s="197"/>
      <c r="AG400" s="197"/>
      <c r="AH400" s="197"/>
      <c r="AI400" s="197"/>
      <c r="AJ400" s="197"/>
      <c r="AK400" s="197"/>
      <c r="AL400" s="197"/>
    </row>
    <row r="401" spans="1:38">
      <c r="A401" s="11" t="str">
        <f t="shared" si="55"/>
        <v>05-750084792011</v>
      </c>
      <c r="B401" t="s">
        <v>296</v>
      </c>
      <c r="C401" t="s">
        <v>297</v>
      </c>
      <c r="D401">
        <v>2011</v>
      </c>
      <c r="E401" t="s">
        <v>69</v>
      </c>
      <c r="F401">
        <v>1132</v>
      </c>
      <c r="G401">
        <v>2</v>
      </c>
      <c r="H401" s="11" t="str">
        <f t="shared" si="54"/>
        <v>count</v>
      </c>
      <c r="I401" s="197"/>
      <c r="J401" s="197"/>
      <c r="K401" s="197"/>
      <c r="L401" s="197"/>
      <c r="M401" s="197"/>
      <c r="N401" s="197"/>
      <c r="O401" s="197"/>
      <c r="P401" s="197"/>
      <c r="Q401" s="197"/>
      <c r="R401" s="197"/>
      <c r="S401" s="197"/>
      <c r="T401" s="197"/>
      <c r="U401" s="197"/>
      <c r="V401" s="197"/>
      <c r="W401" s="197"/>
      <c r="X401" s="197"/>
      <c r="Y401" s="197"/>
      <c r="Z401" s="197"/>
      <c r="AA401" s="197"/>
      <c r="AB401" s="197"/>
      <c r="AC401" s="197"/>
      <c r="AD401" s="197"/>
      <c r="AE401" s="197"/>
      <c r="AF401" s="197"/>
      <c r="AG401" s="197"/>
      <c r="AH401" s="197"/>
      <c r="AI401" s="197"/>
      <c r="AJ401" s="197"/>
      <c r="AK401" s="197"/>
      <c r="AL401" s="197"/>
    </row>
    <row r="402" spans="1:38">
      <c r="A402" s="11" t="str">
        <f t="shared" si="55"/>
        <v>05-750084792013</v>
      </c>
      <c r="B402" t="s">
        <v>296</v>
      </c>
      <c r="C402" t="s">
        <v>297</v>
      </c>
      <c r="D402">
        <v>2013</v>
      </c>
      <c r="E402" t="s">
        <v>106</v>
      </c>
      <c r="F402">
        <v>38055.42</v>
      </c>
      <c r="G402">
        <v>26</v>
      </c>
      <c r="H402" s="11" t="str">
        <f t="shared" si="54"/>
        <v>count</v>
      </c>
      <c r="I402" s="197"/>
      <c r="J402" s="197"/>
      <c r="K402" s="197"/>
      <c r="L402" s="197"/>
      <c r="M402" s="197"/>
      <c r="N402" s="197"/>
      <c r="O402" s="197"/>
      <c r="P402" s="197"/>
      <c r="Q402" s="197"/>
      <c r="R402" s="197"/>
      <c r="S402" s="197"/>
      <c r="T402" s="197"/>
      <c r="U402" s="197"/>
      <c r="V402" s="197"/>
      <c r="W402" s="197"/>
      <c r="X402" s="197"/>
      <c r="Y402" s="197"/>
      <c r="Z402" s="197"/>
      <c r="AA402" s="197"/>
      <c r="AB402" s="197"/>
      <c r="AC402" s="197"/>
      <c r="AD402" s="197"/>
      <c r="AE402" s="197"/>
      <c r="AF402" s="197"/>
      <c r="AG402" s="197"/>
      <c r="AH402" s="197"/>
      <c r="AI402" s="197"/>
      <c r="AJ402" s="197"/>
      <c r="AK402" s="197"/>
      <c r="AL402" s="197"/>
    </row>
    <row r="403" spans="1:38">
      <c r="A403" s="11" t="str">
        <f t="shared" si="55"/>
        <v>05-750084792011</v>
      </c>
      <c r="B403" t="s">
        <v>296</v>
      </c>
      <c r="C403" t="s">
        <v>297</v>
      </c>
      <c r="D403">
        <v>2011</v>
      </c>
      <c r="E403" t="s">
        <v>133</v>
      </c>
      <c r="F403">
        <v>722.4</v>
      </c>
      <c r="G403">
        <v>1</v>
      </c>
      <c r="H403" s="11" t="str">
        <f t="shared" si="54"/>
        <v>count</v>
      </c>
      <c r="I403" s="197"/>
      <c r="J403" s="197"/>
      <c r="K403" s="197"/>
      <c r="L403" s="197"/>
      <c r="M403" s="197"/>
      <c r="N403" s="197"/>
      <c r="O403" s="197"/>
      <c r="P403" s="197"/>
      <c r="Q403" s="197"/>
      <c r="R403" s="197"/>
      <c r="S403" s="197"/>
      <c r="T403" s="197"/>
      <c r="U403" s="197"/>
      <c r="V403" s="197"/>
      <c r="W403" s="197"/>
      <c r="X403" s="197"/>
      <c r="Y403" s="197"/>
      <c r="Z403" s="197"/>
      <c r="AA403" s="197"/>
      <c r="AB403" s="197"/>
      <c r="AC403" s="197"/>
      <c r="AD403" s="197"/>
      <c r="AE403" s="197"/>
      <c r="AF403" s="197"/>
      <c r="AG403" s="197"/>
      <c r="AH403" s="197"/>
      <c r="AI403" s="197"/>
      <c r="AJ403" s="197"/>
      <c r="AK403" s="197"/>
      <c r="AL403" s="197"/>
    </row>
    <row r="404" spans="1:38">
      <c r="A404" s="11" t="str">
        <f t="shared" si="55"/>
        <v>05-755151772013</v>
      </c>
      <c r="B404" t="s">
        <v>298</v>
      </c>
      <c r="C404" t="s">
        <v>299</v>
      </c>
      <c r="D404">
        <v>2013</v>
      </c>
      <c r="E404" t="s">
        <v>69</v>
      </c>
      <c r="F404">
        <v>168922.93</v>
      </c>
      <c r="G404">
        <v>398</v>
      </c>
      <c r="H404" s="11" t="str">
        <f t="shared" si="54"/>
        <v>volume</v>
      </c>
      <c r="I404" s="197"/>
      <c r="J404" s="197"/>
      <c r="K404" s="197"/>
      <c r="L404" s="197"/>
      <c r="M404" s="197"/>
      <c r="N404" s="197"/>
      <c r="O404" s="197"/>
      <c r="P404" s="197"/>
      <c r="Q404" s="197"/>
      <c r="R404" s="197"/>
      <c r="S404" s="197"/>
      <c r="T404" s="197"/>
      <c r="U404" s="197"/>
      <c r="V404" s="197"/>
      <c r="W404" s="197"/>
      <c r="X404" s="197"/>
      <c r="Y404" s="197"/>
      <c r="Z404" s="197"/>
      <c r="AA404" s="197"/>
      <c r="AB404" s="197"/>
      <c r="AC404" s="197"/>
      <c r="AD404" s="197"/>
      <c r="AE404" s="197"/>
      <c r="AF404" s="197"/>
      <c r="AG404" s="197"/>
      <c r="AH404" s="197"/>
      <c r="AI404" s="197"/>
      <c r="AJ404" s="197"/>
      <c r="AK404" s="197"/>
      <c r="AL404" s="197"/>
    </row>
    <row r="405" spans="1:38">
      <c r="A405" s="11" t="str">
        <f t="shared" si="55"/>
        <v>05-755151772011</v>
      </c>
      <c r="B405" t="s">
        <v>298</v>
      </c>
      <c r="C405" t="s">
        <v>299</v>
      </c>
      <c r="D405">
        <v>2011</v>
      </c>
      <c r="E405" t="s">
        <v>106</v>
      </c>
      <c r="F405">
        <v>1252.8800000000001</v>
      </c>
      <c r="G405">
        <v>3</v>
      </c>
      <c r="H405" s="11" t="str">
        <f t="shared" si="54"/>
        <v>count</v>
      </c>
      <c r="I405" s="197"/>
      <c r="J405" s="197"/>
      <c r="K405" s="197"/>
      <c r="L405" s="197"/>
      <c r="M405" s="197"/>
      <c r="N405" s="197"/>
      <c r="O405" s="197"/>
      <c r="P405" s="197"/>
      <c r="Q405" s="197"/>
      <c r="R405" s="197"/>
      <c r="S405" s="197"/>
      <c r="T405" s="197"/>
      <c r="U405" s="197"/>
      <c r="V405" s="197"/>
      <c r="W405" s="197"/>
      <c r="X405" s="197"/>
      <c r="Y405" s="197"/>
      <c r="Z405" s="197"/>
      <c r="AA405" s="197"/>
      <c r="AB405" s="197"/>
      <c r="AC405" s="197"/>
      <c r="AD405" s="197"/>
      <c r="AE405" s="197"/>
      <c r="AF405" s="197"/>
      <c r="AG405" s="197"/>
      <c r="AH405" s="197"/>
      <c r="AI405" s="197"/>
      <c r="AJ405" s="197"/>
      <c r="AK405" s="197"/>
      <c r="AL405" s="197"/>
    </row>
    <row r="406" spans="1:38">
      <c r="A406" s="11" t="str">
        <f t="shared" si="55"/>
        <v>05-755151772013</v>
      </c>
      <c r="B406" t="s">
        <v>298</v>
      </c>
      <c r="C406" t="s">
        <v>299</v>
      </c>
      <c r="D406">
        <v>2013</v>
      </c>
      <c r="E406" t="s">
        <v>133</v>
      </c>
      <c r="F406">
        <v>37103.21</v>
      </c>
      <c r="G406">
        <v>62</v>
      </c>
      <c r="H406" s="11" t="str">
        <f t="shared" si="54"/>
        <v>count</v>
      </c>
      <c r="I406" s="197"/>
      <c r="J406" s="197"/>
      <c r="K406" s="197"/>
      <c r="L406" s="197"/>
      <c r="M406" s="197"/>
      <c r="N406" s="197"/>
      <c r="O406" s="197"/>
      <c r="P406" s="197"/>
      <c r="Q406" s="197"/>
      <c r="R406" s="197"/>
      <c r="S406" s="197"/>
      <c r="T406" s="197"/>
      <c r="U406" s="197"/>
      <c r="V406" s="197"/>
      <c r="W406" s="197"/>
      <c r="X406" s="197"/>
      <c r="Y406" s="197"/>
      <c r="Z406" s="197"/>
      <c r="AA406" s="197"/>
      <c r="AB406" s="197"/>
      <c r="AC406" s="197"/>
      <c r="AD406" s="197"/>
      <c r="AE406" s="197"/>
      <c r="AF406" s="197"/>
      <c r="AG406" s="197"/>
      <c r="AH406" s="197"/>
      <c r="AI406" s="197"/>
      <c r="AJ406" s="197"/>
      <c r="AK406" s="197"/>
      <c r="AL406" s="197"/>
    </row>
    <row r="407" spans="1:38">
      <c r="A407" s="11" t="str">
        <f t="shared" si="55"/>
        <v>05-755151772012</v>
      </c>
      <c r="B407" t="s">
        <v>298</v>
      </c>
      <c r="C407" t="s">
        <v>299</v>
      </c>
      <c r="D407">
        <v>2012</v>
      </c>
      <c r="E407" t="s">
        <v>105</v>
      </c>
      <c r="F407">
        <v>24620.35</v>
      </c>
      <c r="G407">
        <v>42</v>
      </c>
      <c r="H407" s="11" t="str">
        <f t="shared" si="54"/>
        <v>count</v>
      </c>
      <c r="I407" s="197"/>
      <c r="J407" s="197"/>
      <c r="K407" s="197"/>
      <c r="L407" s="197"/>
      <c r="M407" s="197"/>
      <c r="N407" s="197"/>
      <c r="O407" s="197"/>
      <c r="P407" s="197"/>
      <c r="Q407" s="197"/>
      <c r="R407" s="197"/>
      <c r="S407" s="197"/>
      <c r="T407" s="197"/>
      <c r="U407" s="197"/>
      <c r="V407" s="197"/>
      <c r="W407" s="197"/>
      <c r="X407" s="197"/>
      <c r="Y407" s="197"/>
      <c r="Z407" s="197"/>
      <c r="AA407" s="197"/>
      <c r="AB407" s="197"/>
      <c r="AC407" s="197"/>
      <c r="AD407" s="197"/>
      <c r="AE407" s="197"/>
      <c r="AF407" s="197"/>
      <c r="AG407" s="197"/>
      <c r="AH407" s="197"/>
      <c r="AI407" s="197"/>
      <c r="AJ407" s="197"/>
      <c r="AK407" s="197"/>
      <c r="AL407" s="197"/>
    </row>
    <row r="408" spans="1:38">
      <c r="A408" s="11" t="str">
        <f t="shared" si="55"/>
        <v>05-755151772013</v>
      </c>
      <c r="B408" t="s">
        <v>298</v>
      </c>
      <c r="C408" t="s">
        <v>299</v>
      </c>
      <c r="D408">
        <v>2013</v>
      </c>
      <c r="E408" t="s">
        <v>63</v>
      </c>
      <c r="F408">
        <v>141608.97</v>
      </c>
      <c r="G408">
        <v>210</v>
      </c>
      <c r="H408" s="11" t="str">
        <f t="shared" si="54"/>
        <v>count</v>
      </c>
      <c r="I408" s="197"/>
      <c r="J408" s="197"/>
      <c r="K408" s="197"/>
      <c r="L408" s="197"/>
      <c r="M408" s="197"/>
      <c r="N408" s="197"/>
      <c r="O408" s="197"/>
      <c r="P408" s="197"/>
      <c r="Q408" s="197"/>
      <c r="R408" s="197"/>
      <c r="S408" s="197"/>
      <c r="T408" s="197"/>
      <c r="U408" s="197"/>
      <c r="V408" s="197"/>
      <c r="W408" s="197"/>
      <c r="X408" s="197"/>
      <c r="Y408" s="197"/>
      <c r="Z408" s="197"/>
      <c r="AA408" s="197"/>
      <c r="AB408" s="197"/>
      <c r="AC408" s="197"/>
      <c r="AD408" s="197"/>
      <c r="AE408" s="197"/>
      <c r="AF408" s="197"/>
      <c r="AG408" s="197"/>
      <c r="AH408" s="197"/>
      <c r="AI408" s="197"/>
      <c r="AJ408" s="197"/>
      <c r="AK408" s="197"/>
      <c r="AL408" s="197"/>
    </row>
    <row r="409" spans="1:38">
      <c r="A409" s="11" t="str">
        <f t="shared" si="55"/>
        <v>05-755151772012</v>
      </c>
      <c r="B409" t="s">
        <v>298</v>
      </c>
      <c r="C409" t="s">
        <v>299</v>
      </c>
      <c r="D409">
        <v>2012</v>
      </c>
      <c r="E409" t="s">
        <v>106</v>
      </c>
      <c r="F409">
        <v>11935.69</v>
      </c>
      <c r="G409">
        <v>14</v>
      </c>
      <c r="H409" s="11" t="str">
        <f t="shared" si="54"/>
        <v>count</v>
      </c>
      <c r="I409" s="197"/>
      <c r="J409" s="197"/>
      <c r="K409" s="197"/>
      <c r="L409" s="197"/>
      <c r="M409" s="197"/>
      <c r="N409" s="197"/>
      <c r="O409" s="197"/>
      <c r="P409" s="197"/>
      <c r="Q409" s="197"/>
      <c r="R409" s="197"/>
      <c r="S409" s="197"/>
      <c r="T409" s="197"/>
      <c r="U409" s="197"/>
      <c r="V409" s="197"/>
      <c r="W409" s="197"/>
      <c r="X409" s="197"/>
      <c r="Y409" s="197"/>
      <c r="Z409" s="197"/>
      <c r="AA409" s="197"/>
      <c r="AB409" s="197"/>
      <c r="AC409" s="197"/>
      <c r="AD409" s="197"/>
      <c r="AE409" s="197"/>
      <c r="AF409" s="197"/>
      <c r="AG409" s="197"/>
      <c r="AH409" s="197"/>
      <c r="AI409" s="197"/>
      <c r="AJ409" s="197"/>
      <c r="AK409" s="197"/>
      <c r="AL409" s="197"/>
    </row>
    <row r="410" spans="1:38">
      <c r="A410" s="11" t="str">
        <f t="shared" si="55"/>
        <v>05-755151772013</v>
      </c>
      <c r="B410" t="s">
        <v>298</v>
      </c>
      <c r="C410" t="s">
        <v>299</v>
      </c>
      <c r="D410">
        <v>2013</v>
      </c>
      <c r="E410" t="s">
        <v>104</v>
      </c>
      <c r="F410">
        <v>73835.839999999997</v>
      </c>
      <c r="G410">
        <v>126</v>
      </c>
      <c r="H410" s="11" t="str">
        <f t="shared" si="54"/>
        <v>count</v>
      </c>
      <c r="I410" s="197"/>
      <c r="J410" s="197"/>
      <c r="K410" s="197"/>
      <c r="L410" s="197"/>
      <c r="M410" s="197"/>
      <c r="N410" s="197"/>
      <c r="O410" s="197"/>
      <c r="P410" s="197"/>
      <c r="Q410" s="197"/>
      <c r="R410" s="197"/>
      <c r="S410" s="197"/>
      <c r="T410" s="197"/>
      <c r="U410" s="197"/>
      <c r="V410" s="197"/>
      <c r="W410" s="197"/>
      <c r="X410" s="197"/>
      <c r="Y410" s="197"/>
      <c r="Z410" s="197"/>
      <c r="AA410" s="197"/>
      <c r="AB410" s="197"/>
      <c r="AC410" s="197"/>
      <c r="AD410" s="197"/>
      <c r="AE410" s="197"/>
      <c r="AF410" s="197"/>
      <c r="AG410" s="197"/>
      <c r="AH410" s="197"/>
      <c r="AI410" s="197"/>
      <c r="AJ410" s="197"/>
      <c r="AK410" s="197"/>
      <c r="AL410" s="197"/>
    </row>
    <row r="411" spans="1:38">
      <c r="A411" s="11" t="str">
        <f t="shared" si="55"/>
        <v>05-755151772011</v>
      </c>
      <c r="B411" t="s">
        <v>298</v>
      </c>
      <c r="C411" t="s">
        <v>299</v>
      </c>
      <c r="D411">
        <v>2011</v>
      </c>
      <c r="E411" t="s">
        <v>105</v>
      </c>
      <c r="F411">
        <v>20149.46</v>
      </c>
      <c r="G411">
        <v>44</v>
      </c>
      <c r="H411" s="11" t="str">
        <f t="shared" si="54"/>
        <v>count</v>
      </c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</row>
    <row r="412" spans="1:38">
      <c r="A412" s="11" t="str">
        <f t="shared" si="55"/>
        <v>05-755151772012</v>
      </c>
      <c r="B412" t="s">
        <v>298</v>
      </c>
      <c r="C412" t="s">
        <v>299</v>
      </c>
      <c r="D412">
        <v>2012</v>
      </c>
      <c r="E412" t="s">
        <v>63</v>
      </c>
      <c r="F412">
        <v>141867.51</v>
      </c>
      <c r="G412">
        <v>238</v>
      </c>
      <c r="H412" s="11" t="str">
        <f t="shared" si="54"/>
        <v>count</v>
      </c>
      <c r="I412" s="197"/>
      <c r="J412" s="197"/>
      <c r="K412" s="197"/>
      <c r="L412" s="197"/>
      <c r="M412" s="197"/>
      <c r="N412" s="197"/>
      <c r="O412" s="197"/>
      <c r="P412" s="197"/>
      <c r="Q412" s="197"/>
      <c r="R412" s="197"/>
      <c r="S412" s="197"/>
      <c r="T412" s="197"/>
      <c r="U412" s="197"/>
      <c r="V412" s="197"/>
      <c r="W412" s="197"/>
      <c r="X412" s="197"/>
      <c r="Y412" s="197"/>
      <c r="Z412" s="197"/>
      <c r="AA412" s="197"/>
      <c r="AB412" s="197"/>
      <c r="AC412" s="197"/>
      <c r="AD412" s="197"/>
      <c r="AE412" s="197"/>
      <c r="AF412" s="197"/>
      <c r="AG412" s="197"/>
      <c r="AH412" s="197"/>
      <c r="AI412" s="197"/>
      <c r="AJ412" s="197"/>
      <c r="AK412" s="197"/>
      <c r="AL412" s="197"/>
    </row>
    <row r="413" spans="1:38">
      <c r="A413" s="11" t="str">
        <f t="shared" si="55"/>
        <v>05-755151772011</v>
      </c>
      <c r="B413" t="s">
        <v>298</v>
      </c>
      <c r="C413" t="s">
        <v>299</v>
      </c>
      <c r="D413">
        <v>2011</v>
      </c>
      <c r="E413" t="s">
        <v>133</v>
      </c>
      <c r="F413">
        <v>71101.33</v>
      </c>
      <c r="G413">
        <v>125</v>
      </c>
      <c r="H413" s="11" t="str">
        <f t="shared" si="54"/>
        <v>count</v>
      </c>
      <c r="I413" s="197"/>
      <c r="J413" s="197"/>
      <c r="K413" s="197"/>
      <c r="L413" s="197"/>
      <c r="M413" s="197"/>
      <c r="N413" s="197"/>
      <c r="O413" s="197"/>
      <c r="P413" s="197"/>
      <c r="Q413" s="197"/>
      <c r="R413" s="197"/>
      <c r="S413" s="197"/>
      <c r="T413" s="197"/>
      <c r="U413" s="197"/>
      <c r="V413" s="197"/>
      <c r="W413" s="197"/>
      <c r="X413" s="197"/>
      <c r="Y413" s="197"/>
      <c r="Z413" s="197"/>
      <c r="AA413" s="197"/>
      <c r="AB413" s="197"/>
      <c r="AC413" s="197"/>
      <c r="AD413" s="197"/>
      <c r="AE413" s="197"/>
      <c r="AF413" s="197"/>
      <c r="AG413" s="197"/>
      <c r="AH413" s="197"/>
      <c r="AI413" s="197"/>
      <c r="AJ413" s="197"/>
      <c r="AK413" s="197"/>
      <c r="AL413" s="197"/>
    </row>
    <row r="414" spans="1:38">
      <c r="A414" s="11" t="str">
        <f t="shared" si="55"/>
        <v>05-755151772013</v>
      </c>
      <c r="B414" t="s">
        <v>298</v>
      </c>
      <c r="C414" t="s">
        <v>299</v>
      </c>
      <c r="D414">
        <v>2013</v>
      </c>
      <c r="E414" t="s">
        <v>106</v>
      </c>
      <c r="F414">
        <v>20899.14</v>
      </c>
      <c r="G414">
        <v>40</v>
      </c>
      <c r="H414" s="11" t="str">
        <f t="shared" si="54"/>
        <v>count</v>
      </c>
      <c r="I414" s="197"/>
      <c r="J414" s="197"/>
      <c r="K414" s="197"/>
      <c r="L414" s="197"/>
      <c r="M414" s="197"/>
      <c r="N414" s="197"/>
      <c r="O414" s="197"/>
      <c r="P414" s="197"/>
      <c r="Q414" s="197"/>
      <c r="R414" s="197"/>
      <c r="S414" s="197"/>
      <c r="T414" s="197"/>
      <c r="U414" s="197"/>
      <c r="V414" s="197"/>
      <c r="W414" s="197"/>
      <c r="X414" s="197"/>
      <c r="Y414" s="197"/>
      <c r="Z414" s="197"/>
      <c r="AA414" s="197"/>
      <c r="AB414" s="197"/>
      <c r="AC414" s="197"/>
      <c r="AD414" s="197"/>
      <c r="AE414" s="197"/>
      <c r="AF414" s="197"/>
      <c r="AG414" s="197"/>
      <c r="AH414" s="197"/>
      <c r="AI414" s="197"/>
      <c r="AJ414" s="197"/>
      <c r="AK414" s="197"/>
      <c r="AL414" s="197"/>
    </row>
    <row r="415" spans="1:38">
      <c r="A415" s="11" t="str">
        <f t="shared" si="55"/>
        <v>05-755151772012</v>
      </c>
      <c r="B415" t="s">
        <v>298</v>
      </c>
      <c r="C415" t="s">
        <v>299</v>
      </c>
      <c r="D415">
        <v>2012</v>
      </c>
      <c r="E415" t="s">
        <v>104</v>
      </c>
      <c r="F415">
        <v>116365.93</v>
      </c>
      <c r="G415">
        <v>214</v>
      </c>
      <c r="H415" s="11" t="str">
        <f t="shared" si="54"/>
        <v>count</v>
      </c>
      <c r="I415" s="197"/>
      <c r="J415" s="197"/>
      <c r="K415" s="197"/>
      <c r="L415" s="197"/>
      <c r="M415" s="197"/>
      <c r="N415" s="197"/>
      <c r="O415" s="197"/>
      <c r="P415" s="197"/>
      <c r="Q415" s="197"/>
      <c r="R415" s="197"/>
      <c r="S415" s="197"/>
      <c r="T415" s="197"/>
      <c r="U415" s="197"/>
      <c r="V415" s="197"/>
      <c r="W415" s="197"/>
      <c r="X415" s="197"/>
      <c r="Y415" s="197"/>
      <c r="Z415" s="197"/>
      <c r="AA415" s="197"/>
      <c r="AB415" s="197"/>
      <c r="AC415" s="197"/>
      <c r="AD415" s="197"/>
      <c r="AE415" s="197"/>
      <c r="AF415" s="197"/>
      <c r="AG415" s="197"/>
      <c r="AH415" s="197"/>
      <c r="AI415" s="197"/>
      <c r="AJ415" s="197"/>
      <c r="AK415" s="197"/>
      <c r="AL415" s="197"/>
    </row>
    <row r="416" spans="1:38">
      <c r="A416" s="11" t="str">
        <f t="shared" si="55"/>
        <v>05-755151772013</v>
      </c>
      <c r="B416" t="s">
        <v>298</v>
      </c>
      <c r="C416" t="s">
        <v>299</v>
      </c>
      <c r="D416">
        <v>2013</v>
      </c>
      <c r="E416" t="s">
        <v>105</v>
      </c>
      <c r="F416">
        <v>12909.6</v>
      </c>
      <c r="G416">
        <v>25</v>
      </c>
      <c r="H416" s="11" t="str">
        <f t="shared" si="54"/>
        <v>count</v>
      </c>
      <c r="I416" s="197"/>
      <c r="J416" s="197"/>
      <c r="K416" s="197"/>
      <c r="L416" s="197"/>
      <c r="M416" s="197"/>
      <c r="N416" s="197"/>
      <c r="O416" s="197"/>
      <c r="P416" s="197"/>
      <c r="Q416" s="197"/>
      <c r="R416" s="197"/>
      <c r="S416" s="197"/>
      <c r="T416" s="197"/>
      <c r="U416" s="197"/>
      <c r="V416" s="197"/>
      <c r="W416" s="197"/>
      <c r="X416" s="197"/>
      <c r="Y416" s="197"/>
      <c r="Z416" s="197"/>
      <c r="AA416" s="197"/>
      <c r="AB416" s="197"/>
      <c r="AC416" s="197"/>
      <c r="AD416" s="197"/>
      <c r="AE416" s="197"/>
      <c r="AF416" s="197"/>
      <c r="AG416" s="197"/>
      <c r="AH416" s="197"/>
      <c r="AI416" s="197"/>
      <c r="AJ416" s="197"/>
      <c r="AK416" s="197"/>
      <c r="AL416" s="197"/>
    </row>
    <row r="417" spans="1:38">
      <c r="A417" s="11" t="str">
        <f t="shared" si="55"/>
        <v>05-755151772012</v>
      </c>
      <c r="B417" t="s">
        <v>298</v>
      </c>
      <c r="C417" t="s">
        <v>299</v>
      </c>
      <c r="D417">
        <v>2012</v>
      </c>
      <c r="E417" t="s">
        <v>133</v>
      </c>
      <c r="F417">
        <v>35694.69</v>
      </c>
      <c r="G417">
        <v>68</v>
      </c>
      <c r="H417" s="11" t="str">
        <f t="shared" si="54"/>
        <v>count</v>
      </c>
      <c r="I417" s="197"/>
      <c r="J417" s="197"/>
      <c r="K417" s="197"/>
      <c r="L417" s="197"/>
      <c r="M417" s="197"/>
      <c r="N417" s="197"/>
      <c r="O417" s="197"/>
      <c r="P417" s="197"/>
      <c r="Q417" s="197"/>
      <c r="R417" s="197"/>
      <c r="S417" s="197"/>
      <c r="T417" s="197"/>
      <c r="U417" s="197"/>
      <c r="V417" s="197"/>
      <c r="W417" s="197"/>
      <c r="X417" s="197"/>
      <c r="Y417" s="197"/>
      <c r="Z417" s="197"/>
      <c r="AA417" s="197"/>
      <c r="AB417" s="197"/>
      <c r="AC417" s="197"/>
      <c r="AD417" s="197"/>
      <c r="AE417" s="197"/>
      <c r="AF417" s="197"/>
      <c r="AG417" s="197"/>
      <c r="AH417" s="197"/>
      <c r="AI417" s="197"/>
      <c r="AJ417" s="197"/>
      <c r="AK417" s="197"/>
      <c r="AL417" s="197"/>
    </row>
    <row r="418" spans="1:38">
      <c r="A418" s="11" t="str">
        <f t="shared" si="55"/>
        <v>05-755151772011</v>
      </c>
      <c r="B418" t="s">
        <v>298</v>
      </c>
      <c r="C418" t="s">
        <v>299</v>
      </c>
      <c r="D418">
        <v>2011</v>
      </c>
      <c r="E418" t="s">
        <v>104</v>
      </c>
      <c r="F418">
        <v>185046.44</v>
      </c>
      <c r="G418">
        <v>305</v>
      </c>
      <c r="H418" s="11" t="str">
        <f t="shared" si="54"/>
        <v>count</v>
      </c>
      <c r="I418" s="197"/>
      <c r="J418" s="197"/>
      <c r="K418" s="197"/>
      <c r="L418" s="197"/>
      <c r="M418" s="197"/>
      <c r="N418" s="197"/>
      <c r="O418" s="197"/>
      <c r="P418" s="197"/>
      <c r="Q418" s="197"/>
      <c r="R418" s="197"/>
      <c r="S418" s="197"/>
      <c r="T418" s="197"/>
      <c r="U418" s="197"/>
      <c r="V418" s="197"/>
      <c r="W418" s="197"/>
      <c r="X418" s="197"/>
      <c r="Y418" s="197"/>
      <c r="Z418" s="197"/>
      <c r="AA418" s="197"/>
      <c r="AB418" s="197"/>
      <c r="AC418" s="197"/>
      <c r="AD418" s="197"/>
      <c r="AE418" s="197"/>
      <c r="AF418" s="197"/>
      <c r="AG418" s="197"/>
      <c r="AH418" s="197"/>
      <c r="AI418" s="197"/>
      <c r="AJ418" s="197"/>
      <c r="AK418" s="197"/>
      <c r="AL418" s="197"/>
    </row>
    <row r="419" spans="1:38">
      <c r="A419" s="11" t="str">
        <f t="shared" si="55"/>
        <v>05-755151772012</v>
      </c>
      <c r="B419" t="s">
        <v>298</v>
      </c>
      <c r="C419" t="s">
        <v>299</v>
      </c>
      <c r="D419">
        <v>2012</v>
      </c>
      <c r="E419" t="s">
        <v>69</v>
      </c>
      <c r="F419">
        <v>216496.33</v>
      </c>
      <c r="G419">
        <v>453</v>
      </c>
      <c r="H419" s="11" t="str">
        <f t="shared" si="54"/>
        <v>count</v>
      </c>
      <c r="I419" s="197"/>
      <c r="J419" s="197"/>
      <c r="K419" s="197"/>
      <c r="L419" s="197"/>
      <c r="M419" s="197"/>
      <c r="N419" s="197"/>
      <c r="O419" s="197"/>
      <c r="P419" s="197"/>
      <c r="Q419" s="197"/>
      <c r="R419" s="197"/>
      <c r="S419" s="197"/>
      <c r="T419" s="197"/>
      <c r="U419" s="197"/>
      <c r="V419" s="197"/>
      <c r="W419" s="197"/>
      <c r="X419" s="197"/>
      <c r="Y419" s="197"/>
      <c r="Z419" s="197"/>
      <c r="AA419" s="197"/>
      <c r="AB419" s="197"/>
      <c r="AC419" s="197"/>
      <c r="AD419" s="197"/>
      <c r="AE419" s="197"/>
      <c r="AF419" s="197"/>
      <c r="AG419" s="197"/>
      <c r="AH419" s="197"/>
      <c r="AI419" s="197"/>
      <c r="AJ419" s="197"/>
      <c r="AK419" s="197"/>
      <c r="AL419" s="197"/>
    </row>
    <row r="420" spans="1:38">
      <c r="A420" s="11" t="str">
        <f t="shared" si="55"/>
        <v>05-755151772011</v>
      </c>
      <c r="B420" t="s">
        <v>298</v>
      </c>
      <c r="C420" t="s">
        <v>299</v>
      </c>
      <c r="D420">
        <v>2011</v>
      </c>
      <c r="E420" t="s">
        <v>63</v>
      </c>
      <c r="F420">
        <v>354974.46</v>
      </c>
      <c r="G420">
        <v>689</v>
      </c>
      <c r="H420" s="11" t="str">
        <f t="shared" si="54"/>
        <v>count</v>
      </c>
      <c r="I420" s="197"/>
      <c r="J420" s="197"/>
      <c r="K420" s="197"/>
      <c r="L420" s="197"/>
      <c r="M420" s="197"/>
      <c r="N420" s="197"/>
      <c r="O420" s="197"/>
      <c r="P420" s="197"/>
      <c r="Q420" s="197"/>
      <c r="R420" s="197"/>
      <c r="S420" s="197"/>
      <c r="T420" s="197"/>
      <c r="U420" s="197"/>
      <c r="V420" s="197"/>
      <c r="W420" s="197"/>
      <c r="X420" s="197"/>
      <c r="Y420" s="197"/>
      <c r="Z420" s="197"/>
      <c r="AA420" s="197"/>
      <c r="AB420" s="197"/>
      <c r="AC420" s="197"/>
      <c r="AD420" s="197"/>
      <c r="AE420" s="197"/>
      <c r="AF420" s="197"/>
      <c r="AG420" s="197"/>
      <c r="AH420" s="197"/>
      <c r="AI420" s="197"/>
      <c r="AJ420" s="197"/>
      <c r="AK420" s="197"/>
      <c r="AL420" s="197"/>
    </row>
    <row r="421" spans="1:38">
      <c r="A421" s="11" t="str">
        <f t="shared" si="55"/>
        <v>05-756551672013</v>
      </c>
      <c r="B421" t="s">
        <v>300</v>
      </c>
      <c r="C421" t="s">
        <v>301</v>
      </c>
      <c r="D421">
        <v>2013</v>
      </c>
      <c r="E421" t="s">
        <v>133</v>
      </c>
      <c r="F421">
        <v>111896.95</v>
      </c>
      <c r="G421">
        <v>165</v>
      </c>
      <c r="H421" s="11" t="str">
        <f t="shared" si="54"/>
        <v>volume</v>
      </c>
      <c r="I421" s="197"/>
      <c r="J421" s="197"/>
      <c r="K421" s="197"/>
      <c r="L421" s="197"/>
      <c r="M421" s="197"/>
      <c r="N421" s="197"/>
      <c r="O421" s="197"/>
      <c r="P421" s="197"/>
      <c r="Q421" s="197"/>
      <c r="R421" s="197"/>
      <c r="S421" s="197"/>
      <c r="T421" s="197"/>
      <c r="U421" s="197"/>
      <c r="V421" s="197"/>
      <c r="W421" s="197"/>
      <c r="X421" s="197"/>
      <c r="Y421" s="197"/>
      <c r="Z421" s="197"/>
      <c r="AA421" s="197"/>
      <c r="AB421" s="197"/>
      <c r="AC421" s="197"/>
      <c r="AD421" s="197"/>
      <c r="AE421" s="197"/>
      <c r="AF421" s="197"/>
      <c r="AG421" s="197"/>
      <c r="AH421" s="197"/>
      <c r="AI421" s="197"/>
      <c r="AJ421" s="197"/>
      <c r="AK421" s="197"/>
      <c r="AL421" s="197"/>
    </row>
    <row r="422" spans="1:38">
      <c r="A422" s="11" t="str">
        <f t="shared" si="55"/>
        <v>05-756551672013</v>
      </c>
      <c r="B422" t="s">
        <v>300</v>
      </c>
      <c r="C422" t="s">
        <v>301</v>
      </c>
      <c r="D422">
        <v>2013</v>
      </c>
      <c r="E422" t="s">
        <v>69</v>
      </c>
      <c r="F422">
        <v>209906.23</v>
      </c>
      <c r="G422">
        <v>363</v>
      </c>
      <c r="H422" s="11" t="str">
        <f t="shared" si="54"/>
        <v>count</v>
      </c>
      <c r="I422" s="197"/>
      <c r="J422" s="197"/>
      <c r="K422" s="197"/>
      <c r="L422" s="197"/>
      <c r="M422" s="197"/>
      <c r="N422" s="197"/>
      <c r="O422" s="197"/>
      <c r="P422" s="197"/>
      <c r="Q422" s="197"/>
      <c r="R422" s="197"/>
      <c r="S422" s="197"/>
      <c r="T422" s="197"/>
      <c r="U422" s="197"/>
      <c r="V422" s="197"/>
      <c r="W422" s="197"/>
      <c r="X422" s="197"/>
      <c r="Y422" s="197"/>
      <c r="Z422" s="197"/>
      <c r="AA422" s="197"/>
      <c r="AB422" s="197"/>
      <c r="AC422" s="197"/>
      <c r="AD422" s="197"/>
      <c r="AE422" s="197"/>
      <c r="AF422" s="197"/>
      <c r="AG422" s="197"/>
      <c r="AH422" s="197"/>
      <c r="AI422" s="197"/>
      <c r="AJ422" s="197"/>
      <c r="AK422" s="197"/>
      <c r="AL422" s="197"/>
    </row>
    <row r="423" spans="1:38">
      <c r="A423" s="11" t="str">
        <f t="shared" si="55"/>
        <v>05-756551672012</v>
      </c>
      <c r="B423" t="s">
        <v>300</v>
      </c>
      <c r="C423" t="s">
        <v>301</v>
      </c>
      <c r="D423">
        <v>2012</v>
      </c>
      <c r="E423" t="s">
        <v>1074</v>
      </c>
      <c r="F423">
        <v>12686.67</v>
      </c>
      <c r="G423">
        <v>19</v>
      </c>
      <c r="H423" s="11" t="str">
        <f t="shared" si="54"/>
        <v>count</v>
      </c>
      <c r="I423" s="197"/>
      <c r="J423" s="197"/>
      <c r="K423" s="197"/>
      <c r="L423" s="197"/>
      <c r="M423" s="197"/>
      <c r="N423" s="197"/>
      <c r="O423" s="197"/>
      <c r="P423" s="197"/>
      <c r="Q423" s="197"/>
      <c r="R423" s="197"/>
      <c r="S423" s="197"/>
      <c r="T423" s="197"/>
      <c r="U423" s="197"/>
      <c r="V423" s="197"/>
      <c r="W423" s="197"/>
      <c r="X423" s="197"/>
      <c r="Y423" s="197"/>
      <c r="Z423" s="197"/>
      <c r="AA423" s="197"/>
      <c r="AB423" s="197"/>
      <c r="AC423" s="197"/>
      <c r="AD423" s="197"/>
      <c r="AE423" s="197"/>
      <c r="AF423" s="197"/>
      <c r="AG423" s="197"/>
      <c r="AH423" s="197"/>
      <c r="AI423" s="197"/>
      <c r="AJ423" s="197"/>
      <c r="AK423" s="197"/>
      <c r="AL423" s="197"/>
    </row>
    <row r="424" spans="1:38">
      <c r="A424" s="11" t="str">
        <f t="shared" si="55"/>
        <v>05-756551672012</v>
      </c>
      <c r="B424" t="s">
        <v>300</v>
      </c>
      <c r="C424" t="s">
        <v>301</v>
      </c>
      <c r="D424">
        <v>2012</v>
      </c>
      <c r="E424" t="s">
        <v>63</v>
      </c>
      <c r="F424">
        <v>454097.77</v>
      </c>
      <c r="G424">
        <v>628</v>
      </c>
      <c r="H424" s="11" t="str">
        <f t="shared" si="54"/>
        <v>count</v>
      </c>
      <c r="I424" s="197"/>
      <c r="J424" s="197"/>
      <c r="K424" s="197"/>
      <c r="L424" s="197"/>
      <c r="M424" s="197"/>
      <c r="N424" s="197"/>
      <c r="O424" s="197"/>
      <c r="P424" s="197"/>
      <c r="Q424" s="197"/>
      <c r="R424" s="197"/>
      <c r="S424" s="197"/>
      <c r="T424" s="197"/>
      <c r="U424" s="197"/>
      <c r="V424" s="197"/>
      <c r="W424" s="197"/>
      <c r="X424" s="197"/>
      <c r="Y424" s="197"/>
      <c r="Z424" s="197"/>
      <c r="AA424" s="197"/>
      <c r="AB424" s="197"/>
      <c r="AC424" s="197"/>
      <c r="AD424" s="197"/>
      <c r="AE424" s="197"/>
      <c r="AF424" s="197"/>
      <c r="AG424" s="197"/>
      <c r="AH424" s="197"/>
      <c r="AI424" s="197"/>
      <c r="AJ424" s="197"/>
      <c r="AK424" s="197"/>
      <c r="AL424" s="197"/>
    </row>
    <row r="425" spans="1:38">
      <c r="A425" s="11" t="str">
        <f t="shared" si="55"/>
        <v>05-756551672013</v>
      </c>
      <c r="B425" t="s">
        <v>300</v>
      </c>
      <c r="C425" t="s">
        <v>301</v>
      </c>
      <c r="D425">
        <v>2013</v>
      </c>
      <c r="E425" t="s">
        <v>105</v>
      </c>
      <c r="F425">
        <v>47438.81</v>
      </c>
      <c r="G425">
        <v>66</v>
      </c>
      <c r="H425" s="11" t="str">
        <f t="shared" si="54"/>
        <v>count</v>
      </c>
      <c r="I425" s="197"/>
      <c r="J425" s="197"/>
      <c r="K425" s="197"/>
      <c r="L425" s="197"/>
      <c r="M425" s="197"/>
      <c r="N425" s="197"/>
      <c r="O425" s="197"/>
      <c r="P425" s="197"/>
      <c r="Q425" s="197"/>
      <c r="R425" s="197"/>
      <c r="S425" s="197"/>
      <c r="T425" s="197"/>
      <c r="U425" s="197"/>
      <c r="V425" s="197"/>
      <c r="W425" s="197"/>
      <c r="X425" s="197"/>
      <c r="Y425" s="197"/>
      <c r="Z425" s="197"/>
      <c r="AA425" s="197"/>
      <c r="AB425" s="197"/>
      <c r="AC425" s="197"/>
      <c r="AD425" s="197"/>
      <c r="AE425" s="197"/>
      <c r="AF425" s="197"/>
      <c r="AG425" s="197"/>
      <c r="AH425" s="197"/>
      <c r="AI425" s="197"/>
      <c r="AJ425" s="197"/>
      <c r="AK425" s="197"/>
      <c r="AL425" s="197"/>
    </row>
    <row r="426" spans="1:38">
      <c r="A426" s="11" t="str">
        <f t="shared" si="55"/>
        <v>05-756551672012</v>
      </c>
      <c r="B426" t="s">
        <v>300</v>
      </c>
      <c r="C426" t="s">
        <v>301</v>
      </c>
      <c r="D426">
        <v>2012</v>
      </c>
      <c r="E426" t="s">
        <v>104</v>
      </c>
      <c r="F426">
        <v>275810.11</v>
      </c>
      <c r="G426">
        <v>403</v>
      </c>
      <c r="H426" s="11" t="str">
        <f t="shared" si="54"/>
        <v>count</v>
      </c>
      <c r="I426" s="197"/>
      <c r="J426" s="197"/>
      <c r="K426" s="197"/>
      <c r="L426" s="197"/>
      <c r="M426" s="197"/>
      <c r="N426" s="197"/>
      <c r="O426" s="197"/>
      <c r="P426" s="197"/>
      <c r="Q426" s="197"/>
      <c r="R426" s="197"/>
      <c r="S426" s="197"/>
      <c r="T426" s="197"/>
      <c r="U426" s="197"/>
      <c r="V426" s="197"/>
      <c r="W426" s="197"/>
      <c r="X426" s="197"/>
      <c r="Y426" s="197"/>
      <c r="Z426" s="197"/>
      <c r="AA426" s="197"/>
      <c r="AB426" s="197"/>
      <c r="AC426" s="197"/>
      <c r="AD426" s="197"/>
      <c r="AE426" s="197"/>
      <c r="AF426" s="197"/>
      <c r="AG426" s="197"/>
      <c r="AH426" s="197"/>
      <c r="AI426" s="197"/>
      <c r="AJ426" s="197"/>
      <c r="AK426" s="197"/>
      <c r="AL426" s="197"/>
    </row>
    <row r="427" spans="1:38">
      <c r="A427" s="11" t="str">
        <f t="shared" si="55"/>
        <v>05-756551672012</v>
      </c>
      <c r="B427" t="s">
        <v>300</v>
      </c>
      <c r="C427" t="s">
        <v>301</v>
      </c>
      <c r="D427">
        <v>2012</v>
      </c>
      <c r="E427" t="s">
        <v>1075</v>
      </c>
      <c r="F427">
        <v>29875.919999999998</v>
      </c>
      <c r="G427">
        <v>51</v>
      </c>
      <c r="H427" s="11" t="str">
        <f t="shared" si="54"/>
        <v>count</v>
      </c>
      <c r="I427" s="197"/>
      <c r="J427" s="197"/>
      <c r="K427" s="197"/>
      <c r="L427" s="197"/>
      <c r="M427" s="197"/>
      <c r="N427" s="197"/>
      <c r="O427" s="197"/>
      <c r="P427" s="197"/>
      <c r="Q427" s="197"/>
      <c r="R427" s="197"/>
      <c r="S427" s="197"/>
      <c r="T427" s="197"/>
      <c r="U427" s="197"/>
      <c r="V427" s="197"/>
      <c r="W427" s="197"/>
      <c r="X427" s="197"/>
      <c r="Y427" s="197"/>
      <c r="Z427" s="197"/>
      <c r="AA427" s="197"/>
      <c r="AB427" s="197"/>
      <c r="AC427" s="197"/>
      <c r="AD427" s="197"/>
      <c r="AE427" s="197"/>
      <c r="AF427" s="197"/>
      <c r="AG427" s="197"/>
      <c r="AH427" s="197"/>
      <c r="AI427" s="197"/>
      <c r="AJ427" s="197"/>
      <c r="AK427" s="197"/>
      <c r="AL427" s="197"/>
    </row>
    <row r="428" spans="1:38">
      <c r="A428" s="11" t="str">
        <f t="shared" si="55"/>
        <v>05-756551672012</v>
      </c>
      <c r="B428" t="s">
        <v>300</v>
      </c>
      <c r="C428" t="s">
        <v>301</v>
      </c>
      <c r="D428">
        <v>2012</v>
      </c>
      <c r="E428" t="s">
        <v>69</v>
      </c>
      <c r="F428">
        <v>166072.69</v>
      </c>
      <c r="G428">
        <v>301</v>
      </c>
      <c r="H428" s="11" t="str">
        <f t="shared" si="54"/>
        <v>count</v>
      </c>
      <c r="I428" s="197"/>
      <c r="J428" s="197"/>
      <c r="K428" s="197"/>
      <c r="L428" s="197"/>
      <c r="M428" s="197"/>
      <c r="N428" s="197"/>
      <c r="O428" s="197"/>
      <c r="P428" s="197"/>
      <c r="Q428" s="197"/>
      <c r="R428" s="197"/>
      <c r="S428" s="197"/>
      <c r="T428" s="197"/>
      <c r="U428" s="197"/>
      <c r="V428" s="197"/>
      <c r="W428" s="197"/>
      <c r="X428" s="197"/>
      <c r="Y428" s="197"/>
      <c r="Z428" s="197"/>
      <c r="AA428" s="197"/>
      <c r="AB428" s="197"/>
      <c r="AC428" s="197"/>
      <c r="AD428" s="197"/>
      <c r="AE428" s="197"/>
      <c r="AF428" s="197"/>
      <c r="AG428" s="197"/>
      <c r="AH428" s="197"/>
      <c r="AI428" s="197"/>
      <c r="AJ428" s="197"/>
      <c r="AK428" s="197"/>
      <c r="AL428" s="197"/>
    </row>
    <row r="429" spans="1:38">
      <c r="A429" s="11" t="str">
        <f t="shared" si="55"/>
        <v>05-756551672012</v>
      </c>
      <c r="B429" t="s">
        <v>300</v>
      </c>
      <c r="C429" t="s">
        <v>301</v>
      </c>
      <c r="D429">
        <v>2012</v>
      </c>
      <c r="E429" t="s">
        <v>133</v>
      </c>
      <c r="F429">
        <v>115542.87</v>
      </c>
      <c r="G429">
        <v>139</v>
      </c>
      <c r="H429" s="11" t="str">
        <f t="shared" si="54"/>
        <v>count</v>
      </c>
      <c r="I429" s="197"/>
      <c r="J429" s="197"/>
      <c r="K429" s="197"/>
      <c r="L429" s="197"/>
      <c r="M429" s="197"/>
      <c r="N429" s="197"/>
      <c r="O429" s="197"/>
      <c r="P429" s="197"/>
      <c r="Q429" s="197"/>
      <c r="R429" s="197"/>
      <c r="S429" s="197"/>
      <c r="T429" s="197"/>
      <c r="U429" s="197"/>
      <c r="V429" s="197"/>
      <c r="W429" s="197"/>
      <c r="X429" s="197"/>
      <c r="Y429" s="197"/>
      <c r="Z429" s="197"/>
      <c r="AA429" s="197"/>
      <c r="AB429" s="197"/>
      <c r="AC429" s="197"/>
      <c r="AD429" s="197"/>
      <c r="AE429" s="197"/>
      <c r="AF429" s="197"/>
      <c r="AG429" s="197"/>
      <c r="AH429" s="197"/>
      <c r="AI429" s="197"/>
      <c r="AJ429" s="197"/>
      <c r="AK429" s="197"/>
      <c r="AL429" s="197"/>
    </row>
    <row r="430" spans="1:38">
      <c r="A430" s="11" t="str">
        <f t="shared" si="55"/>
        <v>05-756551672011</v>
      </c>
      <c r="B430" t="s">
        <v>300</v>
      </c>
      <c r="C430" t="s">
        <v>301</v>
      </c>
      <c r="D430">
        <v>2011</v>
      </c>
      <c r="E430" t="s">
        <v>1076</v>
      </c>
      <c r="F430">
        <v>19779.060000000001</v>
      </c>
      <c r="G430">
        <v>42</v>
      </c>
      <c r="H430" s="11" t="str">
        <f t="shared" si="54"/>
        <v>count</v>
      </c>
      <c r="I430" s="197"/>
      <c r="J430" s="197"/>
      <c r="K430" s="197"/>
      <c r="L430" s="197"/>
      <c r="M430" s="197"/>
      <c r="N430" s="197"/>
      <c r="O430" s="197"/>
      <c r="P430" s="197"/>
      <c r="Q430" s="197"/>
      <c r="R430" s="197"/>
      <c r="S430" s="197"/>
      <c r="T430" s="197"/>
      <c r="U430" s="197"/>
      <c r="V430" s="197"/>
      <c r="W430" s="197"/>
      <c r="X430" s="197"/>
      <c r="Y430" s="197"/>
      <c r="Z430" s="197"/>
      <c r="AA430" s="197"/>
      <c r="AB430" s="197"/>
      <c r="AC430" s="197"/>
      <c r="AD430" s="197"/>
      <c r="AE430" s="197"/>
      <c r="AF430" s="197"/>
      <c r="AG430" s="197"/>
      <c r="AH430" s="197"/>
      <c r="AI430" s="197"/>
      <c r="AJ430" s="197"/>
      <c r="AK430" s="197"/>
      <c r="AL430" s="197"/>
    </row>
    <row r="431" spans="1:38">
      <c r="A431" s="11" t="str">
        <f t="shared" si="55"/>
        <v>05-756551672011</v>
      </c>
      <c r="B431" t="s">
        <v>300</v>
      </c>
      <c r="C431" t="s">
        <v>301</v>
      </c>
      <c r="D431">
        <v>2011</v>
      </c>
      <c r="E431" t="s">
        <v>105</v>
      </c>
      <c r="F431">
        <v>39480.239999999998</v>
      </c>
      <c r="G431">
        <v>53</v>
      </c>
      <c r="H431" s="11" t="str">
        <f t="shared" si="54"/>
        <v>count</v>
      </c>
      <c r="I431" s="197"/>
      <c r="J431" s="197"/>
      <c r="K431" s="197"/>
      <c r="L431" s="197"/>
      <c r="M431" s="197"/>
      <c r="N431" s="197"/>
      <c r="O431" s="197"/>
      <c r="P431" s="197"/>
      <c r="Q431" s="197"/>
      <c r="R431" s="197"/>
      <c r="S431" s="197"/>
      <c r="T431" s="197"/>
      <c r="U431" s="197"/>
      <c r="V431" s="197"/>
      <c r="W431" s="197"/>
      <c r="X431" s="197"/>
      <c r="Y431" s="197"/>
      <c r="Z431" s="197"/>
      <c r="AA431" s="197"/>
      <c r="AB431" s="197"/>
      <c r="AC431" s="197"/>
      <c r="AD431" s="197"/>
      <c r="AE431" s="197"/>
      <c r="AF431" s="197"/>
      <c r="AG431" s="197"/>
      <c r="AH431" s="197"/>
      <c r="AI431" s="197"/>
      <c r="AJ431" s="197"/>
      <c r="AK431" s="197"/>
      <c r="AL431" s="197"/>
    </row>
    <row r="432" spans="1:38">
      <c r="A432" s="11" t="str">
        <f t="shared" si="55"/>
        <v>05-756551672011</v>
      </c>
      <c r="B432" t="s">
        <v>300</v>
      </c>
      <c r="C432" t="s">
        <v>301</v>
      </c>
      <c r="D432">
        <v>2011</v>
      </c>
      <c r="E432" t="s">
        <v>1075</v>
      </c>
      <c r="F432">
        <v>54653.27</v>
      </c>
      <c r="G432">
        <v>94</v>
      </c>
      <c r="H432" s="11" t="str">
        <f t="shared" si="54"/>
        <v>count</v>
      </c>
      <c r="I432" s="197"/>
      <c r="J432" s="197"/>
      <c r="K432" s="197"/>
      <c r="L432" s="197"/>
      <c r="M432" s="197"/>
      <c r="N432" s="197"/>
      <c r="O432" s="197"/>
      <c r="P432" s="197"/>
      <c r="Q432" s="197"/>
      <c r="R432" s="197"/>
      <c r="S432" s="197"/>
      <c r="T432" s="197"/>
      <c r="U432" s="197"/>
      <c r="V432" s="197"/>
      <c r="W432" s="197"/>
      <c r="X432" s="197"/>
      <c r="Y432" s="197"/>
      <c r="Z432" s="197"/>
      <c r="AA432" s="197"/>
      <c r="AB432" s="197"/>
      <c r="AC432" s="197"/>
      <c r="AD432" s="197"/>
      <c r="AE432" s="197"/>
      <c r="AF432" s="197"/>
      <c r="AG432" s="197"/>
      <c r="AH432" s="197"/>
      <c r="AI432" s="197"/>
      <c r="AJ432" s="197"/>
      <c r="AK432" s="197"/>
      <c r="AL432" s="197"/>
    </row>
    <row r="433" spans="1:38">
      <c r="A433" s="11" t="str">
        <f t="shared" si="55"/>
        <v>05-756551672011</v>
      </c>
      <c r="B433" t="s">
        <v>300</v>
      </c>
      <c r="C433" t="s">
        <v>301</v>
      </c>
      <c r="D433">
        <v>2011</v>
      </c>
      <c r="E433" t="s">
        <v>133</v>
      </c>
      <c r="F433">
        <v>128572.45</v>
      </c>
      <c r="G433">
        <v>162</v>
      </c>
      <c r="H433" s="11" t="str">
        <f t="shared" si="54"/>
        <v>count</v>
      </c>
      <c r="I433" s="197"/>
      <c r="J433" s="197"/>
      <c r="K433" s="197"/>
      <c r="L433" s="197"/>
      <c r="M433" s="197"/>
      <c r="N433" s="197"/>
      <c r="O433" s="197"/>
      <c r="P433" s="197"/>
      <c r="Q433" s="197"/>
      <c r="R433" s="197"/>
      <c r="S433" s="197"/>
      <c r="T433" s="197"/>
      <c r="U433" s="197"/>
      <c r="V433" s="197"/>
      <c r="W433" s="197"/>
      <c r="X433" s="197"/>
      <c r="Y433" s="197"/>
      <c r="Z433" s="197"/>
      <c r="AA433" s="197"/>
      <c r="AB433" s="197"/>
      <c r="AC433" s="197"/>
      <c r="AD433" s="197"/>
      <c r="AE433" s="197"/>
      <c r="AF433" s="197"/>
      <c r="AG433" s="197"/>
      <c r="AH433" s="197"/>
      <c r="AI433" s="197"/>
      <c r="AJ433" s="197"/>
      <c r="AK433" s="197"/>
      <c r="AL433" s="197"/>
    </row>
    <row r="434" spans="1:38">
      <c r="A434" s="11" t="str">
        <f t="shared" si="55"/>
        <v>05-756551672013</v>
      </c>
      <c r="B434" t="s">
        <v>300</v>
      </c>
      <c r="C434" t="s">
        <v>301</v>
      </c>
      <c r="D434">
        <v>2013</v>
      </c>
      <c r="E434" t="s">
        <v>63</v>
      </c>
      <c r="F434">
        <v>350891.24</v>
      </c>
      <c r="G434">
        <v>508</v>
      </c>
      <c r="H434" s="11" t="str">
        <f t="shared" si="54"/>
        <v>count</v>
      </c>
      <c r="I434" s="197"/>
      <c r="J434" s="197"/>
      <c r="K434" s="197"/>
      <c r="L434" s="197"/>
      <c r="M434" s="197"/>
      <c r="N434" s="197"/>
      <c r="O434" s="197"/>
      <c r="P434" s="197"/>
      <c r="Q434" s="197"/>
      <c r="R434" s="197"/>
      <c r="S434" s="197"/>
      <c r="T434" s="197"/>
      <c r="U434" s="197"/>
      <c r="V434" s="197"/>
      <c r="W434" s="197"/>
      <c r="X434" s="197"/>
      <c r="Y434" s="197"/>
      <c r="Z434" s="197"/>
      <c r="AA434" s="197"/>
      <c r="AB434" s="197"/>
      <c r="AC434" s="197"/>
      <c r="AD434" s="197"/>
      <c r="AE434" s="197"/>
      <c r="AF434" s="197"/>
      <c r="AG434" s="197"/>
      <c r="AH434" s="197"/>
      <c r="AI434" s="197"/>
      <c r="AJ434" s="197"/>
      <c r="AK434" s="197"/>
      <c r="AL434" s="197"/>
    </row>
    <row r="435" spans="1:38">
      <c r="A435" s="11" t="str">
        <f t="shared" si="55"/>
        <v>05-756551672013</v>
      </c>
      <c r="B435" t="s">
        <v>300</v>
      </c>
      <c r="C435" t="s">
        <v>301</v>
      </c>
      <c r="D435">
        <v>2013</v>
      </c>
      <c r="E435" t="s">
        <v>104</v>
      </c>
      <c r="F435">
        <v>213200.89</v>
      </c>
      <c r="G435">
        <v>308</v>
      </c>
      <c r="H435" s="11" t="str">
        <f t="shared" si="54"/>
        <v>count</v>
      </c>
      <c r="I435" s="197"/>
      <c r="J435" s="197"/>
      <c r="K435" s="197"/>
      <c r="L435" s="197"/>
      <c r="M435" s="197"/>
      <c r="N435" s="197"/>
      <c r="O435" s="197"/>
      <c r="P435" s="197"/>
      <c r="Q435" s="197"/>
      <c r="R435" s="197"/>
      <c r="S435" s="197"/>
      <c r="T435" s="197"/>
      <c r="U435" s="197"/>
      <c r="V435" s="197"/>
      <c r="W435" s="197"/>
      <c r="X435" s="197"/>
      <c r="Y435" s="197"/>
      <c r="Z435" s="197"/>
      <c r="AA435" s="197"/>
      <c r="AB435" s="197"/>
      <c r="AC435" s="197"/>
      <c r="AD435" s="197"/>
      <c r="AE435" s="197"/>
      <c r="AF435" s="197"/>
      <c r="AG435" s="197"/>
      <c r="AH435" s="197"/>
      <c r="AI435" s="197"/>
      <c r="AJ435" s="197"/>
      <c r="AK435" s="197"/>
      <c r="AL435" s="197"/>
    </row>
    <row r="436" spans="1:38">
      <c r="A436" s="11" t="str">
        <f t="shared" si="55"/>
        <v>05-756551672012</v>
      </c>
      <c r="B436" t="s">
        <v>300</v>
      </c>
      <c r="C436" t="s">
        <v>301</v>
      </c>
      <c r="D436">
        <v>2012</v>
      </c>
      <c r="E436" t="s">
        <v>1076</v>
      </c>
      <c r="F436">
        <v>18639.59</v>
      </c>
      <c r="G436">
        <v>27</v>
      </c>
      <c r="H436" s="11" t="str">
        <f t="shared" si="54"/>
        <v>count</v>
      </c>
      <c r="I436" s="197"/>
      <c r="J436" s="197"/>
      <c r="K436" s="197"/>
      <c r="L436" s="197"/>
      <c r="M436" s="197"/>
      <c r="N436" s="197"/>
      <c r="O436" s="197"/>
      <c r="P436" s="197"/>
      <c r="Q436" s="197"/>
      <c r="R436" s="197"/>
      <c r="S436" s="197"/>
      <c r="T436" s="197"/>
      <c r="U436" s="197"/>
      <c r="V436" s="197"/>
      <c r="W436" s="197"/>
      <c r="X436" s="197"/>
      <c r="Y436" s="197"/>
      <c r="Z436" s="197"/>
      <c r="AA436" s="197"/>
      <c r="AB436" s="197"/>
      <c r="AC436" s="197"/>
      <c r="AD436" s="197"/>
      <c r="AE436" s="197"/>
      <c r="AF436" s="197"/>
      <c r="AG436" s="197"/>
      <c r="AH436" s="197"/>
      <c r="AI436" s="197"/>
      <c r="AJ436" s="197"/>
      <c r="AK436" s="197"/>
      <c r="AL436" s="197"/>
    </row>
    <row r="437" spans="1:38">
      <c r="A437" s="11" t="str">
        <f t="shared" si="55"/>
        <v>05-756551672012</v>
      </c>
      <c r="B437" t="s">
        <v>300</v>
      </c>
      <c r="C437" t="s">
        <v>301</v>
      </c>
      <c r="D437">
        <v>2012</v>
      </c>
      <c r="E437" t="s">
        <v>105</v>
      </c>
      <c r="F437">
        <v>60117.71</v>
      </c>
      <c r="G437">
        <v>83</v>
      </c>
      <c r="H437" s="11" t="str">
        <f t="shared" si="54"/>
        <v>count</v>
      </c>
      <c r="I437" s="197"/>
      <c r="J437" s="197"/>
      <c r="K437" s="197"/>
      <c r="L437" s="197"/>
      <c r="M437" s="197"/>
      <c r="N437" s="197"/>
      <c r="O437" s="197"/>
      <c r="P437" s="197"/>
      <c r="Q437" s="197"/>
      <c r="R437" s="197"/>
      <c r="S437" s="197"/>
      <c r="T437" s="197"/>
      <c r="U437" s="197"/>
      <c r="V437" s="197"/>
      <c r="W437" s="197"/>
      <c r="X437" s="197"/>
      <c r="Y437" s="197"/>
      <c r="Z437" s="197"/>
      <c r="AA437" s="197"/>
      <c r="AB437" s="197"/>
      <c r="AC437" s="197"/>
      <c r="AD437" s="197"/>
      <c r="AE437" s="197"/>
      <c r="AF437" s="197"/>
      <c r="AG437" s="197"/>
      <c r="AH437" s="197"/>
      <c r="AI437" s="197"/>
      <c r="AJ437" s="197"/>
      <c r="AK437" s="197"/>
      <c r="AL437" s="197"/>
    </row>
    <row r="438" spans="1:38">
      <c r="A438" s="11" t="str">
        <f t="shared" si="55"/>
        <v>05-756551672011</v>
      </c>
      <c r="B438" t="s">
        <v>300</v>
      </c>
      <c r="C438" t="s">
        <v>301</v>
      </c>
      <c r="D438">
        <v>2011</v>
      </c>
      <c r="E438" t="s">
        <v>1074</v>
      </c>
      <c r="F438">
        <v>31713.02</v>
      </c>
      <c r="G438">
        <v>57</v>
      </c>
      <c r="H438" s="11" t="str">
        <f t="shared" si="54"/>
        <v>count</v>
      </c>
      <c r="I438" s="197"/>
      <c r="J438" s="197"/>
      <c r="K438" s="197"/>
      <c r="L438" s="197"/>
      <c r="M438" s="197"/>
      <c r="N438" s="197"/>
      <c r="O438" s="197"/>
      <c r="P438" s="197"/>
      <c r="Q438" s="197"/>
      <c r="R438" s="197"/>
      <c r="S438" s="197"/>
      <c r="T438" s="197"/>
      <c r="U438" s="197"/>
      <c r="V438" s="197"/>
      <c r="W438" s="197"/>
      <c r="X438" s="197"/>
      <c r="Y438" s="197"/>
      <c r="Z438" s="197"/>
      <c r="AA438" s="197"/>
      <c r="AB438" s="197"/>
      <c r="AC438" s="197"/>
      <c r="AD438" s="197"/>
      <c r="AE438" s="197"/>
      <c r="AF438" s="197"/>
      <c r="AG438" s="197"/>
      <c r="AH438" s="197"/>
      <c r="AI438" s="197"/>
      <c r="AJ438" s="197"/>
      <c r="AK438" s="197"/>
      <c r="AL438" s="197"/>
    </row>
    <row r="439" spans="1:38">
      <c r="A439" s="11" t="str">
        <f t="shared" si="55"/>
        <v>05-756551672011</v>
      </c>
      <c r="B439" t="s">
        <v>300</v>
      </c>
      <c r="C439" t="s">
        <v>301</v>
      </c>
      <c r="D439">
        <v>2011</v>
      </c>
      <c r="E439" t="s">
        <v>63</v>
      </c>
      <c r="F439">
        <v>408476.2</v>
      </c>
      <c r="G439">
        <v>570</v>
      </c>
      <c r="H439" s="11" t="str">
        <f t="shared" si="54"/>
        <v>count</v>
      </c>
      <c r="I439" s="197"/>
      <c r="J439" s="197"/>
      <c r="K439" s="197"/>
      <c r="L439" s="197"/>
      <c r="M439" s="197"/>
      <c r="N439" s="197"/>
      <c r="O439" s="197"/>
      <c r="P439" s="197"/>
      <c r="Q439" s="197"/>
      <c r="R439" s="197"/>
      <c r="S439" s="197"/>
      <c r="T439" s="197"/>
      <c r="U439" s="197"/>
      <c r="V439" s="197"/>
      <c r="W439" s="197"/>
      <c r="X439" s="197"/>
      <c r="Y439" s="197"/>
      <c r="Z439" s="197"/>
      <c r="AA439" s="197"/>
      <c r="AB439" s="197"/>
      <c r="AC439" s="197"/>
      <c r="AD439" s="197"/>
      <c r="AE439" s="197"/>
      <c r="AF439" s="197"/>
      <c r="AG439" s="197"/>
      <c r="AH439" s="197"/>
      <c r="AI439" s="197"/>
      <c r="AJ439" s="197"/>
      <c r="AK439" s="197"/>
      <c r="AL439" s="197"/>
    </row>
    <row r="440" spans="1:38">
      <c r="A440" s="11" t="str">
        <f t="shared" si="55"/>
        <v>05-756551672011</v>
      </c>
      <c r="B440" t="s">
        <v>300</v>
      </c>
      <c r="C440" t="s">
        <v>301</v>
      </c>
      <c r="D440">
        <v>2011</v>
      </c>
      <c r="E440" t="s">
        <v>69</v>
      </c>
      <c r="F440">
        <v>975</v>
      </c>
      <c r="G440">
        <v>2</v>
      </c>
      <c r="H440" s="11" t="str">
        <f t="shared" si="54"/>
        <v>count</v>
      </c>
      <c r="I440" s="197"/>
      <c r="J440" s="197"/>
      <c r="K440" s="197"/>
      <c r="L440" s="197"/>
      <c r="M440" s="197"/>
      <c r="N440" s="197"/>
      <c r="O440" s="197"/>
      <c r="P440" s="197"/>
      <c r="Q440" s="197"/>
      <c r="R440" s="197"/>
      <c r="S440" s="197"/>
      <c r="T440" s="197"/>
      <c r="U440" s="197"/>
      <c r="V440" s="197"/>
      <c r="W440" s="197"/>
      <c r="X440" s="197"/>
      <c r="Y440" s="197"/>
      <c r="Z440" s="197"/>
      <c r="AA440" s="197"/>
      <c r="AB440" s="197"/>
      <c r="AC440" s="197"/>
      <c r="AD440" s="197"/>
      <c r="AE440" s="197"/>
      <c r="AF440" s="197"/>
      <c r="AG440" s="197"/>
      <c r="AH440" s="197"/>
      <c r="AI440" s="197"/>
      <c r="AJ440" s="197"/>
      <c r="AK440" s="197"/>
      <c r="AL440" s="197"/>
    </row>
    <row r="441" spans="1:38">
      <c r="A441" s="11" t="str">
        <f t="shared" si="55"/>
        <v>05-756551672011</v>
      </c>
      <c r="B441" t="s">
        <v>300</v>
      </c>
      <c r="C441" t="s">
        <v>301</v>
      </c>
      <c r="D441">
        <v>2011</v>
      </c>
      <c r="E441" t="s">
        <v>104</v>
      </c>
      <c r="F441">
        <v>211905.29</v>
      </c>
      <c r="G441">
        <v>313</v>
      </c>
      <c r="H441" s="11" t="str">
        <f t="shared" si="54"/>
        <v>count</v>
      </c>
      <c r="I441" s="197"/>
      <c r="J441" s="197"/>
      <c r="K441" s="197"/>
      <c r="L441" s="197"/>
      <c r="M441" s="197"/>
      <c r="N441" s="197"/>
      <c r="O441" s="197"/>
      <c r="P441" s="197"/>
      <c r="Q441" s="197"/>
      <c r="R441" s="197"/>
      <c r="S441" s="197"/>
      <c r="T441" s="197"/>
      <c r="U441" s="197"/>
      <c r="V441" s="197"/>
      <c r="W441" s="197"/>
      <c r="X441" s="197"/>
      <c r="Y441" s="197"/>
      <c r="Z441" s="197"/>
      <c r="AA441" s="197"/>
      <c r="AB441" s="197"/>
      <c r="AC441" s="197"/>
      <c r="AD441" s="197"/>
      <c r="AE441" s="197"/>
      <c r="AF441" s="197"/>
      <c r="AG441" s="197"/>
      <c r="AH441" s="197"/>
      <c r="AI441" s="197"/>
      <c r="AJ441" s="197"/>
      <c r="AK441" s="197"/>
      <c r="AL441" s="197"/>
    </row>
    <row r="442" spans="1:38">
      <c r="A442" s="11" t="str">
        <f t="shared" si="55"/>
        <v>05-776169332012</v>
      </c>
      <c r="B442" t="s">
        <v>303</v>
      </c>
      <c r="C442" t="s">
        <v>304</v>
      </c>
      <c r="D442">
        <v>2012</v>
      </c>
      <c r="E442" t="s">
        <v>69</v>
      </c>
      <c r="F442">
        <v>68729.84</v>
      </c>
      <c r="G442">
        <v>177</v>
      </c>
      <c r="H442" s="11" t="str">
        <f t="shared" si="54"/>
        <v>volume</v>
      </c>
      <c r="I442" s="197"/>
      <c r="J442" s="197"/>
      <c r="K442" s="197"/>
      <c r="L442" s="197"/>
      <c r="M442" s="197"/>
      <c r="N442" s="197"/>
      <c r="O442" s="197"/>
      <c r="P442" s="197"/>
      <c r="Q442" s="197"/>
      <c r="R442" s="197"/>
      <c r="S442" s="197"/>
      <c r="T442" s="197"/>
      <c r="U442" s="197"/>
      <c r="V442" s="197"/>
      <c r="W442" s="197"/>
      <c r="X442" s="197"/>
      <c r="Y442" s="197"/>
      <c r="Z442" s="197"/>
      <c r="AA442" s="197"/>
      <c r="AB442" s="197"/>
      <c r="AC442" s="197"/>
      <c r="AD442" s="197"/>
      <c r="AE442" s="197"/>
      <c r="AF442" s="197"/>
      <c r="AG442" s="197"/>
      <c r="AH442" s="197"/>
      <c r="AI442" s="197"/>
      <c r="AJ442" s="197"/>
      <c r="AK442" s="197"/>
      <c r="AL442" s="197"/>
    </row>
    <row r="443" spans="1:38">
      <c r="A443" s="11" t="str">
        <f t="shared" si="55"/>
        <v>05-776169332011</v>
      </c>
      <c r="B443" t="s">
        <v>303</v>
      </c>
      <c r="C443" t="s">
        <v>304</v>
      </c>
      <c r="D443">
        <v>2011</v>
      </c>
      <c r="E443" t="s">
        <v>1076</v>
      </c>
      <c r="F443">
        <v>6522.63</v>
      </c>
      <c r="G443">
        <v>16</v>
      </c>
      <c r="H443" s="11" t="str">
        <f t="shared" si="54"/>
        <v>count</v>
      </c>
      <c r="I443" s="197"/>
      <c r="J443" s="197"/>
      <c r="K443" s="197"/>
      <c r="L443" s="197"/>
      <c r="M443" s="197"/>
      <c r="N443" s="197"/>
      <c r="O443" s="197"/>
      <c r="P443" s="197"/>
      <c r="Q443" s="197"/>
      <c r="R443" s="197"/>
      <c r="S443" s="197"/>
      <c r="T443" s="197"/>
      <c r="U443" s="197"/>
      <c r="V443" s="197"/>
      <c r="W443" s="197"/>
      <c r="X443" s="197"/>
      <c r="Y443" s="197"/>
      <c r="Z443" s="197"/>
      <c r="AA443" s="197"/>
      <c r="AB443" s="197"/>
      <c r="AC443" s="197"/>
      <c r="AD443" s="197"/>
      <c r="AE443" s="197"/>
      <c r="AF443" s="197"/>
      <c r="AG443" s="197"/>
      <c r="AH443" s="197"/>
      <c r="AI443" s="197"/>
      <c r="AJ443" s="197"/>
      <c r="AK443" s="197"/>
      <c r="AL443" s="197"/>
    </row>
    <row r="444" spans="1:38">
      <c r="A444" s="11" t="str">
        <f t="shared" si="55"/>
        <v>05-776169332013</v>
      </c>
      <c r="B444" t="s">
        <v>303</v>
      </c>
      <c r="C444" t="s">
        <v>304</v>
      </c>
      <c r="D444">
        <v>2013</v>
      </c>
      <c r="E444" t="s">
        <v>63</v>
      </c>
      <c r="F444">
        <v>302402.13</v>
      </c>
      <c r="G444">
        <v>678</v>
      </c>
      <c r="H444" s="11" t="str">
        <f t="shared" si="54"/>
        <v>count</v>
      </c>
      <c r="I444" s="197"/>
      <c r="J444" s="197"/>
      <c r="K444" s="197"/>
      <c r="L444" s="197"/>
      <c r="M444" s="197"/>
      <c r="N444" s="197"/>
      <c r="O444" s="197"/>
      <c r="P444" s="197"/>
      <c r="Q444" s="197"/>
      <c r="R444" s="197"/>
      <c r="S444" s="197"/>
      <c r="T444" s="197"/>
      <c r="U444" s="197"/>
      <c r="V444" s="197"/>
      <c r="W444" s="197"/>
      <c r="X444" s="197"/>
      <c r="Y444" s="197"/>
      <c r="Z444" s="197"/>
      <c r="AA444" s="197"/>
      <c r="AB444" s="197"/>
      <c r="AC444" s="197"/>
      <c r="AD444" s="197"/>
      <c r="AE444" s="197"/>
      <c r="AF444" s="197"/>
      <c r="AG444" s="197"/>
      <c r="AH444" s="197"/>
      <c r="AI444" s="197"/>
      <c r="AJ444" s="197"/>
      <c r="AK444" s="197"/>
      <c r="AL444" s="197"/>
    </row>
    <row r="445" spans="1:38">
      <c r="A445" s="11" t="str">
        <f t="shared" si="55"/>
        <v>05-776169332012</v>
      </c>
      <c r="B445" t="s">
        <v>303</v>
      </c>
      <c r="C445" t="s">
        <v>304</v>
      </c>
      <c r="D445">
        <v>2012</v>
      </c>
      <c r="E445" t="s">
        <v>1075</v>
      </c>
      <c r="F445">
        <v>1444.25</v>
      </c>
      <c r="G445">
        <v>5</v>
      </c>
      <c r="H445" s="11" t="str">
        <f t="shared" si="54"/>
        <v>count</v>
      </c>
      <c r="I445" s="197"/>
      <c r="J445" s="197"/>
      <c r="K445" s="197"/>
      <c r="L445" s="197"/>
      <c r="M445" s="197"/>
      <c r="N445" s="197"/>
      <c r="O445" s="197"/>
      <c r="P445" s="197"/>
      <c r="Q445" s="197"/>
      <c r="R445" s="197"/>
      <c r="S445" s="197"/>
      <c r="T445" s="197"/>
      <c r="U445" s="197"/>
      <c r="V445" s="197"/>
      <c r="W445" s="197"/>
      <c r="X445" s="197"/>
      <c r="Y445" s="197"/>
      <c r="Z445" s="197"/>
      <c r="AA445" s="197"/>
      <c r="AB445" s="197"/>
      <c r="AC445" s="197"/>
      <c r="AD445" s="197"/>
      <c r="AE445" s="197"/>
      <c r="AF445" s="197"/>
      <c r="AG445" s="197"/>
      <c r="AH445" s="197"/>
      <c r="AI445" s="197"/>
      <c r="AJ445" s="197"/>
      <c r="AK445" s="197"/>
      <c r="AL445" s="197"/>
    </row>
    <row r="446" spans="1:38">
      <c r="A446" s="11" t="str">
        <f t="shared" si="55"/>
        <v>05-776169332013</v>
      </c>
      <c r="B446" t="s">
        <v>303</v>
      </c>
      <c r="C446" t="s">
        <v>304</v>
      </c>
      <c r="D446">
        <v>2013</v>
      </c>
      <c r="E446" t="s">
        <v>104</v>
      </c>
      <c r="F446">
        <v>206935.28</v>
      </c>
      <c r="G446">
        <v>415</v>
      </c>
      <c r="H446" s="11" t="str">
        <f t="shared" si="54"/>
        <v>count</v>
      </c>
      <c r="I446" s="197"/>
      <c r="J446" s="197"/>
      <c r="K446" s="197"/>
      <c r="L446" s="197"/>
      <c r="M446" s="197"/>
      <c r="N446" s="197"/>
      <c r="O446" s="197"/>
      <c r="P446" s="197"/>
      <c r="Q446" s="197"/>
      <c r="R446" s="197"/>
      <c r="S446" s="197"/>
      <c r="T446" s="197"/>
      <c r="U446" s="197"/>
      <c r="V446" s="197"/>
      <c r="W446" s="197"/>
      <c r="X446" s="197"/>
      <c r="Y446" s="197"/>
      <c r="Z446" s="197"/>
      <c r="AA446" s="197"/>
      <c r="AB446" s="197"/>
      <c r="AC446" s="197"/>
      <c r="AD446" s="197"/>
      <c r="AE446" s="197"/>
      <c r="AF446" s="197"/>
      <c r="AG446" s="197"/>
      <c r="AH446" s="197"/>
      <c r="AI446" s="197"/>
      <c r="AJ446" s="197"/>
      <c r="AK446" s="197"/>
      <c r="AL446" s="197"/>
    </row>
    <row r="447" spans="1:38">
      <c r="A447" s="11" t="str">
        <f t="shared" si="55"/>
        <v>05-776169332011</v>
      </c>
      <c r="B447" t="s">
        <v>303</v>
      </c>
      <c r="C447" t="s">
        <v>304</v>
      </c>
      <c r="D447">
        <v>2011</v>
      </c>
      <c r="E447" t="s">
        <v>104</v>
      </c>
      <c r="F447">
        <v>169347.88</v>
      </c>
      <c r="G447">
        <v>349</v>
      </c>
      <c r="H447" s="11" t="str">
        <f t="shared" si="54"/>
        <v>count</v>
      </c>
      <c r="I447" s="197"/>
      <c r="J447" s="197"/>
      <c r="K447" s="197"/>
      <c r="L447" s="197"/>
      <c r="M447" s="197"/>
      <c r="N447" s="197"/>
      <c r="O447" s="197"/>
      <c r="P447" s="197"/>
      <c r="Q447" s="197"/>
      <c r="R447" s="197"/>
      <c r="S447" s="197"/>
      <c r="T447" s="197"/>
      <c r="U447" s="197"/>
      <c r="V447" s="197"/>
      <c r="W447" s="197"/>
      <c r="X447" s="197"/>
      <c r="Y447" s="197"/>
      <c r="Z447" s="197"/>
      <c r="AA447" s="197"/>
      <c r="AB447" s="197"/>
      <c r="AC447" s="197"/>
      <c r="AD447" s="197"/>
      <c r="AE447" s="197"/>
      <c r="AF447" s="197"/>
      <c r="AG447" s="197"/>
      <c r="AH447" s="197"/>
      <c r="AI447" s="197"/>
      <c r="AJ447" s="197"/>
      <c r="AK447" s="197"/>
      <c r="AL447" s="197"/>
    </row>
    <row r="448" spans="1:38">
      <c r="A448" s="11" t="str">
        <f t="shared" si="55"/>
        <v>05-776169332011</v>
      </c>
      <c r="B448" t="s">
        <v>303</v>
      </c>
      <c r="C448" t="s">
        <v>304</v>
      </c>
      <c r="D448">
        <v>2011</v>
      </c>
      <c r="E448" t="s">
        <v>63</v>
      </c>
      <c r="F448">
        <v>305625.05</v>
      </c>
      <c r="G448">
        <v>662</v>
      </c>
      <c r="H448" s="11" t="str">
        <f t="shared" si="54"/>
        <v>count</v>
      </c>
      <c r="I448" s="197"/>
      <c r="J448" s="197"/>
      <c r="K448" s="197"/>
      <c r="L448" s="197"/>
      <c r="M448" s="197"/>
      <c r="N448" s="197"/>
      <c r="O448" s="197"/>
      <c r="P448" s="197"/>
      <c r="Q448" s="197"/>
      <c r="R448" s="197"/>
      <c r="S448" s="197"/>
      <c r="T448" s="197"/>
      <c r="U448" s="197"/>
      <c r="V448" s="197"/>
      <c r="W448" s="197"/>
      <c r="X448" s="197"/>
      <c r="Y448" s="197"/>
      <c r="Z448" s="197"/>
      <c r="AA448" s="197"/>
      <c r="AB448" s="197"/>
      <c r="AC448" s="197"/>
      <c r="AD448" s="197"/>
      <c r="AE448" s="197"/>
      <c r="AF448" s="197"/>
      <c r="AG448" s="197"/>
      <c r="AH448" s="197"/>
      <c r="AI448" s="197"/>
      <c r="AJ448" s="197"/>
      <c r="AK448" s="197"/>
      <c r="AL448" s="197"/>
    </row>
    <row r="449" spans="1:38">
      <c r="A449" s="11" t="str">
        <f t="shared" si="55"/>
        <v>05-776169332011</v>
      </c>
      <c r="B449" t="s">
        <v>303</v>
      </c>
      <c r="C449" t="s">
        <v>304</v>
      </c>
      <c r="D449">
        <v>2011</v>
      </c>
      <c r="E449" t="s">
        <v>1075</v>
      </c>
      <c r="F449">
        <v>6155.2</v>
      </c>
      <c r="G449">
        <v>25</v>
      </c>
      <c r="H449" s="11" t="str">
        <f t="shared" si="54"/>
        <v>count</v>
      </c>
      <c r="I449" s="197"/>
      <c r="J449" s="197"/>
      <c r="K449" s="197"/>
      <c r="L449" s="197"/>
      <c r="M449" s="197"/>
      <c r="N449" s="197"/>
      <c r="O449" s="197"/>
      <c r="P449" s="197"/>
      <c r="Q449" s="197"/>
      <c r="R449" s="197"/>
      <c r="S449" s="197"/>
      <c r="T449" s="197"/>
      <c r="U449" s="197"/>
      <c r="V449" s="197"/>
      <c r="W449" s="197"/>
      <c r="X449" s="197"/>
      <c r="Y449" s="197"/>
      <c r="Z449" s="197"/>
      <c r="AA449" s="197"/>
      <c r="AB449" s="197"/>
      <c r="AC449" s="197"/>
      <c r="AD449" s="197"/>
      <c r="AE449" s="197"/>
      <c r="AF449" s="197"/>
      <c r="AG449" s="197"/>
      <c r="AH449" s="197"/>
      <c r="AI449" s="197"/>
      <c r="AJ449" s="197"/>
      <c r="AK449" s="197"/>
      <c r="AL449" s="197"/>
    </row>
    <row r="450" spans="1:38">
      <c r="A450" s="11" t="str">
        <f t="shared" si="55"/>
        <v>05-776169332011</v>
      </c>
      <c r="B450" t="s">
        <v>303</v>
      </c>
      <c r="C450" t="s">
        <v>304</v>
      </c>
      <c r="D450">
        <v>2011</v>
      </c>
      <c r="E450" t="s">
        <v>1074</v>
      </c>
      <c r="F450">
        <v>9339.7999999999993</v>
      </c>
      <c r="G450">
        <v>30</v>
      </c>
      <c r="H450" s="11" t="str">
        <f t="shared" ref="H450:H513" si="56">IF(B450=B449,"count","volume")</f>
        <v>count</v>
      </c>
      <c r="I450" s="197"/>
      <c r="J450" s="197"/>
      <c r="K450" s="197"/>
      <c r="L450" s="197"/>
      <c r="M450" s="197"/>
      <c r="N450" s="197"/>
      <c r="O450" s="197"/>
      <c r="P450" s="197"/>
      <c r="Q450" s="197"/>
      <c r="R450" s="197"/>
      <c r="S450" s="197"/>
      <c r="T450" s="197"/>
      <c r="U450" s="197"/>
      <c r="V450" s="197"/>
      <c r="W450" s="197"/>
      <c r="X450" s="197"/>
      <c r="Y450" s="197"/>
      <c r="Z450" s="197"/>
      <c r="AA450" s="197"/>
      <c r="AB450" s="197"/>
      <c r="AC450" s="197"/>
      <c r="AD450" s="197"/>
      <c r="AE450" s="197"/>
      <c r="AF450" s="197"/>
      <c r="AG450" s="197"/>
      <c r="AH450" s="197"/>
      <c r="AI450" s="197"/>
      <c r="AJ450" s="197"/>
      <c r="AK450" s="197"/>
      <c r="AL450" s="197"/>
    </row>
    <row r="451" spans="1:38">
      <c r="A451" s="11" t="str">
        <f t="shared" ref="A451:A514" si="57">B451&amp;D451</f>
        <v>05-776169332012</v>
      </c>
      <c r="B451" t="s">
        <v>303</v>
      </c>
      <c r="C451" t="s">
        <v>304</v>
      </c>
      <c r="D451">
        <v>2012</v>
      </c>
      <c r="E451" t="s">
        <v>63</v>
      </c>
      <c r="F451">
        <v>283299.23</v>
      </c>
      <c r="G451">
        <v>660</v>
      </c>
      <c r="H451" s="11" t="str">
        <f t="shared" si="56"/>
        <v>count</v>
      </c>
      <c r="I451" s="197"/>
      <c r="J451" s="197"/>
      <c r="K451" s="197"/>
      <c r="L451" s="197"/>
      <c r="M451" s="197"/>
      <c r="N451" s="197"/>
      <c r="O451" s="197"/>
      <c r="P451" s="197"/>
      <c r="Q451" s="197"/>
      <c r="R451" s="197"/>
      <c r="S451" s="197"/>
      <c r="T451" s="197"/>
      <c r="U451" s="197"/>
      <c r="V451" s="197"/>
      <c r="W451" s="197"/>
      <c r="X451" s="197"/>
      <c r="Y451" s="197"/>
      <c r="Z451" s="197"/>
      <c r="AA451" s="197"/>
      <c r="AB451" s="197"/>
      <c r="AC451" s="197"/>
      <c r="AD451" s="197"/>
      <c r="AE451" s="197"/>
      <c r="AF451" s="197"/>
      <c r="AG451" s="197"/>
      <c r="AH451" s="197"/>
      <c r="AI451" s="197"/>
      <c r="AJ451" s="197"/>
      <c r="AK451" s="197"/>
      <c r="AL451" s="197"/>
    </row>
    <row r="452" spans="1:38">
      <c r="A452" s="11" t="str">
        <f t="shared" si="57"/>
        <v>05-776169332012</v>
      </c>
      <c r="B452" t="s">
        <v>303</v>
      </c>
      <c r="C452" t="s">
        <v>304</v>
      </c>
      <c r="D452">
        <v>2012</v>
      </c>
      <c r="E452" t="s">
        <v>1074</v>
      </c>
      <c r="F452">
        <v>477.7</v>
      </c>
      <c r="G452">
        <v>2</v>
      </c>
      <c r="H452" s="11" t="str">
        <f t="shared" si="56"/>
        <v>count</v>
      </c>
      <c r="I452" s="197"/>
      <c r="J452" s="197"/>
      <c r="K452" s="197"/>
      <c r="L452" s="197"/>
      <c r="M452" s="197"/>
      <c r="N452" s="197"/>
      <c r="O452" s="197"/>
      <c r="P452" s="197"/>
      <c r="Q452" s="197"/>
      <c r="R452" s="197"/>
      <c r="S452" s="197"/>
      <c r="T452" s="197"/>
      <c r="U452" s="197"/>
      <c r="V452" s="197"/>
      <c r="W452" s="197"/>
      <c r="X452" s="197"/>
      <c r="Y452" s="197"/>
      <c r="Z452" s="197"/>
      <c r="AA452" s="197"/>
      <c r="AB452" s="197"/>
      <c r="AC452" s="197"/>
      <c r="AD452" s="197"/>
      <c r="AE452" s="197"/>
      <c r="AF452" s="197"/>
      <c r="AG452" s="197"/>
      <c r="AH452" s="197"/>
      <c r="AI452" s="197"/>
      <c r="AJ452" s="197"/>
      <c r="AK452" s="197"/>
      <c r="AL452" s="197"/>
    </row>
    <row r="453" spans="1:38">
      <c r="A453" s="11" t="str">
        <f t="shared" si="57"/>
        <v>05-776169332012</v>
      </c>
      <c r="B453" t="s">
        <v>303</v>
      </c>
      <c r="C453" t="s">
        <v>304</v>
      </c>
      <c r="D453">
        <v>2012</v>
      </c>
      <c r="E453" t="s">
        <v>104</v>
      </c>
      <c r="F453">
        <v>189287.61</v>
      </c>
      <c r="G453">
        <v>385</v>
      </c>
      <c r="H453" s="11" t="str">
        <f t="shared" si="56"/>
        <v>count</v>
      </c>
      <c r="I453" s="197"/>
      <c r="J453" s="197"/>
      <c r="K453" s="197"/>
      <c r="L453" s="197"/>
      <c r="M453" s="197"/>
      <c r="N453" s="197"/>
      <c r="O453" s="197"/>
      <c r="P453" s="197"/>
      <c r="Q453" s="197"/>
      <c r="R453" s="197"/>
      <c r="S453" s="197"/>
      <c r="T453" s="197"/>
      <c r="U453" s="197"/>
      <c r="V453" s="197"/>
      <c r="W453" s="197"/>
      <c r="X453" s="197"/>
      <c r="Y453" s="197"/>
      <c r="Z453" s="197"/>
      <c r="AA453" s="197"/>
      <c r="AB453" s="197"/>
      <c r="AC453" s="197"/>
      <c r="AD453" s="197"/>
      <c r="AE453" s="197"/>
      <c r="AF453" s="197"/>
      <c r="AG453" s="197"/>
      <c r="AH453" s="197"/>
      <c r="AI453" s="197"/>
      <c r="AJ453" s="197"/>
      <c r="AK453" s="197"/>
      <c r="AL453" s="197"/>
    </row>
    <row r="454" spans="1:38">
      <c r="A454" s="11" t="str">
        <f t="shared" si="57"/>
        <v>05-776169332013</v>
      </c>
      <c r="B454" t="s">
        <v>303</v>
      </c>
      <c r="C454" t="s">
        <v>304</v>
      </c>
      <c r="D454">
        <v>2013</v>
      </c>
      <c r="E454" t="s">
        <v>69</v>
      </c>
      <c r="F454">
        <v>111366.66</v>
      </c>
      <c r="G454">
        <v>237</v>
      </c>
      <c r="H454" s="11" t="str">
        <f t="shared" si="56"/>
        <v>count</v>
      </c>
      <c r="I454" s="197"/>
      <c r="J454" s="197"/>
      <c r="K454" s="197"/>
      <c r="L454" s="197"/>
      <c r="M454" s="197"/>
      <c r="N454" s="197"/>
      <c r="O454" s="197"/>
      <c r="P454" s="197"/>
      <c r="Q454" s="197"/>
      <c r="R454" s="197"/>
      <c r="S454" s="197"/>
      <c r="T454" s="197"/>
      <c r="U454" s="197"/>
      <c r="V454" s="197"/>
      <c r="W454" s="197"/>
      <c r="X454" s="197"/>
      <c r="Y454" s="197"/>
      <c r="Z454" s="197"/>
      <c r="AA454" s="197"/>
      <c r="AB454" s="197"/>
      <c r="AC454" s="197"/>
      <c r="AD454" s="197"/>
      <c r="AE454" s="197"/>
      <c r="AF454" s="197"/>
      <c r="AG454" s="197"/>
      <c r="AH454" s="197"/>
      <c r="AI454" s="197"/>
      <c r="AJ454" s="197"/>
      <c r="AK454" s="197"/>
      <c r="AL454" s="197"/>
    </row>
    <row r="455" spans="1:38">
      <c r="A455" s="11" t="str">
        <f t="shared" si="57"/>
        <v>05-777046292011</v>
      </c>
      <c r="B455" t="s">
        <v>306</v>
      </c>
      <c r="C455" t="s">
        <v>307</v>
      </c>
      <c r="D455">
        <v>2011</v>
      </c>
      <c r="E455" t="s">
        <v>1075</v>
      </c>
      <c r="F455">
        <v>7335.07</v>
      </c>
      <c r="G455">
        <v>62</v>
      </c>
      <c r="H455" s="11" t="str">
        <f t="shared" si="56"/>
        <v>volume</v>
      </c>
      <c r="I455" s="197"/>
      <c r="J455" s="197"/>
      <c r="K455" s="197"/>
      <c r="L455" s="197"/>
      <c r="M455" s="197"/>
      <c r="N455" s="197"/>
      <c r="O455" s="197"/>
      <c r="P455" s="197"/>
      <c r="Q455" s="197"/>
      <c r="R455" s="197"/>
      <c r="S455" s="197"/>
      <c r="T455" s="197"/>
      <c r="U455" s="197"/>
      <c r="V455" s="197"/>
      <c r="W455" s="197"/>
      <c r="X455" s="197"/>
      <c r="Y455" s="197"/>
      <c r="Z455" s="197"/>
      <c r="AA455" s="197"/>
      <c r="AB455" s="197"/>
      <c r="AC455" s="197"/>
      <c r="AD455" s="197"/>
      <c r="AE455" s="197"/>
      <c r="AF455" s="197"/>
      <c r="AG455" s="197"/>
      <c r="AH455" s="197"/>
      <c r="AI455" s="197"/>
      <c r="AJ455" s="197"/>
      <c r="AK455" s="197"/>
      <c r="AL455" s="197"/>
    </row>
    <row r="456" spans="1:38">
      <c r="A456" s="11" t="str">
        <f t="shared" si="57"/>
        <v>05-777046292013</v>
      </c>
      <c r="B456" t="s">
        <v>306</v>
      </c>
      <c r="C456" t="s">
        <v>307</v>
      </c>
      <c r="D456">
        <v>2013</v>
      </c>
      <c r="E456" t="s">
        <v>104</v>
      </c>
      <c r="F456">
        <v>57232.55</v>
      </c>
      <c r="G456">
        <v>468</v>
      </c>
      <c r="H456" s="11" t="str">
        <f t="shared" si="56"/>
        <v>count</v>
      </c>
      <c r="I456" s="197"/>
      <c r="J456" s="197"/>
      <c r="K456" s="197"/>
      <c r="L456" s="197"/>
      <c r="M456" s="197"/>
      <c r="N456" s="197"/>
      <c r="O456" s="197"/>
      <c r="P456" s="197"/>
      <c r="Q456" s="197"/>
      <c r="R456" s="197"/>
      <c r="S456" s="197"/>
      <c r="T456" s="197"/>
      <c r="U456" s="197"/>
      <c r="V456" s="197"/>
      <c r="W456" s="197"/>
      <c r="X456" s="197"/>
      <c r="Y456" s="197"/>
      <c r="Z456" s="197"/>
      <c r="AA456" s="197"/>
      <c r="AB456" s="197"/>
      <c r="AC456" s="197"/>
      <c r="AD456" s="197"/>
      <c r="AE456" s="197"/>
      <c r="AF456" s="197"/>
      <c r="AG456" s="197"/>
      <c r="AH456" s="197"/>
      <c r="AI456" s="197"/>
      <c r="AJ456" s="197"/>
      <c r="AK456" s="197"/>
      <c r="AL456" s="197"/>
    </row>
    <row r="457" spans="1:38">
      <c r="A457" s="11" t="str">
        <f t="shared" si="57"/>
        <v>05-777046292011</v>
      </c>
      <c r="B457" t="s">
        <v>306</v>
      </c>
      <c r="C457" t="s">
        <v>307</v>
      </c>
      <c r="D457">
        <v>2011</v>
      </c>
      <c r="E457" t="s">
        <v>105</v>
      </c>
      <c r="F457">
        <v>8407.35</v>
      </c>
      <c r="G457">
        <v>63</v>
      </c>
      <c r="H457" s="11" t="str">
        <f t="shared" si="56"/>
        <v>count</v>
      </c>
      <c r="I457" s="197"/>
      <c r="J457" s="197"/>
      <c r="K457" s="197"/>
      <c r="L457" s="197"/>
      <c r="M457" s="197"/>
      <c r="N457" s="197"/>
      <c r="O457" s="197"/>
      <c r="P457" s="197"/>
      <c r="Q457" s="197"/>
      <c r="R457" s="197"/>
      <c r="S457" s="197"/>
      <c r="T457" s="197"/>
      <c r="U457" s="197"/>
      <c r="V457" s="197"/>
      <c r="W457" s="197"/>
      <c r="X457" s="197"/>
      <c r="Y457" s="197"/>
      <c r="Z457" s="197"/>
      <c r="AA457" s="197"/>
      <c r="AB457" s="197"/>
      <c r="AC457" s="197"/>
      <c r="AD457" s="197"/>
      <c r="AE457" s="197"/>
      <c r="AF457" s="197"/>
      <c r="AG457" s="197"/>
      <c r="AH457" s="197"/>
      <c r="AI457" s="197"/>
      <c r="AJ457" s="197"/>
      <c r="AK457" s="197"/>
      <c r="AL457" s="197"/>
    </row>
    <row r="458" spans="1:38">
      <c r="A458" s="11" t="str">
        <f t="shared" si="57"/>
        <v>05-777046292012</v>
      </c>
      <c r="B458" t="s">
        <v>306</v>
      </c>
      <c r="C458" t="s">
        <v>307</v>
      </c>
      <c r="D458">
        <v>2012</v>
      </c>
      <c r="E458" t="s">
        <v>1074</v>
      </c>
      <c r="F458">
        <v>6219.06</v>
      </c>
      <c r="G458">
        <v>52</v>
      </c>
      <c r="H458" s="11" t="str">
        <f t="shared" si="56"/>
        <v>count</v>
      </c>
      <c r="I458" s="197"/>
      <c r="J458" s="197"/>
      <c r="K458" s="197"/>
      <c r="L458" s="197"/>
      <c r="M458" s="197"/>
      <c r="N458" s="197"/>
      <c r="O458" s="197"/>
      <c r="P458" s="197"/>
      <c r="Q458" s="197"/>
      <c r="R458" s="197"/>
      <c r="S458" s="197"/>
      <c r="T458" s="197"/>
      <c r="U458" s="197"/>
      <c r="V458" s="197"/>
      <c r="W458" s="197"/>
      <c r="X458" s="197"/>
      <c r="Y458" s="197"/>
      <c r="Z458" s="197"/>
      <c r="AA458" s="197"/>
      <c r="AB458" s="197"/>
      <c r="AC458" s="197"/>
      <c r="AD458" s="197"/>
      <c r="AE458" s="197"/>
      <c r="AF458" s="197"/>
      <c r="AG458" s="197"/>
      <c r="AH458" s="197"/>
      <c r="AI458" s="197"/>
      <c r="AJ458" s="197"/>
      <c r="AK458" s="197"/>
      <c r="AL458" s="197"/>
    </row>
    <row r="459" spans="1:38">
      <c r="A459" s="11" t="str">
        <f t="shared" si="57"/>
        <v>05-777046292011</v>
      </c>
      <c r="B459" t="s">
        <v>306</v>
      </c>
      <c r="C459" t="s">
        <v>307</v>
      </c>
      <c r="D459">
        <v>2011</v>
      </c>
      <c r="E459" t="s">
        <v>69</v>
      </c>
      <c r="F459">
        <v>1933</v>
      </c>
      <c r="G459">
        <v>16</v>
      </c>
      <c r="H459" s="11" t="str">
        <f t="shared" si="56"/>
        <v>count</v>
      </c>
      <c r="I459" s="197"/>
      <c r="J459" s="197"/>
      <c r="K459" s="197"/>
      <c r="L459" s="197"/>
      <c r="M459" s="197"/>
      <c r="N459" s="197"/>
      <c r="O459" s="197"/>
      <c r="P459" s="197"/>
      <c r="Q459" s="197"/>
      <c r="R459" s="197"/>
      <c r="S459" s="197"/>
      <c r="T459" s="197"/>
      <c r="U459" s="197"/>
      <c r="V459" s="197"/>
      <c r="W459" s="197"/>
      <c r="X459" s="197"/>
      <c r="Y459" s="197"/>
      <c r="Z459" s="197"/>
      <c r="AA459" s="197"/>
      <c r="AB459" s="197"/>
      <c r="AC459" s="197"/>
      <c r="AD459" s="197"/>
      <c r="AE459" s="197"/>
      <c r="AF459" s="197"/>
      <c r="AG459" s="197"/>
      <c r="AH459" s="197"/>
      <c r="AI459" s="197"/>
      <c r="AJ459" s="197"/>
      <c r="AK459" s="197"/>
      <c r="AL459" s="197"/>
    </row>
    <row r="460" spans="1:38">
      <c r="A460" s="11" t="str">
        <f t="shared" si="57"/>
        <v>05-777046292013</v>
      </c>
      <c r="B460" t="s">
        <v>306</v>
      </c>
      <c r="C460" t="s">
        <v>307</v>
      </c>
      <c r="D460">
        <v>2013</v>
      </c>
      <c r="E460" t="s">
        <v>63</v>
      </c>
      <c r="F460">
        <v>94985.12</v>
      </c>
      <c r="G460">
        <v>561</v>
      </c>
      <c r="H460" s="11" t="str">
        <f t="shared" si="56"/>
        <v>count</v>
      </c>
      <c r="I460" s="197"/>
      <c r="J460" s="197"/>
      <c r="K460" s="197"/>
      <c r="L460" s="197"/>
      <c r="M460" s="197"/>
      <c r="N460" s="197"/>
      <c r="O460" s="197"/>
      <c r="P460" s="197"/>
      <c r="Q460" s="197"/>
      <c r="R460" s="197"/>
      <c r="S460" s="197"/>
      <c r="T460" s="197"/>
      <c r="U460" s="197"/>
      <c r="V460" s="197"/>
      <c r="W460" s="197"/>
      <c r="X460" s="197"/>
      <c r="Y460" s="197"/>
      <c r="Z460" s="197"/>
      <c r="AA460" s="197"/>
      <c r="AB460" s="197"/>
      <c r="AC460" s="197"/>
      <c r="AD460" s="197"/>
      <c r="AE460" s="197"/>
      <c r="AF460" s="197"/>
      <c r="AG460" s="197"/>
      <c r="AH460" s="197"/>
      <c r="AI460" s="197"/>
      <c r="AJ460" s="197"/>
      <c r="AK460" s="197"/>
      <c r="AL460" s="197"/>
    </row>
    <row r="461" spans="1:38">
      <c r="A461" s="11" t="str">
        <f t="shared" si="57"/>
        <v>05-777046292012</v>
      </c>
      <c r="B461" t="s">
        <v>306</v>
      </c>
      <c r="C461" t="s">
        <v>307</v>
      </c>
      <c r="D461">
        <v>2012</v>
      </c>
      <c r="E461" t="s">
        <v>106</v>
      </c>
      <c r="F461">
        <v>51247.8</v>
      </c>
      <c r="G461">
        <v>264</v>
      </c>
      <c r="H461" s="11" t="str">
        <f t="shared" si="56"/>
        <v>count</v>
      </c>
      <c r="I461" s="197"/>
      <c r="J461" s="197"/>
      <c r="K461" s="197"/>
      <c r="L461" s="197"/>
      <c r="M461" s="197"/>
      <c r="N461" s="197"/>
      <c r="O461" s="197"/>
      <c r="P461" s="197"/>
      <c r="Q461" s="197"/>
      <c r="R461" s="197"/>
      <c r="S461" s="197"/>
      <c r="T461" s="197"/>
      <c r="U461" s="197"/>
      <c r="V461" s="197"/>
      <c r="W461" s="197"/>
      <c r="X461" s="197"/>
      <c r="Y461" s="197"/>
      <c r="Z461" s="197"/>
      <c r="AA461" s="197"/>
      <c r="AB461" s="197"/>
      <c r="AC461" s="197"/>
      <c r="AD461" s="197"/>
      <c r="AE461" s="197"/>
      <c r="AF461" s="197"/>
      <c r="AG461" s="197"/>
      <c r="AH461" s="197"/>
      <c r="AI461" s="197"/>
      <c r="AJ461" s="197"/>
      <c r="AK461" s="197"/>
      <c r="AL461" s="197"/>
    </row>
    <row r="462" spans="1:38">
      <c r="A462" s="11" t="str">
        <f t="shared" si="57"/>
        <v>05-777046292012</v>
      </c>
      <c r="B462" t="s">
        <v>306</v>
      </c>
      <c r="C462" t="s">
        <v>307</v>
      </c>
      <c r="D462">
        <v>2012</v>
      </c>
      <c r="E462" t="s">
        <v>105</v>
      </c>
      <c r="F462">
        <v>11800.66</v>
      </c>
      <c r="G462">
        <v>85</v>
      </c>
      <c r="H462" s="11" t="str">
        <f t="shared" si="56"/>
        <v>count</v>
      </c>
      <c r="I462" s="197"/>
      <c r="J462" s="197"/>
      <c r="K462" s="197"/>
      <c r="L462" s="197"/>
      <c r="M462" s="197"/>
      <c r="N462" s="197"/>
      <c r="O462" s="197"/>
      <c r="P462" s="197"/>
      <c r="Q462" s="197"/>
      <c r="R462" s="197"/>
      <c r="S462" s="197"/>
      <c r="T462" s="197"/>
      <c r="U462" s="197"/>
      <c r="V462" s="197"/>
      <c r="W462" s="197"/>
      <c r="X462" s="197"/>
      <c r="Y462" s="197"/>
      <c r="Z462" s="197"/>
      <c r="AA462" s="197"/>
      <c r="AB462" s="197"/>
      <c r="AC462" s="197"/>
      <c r="AD462" s="197"/>
      <c r="AE462" s="197"/>
      <c r="AF462" s="197"/>
      <c r="AG462" s="197"/>
      <c r="AH462" s="197"/>
      <c r="AI462" s="197"/>
      <c r="AJ462" s="197"/>
      <c r="AK462" s="197"/>
      <c r="AL462" s="197"/>
    </row>
    <row r="463" spans="1:38">
      <c r="A463" s="11" t="str">
        <f t="shared" si="57"/>
        <v>05-777046292011</v>
      </c>
      <c r="B463" t="s">
        <v>306</v>
      </c>
      <c r="C463" t="s">
        <v>307</v>
      </c>
      <c r="D463">
        <v>2011</v>
      </c>
      <c r="E463" t="s">
        <v>106</v>
      </c>
      <c r="F463">
        <v>24802</v>
      </c>
      <c r="G463">
        <v>151</v>
      </c>
      <c r="H463" s="11" t="str">
        <f t="shared" si="56"/>
        <v>count</v>
      </c>
      <c r="I463" s="197"/>
      <c r="J463" s="197"/>
      <c r="K463" s="197"/>
      <c r="L463" s="197"/>
      <c r="M463" s="197"/>
      <c r="N463" s="197"/>
      <c r="O463" s="197"/>
      <c r="P463" s="197"/>
      <c r="Q463" s="197"/>
      <c r="R463" s="197"/>
      <c r="S463" s="197"/>
      <c r="T463" s="197"/>
      <c r="U463" s="197"/>
      <c r="V463" s="197"/>
      <c r="W463" s="197"/>
      <c r="X463" s="197"/>
      <c r="Y463" s="197"/>
      <c r="Z463" s="197"/>
      <c r="AA463" s="197"/>
      <c r="AB463" s="197"/>
      <c r="AC463" s="197"/>
      <c r="AD463" s="197"/>
      <c r="AE463" s="197"/>
      <c r="AF463" s="197"/>
      <c r="AG463" s="197"/>
      <c r="AH463" s="197"/>
      <c r="AI463" s="197"/>
      <c r="AJ463" s="197"/>
      <c r="AK463" s="197"/>
      <c r="AL463" s="197"/>
    </row>
    <row r="464" spans="1:38">
      <c r="A464" s="11" t="str">
        <f t="shared" si="57"/>
        <v>05-777046292011</v>
      </c>
      <c r="B464" t="s">
        <v>306</v>
      </c>
      <c r="C464" t="s">
        <v>307</v>
      </c>
      <c r="D464">
        <v>2011</v>
      </c>
      <c r="E464" t="s">
        <v>1076</v>
      </c>
      <c r="F464">
        <v>4320</v>
      </c>
      <c r="G464">
        <v>30</v>
      </c>
      <c r="H464" s="11" t="str">
        <f t="shared" si="56"/>
        <v>count</v>
      </c>
      <c r="I464" s="197"/>
      <c r="J464" s="197"/>
      <c r="K464" s="197"/>
      <c r="L464" s="197"/>
      <c r="M464" s="197"/>
      <c r="N464" s="197"/>
      <c r="O464" s="197"/>
      <c r="P464" s="197"/>
      <c r="Q464" s="197"/>
      <c r="R464" s="197"/>
      <c r="S464" s="197"/>
      <c r="T464" s="197"/>
      <c r="U464" s="197"/>
      <c r="V464" s="197"/>
      <c r="W464" s="197"/>
      <c r="X464" s="197"/>
      <c r="Y464" s="197"/>
      <c r="Z464" s="197"/>
      <c r="AA464" s="197"/>
      <c r="AB464" s="197"/>
      <c r="AC464" s="197"/>
      <c r="AD464" s="197"/>
      <c r="AE464" s="197"/>
      <c r="AF464" s="197"/>
      <c r="AG464" s="197"/>
      <c r="AH464" s="197"/>
      <c r="AI464" s="197"/>
      <c r="AJ464" s="197"/>
      <c r="AK464" s="197"/>
      <c r="AL464" s="197"/>
    </row>
    <row r="465" spans="1:38">
      <c r="A465" s="11" t="str">
        <f t="shared" si="57"/>
        <v>05-777046292013</v>
      </c>
      <c r="B465" t="s">
        <v>306</v>
      </c>
      <c r="C465" t="s">
        <v>307</v>
      </c>
      <c r="D465">
        <v>2013</v>
      </c>
      <c r="E465" t="s">
        <v>69</v>
      </c>
      <c r="F465">
        <v>217067.25</v>
      </c>
      <c r="G465">
        <v>1853</v>
      </c>
      <c r="H465" s="11" t="str">
        <f t="shared" si="56"/>
        <v>count</v>
      </c>
      <c r="I465" s="197"/>
      <c r="J465" s="197"/>
      <c r="K465" s="197"/>
      <c r="L465" s="197"/>
      <c r="M465" s="197"/>
      <c r="N465" s="197"/>
      <c r="O465" s="197"/>
      <c r="P465" s="197"/>
      <c r="Q465" s="197"/>
      <c r="R465" s="197"/>
      <c r="S465" s="197"/>
      <c r="T465" s="197"/>
      <c r="U465" s="197"/>
      <c r="V465" s="197"/>
      <c r="W465" s="197"/>
      <c r="X465" s="197"/>
      <c r="Y465" s="197"/>
      <c r="Z465" s="197"/>
      <c r="AA465" s="197"/>
      <c r="AB465" s="197"/>
      <c r="AC465" s="197"/>
      <c r="AD465" s="197"/>
      <c r="AE465" s="197"/>
      <c r="AF465" s="197"/>
      <c r="AG465" s="197"/>
      <c r="AH465" s="197"/>
      <c r="AI465" s="197"/>
      <c r="AJ465" s="197"/>
      <c r="AK465" s="197"/>
      <c r="AL465" s="197"/>
    </row>
    <row r="466" spans="1:38">
      <c r="A466" s="11" t="str">
        <f t="shared" si="57"/>
        <v>05-777046292011</v>
      </c>
      <c r="B466" t="s">
        <v>306</v>
      </c>
      <c r="C466" t="s">
        <v>307</v>
      </c>
      <c r="D466">
        <v>2011</v>
      </c>
      <c r="E466" t="s">
        <v>104</v>
      </c>
      <c r="F466">
        <v>73366.13</v>
      </c>
      <c r="G466">
        <v>627</v>
      </c>
      <c r="H466" s="11" t="str">
        <f t="shared" si="56"/>
        <v>count</v>
      </c>
      <c r="I466" s="197"/>
      <c r="J466" s="197"/>
      <c r="K466" s="197"/>
      <c r="L466" s="197"/>
      <c r="M466" s="197"/>
      <c r="N466" s="197"/>
      <c r="O466" s="197"/>
      <c r="P466" s="197"/>
      <c r="Q466" s="197"/>
      <c r="R466" s="197"/>
      <c r="S466" s="197"/>
      <c r="T466" s="197"/>
      <c r="U466" s="197"/>
      <c r="V466" s="197"/>
      <c r="W466" s="197"/>
      <c r="X466" s="197"/>
      <c r="Y466" s="197"/>
      <c r="Z466" s="197"/>
      <c r="AA466" s="197"/>
      <c r="AB466" s="197"/>
      <c r="AC466" s="197"/>
      <c r="AD466" s="197"/>
      <c r="AE466" s="197"/>
      <c r="AF466" s="197"/>
      <c r="AG466" s="197"/>
      <c r="AH466" s="197"/>
      <c r="AI466" s="197"/>
      <c r="AJ466" s="197"/>
      <c r="AK466" s="197"/>
      <c r="AL466" s="197"/>
    </row>
    <row r="467" spans="1:38">
      <c r="A467" s="11" t="str">
        <f t="shared" si="57"/>
        <v>05-777046292012</v>
      </c>
      <c r="B467" t="s">
        <v>306</v>
      </c>
      <c r="C467" t="s">
        <v>307</v>
      </c>
      <c r="D467">
        <v>2012</v>
      </c>
      <c r="E467" t="s">
        <v>1075</v>
      </c>
      <c r="F467">
        <v>10511.19</v>
      </c>
      <c r="G467">
        <v>91</v>
      </c>
      <c r="H467" s="11" t="str">
        <f t="shared" si="56"/>
        <v>count</v>
      </c>
      <c r="I467" s="197"/>
      <c r="J467" s="197"/>
      <c r="K467" s="197"/>
      <c r="L467" s="197"/>
      <c r="M467" s="197"/>
      <c r="N467" s="197"/>
      <c r="O467" s="197"/>
      <c r="P467" s="197"/>
      <c r="Q467" s="197"/>
      <c r="R467" s="197"/>
      <c r="S467" s="197"/>
      <c r="T467" s="197"/>
      <c r="U467" s="197"/>
      <c r="V467" s="197"/>
      <c r="W467" s="197"/>
      <c r="X467" s="197"/>
      <c r="Y467" s="197"/>
      <c r="Z467" s="197"/>
      <c r="AA467" s="197"/>
      <c r="AB467" s="197"/>
      <c r="AC467" s="197"/>
      <c r="AD467" s="197"/>
      <c r="AE467" s="197"/>
      <c r="AF467" s="197"/>
      <c r="AG467" s="197"/>
      <c r="AH467" s="197"/>
      <c r="AI467" s="197"/>
      <c r="AJ467" s="197"/>
      <c r="AK467" s="197"/>
      <c r="AL467" s="197"/>
    </row>
    <row r="468" spans="1:38">
      <c r="A468" s="11" t="str">
        <f t="shared" si="57"/>
        <v>05-777046292012</v>
      </c>
      <c r="B468" t="s">
        <v>306</v>
      </c>
      <c r="C468" t="s">
        <v>307</v>
      </c>
      <c r="D468">
        <v>2012</v>
      </c>
      <c r="E468" t="s">
        <v>1076</v>
      </c>
      <c r="F468">
        <v>2877</v>
      </c>
      <c r="G468">
        <v>30</v>
      </c>
      <c r="H468" s="11" t="str">
        <f t="shared" si="56"/>
        <v>count</v>
      </c>
      <c r="I468" s="197"/>
      <c r="J468" s="197"/>
      <c r="K468" s="197"/>
      <c r="L468" s="197"/>
      <c r="M468" s="197"/>
      <c r="N468" s="197"/>
      <c r="O468" s="197"/>
      <c r="P468" s="197"/>
      <c r="Q468" s="197"/>
      <c r="R468" s="197"/>
      <c r="S468" s="197"/>
      <c r="T468" s="197"/>
      <c r="U468" s="197"/>
      <c r="V468" s="197"/>
      <c r="W468" s="197"/>
      <c r="X468" s="197"/>
      <c r="Y468" s="197"/>
      <c r="Z468" s="197"/>
      <c r="AA468" s="197"/>
      <c r="AB468" s="197"/>
      <c r="AC468" s="197"/>
      <c r="AD468" s="197"/>
      <c r="AE468" s="197"/>
      <c r="AF468" s="197"/>
      <c r="AG468" s="197"/>
      <c r="AH468" s="197"/>
      <c r="AI468" s="197"/>
      <c r="AJ468" s="197"/>
      <c r="AK468" s="197"/>
      <c r="AL468" s="197"/>
    </row>
    <row r="469" spans="1:38">
      <c r="A469" s="11" t="str">
        <f t="shared" si="57"/>
        <v>05-777046292011</v>
      </c>
      <c r="B469" t="s">
        <v>306</v>
      </c>
      <c r="C469" t="s">
        <v>307</v>
      </c>
      <c r="D469">
        <v>2011</v>
      </c>
      <c r="E469" t="s">
        <v>63</v>
      </c>
      <c r="F469">
        <v>233086.44</v>
      </c>
      <c r="G469">
        <v>1700</v>
      </c>
      <c r="H469" s="11" t="str">
        <f t="shared" si="56"/>
        <v>count</v>
      </c>
      <c r="I469" s="197"/>
      <c r="J469" s="197"/>
      <c r="K469" s="197"/>
      <c r="L469" s="197"/>
      <c r="M469" s="197"/>
      <c r="N469" s="197"/>
      <c r="O469" s="197"/>
      <c r="P469" s="197"/>
      <c r="Q469" s="197"/>
      <c r="R469" s="197"/>
      <c r="S469" s="197"/>
      <c r="T469" s="197"/>
      <c r="U469" s="197"/>
      <c r="V469" s="197"/>
      <c r="W469" s="197"/>
      <c r="X469" s="197"/>
      <c r="Y469" s="197"/>
      <c r="Z469" s="197"/>
      <c r="AA469" s="197"/>
      <c r="AB469" s="197"/>
      <c r="AC469" s="197"/>
      <c r="AD469" s="197"/>
      <c r="AE469" s="197"/>
      <c r="AF469" s="197"/>
      <c r="AG469" s="197"/>
      <c r="AH469" s="197"/>
      <c r="AI469" s="197"/>
      <c r="AJ469" s="197"/>
      <c r="AK469" s="197"/>
      <c r="AL469" s="197"/>
    </row>
    <row r="470" spans="1:38">
      <c r="A470" s="11" t="str">
        <f t="shared" si="57"/>
        <v>05-777046292013</v>
      </c>
      <c r="B470" t="s">
        <v>306</v>
      </c>
      <c r="C470" t="s">
        <v>307</v>
      </c>
      <c r="D470">
        <v>2013</v>
      </c>
      <c r="E470" t="s">
        <v>106</v>
      </c>
      <c r="F470">
        <v>55703.24</v>
      </c>
      <c r="G470">
        <v>307</v>
      </c>
      <c r="H470" s="11" t="str">
        <f t="shared" si="56"/>
        <v>count</v>
      </c>
      <c r="I470" s="197"/>
      <c r="J470" s="197"/>
      <c r="K470" s="197"/>
      <c r="L470" s="197"/>
      <c r="M470" s="197"/>
      <c r="N470" s="197"/>
      <c r="O470" s="197"/>
      <c r="P470" s="197"/>
      <c r="Q470" s="197"/>
      <c r="R470" s="197"/>
      <c r="S470" s="197"/>
      <c r="T470" s="197"/>
      <c r="U470" s="197"/>
      <c r="V470" s="197"/>
      <c r="W470" s="197"/>
      <c r="X470" s="197"/>
      <c r="Y470" s="197"/>
      <c r="Z470" s="197"/>
      <c r="AA470" s="197"/>
      <c r="AB470" s="197"/>
      <c r="AC470" s="197"/>
      <c r="AD470" s="197"/>
      <c r="AE470" s="197"/>
      <c r="AF470" s="197"/>
      <c r="AG470" s="197"/>
      <c r="AH470" s="197"/>
      <c r="AI470" s="197"/>
      <c r="AJ470" s="197"/>
      <c r="AK470" s="197"/>
      <c r="AL470" s="197"/>
    </row>
    <row r="471" spans="1:38">
      <c r="A471" s="11" t="str">
        <f t="shared" si="57"/>
        <v>05-777046292012</v>
      </c>
      <c r="B471" t="s">
        <v>306</v>
      </c>
      <c r="C471" t="s">
        <v>307</v>
      </c>
      <c r="D471">
        <v>2012</v>
      </c>
      <c r="E471" t="s">
        <v>63</v>
      </c>
      <c r="F471">
        <v>89423.81</v>
      </c>
      <c r="G471">
        <v>528</v>
      </c>
      <c r="H471" s="11" t="str">
        <f t="shared" si="56"/>
        <v>count</v>
      </c>
      <c r="I471" s="197"/>
      <c r="J471" s="197"/>
      <c r="K471" s="197"/>
      <c r="L471" s="197"/>
      <c r="M471" s="197"/>
      <c r="N471" s="197"/>
      <c r="O471" s="197"/>
      <c r="P471" s="197"/>
      <c r="Q471" s="197"/>
      <c r="R471" s="197"/>
      <c r="S471" s="197"/>
      <c r="T471" s="197"/>
      <c r="U471" s="197"/>
      <c r="V471" s="197"/>
      <c r="W471" s="197"/>
      <c r="X471" s="197"/>
      <c r="Y471" s="197"/>
      <c r="Z471" s="197"/>
      <c r="AA471" s="197"/>
      <c r="AB471" s="197"/>
      <c r="AC471" s="197"/>
      <c r="AD471" s="197"/>
      <c r="AE471" s="197"/>
      <c r="AF471" s="197"/>
      <c r="AG471" s="197"/>
      <c r="AH471" s="197"/>
      <c r="AI471" s="197"/>
      <c r="AJ471" s="197"/>
      <c r="AK471" s="197"/>
      <c r="AL471" s="197"/>
    </row>
    <row r="472" spans="1:38">
      <c r="A472" s="11" t="str">
        <f t="shared" si="57"/>
        <v>05-777046292013</v>
      </c>
      <c r="B472" t="s">
        <v>306</v>
      </c>
      <c r="C472" t="s">
        <v>307</v>
      </c>
      <c r="D472">
        <v>2013</v>
      </c>
      <c r="E472" t="s">
        <v>105</v>
      </c>
      <c r="F472">
        <v>7370.14</v>
      </c>
      <c r="G472">
        <v>53</v>
      </c>
      <c r="H472" s="11" t="str">
        <f t="shared" si="56"/>
        <v>count</v>
      </c>
      <c r="I472" s="197"/>
      <c r="J472" s="197"/>
      <c r="K472" s="197"/>
      <c r="L472" s="197"/>
      <c r="M472" s="197"/>
      <c r="N472" s="197"/>
      <c r="O472" s="197"/>
      <c r="P472" s="197"/>
      <c r="Q472" s="197"/>
      <c r="R472" s="197"/>
      <c r="S472" s="197"/>
      <c r="T472" s="197"/>
      <c r="U472" s="197"/>
      <c r="V472" s="197"/>
      <c r="W472" s="197"/>
      <c r="X472" s="197"/>
      <c r="Y472" s="197"/>
      <c r="Z472" s="197"/>
      <c r="AA472" s="197"/>
      <c r="AB472" s="197"/>
      <c r="AC472" s="197"/>
      <c r="AD472" s="197"/>
      <c r="AE472" s="197"/>
      <c r="AF472" s="197"/>
      <c r="AG472" s="197"/>
      <c r="AH472" s="197"/>
      <c r="AI472" s="197"/>
      <c r="AJ472" s="197"/>
      <c r="AK472" s="197"/>
      <c r="AL472" s="197"/>
    </row>
    <row r="473" spans="1:38">
      <c r="A473" s="11" t="str">
        <f t="shared" si="57"/>
        <v>05-777046292012</v>
      </c>
      <c r="B473" t="s">
        <v>306</v>
      </c>
      <c r="C473" t="s">
        <v>307</v>
      </c>
      <c r="D473">
        <v>2012</v>
      </c>
      <c r="E473" t="s">
        <v>69</v>
      </c>
      <c r="F473">
        <v>192416.26</v>
      </c>
      <c r="G473">
        <v>1597</v>
      </c>
      <c r="H473" s="11" t="str">
        <f t="shared" si="56"/>
        <v>count</v>
      </c>
      <c r="I473" s="197"/>
      <c r="J473" s="197"/>
      <c r="K473" s="197"/>
      <c r="L473" s="197"/>
      <c r="M473" s="197"/>
      <c r="N473" s="197"/>
      <c r="O473" s="197"/>
      <c r="P473" s="197"/>
      <c r="Q473" s="197"/>
      <c r="R473" s="197"/>
      <c r="S473" s="197"/>
      <c r="T473" s="197"/>
      <c r="U473" s="197"/>
      <c r="V473" s="197"/>
      <c r="W473" s="197"/>
      <c r="X473" s="197"/>
      <c r="Y473" s="197"/>
      <c r="Z473" s="197"/>
      <c r="AA473" s="197"/>
      <c r="AB473" s="197"/>
      <c r="AC473" s="197"/>
      <c r="AD473" s="197"/>
      <c r="AE473" s="197"/>
      <c r="AF473" s="197"/>
      <c r="AG473" s="197"/>
      <c r="AH473" s="197"/>
      <c r="AI473" s="197"/>
      <c r="AJ473" s="197"/>
      <c r="AK473" s="197"/>
      <c r="AL473" s="197"/>
    </row>
    <row r="474" spans="1:38">
      <c r="A474" s="11" t="str">
        <f t="shared" si="57"/>
        <v>05-777046292011</v>
      </c>
      <c r="B474" t="s">
        <v>306</v>
      </c>
      <c r="C474" t="s">
        <v>307</v>
      </c>
      <c r="D474">
        <v>2011</v>
      </c>
      <c r="E474" t="s">
        <v>1074</v>
      </c>
      <c r="F474">
        <v>1356</v>
      </c>
      <c r="G474">
        <v>16</v>
      </c>
      <c r="H474" s="11" t="str">
        <f t="shared" si="56"/>
        <v>count</v>
      </c>
      <c r="I474" s="197"/>
      <c r="J474" s="197"/>
      <c r="K474" s="197"/>
      <c r="L474" s="197"/>
      <c r="M474" s="197"/>
      <c r="N474" s="197"/>
      <c r="O474" s="197"/>
      <c r="P474" s="197"/>
      <c r="Q474" s="197"/>
      <c r="R474" s="197"/>
      <c r="S474" s="197"/>
      <c r="T474" s="197"/>
      <c r="U474" s="197"/>
      <c r="V474" s="197"/>
      <c r="W474" s="197"/>
      <c r="X474" s="197"/>
      <c r="Y474" s="197"/>
      <c r="Z474" s="197"/>
      <c r="AA474" s="197"/>
      <c r="AB474" s="197"/>
      <c r="AC474" s="197"/>
      <c r="AD474" s="197"/>
      <c r="AE474" s="197"/>
      <c r="AF474" s="197"/>
      <c r="AG474" s="197"/>
      <c r="AH474" s="197"/>
      <c r="AI474" s="197"/>
      <c r="AJ474" s="197"/>
      <c r="AK474" s="197"/>
      <c r="AL474" s="197"/>
    </row>
    <row r="475" spans="1:38">
      <c r="A475" s="11" t="str">
        <f t="shared" si="57"/>
        <v>05-777046292012</v>
      </c>
      <c r="B475" t="s">
        <v>306</v>
      </c>
      <c r="C475" t="s">
        <v>307</v>
      </c>
      <c r="D475">
        <v>2012</v>
      </c>
      <c r="E475" t="s">
        <v>104</v>
      </c>
      <c r="F475">
        <v>70464.649999999994</v>
      </c>
      <c r="G475">
        <v>554</v>
      </c>
      <c r="H475" s="11" t="str">
        <f t="shared" si="56"/>
        <v>count</v>
      </c>
      <c r="I475" s="197"/>
      <c r="J475" s="197"/>
      <c r="K475" s="197"/>
      <c r="L475" s="197"/>
      <c r="M475" s="197"/>
      <c r="N475" s="197"/>
      <c r="O475" s="197"/>
      <c r="P475" s="197"/>
      <c r="Q475" s="197"/>
      <c r="R475" s="197"/>
      <c r="S475" s="197"/>
      <c r="T475" s="197"/>
      <c r="U475" s="197"/>
      <c r="V475" s="197"/>
      <c r="W475" s="197"/>
      <c r="X475" s="197"/>
      <c r="Y475" s="197"/>
      <c r="Z475" s="197"/>
      <c r="AA475" s="197"/>
      <c r="AB475" s="197"/>
      <c r="AC475" s="197"/>
      <c r="AD475" s="197"/>
      <c r="AE475" s="197"/>
      <c r="AF475" s="197"/>
      <c r="AG475" s="197"/>
      <c r="AH475" s="197"/>
      <c r="AI475" s="197"/>
      <c r="AJ475" s="197"/>
      <c r="AK475" s="197"/>
      <c r="AL475" s="197"/>
    </row>
    <row r="476" spans="1:38">
      <c r="A476" s="11" t="str">
        <f t="shared" si="57"/>
        <v>05-794243722013</v>
      </c>
      <c r="B476" t="s">
        <v>314</v>
      </c>
      <c r="C476" t="s">
        <v>315</v>
      </c>
      <c r="D476">
        <v>2013</v>
      </c>
      <c r="E476" t="s">
        <v>105</v>
      </c>
      <c r="F476">
        <v>130083.76</v>
      </c>
      <c r="G476">
        <v>112</v>
      </c>
      <c r="H476" s="11" t="str">
        <f t="shared" si="56"/>
        <v>volume</v>
      </c>
      <c r="I476" s="197"/>
      <c r="J476" s="197"/>
      <c r="K476" s="197"/>
      <c r="L476" s="197"/>
      <c r="M476" s="197"/>
      <c r="N476" s="197"/>
      <c r="O476" s="197"/>
      <c r="P476" s="197"/>
      <c r="Q476" s="197"/>
      <c r="R476" s="197"/>
      <c r="S476" s="197"/>
      <c r="T476" s="197"/>
      <c r="U476" s="197"/>
      <c r="V476" s="197"/>
      <c r="W476" s="197"/>
      <c r="X476" s="197"/>
      <c r="Y476" s="197"/>
      <c r="Z476" s="197"/>
      <c r="AA476" s="197"/>
      <c r="AB476" s="197"/>
      <c r="AC476" s="197"/>
      <c r="AD476" s="197"/>
      <c r="AE476" s="197"/>
      <c r="AF476" s="197"/>
      <c r="AG476" s="197"/>
      <c r="AH476" s="197"/>
      <c r="AI476" s="197"/>
      <c r="AJ476" s="197"/>
      <c r="AK476" s="197"/>
      <c r="AL476" s="197"/>
    </row>
    <row r="477" spans="1:38">
      <c r="A477" s="11" t="str">
        <f t="shared" si="57"/>
        <v>05-794243722013</v>
      </c>
      <c r="B477" t="s">
        <v>314</v>
      </c>
      <c r="C477" t="s">
        <v>315</v>
      </c>
      <c r="D477">
        <v>2013</v>
      </c>
      <c r="E477" t="s">
        <v>106</v>
      </c>
      <c r="F477">
        <v>1981.78</v>
      </c>
      <c r="G477">
        <v>2</v>
      </c>
      <c r="H477" s="11" t="str">
        <f t="shared" si="56"/>
        <v>count</v>
      </c>
      <c r="I477" s="197"/>
      <c r="J477" s="197"/>
      <c r="K477" s="197"/>
      <c r="L477" s="197"/>
      <c r="M477" s="197"/>
      <c r="N477" s="197"/>
      <c r="O477" s="197"/>
      <c r="P477" s="197"/>
      <c r="Q477" s="197"/>
      <c r="R477" s="197"/>
      <c r="S477" s="197"/>
      <c r="T477" s="197"/>
      <c r="U477" s="197"/>
      <c r="V477" s="197"/>
      <c r="W477" s="197"/>
      <c r="X477" s="197"/>
      <c r="Y477" s="197"/>
      <c r="Z477" s="197"/>
      <c r="AA477" s="197"/>
      <c r="AB477" s="197"/>
      <c r="AC477" s="197"/>
      <c r="AD477" s="197"/>
      <c r="AE477" s="197"/>
      <c r="AF477" s="197"/>
      <c r="AG477" s="197"/>
      <c r="AH477" s="197"/>
      <c r="AI477" s="197"/>
      <c r="AJ477" s="197"/>
      <c r="AK477" s="197"/>
      <c r="AL477" s="197"/>
    </row>
    <row r="478" spans="1:38">
      <c r="A478" s="11" t="str">
        <f t="shared" si="57"/>
        <v>05-794243722012</v>
      </c>
      <c r="B478" t="s">
        <v>314</v>
      </c>
      <c r="C478" t="s">
        <v>315</v>
      </c>
      <c r="D478">
        <v>2012</v>
      </c>
      <c r="E478" t="s">
        <v>69</v>
      </c>
      <c r="F478">
        <v>243872.01</v>
      </c>
      <c r="G478">
        <v>273</v>
      </c>
      <c r="H478" s="11" t="str">
        <f t="shared" si="56"/>
        <v>count</v>
      </c>
      <c r="I478" s="197"/>
      <c r="J478" s="197"/>
      <c r="K478" s="197"/>
      <c r="L478" s="197"/>
      <c r="M478" s="197"/>
      <c r="N478" s="197"/>
      <c r="O478" s="197"/>
      <c r="P478" s="197"/>
      <c r="Q478" s="197"/>
      <c r="R478" s="197"/>
      <c r="S478" s="197"/>
      <c r="T478" s="197"/>
      <c r="U478" s="197"/>
      <c r="V478" s="197"/>
      <c r="W478" s="197"/>
      <c r="X478" s="197"/>
      <c r="Y478" s="197"/>
      <c r="Z478" s="197"/>
      <c r="AA478" s="197"/>
      <c r="AB478" s="197"/>
      <c r="AC478" s="197"/>
      <c r="AD478" s="197"/>
      <c r="AE478" s="197"/>
      <c r="AF478" s="197"/>
      <c r="AG478" s="197"/>
      <c r="AH478" s="197"/>
      <c r="AI478" s="197"/>
      <c r="AJ478" s="197"/>
      <c r="AK478" s="197"/>
      <c r="AL478" s="197"/>
    </row>
    <row r="479" spans="1:38">
      <c r="A479" s="11" t="str">
        <f t="shared" si="57"/>
        <v>05-794243722012</v>
      </c>
      <c r="B479" t="s">
        <v>314</v>
      </c>
      <c r="C479" t="s">
        <v>315</v>
      </c>
      <c r="D479">
        <v>2012</v>
      </c>
      <c r="E479" t="s">
        <v>63</v>
      </c>
      <c r="F479">
        <v>716754.63</v>
      </c>
      <c r="G479">
        <v>625</v>
      </c>
      <c r="H479" s="11" t="str">
        <f t="shared" si="56"/>
        <v>count</v>
      </c>
      <c r="I479" s="197"/>
      <c r="J479" s="197"/>
      <c r="K479" s="197"/>
      <c r="L479" s="197"/>
      <c r="M479" s="197"/>
      <c r="N479" s="197"/>
      <c r="O479" s="197"/>
      <c r="P479" s="197"/>
      <c r="Q479" s="197"/>
      <c r="R479" s="197"/>
      <c r="S479" s="197"/>
      <c r="T479" s="197"/>
      <c r="U479" s="197"/>
      <c r="V479" s="197"/>
      <c r="W479" s="197"/>
      <c r="X479" s="197"/>
      <c r="Y479" s="197"/>
      <c r="Z479" s="197"/>
      <c r="AA479" s="197"/>
      <c r="AB479" s="197"/>
      <c r="AC479" s="197"/>
      <c r="AD479" s="197"/>
      <c r="AE479" s="197"/>
      <c r="AF479" s="197"/>
      <c r="AG479" s="197"/>
      <c r="AH479" s="197"/>
      <c r="AI479" s="197"/>
      <c r="AJ479" s="197"/>
      <c r="AK479" s="197"/>
      <c r="AL479" s="197"/>
    </row>
    <row r="480" spans="1:38">
      <c r="A480" s="11" t="str">
        <f t="shared" si="57"/>
        <v>05-794243722012</v>
      </c>
      <c r="B480" t="s">
        <v>314</v>
      </c>
      <c r="C480" t="s">
        <v>315</v>
      </c>
      <c r="D480">
        <v>2012</v>
      </c>
      <c r="E480" t="s">
        <v>104</v>
      </c>
      <c r="F480">
        <v>265792.89</v>
      </c>
      <c r="G480">
        <v>256</v>
      </c>
      <c r="H480" s="11" t="str">
        <f t="shared" si="56"/>
        <v>count</v>
      </c>
      <c r="I480" s="197"/>
      <c r="J480" s="197"/>
      <c r="K480" s="197"/>
      <c r="L480" s="197"/>
      <c r="M480" s="197"/>
      <c r="N480" s="197"/>
      <c r="O480" s="197"/>
      <c r="P480" s="197"/>
      <c r="Q480" s="197"/>
      <c r="R480" s="197"/>
      <c r="S480" s="197"/>
      <c r="T480" s="197"/>
      <c r="U480" s="197"/>
      <c r="V480" s="197"/>
      <c r="W480" s="197"/>
      <c r="X480" s="197"/>
      <c r="Y480" s="197"/>
      <c r="Z480" s="197"/>
      <c r="AA480" s="197"/>
      <c r="AB480" s="197"/>
      <c r="AC480" s="197"/>
      <c r="AD480" s="197"/>
      <c r="AE480" s="197"/>
      <c r="AF480" s="197"/>
      <c r="AG480" s="197"/>
      <c r="AH480" s="197"/>
      <c r="AI480" s="197"/>
      <c r="AJ480" s="197"/>
      <c r="AK480" s="197"/>
      <c r="AL480" s="197"/>
    </row>
    <row r="481" spans="1:38">
      <c r="A481" s="11" t="str">
        <f t="shared" si="57"/>
        <v>05-794243722012</v>
      </c>
      <c r="B481" t="s">
        <v>314</v>
      </c>
      <c r="C481" t="s">
        <v>315</v>
      </c>
      <c r="D481">
        <v>2012</v>
      </c>
      <c r="E481" t="s">
        <v>133</v>
      </c>
      <c r="F481">
        <v>126855.8</v>
      </c>
      <c r="G481">
        <v>102</v>
      </c>
      <c r="H481" s="11" t="str">
        <f t="shared" si="56"/>
        <v>count</v>
      </c>
      <c r="I481" s="197"/>
      <c r="J481" s="197"/>
      <c r="K481" s="197"/>
      <c r="L481" s="197"/>
      <c r="M481" s="197"/>
      <c r="N481" s="197"/>
      <c r="O481" s="197"/>
      <c r="P481" s="197"/>
      <c r="Q481" s="197"/>
      <c r="R481" s="197"/>
      <c r="S481" s="197"/>
      <c r="T481" s="197"/>
      <c r="U481" s="197"/>
      <c r="V481" s="197"/>
      <c r="W481" s="197"/>
      <c r="X481" s="197"/>
      <c r="Y481" s="197"/>
      <c r="Z481" s="197"/>
      <c r="AA481" s="197"/>
      <c r="AB481" s="197"/>
      <c r="AC481" s="197"/>
      <c r="AD481" s="197"/>
      <c r="AE481" s="197"/>
      <c r="AF481" s="197"/>
      <c r="AG481" s="197"/>
      <c r="AH481" s="197"/>
      <c r="AI481" s="197"/>
      <c r="AJ481" s="197"/>
      <c r="AK481" s="197"/>
      <c r="AL481" s="197"/>
    </row>
    <row r="482" spans="1:38">
      <c r="A482" s="11" t="str">
        <f t="shared" si="57"/>
        <v>05-794243722011</v>
      </c>
      <c r="B482" t="s">
        <v>314</v>
      </c>
      <c r="C482" t="s">
        <v>315</v>
      </c>
      <c r="D482">
        <v>2011</v>
      </c>
      <c r="E482" t="s">
        <v>63</v>
      </c>
      <c r="F482">
        <v>762387.45</v>
      </c>
      <c r="G482">
        <v>752</v>
      </c>
      <c r="H482" s="11" t="str">
        <f t="shared" si="56"/>
        <v>count</v>
      </c>
      <c r="I482" s="197"/>
      <c r="J482" s="197"/>
      <c r="K482" s="197"/>
      <c r="L482" s="197"/>
      <c r="M482" s="197"/>
      <c r="N482" s="197"/>
      <c r="O482" s="197"/>
      <c r="P482" s="197"/>
      <c r="Q482" s="197"/>
      <c r="R482" s="197"/>
      <c r="S482" s="197"/>
      <c r="T482" s="197"/>
      <c r="U482" s="197"/>
      <c r="V482" s="197"/>
      <c r="W482" s="197"/>
      <c r="X482" s="197"/>
      <c r="Y482" s="197"/>
      <c r="Z482" s="197"/>
      <c r="AA482" s="197"/>
      <c r="AB482" s="197"/>
      <c r="AC482" s="197"/>
      <c r="AD482" s="197"/>
      <c r="AE482" s="197"/>
      <c r="AF482" s="197"/>
      <c r="AG482" s="197"/>
      <c r="AH482" s="197"/>
      <c r="AI482" s="197"/>
      <c r="AJ482" s="197"/>
      <c r="AK482" s="197"/>
      <c r="AL482" s="197"/>
    </row>
    <row r="483" spans="1:38">
      <c r="A483" s="11" t="str">
        <f t="shared" si="57"/>
        <v>05-794243722011</v>
      </c>
      <c r="B483" t="s">
        <v>314</v>
      </c>
      <c r="C483" t="s">
        <v>315</v>
      </c>
      <c r="D483">
        <v>2011</v>
      </c>
      <c r="E483" t="s">
        <v>104</v>
      </c>
      <c r="F483">
        <v>310195.01</v>
      </c>
      <c r="G483">
        <v>325</v>
      </c>
      <c r="H483" s="11" t="str">
        <f t="shared" si="56"/>
        <v>count</v>
      </c>
      <c r="I483" s="197"/>
      <c r="J483" s="197"/>
      <c r="K483" s="197"/>
      <c r="L483" s="197"/>
      <c r="M483" s="197"/>
      <c r="N483" s="197"/>
      <c r="O483" s="197"/>
      <c r="P483" s="197"/>
      <c r="Q483" s="197"/>
      <c r="R483" s="197"/>
      <c r="S483" s="197"/>
      <c r="T483" s="197"/>
      <c r="U483" s="197"/>
      <c r="V483" s="197"/>
      <c r="W483" s="197"/>
      <c r="X483" s="197"/>
      <c r="Y483" s="197"/>
      <c r="Z483" s="197"/>
      <c r="AA483" s="197"/>
      <c r="AB483" s="197"/>
      <c r="AC483" s="197"/>
      <c r="AD483" s="197"/>
      <c r="AE483" s="197"/>
      <c r="AF483" s="197"/>
      <c r="AG483" s="197"/>
      <c r="AH483" s="197"/>
      <c r="AI483" s="197"/>
      <c r="AJ483" s="197"/>
      <c r="AK483" s="197"/>
      <c r="AL483" s="197"/>
    </row>
    <row r="484" spans="1:38">
      <c r="A484" s="11" t="str">
        <f t="shared" si="57"/>
        <v>05-794243722011</v>
      </c>
      <c r="B484" t="s">
        <v>314</v>
      </c>
      <c r="C484" t="s">
        <v>315</v>
      </c>
      <c r="D484">
        <v>2011</v>
      </c>
      <c r="E484" t="s">
        <v>106</v>
      </c>
      <c r="F484">
        <v>765.89</v>
      </c>
      <c r="G484">
        <v>1</v>
      </c>
      <c r="H484" s="11" t="str">
        <f t="shared" si="56"/>
        <v>count</v>
      </c>
      <c r="I484" s="197"/>
      <c r="J484" s="197"/>
      <c r="K484" s="197"/>
      <c r="L484" s="197"/>
      <c r="M484" s="197"/>
      <c r="N484" s="197"/>
      <c r="O484" s="197"/>
      <c r="P484" s="197"/>
      <c r="Q484" s="197"/>
      <c r="R484" s="197"/>
      <c r="S484" s="197"/>
      <c r="T484" s="197"/>
      <c r="U484" s="197"/>
      <c r="V484" s="197"/>
      <c r="W484" s="197"/>
      <c r="X484" s="197"/>
      <c r="Y484" s="197"/>
      <c r="Z484" s="197"/>
      <c r="AA484" s="197"/>
      <c r="AB484" s="197"/>
      <c r="AC484" s="197"/>
      <c r="AD484" s="197"/>
      <c r="AE484" s="197"/>
      <c r="AF484" s="197"/>
      <c r="AG484" s="197"/>
      <c r="AH484" s="197"/>
      <c r="AI484" s="197"/>
      <c r="AJ484" s="197"/>
      <c r="AK484" s="197"/>
      <c r="AL484" s="197"/>
    </row>
    <row r="485" spans="1:38">
      <c r="A485" s="11" t="str">
        <f t="shared" si="57"/>
        <v>05-794243722012</v>
      </c>
      <c r="B485" t="s">
        <v>314</v>
      </c>
      <c r="C485" t="s">
        <v>315</v>
      </c>
      <c r="D485">
        <v>2012</v>
      </c>
      <c r="E485" t="s">
        <v>105</v>
      </c>
      <c r="F485">
        <v>103572.09</v>
      </c>
      <c r="G485">
        <v>106</v>
      </c>
      <c r="H485" s="11" t="str">
        <f t="shared" si="56"/>
        <v>count</v>
      </c>
      <c r="I485" s="197"/>
      <c r="J485" s="197"/>
      <c r="K485" s="197"/>
      <c r="L485" s="197"/>
      <c r="M485" s="197"/>
      <c r="N485" s="197"/>
      <c r="O485" s="197"/>
      <c r="P485" s="197"/>
      <c r="Q485" s="197"/>
      <c r="R485" s="197"/>
      <c r="S485" s="197"/>
      <c r="T485" s="197"/>
      <c r="U485" s="197"/>
      <c r="V485" s="197"/>
      <c r="W485" s="197"/>
      <c r="X485" s="197"/>
      <c r="Y485" s="197"/>
      <c r="Z485" s="197"/>
      <c r="AA485" s="197"/>
      <c r="AB485" s="197"/>
      <c r="AC485" s="197"/>
      <c r="AD485" s="197"/>
      <c r="AE485" s="197"/>
      <c r="AF485" s="197"/>
      <c r="AG485" s="197"/>
      <c r="AH485" s="197"/>
      <c r="AI485" s="197"/>
      <c r="AJ485" s="197"/>
      <c r="AK485" s="197"/>
      <c r="AL485" s="197"/>
    </row>
    <row r="486" spans="1:38">
      <c r="A486" s="11" t="str">
        <f t="shared" si="57"/>
        <v>05-794243722013</v>
      </c>
      <c r="B486" t="s">
        <v>314</v>
      </c>
      <c r="C486" t="s">
        <v>315</v>
      </c>
      <c r="D486">
        <v>2013</v>
      </c>
      <c r="E486" t="s">
        <v>133</v>
      </c>
      <c r="F486">
        <v>117469.49</v>
      </c>
      <c r="G486">
        <v>85</v>
      </c>
      <c r="H486" s="11" t="str">
        <f t="shared" si="56"/>
        <v>count</v>
      </c>
      <c r="I486" s="197"/>
      <c r="J486" s="197"/>
      <c r="K486" s="197"/>
      <c r="L486" s="197"/>
      <c r="M486" s="197"/>
      <c r="N486" s="197"/>
      <c r="O486" s="197"/>
      <c r="P486" s="197"/>
      <c r="Q486" s="197"/>
      <c r="R486" s="197"/>
      <c r="S486" s="197"/>
      <c r="T486" s="197"/>
      <c r="U486" s="197"/>
      <c r="V486" s="197"/>
      <c r="W486" s="197"/>
      <c r="X486" s="197"/>
      <c r="Y486" s="197"/>
      <c r="Z486" s="197"/>
      <c r="AA486" s="197"/>
      <c r="AB486" s="197"/>
      <c r="AC486" s="197"/>
      <c r="AD486" s="197"/>
      <c r="AE486" s="197"/>
      <c r="AF486" s="197"/>
      <c r="AG486" s="197"/>
      <c r="AH486" s="197"/>
      <c r="AI486" s="197"/>
      <c r="AJ486" s="197"/>
      <c r="AK486" s="197"/>
      <c r="AL486" s="197"/>
    </row>
    <row r="487" spans="1:38">
      <c r="A487" s="11" t="str">
        <f t="shared" si="57"/>
        <v>05-794243722013</v>
      </c>
      <c r="B487" t="s">
        <v>314</v>
      </c>
      <c r="C487" t="s">
        <v>315</v>
      </c>
      <c r="D487">
        <v>2013</v>
      </c>
      <c r="E487" t="s">
        <v>69</v>
      </c>
      <c r="F487">
        <v>225381.35</v>
      </c>
      <c r="G487">
        <v>257</v>
      </c>
      <c r="H487" s="11" t="str">
        <f t="shared" si="56"/>
        <v>count</v>
      </c>
      <c r="I487" s="197"/>
      <c r="J487" s="197"/>
      <c r="K487" s="197"/>
      <c r="L487" s="197"/>
      <c r="M487" s="197"/>
      <c r="N487" s="197"/>
      <c r="O487" s="197"/>
      <c r="P487" s="197"/>
      <c r="Q487" s="197"/>
      <c r="R487" s="197"/>
      <c r="S487" s="197"/>
      <c r="T487" s="197"/>
      <c r="U487" s="197"/>
      <c r="V487" s="197"/>
      <c r="W487" s="197"/>
      <c r="X487" s="197"/>
      <c r="Y487" s="197"/>
      <c r="Z487" s="197"/>
      <c r="AA487" s="197"/>
      <c r="AB487" s="197"/>
      <c r="AC487" s="197"/>
      <c r="AD487" s="197"/>
      <c r="AE487" s="197"/>
      <c r="AF487" s="197"/>
      <c r="AG487" s="197"/>
      <c r="AH487" s="197"/>
      <c r="AI487" s="197"/>
      <c r="AJ487" s="197"/>
      <c r="AK487" s="197"/>
      <c r="AL487" s="197"/>
    </row>
    <row r="488" spans="1:38">
      <c r="A488" s="11" t="str">
        <f t="shared" si="57"/>
        <v>05-794243722013</v>
      </c>
      <c r="B488" t="s">
        <v>314</v>
      </c>
      <c r="C488" t="s">
        <v>315</v>
      </c>
      <c r="D488">
        <v>2013</v>
      </c>
      <c r="E488" t="s">
        <v>104</v>
      </c>
      <c r="F488">
        <v>277218.62</v>
      </c>
      <c r="G488">
        <v>250</v>
      </c>
      <c r="H488" s="11" t="str">
        <f t="shared" si="56"/>
        <v>count</v>
      </c>
      <c r="I488" s="197"/>
      <c r="J488" s="197"/>
      <c r="K488" s="197"/>
      <c r="L488" s="197"/>
      <c r="M488" s="197"/>
      <c r="N488" s="197"/>
      <c r="O488" s="197"/>
      <c r="P488" s="197"/>
      <c r="Q488" s="197"/>
      <c r="R488" s="197"/>
      <c r="S488" s="197"/>
      <c r="T488" s="197"/>
      <c r="U488" s="197"/>
      <c r="V488" s="197"/>
      <c r="W488" s="197"/>
      <c r="X488" s="197"/>
      <c r="Y488" s="197"/>
      <c r="Z488" s="197"/>
      <c r="AA488" s="197"/>
      <c r="AB488" s="197"/>
      <c r="AC488" s="197"/>
      <c r="AD488" s="197"/>
      <c r="AE488" s="197"/>
      <c r="AF488" s="197"/>
      <c r="AG488" s="197"/>
      <c r="AH488" s="197"/>
      <c r="AI488" s="197"/>
      <c r="AJ488" s="197"/>
      <c r="AK488" s="197"/>
      <c r="AL488" s="197"/>
    </row>
    <row r="489" spans="1:38">
      <c r="A489" s="11" t="str">
        <f t="shared" si="57"/>
        <v>05-794243722011</v>
      </c>
      <c r="B489" t="s">
        <v>314</v>
      </c>
      <c r="C489" t="s">
        <v>315</v>
      </c>
      <c r="D489">
        <v>2011</v>
      </c>
      <c r="E489" t="s">
        <v>133</v>
      </c>
      <c r="F489">
        <v>134079.67999999999</v>
      </c>
      <c r="G489">
        <v>118</v>
      </c>
      <c r="H489" s="11" t="str">
        <f t="shared" si="56"/>
        <v>count</v>
      </c>
      <c r="I489" s="197"/>
      <c r="J489" s="197"/>
      <c r="K489" s="197"/>
      <c r="L489" s="197"/>
      <c r="M489" s="197"/>
      <c r="N489" s="197"/>
      <c r="O489" s="197"/>
      <c r="P489" s="197"/>
      <c r="Q489" s="197"/>
      <c r="R489" s="197"/>
      <c r="S489" s="197"/>
      <c r="T489" s="197"/>
      <c r="U489" s="197"/>
      <c r="V489" s="197"/>
      <c r="W489" s="197"/>
      <c r="X489" s="197"/>
      <c r="Y489" s="197"/>
      <c r="Z489" s="197"/>
      <c r="AA489" s="197"/>
      <c r="AB489" s="197"/>
      <c r="AC489" s="197"/>
      <c r="AD489" s="197"/>
      <c r="AE489" s="197"/>
      <c r="AF489" s="197"/>
      <c r="AG489" s="197"/>
      <c r="AH489" s="197"/>
      <c r="AI489" s="197"/>
      <c r="AJ489" s="197"/>
      <c r="AK489" s="197"/>
      <c r="AL489" s="197"/>
    </row>
    <row r="490" spans="1:38">
      <c r="A490" s="11" t="str">
        <f t="shared" si="57"/>
        <v>05-794243722011</v>
      </c>
      <c r="B490" t="s">
        <v>314</v>
      </c>
      <c r="C490" t="s">
        <v>315</v>
      </c>
      <c r="D490">
        <v>2011</v>
      </c>
      <c r="E490" t="s">
        <v>105</v>
      </c>
      <c r="F490">
        <v>114573.57</v>
      </c>
      <c r="G490">
        <v>106</v>
      </c>
      <c r="H490" s="11" t="str">
        <f t="shared" si="56"/>
        <v>count</v>
      </c>
      <c r="I490" s="197"/>
      <c r="J490" s="197"/>
      <c r="K490" s="197"/>
      <c r="L490" s="197"/>
      <c r="M490" s="197"/>
      <c r="N490" s="197"/>
      <c r="O490" s="197"/>
      <c r="P490" s="197"/>
      <c r="Q490" s="197"/>
      <c r="R490" s="197"/>
      <c r="S490" s="197"/>
      <c r="T490" s="197"/>
      <c r="U490" s="197"/>
      <c r="V490" s="197"/>
      <c r="W490" s="197"/>
      <c r="X490" s="197"/>
      <c r="Y490" s="197"/>
      <c r="Z490" s="197"/>
      <c r="AA490" s="197"/>
      <c r="AB490" s="197"/>
      <c r="AC490" s="197"/>
      <c r="AD490" s="197"/>
      <c r="AE490" s="197"/>
      <c r="AF490" s="197"/>
      <c r="AG490" s="197"/>
      <c r="AH490" s="197"/>
      <c r="AI490" s="197"/>
      <c r="AJ490" s="197"/>
      <c r="AK490" s="197"/>
      <c r="AL490" s="197"/>
    </row>
    <row r="491" spans="1:38">
      <c r="A491" s="11" t="str">
        <f t="shared" si="57"/>
        <v>05-794243722012</v>
      </c>
      <c r="B491" t="s">
        <v>314</v>
      </c>
      <c r="C491" t="s">
        <v>315</v>
      </c>
      <c r="D491">
        <v>2012</v>
      </c>
      <c r="E491" t="s">
        <v>106</v>
      </c>
      <c r="F491">
        <v>309.58</v>
      </c>
      <c r="G491">
        <v>1</v>
      </c>
      <c r="H491" s="11" t="str">
        <f t="shared" si="56"/>
        <v>count</v>
      </c>
      <c r="I491" s="197"/>
      <c r="J491" s="197"/>
      <c r="K491" s="197"/>
      <c r="L491" s="197"/>
      <c r="M491" s="197"/>
      <c r="N491" s="197"/>
      <c r="O491" s="197"/>
      <c r="P491" s="197"/>
      <c r="Q491" s="197"/>
      <c r="R491" s="197"/>
      <c r="S491" s="197"/>
      <c r="T491" s="197"/>
      <c r="U491" s="197"/>
      <c r="V491" s="197"/>
      <c r="W491" s="197"/>
      <c r="X491" s="197"/>
      <c r="Y491" s="197"/>
      <c r="Z491" s="197"/>
      <c r="AA491" s="197"/>
      <c r="AB491" s="197"/>
      <c r="AC491" s="197"/>
      <c r="AD491" s="197"/>
      <c r="AE491" s="197"/>
      <c r="AF491" s="197"/>
      <c r="AG491" s="197"/>
      <c r="AH491" s="197"/>
      <c r="AI491" s="197"/>
      <c r="AJ491" s="197"/>
      <c r="AK491" s="197"/>
      <c r="AL491" s="197"/>
    </row>
    <row r="492" spans="1:38">
      <c r="A492" s="11" t="str">
        <f t="shared" si="57"/>
        <v>05-794243722013</v>
      </c>
      <c r="B492" t="s">
        <v>314</v>
      </c>
      <c r="C492" t="s">
        <v>315</v>
      </c>
      <c r="D492">
        <v>2013</v>
      </c>
      <c r="E492" t="s">
        <v>63</v>
      </c>
      <c r="F492">
        <v>663458.88</v>
      </c>
      <c r="G492">
        <v>531</v>
      </c>
      <c r="H492" s="11" t="str">
        <f t="shared" si="56"/>
        <v>count</v>
      </c>
      <c r="I492" s="197"/>
      <c r="J492" s="197"/>
      <c r="K492" s="197"/>
      <c r="L492" s="197"/>
      <c r="M492" s="197"/>
      <c r="N492" s="197"/>
      <c r="O492" s="197"/>
      <c r="P492" s="197"/>
      <c r="Q492" s="197"/>
      <c r="R492" s="197"/>
      <c r="S492" s="197"/>
      <c r="T492" s="197"/>
      <c r="U492" s="197"/>
      <c r="V492" s="197"/>
      <c r="W492" s="197"/>
      <c r="X492" s="197"/>
      <c r="Y492" s="197"/>
      <c r="Z492" s="197"/>
      <c r="AA492" s="197"/>
      <c r="AB492" s="197"/>
      <c r="AC492" s="197"/>
      <c r="AD492" s="197"/>
      <c r="AE492" s="197"/>
      <c r="AF492" s="197"/>
      <c r="AG492" s="197"/>
      <c r="AH492" s="197"/>
      <c r="AI492" s="197"/>
      <c r="AJ492" s="197"/>
      <c r="AK492" s="197"/>
      <c r="AL492" s="197"/>
    </row>
    <row r="493" spans="1:38">
      <c r="A493" s="11" t="str">
        <f t="shared" si="57"/>
        <v>05-795329632011</v>
      </c>
      <c r="B493" t="s">
        <v>316</v>
      </c>
      <c r="C493" t="s">
        <v>317</v>
      </c>
      <c r="D493">
        <v>2011</v>
      </c>
      <c r="E493" t="s">
        <v>1075</v>
      </c>
      <c r="F493">
        <v>367144.75</v>
      </c>
      <c r="G493">
        <v>371</v>
      </c>
      <c r="H493" s="11" t="str">
        <f t="shared" si="56"/>
        <v>volume</v>
      </c>
      <c r="I493" s="197"/>
      <c r="J493" s="197"/>
      <c r="K493" s="197"/>
      <c r="L493" s="197"/>
      <c r="M493" s="197"/>
      <c r="N493" s="197"/>
      <c r="O493" s="197"/>
      <c r="P493" s="197"/>
      <c r="Q493" s="197"/>
      <c r="R493" s="197"/>
      <c r="S493" s="197"/>
      <c r="T493" s="197"/>
      <c r="U493" s="197"/>
      <c r="V493" s="197"/>
      <c r="W493" s="197"/>
      <c r="X493" s="197"/>
      <c r="Y493" s="197"/>
      <c r="Z493" s="197"/>
      <c r="AA493" s="197"/>
      <c r="AB493" s="197"/>
      <c r="AC493" s="197"/>
      <c r="AD493" s="197"/>
      <c r="AE493" s="197"/>
      <c r="AF493" s="197"/>
      <c r="AG493" s="197"/>
      <c r="AH493" s="197"/>
      <c r="AI493" s="197"/>
      <c r="AJ493" s="197"/>
      <c r="AK493" s="197"/>
      <c r="AL493" s="197"/>
    </row>
    <row r="494" spans="1:38">
      <c r="A494" s="11" t="str">
        <f t="shared" si="57"/>
        <v>05-795329632012</v>
      </c>
      <c r="B494" t="s">
        <v>316</v>
      </c>
      <c r="C494" t="s">
        <v>317</v>
      </c>
      <c r="D494">
        <v>2012</v>
      </c>
      <c r="E494" t="s">
        <v>106</v>
      </c>
      <c r="F494">
        <v>109</v>
      </c>
      <c r="G494">
        <v>1</v>
      </c>
      <c r="H494" s="11" t="str">
        <f t="shared" si="56"/>
        <v>count</v>
      </c>
      <c r="I494" s="197"/>
      <c r="J494" s="197"/>
      <c r="K494" s="197"/>
      <c r="L494" s="197"/>
      <c r="M494" s="197"/>
      <c r="N494" s="197"/>
      <c r="O494" s="197"/>
      <c r="P494" s="197"/>
      <c r="Q494" s="197"/>
      <c r="R494" s="197"/>
      <c r="S494" s="197"/>
      <c r="T494" s="197"/>
      <c r="U494" s="197"/>
      <c r="V494" s="197"/>
      <c r="W494" s="197"/>
      <c r="X494" s="197"/>
      <c r="Y494" s="197"/>
      <c r="Z494" s="197"/>
      <c r="AA494" s="197"/>
      <c r="AB494" s="197"/>
      <c r="AC494" s="197"/>
      <c r="AD494" s="197"/>
      <c r="AE494" s="197"/>
      <c r="AF494" s="197"/>
      <c r="AG494" s="197"/>
      <c r="AH494" s="197"/>
      <c r="AI494" s="197"/>
      <c r="AJ494" s="197"/>
      <c r="AK494" s="197"/>
      <c r="AL494" s="197"/>
    </row>
    <row r="495" spans="1:38">
      <c r="A495" s="11" t="str">
        <f t="shared" si="57"/>
        <v>05-795329632011</v>
      </c>
      <c r="B495" t="s">
        <v>316</v>
      </c>
      <c r="C495" t="s">
        <v>317</v>
      </c>
      <c r="D495">
        <v>2011</v>
      </c>
      <c r="E495" t="s">
        <v>106</v>
      </c>
      <c r="F495">
        <v>514222.35</v>
      </c>
      <c r="G495">
        <v>347</v>
      </c>
      <c r="H495" s="11" t="str">
        <f t="shared" si="56"/>
        <v>count</v>
      </c>
      <c r="I495" s="197"/>
      <c r="J495" s="197"/>
      <c r="K495" s="197"/>
      <c r="L495" s="197"/>
      <c r="M495" s="197"/>
      <c r="N495" s="197"/>
      <c r="O495" s="197"/>
      <c r="P495" s="197"/>
      <c r="Q495" s="197"/>
      <c r="R495" s="197"/>
      <c r="S495" s="197"/>
      <c r="T495" s="197"/>
      <c r="U495" s="197"/>
      <c r="V495" s="197"/>
      <c r="W495" s="197"/>
      <c r="X495" s="197"/>
      <c r="Y495" s="197"/>
      <c r="Z495" s="197"/>
      <c r="AA495" s="197"/>
      <c r="AB495" s="197"/>
      <c r="AC495" s="197"/>
      <c r="AD495" s="197"/>
      <c r="AE495" s="197"/>
      <c r="AF495" s="197"/>
      <c r="AG495" s="197"/>
      <c r="AH495" s="197"/>
      <c r="AI495" s="197"/>
      <c r="AJ495" s="197"/>
      <c r="AK495" s="197"/>
      <c r="AL495" s="197"/>
    </row>
    <row r="496" spans="1:38">
      <c r="A496" s="11" t="str">
        <f t="shared" si="57"/>
        <v>05-795329632011</v>
      </c>
      <c r="B496" t="s">
        <v>316</v>
      </c>
      <c r="C496" t="s">
        <v>317</v>
      </c>
      <c r="D496">
        <v>2011</v>
      </c>
      <c r="E496" t="s">
        <v>1076</v>
      </c>
      <c r="F496">
        <v>400518.44</v>
      </c>
      <c r="G496">
        <v>389</v>
      </c>
      <c r="H496" s="11" t="str">
        <f t="shared" si="56"/>
        <v>count</v>
      </c>
      <c r="I496" s="197"/>
      <c r="J496" s="197"/>
      <c r="K496" s="197"/>
      <c r="L496" s="197"/>
      <c r="M496" s="197"/>
      <c r="N496" s="197"/>
      <c r="O496" s="197"/>
      <c r="P496" s="197"/>
      <c r="Q496" s="197"/>
      <c r="R496" s="197"/>
      <c r="S496" s="197"/>
      <c r="T496" s="197"/>
      <c r="U496" s="197"/>
      <c r="V496" s="197"/>
      <c r="W496" s="197"/>
      <c r="X496" s="197"/>
      <c r="Y496" s="197"/>
      <c r="Z496" s="197"/>
      <c r="AA496" s="197"/>
      <c r="AB496" s="197"/>
      <c r="AC496" s="197"/>
      <c r="AD496" s="197"/>
      <c r="AE496" s="197"/>
      <c r="AF496" s="197"/>
      <c r="AG496" s="197"/>
      <c r="AH496" s="197"/>
      <c r="AI496" s="197"/>
      <c r="AJ496" s="197"/>
      <c r="AK496" s="197"/>
      <c r="AL496" s="197"/>
    </row>
    <row r="497" spans="1:38">
      <c r="A497" s="11" t="str">
        <f t="shared" si="57"/>
        <v>05-795329632011</v>
      </c>
      <c r="B497" t="s">
        <v>316</v>
      </c>
      <c r="C497" t="s">
        <v>317</v>
      </c>
      <c r="D497">
        <v>2011</v>
      </c>
      <c r="E497" t="s">
        <v>63</v>
      </c>
      <c r="F497">
        <v>15637214.359999999</v>
      </c>
      <c r="G497">
        <v>10295</v>
      </c>
      <c r="H497" s="11" t="str">
        <f t="shared" si="56"/>
        <v>count</v>
      </c>
      <c r="I497" s="197"/>
      <c r="J497" s="197"/>
      <c r="K497" s="197"/>
      <c r="L497" s="197"/>
      <c r="M497" s="197"/>
      <c r="N497" s="197"/>
      <c r="O497" s="197"/>
      <c r="P497" s="197"/>
      <c r="Q497" s="197"/>
      <c r="R497" s="197"/>
      <c r="S497" s="197"/>
      <c r="T497" s="197"/>
      <c r="U497" s="197"/>
      <c r="V497" s="197"/>
      <c r="W497" s="197"/>
      <c r="X497" s="197"/>
      <c r="Y497" s="197"/>
      <c r="Z497" s="197"/>
      <c r="AA497" s="197"/>
      <c r="AB497" s="197"/>
      <c r="AC497" s="197"/>
      <c r="AD497" s="197"/>
      <c r="AE497" s="197"/>
      <c r="AF497" s="197"/>
      <c r="AG497" s="197"/>
      <c r="AH497" s="197"/>
      <c r="AI497" s="197"/>
      <c r="AJ497" s="197"/>
      <c r="AK497" s="197"/>
      <c r="AL497" s="197"/>
    </row>
    <row r="498" spans="1:38">
      <c r="A498" s="11" t="str">
        <f t="shared" si="57"/>
        <v>05-795329632011</v>
      </c>
      <c r="B498" t="s">
        <v>316</v>
      </c>
      <c r="C498" t="s">
        <v>317</v>
      </c>
      <c r="D498">
        <v>2011</v>
      </c>
      <c r="E498" t="s">
        <v>104</v>
      </c>
      <c r="F498">
        <v>8488390.8200000003</v>
      </c>
      <c r="G498">
        <v>5270</v>
      </c>
      <c r="H498" s="11" t="str">
        <f t="shared" si="56"/>
        <v>count</v>
      </c>
      <c r="I498" s="197"/>
      <c r="J498" s="197"/>
      <c r="K498" s="197"/>
      <c r="L498" s="197"/>
      <c r="M498" s="197"/>
      <c r="N498" s="197"/>
      <c r="O498" s="197"/>
      <c r="P498" s="197"/>
      <c r="Q498" s="197"/>
      <c r="R498" s="197"/>
      <c r="S498" s="197"/>
      <c r="T498" s="197"/>
      <c r="U498" s="197"/>
      <c r="V498" s="197"/>
      <c r="W498" s="197"/>
      <c r="X498" s="197"/>
      <c r="Y498" s="197"/>
      <c r="Z498" s="197"/>
      <c r="AA498" s="197"/>
      <c r="AB498" s="197"/>
      <c r="AC498" s="197"/>
      <c r="AD498" s="197"/>
      <c r="AE498" s="197"/>
      <c r="AF498" s="197"/>
      <c r="AG498" s="197"/>
      <c r="AH498" s="197"/>
      <c r="AI498" s="197"/>
      <c r="AJ498" s="197"/>
      <c r="AK498" s="197"/>
      <c r="AL498" s="197"/>
    </row>
    <row r="499" spans="1:38">
      <c r="A499" s="11" t="str">
        <f t="shared" si="57"/>
        <v>05-795329632011</v>
      </c>
      <c r="B499" t="s">
        <v>316</v>
      </c>
      <c r="C499" t="s">
        <v>317</v>
      </c>
      <c r="D499">
        <v>2011</v>
      </c>
      <c r="E499" t="s">
        <v>1074</v>
      </c>
      <c r="F499">
        <v>585896.56999999995</v>
      </c>
      <c r="G499">
        <v>609</v>
      </c>
      <c r="H499" s="11" t="str">
        <f t="shared" si="56"/>
        <v>count</v>
      </c>
      <c r="I499" s="197"/>
      <c r="J499" s="197"/>
      <c r="K499" s="197"/>
      <c r="L499" s="197"/>
      <c r="M499" s="197"/>
      <c r="N499" s="197"/>
      <c r="O499" s="197"/>
      <c r="P499" s="197"/>
      <c r="Q499" s="197"/>
      <c r="R499" s="197"/>
      <c r="S499" s="197"/>
      <c r="T499" s="197"/>
      <c r="U499" s="197"/>
      <c r="V499" s="197"/>
      <c r="W499" s="197"/>
      <c r="X499" s="197"/>
      <c r="Y499" s="197"/>
      <c r="Z499" s="197"/>
      <c r="AA499" s="197"/>
      <c r="AB499" s="197"/>
      <c r="AC499" s="197"/>
      <c r="AD499" s="197"/>
      <c r="AE499" s="197"/>
      <c r="AF499" s="197"/>
      <c r="AG499" s="197"/>
      <c r="AH499" s="197"/>
      <c r="AI499" s="197"/>
      <c r="AJ499" s="197"/>
      <c r="AK499" s="197"/>
      <c r="AL499" s="197"/>
    </row>
    <row r="500" spans="1:38">
      <c r="A500" s="11" t="str">
        <f t="shared" si="57"/>
        <v>05-799126802013</v>
      </c>
      <c r="B500" t="s">
        <v>319</v>
      </c>
      <c r="C500" t="s">
        <v>320</v>
      </c>
      <c r="D500">
        <v>2013</v>
      </c>
      <c r="E500" t="s">
        <v>105</v>
      </c>
      <c r="F500">
        <v>470913.77</v>
      </c>
      <c r="G500">
        <v>460</v>
      </c>
      <c r="H500" s="11" t="str">
        <f t="shared" si="56"/>
        <v>volume</v>
      </c>
      <c r="I500" s="197"/>
      <c r="J500" s="197"/>
      <c r="K500" s="197"/>
      <c r="L500" s="197"/>
      <c r="M500" s="197"/>
      <c r="N500" s="197"/>
      <c r="O500" s="197"/>
      <c r="P500" s="197"/>
      <c r="Q500" s="197"/>
      <c r="R500" s="197"/>
      <c r="S500" s="197"/>
      <c r="T500" s="197"/>
      <c r="U500" s="197"/>
      <c r="V500" s="197"/>
      <c r="W500" s="197"/>
      <c r="X500" s="197"/>
      <c r="Y500" s="197"/>
      <c r="Z500" s="197"/>
      <c r="AA500" s="197"/>
      <c r="AB500" s="197"/>
      <c r="AC500" s="197"/>
      <c r="AD500" s="197"/>
      <c r="AE500" s="197"/>
      <c r="AF500" s="197"/>
      <c r="AG500" s="197"/>
      <c r="AH500" s="197"/>
      <c r="AI500" s="197"/>
      <c r="AJ500" s="197"/>
      <c r="AK500" s="197"/>
      <c r="AL500" s="197"/>
    </row>
    <row r="501" spans="1:38">
      <c r="A501" s="11" t="str">
        <f t="shared" si="57"/>
        <v>05-799126802012</v>
      </c>
      <c r="B501" t="s">
        <v>319</v>
      </c>
      <c r="C501" t="s">
        <v>320</v>
      </c>
      <c r="D501">
        <v>2012</v>
      </c>
      <c r="E501" t="s">
        <v>63</v>
      </c>
      <c r="F501">
        <v>3075283.82</v>
      </c>
      <c r="G501">
        <v>2788</v>
      </c>
      <c r="H501" s="11" t="str">
        <f t="shared" si="56"/>
        <v>count</v>
      </c>
      <c r="I501" s="197"/>
      <c r="J501" s="197"/>
      <c r="K501" s="197"/>
      <c r="L501" s="197"/>
      <c r="M501" s="197"/>
      <c r="N501" s="197"/>
      <c r="O501" s="197"/>
      <c r="P501" s="197"/>
      <c r="Q501" s="197"/>
      <c r="R501" s="197"/>
      <c r="S501" s="197"/>
      <c r="T501" s="197"/>
      <c r="U501" s="197"/>
      <c r="V501" s="197"/>
      <c r="W501" s="197"/>
      <c r="X501" s="197"/>
      <c r="Y501" s="197"/>
      <c r="Z501" s="197"/>
      <c r="AA501" s="197"/>
      <c r="AB501" s="197"/>
      <c r="AC501" s="197"/>
      <c r="AD501" s="197"/>
      <c r="AE501" s="197"/>
      <c r="AF501" s="197"/>
      <c r="AG501" s="197"/>
      <c r="AH501" s="197"/>
      <c r="AI501" s="197"/>
      <c r="AJ501" s="197"/>
      <c r="AK501" s="197"/>
      <c r="AL501" s="197"/>
    </row>
    <row r="502" spans="1:38">
      <c r="A502" s="11" t="str">
        <f t="shared" si="57"/>
        <v>05-799126802012</v>
      </c>
      <c r="B502" t="s">
        <v>319</v>
      </c>
      <c r="C502" t="s">
        <v>320</v>
      </c>
      <c r="D502">
        <v>2012</v>
      </c>
      <c r="E502" t="s">
        <v>104</v>
      </c>
      <c r="F502">
        <v>1756162.81</v>
      </c>
      <c r="G502">
        <v>1674</v>
      </c>
      <c r="H502" s="11" t="str">
        <f t="shared" si="56"/>
        <v>count</v>
      </c>
      <c r="I502" s="197"/>
      <c r="J502" s="197"/>
      <c r="K502" s="197"/>
      <c r="L502" s="197"/>
      <c r="M502" s="197"/>
      <c r="N502" s="197"/>
      <c r="O502" s="197"/>
      <c r="P502" s="197"/>
      <c r="Q502" s="197"/>
      <c r="R502" s="197"/>
      <c r="S502" s="197"/>
      <c r="T502" s="197"/>
      <c r="U502" s="197"/>
      <c r="V502" s="197"/>
      <c r="W502" s="197"/>
      <c r="X502" s="197"/>
      <c r="Y502" s="197"/>
      <c r="Z502" s="197"/>
      <c r="AA502" s="197"/>
      <c r="AB502" s="197"/>
      <c r="AC502" s="197"/>
      <c r="AD502" s="197"/>
      <c r="AE502" s="197"/>
      <c r="AF502" s="197"/>
      <c r="AG502" s="197"/>
      <c r="AH502" s="197"/>
      <c r="AI502" s="197"/>
      <c r="AJ502" s="197"/>
      <c r="AK502" s="197"/>
      <c r="AL502" s="197"/>
    </row>
    <row r="503" spans="1:38">
      <c r="A503" s="11" t="str">
        <f t="shared" si="57"/>
        <v>05-799126802012</v>
      </c>
      <c r="B503" t="s">
        <v>319</v>
      </c>
      <c r="C503" t="s">
        <v>320</v>
      </c>
      <c r="D503">
        <v>2012</v>
      </c>
      <c r="E503" t="s">
        <v>105</v>
      </c>
      <c r="F503">
        <v>446777.7</v>
      </c>
      <c r="G503">
        <v>430</v>
      </c>
      <c r="H503" s="11" t="str">
        <f t="shared" si="56"/>
        <v>count</v>
      </c>
      <c r="I503" s="197"/>
      <c r="J503" s="197"/>
      <c r="K503" s="197"/>
      <c r="L503" s="197"/>
      <c r="M503" s="197"/>
      <c r="N503" s="197"/>
      <c r="O503" s="197"/>
      <c r="P503" s="197"/>
      <c r="Q503" s="197"/>
      <c r="R503" s="197"/>
      <c r="S503" s="197"/>
      <c r="T503" s="197"/>
      <c r="U503" s="197"/>
      <c r="V503" s="197"/>
      <c r="W503" s="197"/>
      <c r="X503" s="197"/>
      <c r="Y503" s="197"/>
      <c r="Z503" s="197"/>
      <c r="AA503" s="197"/>
      <c r="AB503" s="197"/>
      <c r="AC503" s="197"/>
      <c r="AD503" s="197"/>
      <c r="AE503" s="197"/>
      <c r="AF503" s="197"/>
      <c r="AG503" s="197"/>
      <c r="AH503" s="197"/>
      <c r="AI503" s="197"/>
      <c r="AJ503" s="197"/>
      <c r="AK503" s="197"/>
      <c r="AL503" s="197"/>
    </row>
    <row r="504" spans="1:38">
      <c r="A504" s="11" t="str">
        <f t="shared" si="57"/>
        <v>05-799126802012</v>
      </c>
      <c r="B504" t="s">
        <v>319</v>
      </c>
      <c r="C504" t="s">
        <v>320</v>
      </c>
      <c r="D504">
        <v>2012</v>
      </c>
      <c r="E504" t="s">
        <v>133</v>
      </c>
      <c r="F504">
        <v>1568287.88</v>
      </c>
      <c r="G504">
        <v>1265</v>
      </c>
      <c r="H504" s="11" t="str">
        <f t="shared" si="56"/>
        <v>count</v>
      </c>
      <c r="I504" s="197"/>
      <c r="J504" s="197"/>
      <c r="K504" s="197"/>
      <c r="L504" s="197"/>
      <c r="M504" s="197"/>
      <c r="N504" s="197"/>
      <c r="O504" s="197"/>
      <c r="P504" s="197"/>
      <c r="Q504" s="197"/>
      <c r="R504" s="197"/>
      <c r="S504" s="197"/>
      <c r="T504" s="197"/>
      <c r="U504" s="197"/>
      <c r="V504" s="197"/>
      <c r="W504" s="197"/>
      <c r="X504" s="197"/>
      <c r="Y504" s="197"/>
      <c r="Z504" s="197"/>
      <c r="AA504" s="197"/>
      <c r="AB504" s="197"/>
      <c r="AC504" s="197"/>
      <c r="AD504" s="197"/>
      <c r="AE504" s="197"/>
      <c r="AF504" s="197"/>
      <c r="AG504" s="197"/>
      <c r="AH504" s="197"/>
      <c r="AI504" s="197"/>
      <c r="AJ504" s="197"/>
      <c r="AK504" s="197"/>
      <c r="AL504" s="197"/>
    </row>
    <row r="505" spans="1:38">
      <c r="A505" s="11" t="str">
        <f t="shared" si="57"/>
        <v>05-799126802011</v>
      </c>
      <c r="B505" t="s">
        <v>319</v>
      </c>
      <c r="C505" t="s">
        <v>320</v>
      </c>
      <c r="D505">
        <v>2011</v>
      </c>
      <c r="E505" t="s">
        <v>63</v>
      </c>
      <c r="F505">
        <v>3208779.96</v>
      </c>
      <c r="G505">
        <v>2789</v>
      </c>
      <c r="H505" s="11" t="str">
        <f t="shared" si="56"/>
        <v>count</v>
      </c>
      <c r="I505" s="197"/>
      <c r="J505" s="197"/>
      <c r="K505" s="197"/>
      <c r="L505" s="197"/>
      <c r="M505" s="197"/>
      <c r="N505" s="197"/>
      <c r="O505" s="197"/>
      <c r="P505" s="197"/>
      <c r="Q505" s="197"/>
      <c r="R505" s="197"/>
      <c r="S505" s="197"/>
      <c r="T505" s="197"/>
      <c r="U505" s="197"/>
      <c r="V505" s="197"/>
      <c r="W505" s="197"/>
      <c r="X505" s="197"/>
      <c r="Y505" s="197"/>
      <c r="Z505" s="197"/>
      <c r="AA505" s="197"/>
      <c r="AB505" s="197"/>
      <c r="AC505" s="197"/>
      <c r="AD505" s="197"/>
      <c r="AE505" s="197"/>
      <c r="AF505" s="197"/>
      <c r="AG505" s="197"/>
      <c r="AH505" s="197"/>
      <c r="AI505" s="197"/>
      <c r="AJ505" s="197"/>
      <c r="AK505" s="197"/>
      <c r="AL505" s="197"/>
    </row>
    <row r="506" spans="1:38">
      <c r="A506" s="11" t="str">
        <f t="shared" si="57"/>
        <v>05-799126802012</v>
      </c>
      <c r="B506" t="s">
        <v>319</v>
      </c>
      <c r="C506" t="s">
        <v>320</v>
      </c>
      <c r="D506">
        <v>2012</v>
      </c>
      <c r="E506" t="s">
        <v>69</v>
      </c>
      <c r="F506">
        <v>691408.89</v>
      </c>
      <c r="G506">
        <v>851</v>
      </c>
      <c r="H506" s="11" t="str">
        <f t="shared" si="56"/>
        <v>count</v>
      </c>
      <c r="I506" s="197"/>
      <c r="J506" s="197"/>
      <c r="K506" s="197"/>
      <c r="L506" s="197"/>
      <c r="M506" s="197"/>
      <c r="N506" s="197"/>
      <c r="O506" s="197"/>
      <c r="P506" s="197"/>
      <c r="Q506" s="197"/>
      <c r="R506" s="197"/>
      <c r="S506" s="197"/>
      <c r="T506" s="197"/>
      <c r="U506" s="197"/>
      <c r="V506" s="197"/>
      <c r="W506" s="197"/>
      <c r="X506" s="197"/>
      <c r="Y506" s="197"/>
      <c r="Z506" s="197"/>
      <c r="AA506" s="197"/>
      <c r="AB506" s="197"/>
      <c r="AC506" s="197"/>
      <c r="AD506" s="197"/>
      <c r="AE506" s="197"/>
      <c r="AF506" s="197"/>
      <c r="AG506" s="197"/>
      <c r="AH506" s="197"/>
      <c r="AI506" s="197"/>
      <c r="AJ506" s="197"/>
      <c r="AK506" s="197"/>
      <c r="AL506" s="197"/>
    </row>
    <row r="507" spans="1:38">
      <c r="A507" s="11" t="str">
        <f t="shared" si="57"/>
        <v>05-799126802011</v>
      </c>
      <c r="B507" t="s">
        <v>319</v>
      </c>
      <c r="C507" t="s">
        <v>320</v>
      </c>
      <c r="D507">
        <v>2011</v>
      </c>
      <c r="E507" t="s">
        <v>104</v>
      </c>
      <c r="F507">
        <v>1612073.39</v>
      </c>
      <c r="G507">
        <v>1427</v>
      </c>
      <c r="H507" s="11" t="str">
        <f t="shared" si="56"/>
        <v>count</v>
      </c>
      <c r="I507" s="197"/>
      <c r="J507" s="197"/>
      <c r="K507" s="197"/>
      <c r="L507" s="197"/>
      <c r="M507" s="197"/>
      <c r="N507" s="197"/>
      <c r="O507" s="197"/>
      <c r="P507" s="197"/>
      <c r="Q507" s="197"/>
      <c r="R507" s="197"/>
      <c r="S507" s="197"/>
      <c r="T507" s="197"/>
      <c r="U507" s="197"/>
      <c r="V507" s="197"/>
      <c r="W507" s="197"/>
      <c r="X507" s="197"/>
      <c r="Y507" s="197"/>
      <c r="Z507" s="197"/>
      <c r="AA507" s="197"/>
      <c r="AB507" s="197"/>
      <c r="AC507" s="197"/>
      <c r="AD507" s="197"/>
      <c r="AE507" s="197"/>
      <c r="AF507" s="197"/>
      <c r="AG507" s="197"/>
      <c r="AH507" s="197"/>
      <c r="AI507" s="197"/>
      <c r="AJ507" s="197"/>
      <c r="AK507" s="197"/>
      <c r="AL507" s="197"/>
    </row>
    <row r="508" spans="1:38">
      <c r="A508" s="11" t="str">
        <f t="shared" si="57"/>
        <v>05-799126802013</v>
      </c>
      <c r="B508" t="s">
        <v>319</v>
      </c>
      <c r="C508" t="s">
        <v>320</v>
      </c>
      <c r="D508">
        <v>2013</v>
      </c>
      <c r="E508" t="s">
        <v>69</v>
      </c>
      <c r="F508">
        <v>742190.12</v>
      </c>
      <c r="G508">
        <v>970</v>
      </c>
      <c r="H508" s="11" t="str">
        <f t="shared" si="56"/>
        <v>count</v>
      </c>
      <c r="I508" s="197"/>
      <c r="J508" s="197"/>
      <c r="K508" s="197"/>
      <c r="L508" s="197"/>
      <c r="M508" s="197"/>
      <c r="N508" s="197"/>
      <c r="O508" s="197"/>
      <c r="P508" s="197"/>
      <c r="Q508" s="197"/>
      <c r="R508" s="197"/>
      <c r="S508" s="197"/>
      <c r="T508" s="197"/>
      <c r="U508" s="197"/>
      <c r="V508" s="197"/>
      <c r="W508" s="197"/>
      <c r="X508" s="197"/>
      <c r="Y508" s="197"/>
      <c r="Z508" s="197"/>
      <c r="AA508" s="197"/>
      <c r="AB508" s="197"/>
      <c r="AC508" s="197"/>
      <c r="AD508" s="197"/>
      <c r="AE508" s="197"/>
      <c r="AF508" s="197"/>
      <c r="AG508" s="197"/>
      <c r="AH508" s="197"/>
      <c r="AI508" s="197"/>
      <c r="AJ508" s="197"/>
      <c r="AK508" s="197"/>
      <c r="AL508" s="197"/>
    </row>
    <row r="509" spans="1:38">
      <c r="A509" s="11" t="str">
        <f t="shared" si="57"/>
        <v>05-799126802013</v>
      </c>
      <c r="B509" t="s">
        <v>319</v>
      </c>
      <c r="C509" t="s">
        <v>320</v>
      </c>
      <c r="D509">
        <v>2013</v>
      </c>
      <c r="E509" t="s">
        <v>63</v>
      </c>
      <c r="F509">
        <v>3041327.13</v>
      </c>
      <c r="G509">
        <v>2891</v>
      </c>
      <c r="H509" s="11" t="str">
        <f t="shared" si="56"/>
        <v>count</v>
      </c>
      <c r="I509" s="197"/>
      <c r="J509" s="197"/>
      <c r="K509" s="197"/>
      <c r="L509" s="197"/>
      <c r="M509" s="197"/>
      <c r="N509" s="197"/>
      <c r="O509" s="197"/>
      <c r="P509" s="197"/>
      <c r="Q509" s="197"/>
      <c r="R509" s="197"/>
      <c r="S509" s="197"/>
      <c r="T509" s="197"/>
      <c r="U509" s="197"/>
      <c r="V509" s="197"/>
      <c r="W509" s="197"/>
      <c r="X509" s="197"/>
      <c r="Y509" s="197"/>
      <c r="Z509" s="197"/>
      <c r="AA509" s="197"/>
      <c r="AB509" s="197"/>
      <c r="AC509" s="197"/>
      <c r="AD509" s="197"/>
      <c r="AE509" s="197"/>
      <c r="AF509" s="197"/>
      <c r="AG509" s="197"/>
      <c r="AH509" s="197"/>
      <c r="AI509" s="197"/>
      <c r="AJ509" s="197"/>
      <c r="AK509" s="197"/>
      <c r="AL509" s="197"/>
    </row>
    <row r="510" spans="1:38">
      <c r="A510" s="11" t="str">
        <f t="shared" si="57"/>
        <v>05-799126802013</v>
      </c>
      <c r="B510" t="s">
        <v>319</v>
      </c>
      <c r="C510" t="s">
        <v>320</v>
      </c>
      <c r="D510">
        <v>2013</v>
      </c>
      <c r="E510" t="s">
        <v>104</v>
      </c>
      <c r="F510">
        <v>1588225.28</v>
      </c>
      <c r="G510">
        <v>1531</v>
      </c>
      <c r="H510" s="11" t="str">
        <f t="shared" si="56"/>
        <v>count</v>
      </c>
      <c r="I510" s="197"/>
      <c r="J510" s="197"/>
      <c r="K510" s="197"/>
      <c r="L510" s="197"/>
      <c r="M510" s="197"/>
      <c r="N510" s="197"/>
      <c r="O510" s="197"/>
      <c r="P510" s="197"/>
      <c r="Q510" s="197"/>
      <c r="R510" s="197"/>
      <c r="S510" s="197"/>
      <c r="T510" s="197"/>
      <c r="U510" s="197"/>
      <c r="V510" s="197"/>
      <c r="W510" s="197"/>
      <c r="X510" s="197"/>
      <c r="Y510" s="197"/>
      <c r="Z510" s="197"/>
      <c r="AA510" s="197"/>
      <c r="AB510" s="197"/>
      <c r="AC510" s="197"/>
      <c r="AD510" s="197"/>
      <c r="AE510" s="197"/>
      <c r="AF510" s="197"/>
      <c r="AG510" s="197"/>
      <c r="AH510" s="197"/>
      <c r="AI510" s="197"/>
      <c r="AJ510" s="197"/>
      <c r="AK510" s="197"/>
      <c r="AL510" s="197"/>
    </row>
    <row r="511" spans="1:38">
      <c r="A511" s="11" t="str">
        <f t="shared" si="57"/>
        <v>05-799126802013</v>
      </c>
      <c r="B511" t="s">
        <v>319</v>
      </c>
      <c r="C511" t="s">
        <v>320</v>
      </c>
      <c r="D511">
        <v>2013</v>
      </c>
      <c r="E511" t="s">
        <v>133</v>
      </c>
      <c r="F511">
        <v>1609298.45</v>
      </c>
      <c r="G511">
        <v>1328</v>
      </c>
      <c r="H511" s="11" t="str">
        <f t="shared" si="56"/>
        <v>count</v>
      </c>
      <c r="I511" s="197"/>
      <c r="J511" s="197"/>
      <c r="K511" s="197"/>
      <c r="L511" s="197"/>
      <c r="M511" s="197"/>
      <c r="N511" s="197"/>
      <c r="O511" s="197"/>
      <c r="P511" s="197"/>
      <c r="Q511" s="197"/>
      <c r="R511" s="197"/>
      <c r="S511" s="197"/>
      <c r="T511" s="197"/>
      <c r="U511" s="197"/>
      <c r="V511" s="197"/>
      <c r="W511" s="197"/>
      <c r="X511" s="197"/>
      <c r="Y511" s="197"/>
      <c r="Z511" s="197"/>
      <c r="AA511" s="197"/>
      <c r="AB511" s="197"/>
      <c r="AC511" s="197"/>
      <c r="AD511" s="197"/>
      <c r="AE511" s="197"/>
      <c r="AF511" s="197"/>
      <c r="AG511" s="197"/>
      <c r="AH511" s="197"/>
      <c r="AI511" s="197"/>
      <c r="AJ511" s="197"/>
      <c r="AK511" s="197"/>
      <c r="AL511" s="197"/>
    </row>
    <row r="512" spans="1:38">
      <c r="A512" s="11" t="str">
        <f t="shared" si="57"/>
        <v>05-799126802011</v>
      </c>
      <c r="B512" t="s">
        <v>319</v>
      </c>
      <c r="C512" t="s">
        <v>320</v>
      </c>
      <c r="D512">
        <v>2011</v>
      </c>
      <c r="E512" t="s">
        <v>105</v>
      </c>
      <c r="F512">
        <v>462798.41</v>
      </c>
      <c r="G512">
        <v>417</v>
      </c>
      <c r="H512" s="11" t="str">
        <f t="shared" si="56"/>
        <v>count</v>
      </c>
      <c r="I512" s="197"/>
      <c r="J512" s="197"/>
      <c r="K512" s="197"/>
      <c r="L512" s="197"/>
      <c r="M512" s="197"/>
      <c r="N512" s="197"/>
      <c r="O512" s="197"/>
      <c r="P512" s="197"/>
      <c r="Q512" s="197"/>
      <c r="R512" s="197"/>
      <c r="S512" s="197"/>
      <c r="T512" s="197"/>
      <c r="U512" s="197"/>
      <c r="V512" s="197"/>
      <c r="W512" s="197"/>
      <c r="X512" s="197"/>
      <c r="Y512" s="197"/>
      <c r="Z512" s="197"/>
      <c r="AA512" s="197"/>
      <c r="AB512" s="197"/>
      <c r="AC512" s="197"/>
      <c r="AD512" s="197"/>
      <c r="AE512" s="197"/>
      <c r="AF512" s="197"/>
      <c r="AG512" s="197"/>
      <c r="AH512" s="197"/>
      <c r="AI512" s="197"/>
      <c r="AJ512" s="197"/>
      <c r="AK512" s="197"/>
      <c r="AL512" s="197"/>
    </row>
    <row r="513" spans="1:38">
      <c r="A513" s="11" t="str">
        <f t="shared" si="57"/>
        <v>05-799126802011</v>
      </c>
      <c r="B513" t="s">
        <v>319</v>
      </c>
      <c r="C513" t="s">
        <v>320</v>
      </c>
      <c r="D513">
        <v>2011</v>
      </c>
      <c r="E513" t="s">
        <v>133</v>
      </c>
      <c r="F513">
        <v>1415496.22</v>
      </c>
      <c r="G513">
        <v>1070</v>
      </c>
      <c r="H513" s="11" t="str">
        <f t="shared" si="56"/>
        <v>count</v>
      </c>
      <c r="I513" s="197"/>
      <c r="J513" s="197"/>
      <c r="K513" s="197"/>
      <c r="L513" s="197"/>
      <c r="M513" s="197"/>
      <c r="N513" s="197"/>
      <c r="O513" s="197"/>
      <c r="P513" s="197"/>
      <c r="Q513" s="197"/>
      <c r="R513" s="197"/>
      <c r="S513" s="197"/>
      <c r="T513" s="197"/>
      <c r="U513" s="197"/>
      <c r="V513" s="197"/>
      <c r="W513" s="197"/>
      <c r="X513" s="197"/>
      <c r="Y513" s="197"/>
      <c r="Z513" s="197"/>
      <c r="AA513" s="197"/>
      <c r="AB513" s="197"/>
      <c r="AC513" s="197"/>
      <c r="AD513" s="197"/>
      <c r="AE513" s="197"/>
      <c r="AF513" s="197"/>
      <c r="AG513" s="197"/>
      <c r="AH513" s="197"/>
      <c r="AI513" s="197"/>
      <c r="AJ513" s="197"/>
      <c r="AK513" s="197"/>
      <c r="AL513" s="197"/>
    </row>
    <row r="514" spans="1:38">
      <c r="A514" s="11" t="str">
        <f t="shared" si="57"/>
        <v>05-800529822013</v>
      </c>
      <c r="B514" t="s">
        <v>323</v>
      </c>
      <c r="C514" t="s">
        <v>324</v>
      </c>
      <c r="D514">
        <v>2013</v>
      </c>
      <c r="E514" t="s">
        <v>105</v>
      </c>
      <c r="F514">
        <v>86447.45</v>
      </c>
      <c r="G514">
        <v>176</v>
      </c>
      <c r="H514" s="11" t="str">
        <f t="shared" ref="H514:H577" si="58">IF(B514=B513,"count","volume")</f>
        <v>volume</v>
      </c>
      <c r="I514" s="197"/>
      <c r="J514" s="197"/>
      <c r="K514" s="197"/>
      <c r="L514" s="197"/>
      <c r="M514" s="197"/>
      <c r="N514" s="197"/>
      <c r="O514" s="197"/>
      <c r="P514" s="197"/>
      <c r="Q514" s="197"/>
      <c r="R514" s="197"/>
      <c r="S514" s="197"/>
      <c r="T514" s="197"/>
      <c r="U514" s="197"/>
      <c r="V514" s="197"/>
      <c r="W514" s="197"/>
      <c r="X514" s="197"/>
      <c r="Y514" s="197"/>
      <c r="Z514" s="197"/>
      <c r="AA514" s="197"/>
      <c r="AB514" s="197"/>
      <c r="AC514" s="197"/>
      <c r="AD514" s="197"/>
      <c r="AE514" s="197"/>
      <c r="AF514" s="197"/>
      <c r="AG514" s="197"/>
      <c r="AH514" s="197"/>
      <c r="AI514" s="197"/>
      <c r="AJ514" s="197"/>
      <c r="AK514" s="197"/>
      <c r="AL514" s="197"/>
    </row>
    <row r="515" spans="1:38">
      <c r="A515" s="11" t="str">
        <f t="shared" ref="A515:A578" si="59">B515&amp;D515</f>
        <v>05-800529822011</v>
      </c>
      <c r="B515" t="s">
        <v>323</v>
      </c>
      <c r="C515" t="s">
        <v>324</v>
      </c>
      <c r="D515">
        <v>2011</v>
      </c>
      <c r="E515" t="s">
        <v>1074</v>
      </c>
      <c r="F515">
        <v>12758</v>
      </c>
      <c r="G515">
        <v>48</v>
      </c>
      <c r="H515" s="11" t="str">
        <f t="shared" si="58"/>
        <v>count</v>
      </c>
      <c r="I515" s="197"/>
      <c r="J515" s="197"/>
      <c r="K515" s="197"/>
      <c r="L515" s="197"/>
      <c r="M515" s="197"/>
      <c r="N515" s="197"/>
      <c r="O515" s="197"/>
      <c r="P515" s="197"/>
      <c r="Q515" s="197"/>
      <c r="R515" s="197"/>
      <c r="S515" s="197"/>
      <c r="T515" s="197"/>
      <c r="U515" s="197"/>
      <c r="V515" s="197"/>
      <c r="W515" s="197"/>
      <c r="X515" s="197"/>
      <c r="Y515" s="197"/>
      <c r="Z515" s="197"/>
      <c r="AA515" s="197"/>
      <c r="AB515" s="197"/>
      <c r="AC515" s="197"/>
      <c r="AD515" s="197"/>
      <c r="AE515" s="197"/>
      <c r="AF515" s="197"/>
      <c r="AG515" s="197"/>
      <c r="AH515" s="197"/>
      <c r="AI515" s="197"/>
      <c r="AJ515" s="197"/>
      <c r="AK515" s="197"/>
      <c r="AL515" s="197"/>
    </row>
    <row r="516" spans="1:38">
      <c r="A516" s="11" t="str">
        <f t="shared" si="59"/>
        <v>05-800529822012</v>
      </c>
      <c r="B516" t="s">
        <v>323</v>
      </c>
      <c r="C516" t="s">
        <v>324</v>
      </c>
      <c r="D516">
        <v>2012</v>
      </c>
      <c r="E516" t="s">
        <v>69</v>
      </c>
      <c r="F516">
        <v>125775.69</v>
      </c>
      <c r="G516">
        <v>463</v>
      </c>
      <c r="H516" s="11" t="str">
        <f t="shared" si="58"/>
        <v>count</v>
      </c>
      <c r="I516" s="197"/>
      <c r="J516" s="197"/>
      <c r="K516" s="197"/>
      <c r="L516" s="197"/>
      <c r="M516" s="197"/>
      <c r="N516" s="197"/>
      <c r="O516" s="197"/>
      <c r="P516" s="197"/>
      <c r="Q516" s="197"/>
      <c r="R516" s="197"/>
      <c r="S516" s="197"/>
      <c r="T516" s="197"/>
      <c r="U516" s="197"/>
      <c r="V516" s="197"/>
      <c r="W516" s="197"/>
      <c r="X516" s="197"/>
      <c r="Y516" s="197"/>
      <c r="Z516" s="197"/>
      <c r="AA516" s="197"/>
      <c r="AB516" s="197"/>
      <c r="AC516" s="197"/>
      <c r="AD516" s="197"/>
      <c r="AE516" s="197"/>
      <c r="AF516" s="197"/>
      <c r="AG516" s="197"/>
      <c r="AH516" s="197"/>
      <c r="AI516" s="197"/>
      <c r="AJ516" s="197"/>
      <c r="AK516" s="197"/>
      <c r="AL516" s="197"/>
    </row>
    <row r="517" spans="1:38">
      <c r="A517" s="11" t="str">
        <f t="shared" si="59"/>
        <v>05-800529822012</v>
      </c>
      <c r="B517" t="s">
        <v>323</v>
      </c>
      <c r="C517" t="s">
        <v>324</v>
      </c>
      <c r="D517">
        <v>2012</v>
      </c>
      <c r="E517" t="s">
        <v>104</v>
      </c>
      <c r="F517">
        <v>315688.13</v>
      </c>
      <c r="G517">
        <v>730</v>
      </c>
      <c r="H517" s="11" t="str">
        <f t="shared" si="58"/>
        <v>count</v>
      </c>
      <c r="I517" s="197"/>
      <c r="J517" s="197"/>
      <c r="K517" s="197"/>
      <c r="L517" s="197"/>
      <c r="M517" s="197"/>
      <c r="N517" s="197"/>
      <c r="O517" s="197"/>
      <c r="P517" s="197"/>
      <c r="Q517" s="197"/>
      <c r="R517" s="197"/>
      <c r="S517" s="197"/>
      <c r="T517" s="197"/>
      <c r="U517" s="197"/>
      <c r="V517" s="197"/>
      <c r="W517" s="197"/>
      <c r="X517" s="197"/>
      <c r="Y517" s="197"/>
      <c r="Z517" s="197"/>
      <c r="AA517" s="197"/>
      <c r="AB517" s="197"/>
      <c r="AC517" s="197"/>
      <c r="AD517" s="197"/>
      <c r="AE517" s="197"/>
      <c r="AF517" s="197"/>
      <c r="AG517" s="197"/>
      <c r="AH517" s="197"/>
      <c r="AI517" s="197"/>
      <c r="AJ517" s="197"/>
      <c r="AK517" s="197"/>
      <c r="AL517" s="197"/>
    </row>
    <row r="518" spans="1:38">
      <c r="A518" s="11" t="str">
        <f t="shared" si="59"/>
        <v>05-800529822012</v>
      </c>
      <c r="B518" t="s">
        <v>323</v>
      </c>
      <c r="C518" t="s">
        <v>324</v>
      </c>
      <c r="D518">
        <v>2012</v>
      </c>
      <c r="E518" t="s">
        <v>63</v>
      </c>
      <c r="F518">
        <v>496061.66</v>
      </c>
      <c r="G518">
        <v>1125</v>
      </c>
      <c r="H518" s="11" t="str">
        <f t="shared" si="58"/>
        <v>count</v>
      </c>
      <c r="I518" s="197"/>
      <c r="J518" s="197"/>
      <c r="K518" s="197"/>
      <c r="L518" s="197"/>
      <c r="M518" s="197"/>
      <c r="N518" s="197"/>
      <c r="O518" s="197"/>
      <c r="P518" s="197"/>
      <c r="Q518" s="197"/>
      <c r="R518" s="197"/>
      <c r="S518" s="197"/>
      <c r="T518" s="197"/>
      <c r="U518" s="197"/>
      <c r="V518" s="197"/>
      <c r="W518" s="197"/>
      <c r="X518" s="197"/>
      <c r="Y518" s="197"/>
      <c r="Z518" s="197"/>
      <c r="AA518" s="197"/>
      <c r="AB518" s="197"/>
      <c r="AC518" s="197"/>
      <c r="AD518" s="197"/>
      <c r="AE518" s="197"/>
      <c r="AF518" s="197"/>
      <c r="AG518" s="197"/>
      <c r="AH518" s="197"/>
      <c r="AI518" s="197"/>
      <c r="AJ518" s="197"/>
      <c r="AK518" s="197"/>
      <c r="AL518" s="197"/>
    </row>
    <row r="519" spans="1:38">
      <c r="A519" s="11" t="str">
        <f t="shared" si="59"/>
        <v>05-800529822011</v>
      </c>
      <c r="B519" t="s">
        <v>323</v>
      </c>
      <c r="C519" t="s">
        <v>324</v>
      </c>
      <c r="D519">
        <v>2011</v>
      </c>
      <c r="E519" t="s">
        <v>106</v>
      </c>
      <c r="F519">
        <v>2700</v>
      </c>
      <c r="G519">
        <v>1</v>
      </c>
      <c r="H519" s="11" t="str">
        <f t="shared" si="58"/>
        <v>count</v>
      </c>
      <c r="I519" s="197"/>
      <c r="J519" s="197"/>
      <c r="K519" s="197"/>
      <c r="L519" s="197"/>
      <c r="M519" s="197"/>
      <c r="N519" s="197"/>
      <c r="O519" s="197"/>
      <c r="P519" s="197"/>
      <c r="Q519" s="197"/>
      <c r="R519" s="197"/>
      <c r="S519" s="197"/>
      <c r="T519" s="197"/>
      <c r="U519" s="197"/>
      <c r="V519" s="197"/>
      <c r="W519" s="197"/>
      <c r="X519" s="197"/>
      <c r="Y519" s="197"/>
      <c r="Z519" s="197"/>
      <c r="AA519" s="197"/>
      <c r="AB519" s="197"/>
      <c r="AC519" s="197"/>
      <c r="AD519" s="197"/>
      <c r="AE519" s="197"/>
      <c r="AF519" s="197"/>
      <c r="AG519" s="197"/>
      <c r="AH519" s="197"/>
      <c r="AI519" s="197"/>
      <c r="AJ519" s="197"/>
      <c r="AK519" s="197"/>
      <c r="AL519" s="197"/>
    </row>
    <row r="520" spans="1:38">
      <c r="A520" s="11" t="str">
        <f t="shared" si="59"/>
        <v>05-800529822011</v>
      </c>
      <c r="B520" t="s">
        <v>323</v>
      </c>
      <c r="C520" t="s">
        <v>324</v>
      </c>
      <c r="D520">
        <v>2011</v>
      </c>
      <c r="E520" t="s">
        <v>105</v>
      </c>
      <c r="F520">
        <v>66767.839999999997</v>
      </c>
      <c r="G520">
        <v>173</v>
      </c>
      <c r="H520" s="11" t="str">
        <f t="shared" si="58"/>
        <v>count</v>
      </c>
      <c r="I520" s="197"/>
      <c r="J520" s="197"/>
      <c r="K520" s="197"/>
      <c r="L520" s="197"/>
      <c r="M520" s="197"/>
      <c r="N520" s="197"/>
      <c r="O520" s="197"/>
      <c r="P520" s="197"/>
      <c r="Q520" s="197"/>
      <c r="R520" s="197"/>
      <c r="S520" s="197"/>
      <c r="T520" s="197"/>
      <c r="U520" s="197"/>
      <c r="V520" s="197"/>
      <c r="W520" s="197"/>
      <c r="X520" s="197"/>
      <c r="Y520" s="197"/>
      <c r="Z520" s="197"/>
      <c r="AA520" s="197"/>
      <c r="AB520" s="197"/>
      <c r="AC520" s="197"/>
      <c r="AD520" s="197"/>
      <c r="AE520" s="197"/>
      <c r="AF520" s="197"/>
      <c r="AG520" s="197"/>
      <c r="AH520" s="197"/>
      <c r="AI520" s="197"/>
      <c r="AJ520" s="197"/>
      <c r="AK520" s="197"/>
      <c r="AL520" s="197"/>
    </row>
    <row r="521" spans="1:38">
      <c r="A521" s="11" t="str">
        <f t="shared" si="59"/>
        <v>05-800529822011</v>
      </c>
      <c r="B521" t="s">
        <v>323</v>
      </c>
      <c r="C521" t="s">
        <v>324</v>
      </c>
      <c r="D521">
        <v>2011</v>
      </c>
      <c r="E521" t="s">
        <v>69</v>
      </c>
      <c r="F521">
        <v>241.98</v>
      </c>
      <c r="G521">
        <v>1</v>
      </c>
      <c r="H521" s="11" t="str">
        <f t="shared" si="58"/>
        <v>count</v>
      </c>
      <c r="I521" s="197"/>
      <c r="J521" s="197"/>
      <c r="K521" s="197"/>
      <c r="L521" s="197"/>
      <c r="M521" s="197"/>
      <c r="N521" s="197"/>
      <c r="O521" s="197"/>
      <c r="P521" s="197"/>
      <c r="Q521" s="197"/>
      <c r="R521" s="197"/>
      <c r="S521" s="197"/>
      <c r="T521" s="197"/>
      <c r="U521" s="197"/>
      <c r="V521" s="197"/>
      <c r="W521" s="197"/>
      <c r="X521" s="197"/>
      <c r="Y521" s="197"/>
      <c r="Z521" s="197"/>
      <c r="AA521" s="197"/>
      <c r="AB521" s="197"/>
      <c r="AC521" s="197"/>
      <c r="AD521" s="197"/>
      <c r="AE521" s="197"/>
      <c r="AF521" s="197"/>
      <c r="AG521" s="197"/>
      <c r="AH521" s="197"/>
      <c r="AI521" s="197"/>
      <c r="AJ521" s="197"/>
      <c r="AK521" s="197"/>
      <c r="AL521" s="197"/>
    </row>
    <row r="522" spans="1:38">
      <c r="A522" s="11" t="str">
        <f t="shared" si="59"/>
        <v>05-800529822013</v>
      </c>
      <c r="B522" t="s">
        <v>323</v>
      </c>
      <c r="C522" t="s">
        <v>324</v>
      </c>
      <c r="D522">
        <v>2013</v>
      </c>
      <c r="E522" t="s">
        <v>104</v>
      </c>
      <c r="F522">
        <v>284599.38</v>
      </c>
      <c r="G522">
        <v>601</v>
      </c>
      <c r="H522" s="11" t="str">
        <f t="shared" si="58"/>
        <v>count</v>
      </c>
      <c r="I522" s="197"/>
      <c r="J522" s="197"/>
      <c r="K522" s="197"/>
      <c r="L522" s="197"/>
      <c r="M522" s="197"/>
      <c r="N522" s="197"/>
      <c r="O522" s="197"/>
      <c r="P522" s="197"/>
      <c r="Q522" s="197"/>
      <c r="R522" s="197"/>
      <c r="S522" s="197"/>
      <c r="T522" s="197"/>
      <c r="U522" s="197"/>
      <c r="V522" s="197"/>
      <c r="W522" s="197"/>
      <c r="X522" s="197"/>
      <c r="Y522" s="197"/>
      <c r="Z522" s="197"/>
      <c r="AA522" s="197"/>
      <c r="AB522" s="197"/>
      <c r="AC522" s="197"/>
      <c r="AD522" s="197"/>
      <c r="AE522" s="197"/>
      <c r="AF522" s="197"/>
      <c r="AG522" s="197"/>
      <c r="AH522" s="197"/>
      <c r="AI522" s="197"/>
      <c r="AJ522" s="197"/>
      <c r="AK522" s="197"/>
      <c r="AL522" s="197"/>
    </row>
    <row r="523" spans="1:38">
      <c r="A523" s="11" t="str">
        <f t="shared" si="59"/>
        <v>05-800529822011</v>
      </c>
      <c r="B523" t="s">
        <v>323</v>
      </c>
      <c r="C523" t="s">
        <v>324</v>
      </c>
      <c r="D523">
        <v>2011</v>
      </c>
      <c r="E523" t="s">
        <v>1076</v>
      </c>
      <c r="F523">
        <v>14617.64</v>
      </c>
      <c r="G523">
        <v>46</v>
      </c>
      <c r="H523" s="11" t="str">
        <f t="shared" si="58"/>
        <v>count</v>
      </c>
      <c r="I523" s="197"/>
      <c r="J523" s="197"/>
      <c r="K523" s="197"/>
      <c r="L523" s="197"/>
      <c r="M523" s="197"/>
      <c r="N523" s="197"/>
      <c r="O523" s="197"/>
      <c r="P523" s="197"/>
      <c r="Q523" s="197"/>
      <c r="R523" s="197"/>
      <c r="S523" s="197"/>
      <c r="T523" s="197"/>
      <c r="U523" s="197"/>
      <c r="V523" s="197"/>
      <c r="W523" s="197"/>
      <c r="X523" s="197"/>
      <c r="Y523" s="197"/>
      <c r="Z523" s="197"/>
      <c r="AA523" s="197"/>
      <c r="AB523" s="197"/>
      <c r="AC523" s="197"/>
      <c r="AD523" s="197"/>
      <c r="AE523" s="197"/>
      <c r="AF523" s="197"/>
      <c r="AG523" s="197"/>
      <c r="AH523" s="197"/>
      <c r="AI523" s="197"/>
      <c r="AJ523" s="197"/>
      <c r="AK523" s="197"/>
      <c r="AL523" s="197"/>
    </row>
    <row r="524" spans="1:38">
      <c r="A524" s="11" t="str">
        <f t="shared" si="59"/>
        <v>05-800529822013</v>
      </c>
      <c r="B524" t="s">
        <v>323</v>
      </c>
      <c r="C524" t="s">
        <v>324</v>
      </c>
      <c r="D524">
        <v>2013</v>
      </c>
      <c r="E524" t="s">
        <v>63</v>
      </c>
      <c r="F524">
        <v>478550.96</v>
      </c>
      <c r="G524">
        <v>1039</v>
      </c>
      <c r="H524" s="11" t="str">
        <f t="shared" si="58"/>
        <v>count</v>
      </c>
      <c r="I524" s="197"/>
      <c r="J524" s="197"/>
      <c r="K524" s="197"/>
      <c r="L524" s="197"/>
      <c r="M524" s="197"/>
      <c r="N524" s="197"/>
      <c r="O524" s="197"/>
      <c r="P524" s="197"/>
      <c r="Q524" s="197"/>
      <c r="R524" s="197"/>
      <c r="S524" s="197"/>
      <c r="T524" s="197"/>
      <c r="U524" s="197"/>
      <c r="V524" s="197"/>
      <c r="W524" s="197"/>
      <c r="X524" s="197"/>
      <c r="Y524" s="197"/>
      <c r="Z524" s="197"/>
      <c r="AA524" s="197"/>
      <c r="AB524" s="197"/>
      <c r="AC524" s="197"/>
      <c r="AD524" s="197"/>
      <c r="AE524" s="197"/>
      <c r="AF524" s="197"/>
      <c r="AG524" s="197"/>
      <c r="AH524" s="197"/>
      <c r="AI524" s="197"/>
      <c r="AJ524" s="197"/>
      <c r="AK524" s="197"/>
      <c r="AL524" s="197"/>
    </row>
    <row r="525" spans="1:38">
      <c r="A525" s="11" t="str">
        <f t="shared" si="59"/>
        <v>05-800529822013</v>
      </c>
      <c r="B525" t="s">
        <v>323</v>
      </c>
      <c r="C525" t="s">
        <v>324</v>
      </c>
      <c r="D525">
        <v>2013</v>
      </c>
      <c r="E525" t="s">
        <v>69</v>
      </c>
      <c r="F525">
        <v>144924.44</v>
      </c>
      <c r="G525">
        <v>502</v>
      </c>
      <c r="H525" s="11" t="str">
        <f t="shared" si="58"/>
        <v>count</v>
      </c>
      <c r="I525" s="197"/>
      <c r="J525" s="197"/>
      <c r="K525" s="197"/>
      <c r="L525" s="197"/>
      <c r="M525" s="197"/>
      <c r="N525" s="197"/>
      <c r="O525" s="197"/>
      <c r="P525" s="197"/>
      <c r="Q525" s="197"/>
      <c r="R525" s="197"/>
      <c r="S525" s="197"/>
      <c r="T525" s="197"/>
      <c r="U525" s="197"/>
      <c r="V525" s="197"/>
      <c r="W525" s="197"/>
      <c r="X525" s="197"/>
      <c r="Y525" s="197"/>
      <c r="Z525" s="197"/>
      <c r="AA525" s="197"/>
      <c r="AB525" s="197"/>
      <c r="AC525" s="197"/>
      <c r="AD525" s="197"/>
      <c r="AE525" s="197"/>
      <c r="AF525" s="197"/>
      <c r="AG525" s="197"/>
      <c r="AH525" s="197"/>
      <c r="AI525" s="197"/>
      <c r="AJ525" s="197"/>
      <c r="AK525" s="197"/>
      <c r="AL525" s="197"/>
    </row>
    <row r="526" spans="1:38">
      <c r="A526" s="11" t="str">
        <f t="shared" si="59"/>
        <v>05-800529822011</v>
      </c>
      <c r="B526" t="s">
        <v>323</v>
      </c>
      <c r="C526" t="s">
        <v>324</v>
      </c>
      <c r="D526">
        <v>2011</v>
      </c>
      <c r="E526" t="s">
        <v>1075</v>
      </c>
      <c r="F526">
        <v>20195.55</v>
      </c>
      <c r="G526">
        <v>65</v>
      </c>
      <c r="H526" s="11" t="str">
        <f t="shared" si="58"/>
        <v>count</v>
      </c>
      <c r="I526" s="197"/>
      <c r="J526" s="197"/>
      <c r="K526" s="197"/>
      <c r="L526" s="197"/>
      <c r="M526" s="197"/>
      <c r="N526" s="197"/>
      <c r="O526" s="197"/>
      <c r="P526" s="197"/>
      <c r="Q526" s="197"/>
      <c r="R526" s="197"/>
      <c r="S526" s="197"/>
      <c r="T526" s="197"/>
      <c r="U526" s="197"/>
      <c r="V526" s="197"/>
      <c r="W526" s="197"/>
      <c r="X526" s="197"/>
      <c r="Y526" s="197"/>
      <c r="Z526" s="197"/>
      <c r="AA526" s="197"/>
      <c r="AB526" s="197"/>
      <c r="AC526" s="197"/>
      <c r="AD526" s="197"/>
      <c r="AE526" s="197"/>
      <c r="AF526" s="197"/>
      <c r="AG526" s="197"/>
      <c r="AH526" s="197"/>
      <c r="AI526" s="197"/>
      <c r="AJ526" s="197"/>
      <c r="AK526" s="197"/>
      <c r="AL526" s="197"/>
    </row>
    <row r="527" spans="1:38">
      <c r="A527" s="11" t="str">
        <f t="shared" si="59"/>
        <v>05-800529822012</v>
      </c>
      <c r="B527" t="s">
        <v>323</v>
      </c>
      <c r="C527" t="s">
        <v>324</v>
      </c>
      <c r="D527">
        <v>2012</v>
      </c>
      <c r="E527" t="s">
        <v>105</v>
      </c>
      <c r="F527">
        <v>62678.47</v>
      </c>
      <c r="G527">
        <v>155</v>
      </c>
      <c r="H527" s="11" t="str">
        <f t="shared" si="58"/>
        <v>count</v>
      </c>
      <c r="I527" s="197"/>
      <c r="J527" s="197"/>
      <c r="K527" s="197"/>
      <c r="L527" s="197"/>
      <c r="M527" s="197"/>
      <c r="N527" s="197"/>
      <c r="O527" s="197"/>
      <c r="P527" s="197"/>
      <c r="Q527" s="197"/>
      <c r="R527" s="197"/>
      <c r="S527" s="197"/>
      <c r="T527" s="197"/>
      <c r="U527" s="197"/>
      <c r="V527" s="197"/>
      <c r="W527" s="197"/>
      <c r="X527" s="197"/>
      <c r="Y527" s="197"/>
      <c r="Z527" s="197"/>
      <c r="AA527" s="197"/>
      <c r="AB527" s="197"/>
      <c r="AC527" s="197"/>
      <c r="AD527" s="197"/>
      <c r="AE527" s="197"/>
      <c r="AF527" s="197"/>
      <c r="AG527" s="197"/>
      <c r="AH527" s="197"/>
      <c r="AI527" s="197"/>
      <c r="AJ527" s="197"/>
      <c r="AK527" s="197"/>
      <c r="AL527" s="197"/>
    </row>
    <row r="528" spans="1:38">
      <c r="A528" s="11" t="str">
        <f t="shared" si="59"/>
        <v>05-800529822011</v>
      </c>
      <c r="B528" t="s">
        <v>323</v>
      </c>
      <c r="C528" t="s">
        <v>324</v>
      </c>
      <c r="D528">
        <v>2011</v>
      </c>
      <c r="E528" t="s">
        <v>63</v>
      </c>
      <c r="F528">
        <v>555419.56999999995</v>
      </c>
      <c r="G528">
        <v>1528</v>
      </c>
      <c r="H528" s="11" t="str">
        <f t="shared" si="58"/>
        <v>count</v>
      </c>
      <c r="I528" s="197"/>
      <c r="J528" s="197"/>
      <c r="K528" s="197"/>
      <c r="L528" s="197"/>
      <c r="M528" s="197"/>
      <c r="N528" s="197"/>
      <c r="O528" s="197"/>
      <c r="P528" s="197"/>
      <c r="Q528" s="197"/>
      <c r="R528" s="197"/>
      <c r="S528" s="197"/>
      <c r="T528" s="197"/>
      <c r="U528" s="197"/>
      <c r="V528" s="197"/>
      <c r="W528" s="197"/>
      <c r="X528" s="197"/>
      <c r="Y528" s="197"/>
      <c r="Z528" s="197"/>
      <c r="AA528" s="197"/>
      <c r="AB528" s="197"/>
      <c r="AC528" s="197"/>
      <c r="AD528" s="197"/>
      <c r="AE528" s="197"/>
      <c r="AF528" s="197"/>
      <c r="AG528" s="197"/>
      <c r="AH528" s="197"/>
      <c r="AI528" s="197"/>
      <c r="AJ528" s="197"/>
      <c r="AK528" s="197"/>
      <c r="AL528" s="197"/>
    </row>
    <row r="529" spans="1:38">
      <c r="A529" s="11" t="str">
        <f t="shared" si="59"/>
        <v>05-800529822011</v>
      </c>
      <c r="B529" t="s">
        <v>323</v>
      </c>
      <c r="C529" t="s">
        <v>324</v>
      </c>
      <c r="D529">
        <v>2011</v>
      </c>
      <c r="E529" t="s">
        <v>104</v>
      </c>
      <c r="F529">
        <v>271275.89</v>
      </c>
      <c r="G529">
        <v>731</v>
      </c>
      <c r="H529" s="11" t="str">
        <f t="shared" si="58"/>
        <v>count</v>
      </c>
      <c r="I529" s="197"/>
      <c r="J529" s="197"/>
      <c r="K529" s="197"/>
      <c r="L529" s="197"/>
      <c r="M529" s="197"/>
      <c r="N529" s="197"/>
      <c r="O529" s="197"/>
      <c r="P529" s="197"/>
      <c r="Q529" s="197"/>
      <c r="R529" s="197"/>
      <c r="S529" s="197"/>
      <c r="T529" s="197"/>
      <c r="U529" s="197"/>
      <c r="V529" s="197"/>
      <c r="W529" s="197"/>
      <c r="X529" s="197"/>
      <c r="Y529" s="197"/>
      <c r="Z529" s="197"/>
      <c r="AA529" s="197"/>
      <c r="AB529" s="197"/>
      <c r="AC529" s="197"/>
      <c r="AD529" s="197"/>
      <c r="AE529" s="197"/>
      <c r="AF529" s="197"/>
      <c r="AG529" s="197"/>
      <c r="AH529" s="197"/>
      <c r="AI529" s="197"/>
      <c r="AJ529" s="197"/>
      <c r="AK529" s="197"/>
      <c r="AL529" s="197"/>
    </row>
    <row r="530" spans="1:38">
      <c r="A530" s="11" t="str">
        <f t="shared" si="59"/>
        <v>05-800618982013</v>
      </c>
      <c r="B530" t="s">
        <v>325</v>
      </c>
      <c r="C530" t="s">
        <v>326</v>
      </c>
      <c r="D530">
        <v>2013</v>
      </c>
      <c r="E530" t="s">
        <v>105</v>
      </c>
      <c r="F530">
        <v>44876.18</v>
      </c>
      <c r="G530">
        <v>61</v>
      </c>
      <c r="H530" s="11" t="str">
        <f t="shared" si="58"/>
        <v>volume</v>
      </c>
      <c r="I530" s="197"/>
      <c r="J530" s="197"/>
      <c r="K530" s="197"/>
      <c r="L530" s="197"/>
      <c r="M530" s="197"/>
      <c r="N530" s="197"/>
      <c r="O530" s="197"/>
      <c r="P530" s="197"/>
      <c r="Q530" s="197"/>
      <c r="R530" s="197"/>
      <c r="S530" s="197"/>
      <c r="T530" s="197"/>
      <c r="U530" s="197"/>
      <c r="V530" s="197"/>
      <c r="W530" s="197"/>
      <c r="X530" s="197"/>
      <c r="Y530" s="197"/>
      <c r="Z530" s="197"/>
      <c r="AA530" s="197"/>
      <c r="AB530" s="197"/>
      <c r="AC530" s="197"/>
      <c r="AD530" s="197"/>
      <c r="AE530" s="197"/>
      <c r="AF530" s="197"/>
      <c r="AG530" s="197"/>
      <c r="AH530" s="197"/>
      <c r="AI530" s="197"/>
      <c r="AJ530" s="197"/>
      <c r="AK530" s="197"/>
      <c r="AL530" s="197"/>
    </row>
    <row r="531" spans="1:38">
      <c r="A531" s="11" t="str">
        <f t="shared" si="59"/>
        <v>05-800618982013</v>
      </c>
      <c r="B531" t="s">
        <v>325</v>
      </c>
      <c r="C531" t="s">
        <v>326</v>
      </c>
      <c r="D531">
        <v>2013</v>
      </c>
      <c r="E531" t="s">
        <v>106</v>
      </c>
      <c r="F531">
        <v>156891.70000000001</v>
      </c>
      <c r="G531">
        <v>101</v>
      </c>
      <c r="H531" s="11" t="str">
        <f t="shared" si="58"/>
        <v>count</v>
      </c>
      <c r="I531" s="197"/>
      <c r="J531" s="197"/>
      <c r="K531" s="197"/>
      <c r="L531" s="197"/>
      <c r="M531" s="197"/>
      <c r="N531" s="197"/>
      <c r="O531" s="197"/>
      <c r="P531" s="197"/>
      <c r="Q531" s="197"/>
      <c r="R531" s="197"/>
      <c r="S531" s="197"/>
      <c r="T531" s="197"/>
      <c r="U531" s="197"/>
      <c r="V531" s="197"/>
      <c r="W531" s="197"/>
      <c r="X531" s="197"/>
      <c r="Y531" s="197"/>
      <c r="Z531" s="197"/>
      <c r="AA531" s="197"/>
      <c r="AB531" s="197"/>
      <c r="AC531" s="197"/>
      <c r="AD531" s="197"/>
      <c r="AE531" s="197"/>
      <c r="AF531" s="197"/>
      <c r="AG531" s="197"/>
      <c r="AH531" s="197"/>
      <c r="AI531" s="197"/>
      <c r="AJ531" s="197"/>
      <c r="AK531" s="197"/>
      <c r="AL531" s="197"/>
    </row>
    <row r="532" spans="1:38">
      <c r="A532" s="11" t="str">
        <f t="shared" si="59"/>
        <v>05-800618982012</v>
      </c>
      <c r="B532" t="s">
        <v>325</v>
      </c>
      <c r="C532" t="s">
        <v>326</v>
      </c>
      <c r="D532">
        <v>2012</v>
      </c>
      <c r="E532" t="s">
        <v>63</v>
      </c>
      <c r="F532">
        <v>350332.84</v>
      </c>
      <c r="G532">
        <v>387</v>
      </c>
      <c r="H532" s="11" t="str">
        <f t="shared" si="58"/>
        <v>count</v>
      </c>
      <c r="I532" s="197"/>
      <c r="J532" s="197"/>
      <c r="K532" s="197"/>
      <c r="L532" s="197"/>
      <c r="M532" s="197"/>
      <c r="N532" s="197"/>
      <c r="O532" s="197"/>
      <c r="P532" s="197"/>
      <c r="Q532" s="197"/>
      <c r="R532" s="197"/>
      <c r="S532" s="197"/>
      <c r="T532" s="197"/>
      <c r="U532" s="197"/>
      <c r="V532" s="197"/>
      <c r="W532" s="197"/>
      <c r="X532" s="197"/>
      <c r="Y532" s="197"/>
      <c r="Z532" s="197"/>
      <c r="AA532" s="197"/>
      <c r="AB532" s="197"/>
      <c r="AC532" s="197"/>
      <c r="AD532" s="197"/>
      <c r="AE532" s="197"/>
      <c r="AF532" s="197"/>
      <c r="AG532" s="197"/>
      <c r="AH532" s="197"/>
      <c r="AI532" s="197"/>
      <c r="AJ532" s="197"/>
      <c r="AK532" s="197"/>
      <c r="AL532" s="197"/>
    </row>
    <row r="533" spans="1:38">
      <c r="A533" s="11" t="str">
        <f t="shared" si="59"/>
        <v>05-800618982012</v>
      </c>
      <c r="B533" t="s">
        <v>325</v>
      </c>
      <c r="C533" t="s">
        <v>326</v>
      </c>
      <c r="D533">
        <v>2012</v>
      </c>
      <c r="E533" t="s">
        <v>104</v>
      </c>
      <c r="F533">
        <v>234771.55</v>
      </c>
      <c r="G533">
        <v>274</v>
      </c>
      <c r="H533" s="11" t="str">
        <f t="shared" si="58"/>
        <v>count</v>
      </c>
      <c r="I533" s="197"/>
      <c r="J533" s="197"/>
      <c r="K533" s="197"/>
      <c r="L533" s="197"/>
      <c r="M533" s="197"/>
      <c r="N533" s="197"/>
      <c r="O533" s="197"/>
      <c r="P533" s="197"/>
      <c r="Q533" s="197"/>
      <c r="R533" s="197"/>
      <c r="S533" s="197"/>
      <c r="T533" s="197"/>
      <c r="U533" s="197"/>
      <c r="V533" s="197"/>
      <c r="W533" s="197"/>
      <c r="X533" s="197"/>
      <c r="Y533" s="197"/>
      <c r="Z533" s="197"/>
      <c r="AA533" s="197"/>
      <c r="AB533" s="197"/>
      <c r="AC533" s="197"/>
      <c r="AD533" s="197"/>
      <c r="AE533" s="197"/>
      <c r="AF533" s="197"/>
      <c r="AG533" s="197"/>
      <c r="AH533" s="197"/>
      <c r="AI533" s="197"/>
      <c r="AJ533" s="197"/>
      <c r="AK533" s="197"/>
      <c r="AL533" s="197"/>
    </row>
    <row r="534" spans="1:38">
      <c r="A534" s="11" t="str">
        <f t="shared" si="59"/>
        <v>05-800618982013</v>
      </c>
      <c r="B534" t="s">
        <v>325</v>
      </c>
      <c r="C534" t="s">
        <v>326</v>
      </c>
      <c r="D534">
        <v>2013</v>
      </c>
      <c r="E534" t="s">
        <v>104</v>
      </c>
      <c r="F534">
        <v>256502.64</v>
      </c>
      <c r="G534">
        <v>278</v>
      </c>
      <c r="H534" s="11" t="str">
        <f t="shared" si="58"/>
        <v>count</v>
      </c>
      <c r="I534" s="197"/>
      <c r="J534" s="197"/>
      <c r="K534" s="197"/>
      <c r="L534" s="197"/>
      <c r="M534" s="197"/>
      <c r="N534" s="197"/>
      <c r="O534" s="197"/>
      <c r="P534" s="197"/>
      <c r="Q534" s="197"/>
      <c r="R534" s="197"/>
      <c r="S534" s="197"/>
      <c r="T534" s="197"/>
      <c r="U534" s="197"/>
      <c r="V534" s="197"/>
      <c r="W534" s="197"/>
      <c r="X534" s="197"/>
      <c r="Y534" s="197"/>
      <c r="Z534" s="197"/>
      <c r="AA534" s="197"/>
      <c r="AB534" s="197"/>
      <c r="AC534" s="197"/>
      <c r="AD534" s="197"/>
      <c r="AE534" s="197"/>
      <c r="AF534" s="197"/>
      <c r="AG534" s="197"/>
      <c r="AH534" s="197"/>
      <c r="AI534" s="197"/>
      <c r="AJ534" s="197"/>
      <c r="AK534" s="197"/>
      <c r="AL534" s="197"/>
    </row>
    <row r="535" spans="1:38">
      <c r="A535" s="11" t="str">
        <f t="shared" si="59"/>
        <v>05-800618982013</v>
      </c>
      <c r="B535" t="s">
        <v>325</v>
      </c>
      <c r="C535" t="s">
        <v>326</v>
      </c>
      <c r="D535">
        <v>2013</v>
      </c>
      <c r="E535" t="s">
        <v>63</v>
      </c>
      <c r="F535">
        <v>432813.18</v>
      </c>
      <c r="G535">
        <v>484</v>
      </c>
      <c r="H535" s="11" t="str">
        <f t="shared" si="58"/>
        <v>count</v>
      </c>
      <c r="I535" s="197"/>
      <c r="J535" s="197"/>
      <c r="K535" s="197"/>
      <c r="L535" s="197"/>
      <c r="M535" s="197"/>
      <c r="N535" s="197"/>
      <c r="O535" s="197"/>
      <c r="P535" s="197"/>
      <c r="Q535" s="197"/>
      <c r="R535" s="197"/>
      <c r="S535" s="197"/>
      <c r="T535" s="197"/>
      <c r="U535" s="197"/>
      <c r="V535" s="197"/>
      <c r="W535" s="197"/>
      <c r="X535" s="197"/>
      <c r="Y535" s="197"/>
      <c r="Z535" s="197"/>
      <c r="AA535" s="197"/>
      <c r="AB535" s="197"/>
      <c r="AC535" s="197"/>
      <c r="AD535" s="197"/>
      <c r="AE535" s="197"/>
      <c r="AF535" s="197"/>
      <c r="AG535" s="197"/>
      <c r="AH535" s="197"/>
      <c r="AI535" s="197"/>
      <c r="AJ535" s="197"/>
      <c r="AK535" s="197"/>
      <c r="AL535" s="197"/>
    </row>
    <row r="536" spans="1:38">
      <c r="A536" s="11" t="str">
        <f t="shared" si="59"/>
        <v>05-800618982012</v>
      </c>
      <c r="B536" t="s">
        <v>325</v>
      </c>
      <c r="C536" t="s">
        <v>326</v>
      </c>
      <c r="D536">
        <v>2012</v>
      </c>
      <c r="E536" t="s">
        <v>106</v>
      </c>
      <c r="F536">
        <v>366155.96</v>
      </c>
      <c r="G536">
        <v>239</v>
      </c>
      <c r="H536" s="11" t="str">
        <f t="shared" si="58"/>
        <v>count</v>
      </c>
      <c r="I536" s="197"/>
      <c r="J536" s="197"/>
      <c r="K536" s="197"/>
      <c r="L536" s="197"/>
      <c r="M536" s="197"/>
      <c r="N536" s="197"/>
      <c r="O536" s="197"/>
      <c r="P536" s="197"/>
      <c r="Q536" s="197"/>
      <c r="R536" s="197"/>
      <c r="S536" s="197"/>
      <c r="T536" s="197"/>
      <c r="U536" s="197"/>
      <c r="V536" s="197"/>
      <c r="W536" s="197"/>
      <c r="X536" s="197"/>
      <c r="Y536" s="197"/>
      <c r="Z536" s="197"/>
      <c r="AA536" s="197"/>
      <c r="AB536" s="197"/>
      <c r="AC536" s="197"/>
      <c r="AD536" s="197"/>
      <c r="AE536" s="197"/>
      <c r="AF536" s="197"/>
      <c r="AG536" s="197"/>
      <c r="AH536" s="197"/>
      <c r="AI536" s="197"/>
      <c r="AJ536" s="197"/>
      <c r="AK536" s="197"/>
      <c r="AL536" s="197"/>
    </row>
    <row r="537" spans="1:38">
      <c r="A537" s="11" t="str">
        <f t="shared" si="59"/>
        <v>05-800618982011</v>
      </c>
      <c r="B537" t="s">
        <v>325</v>
      </c>
      <c r="C537" t="s">
        <v>326</v>
      </c>
      <c r="D537">
        <v>2011</v>
      </c>
      <c r="E537" t="s">
        <v>105</v>
      </c>
      <c r="F537">
        <v>9762.49</v>
      </c>
      <c r="G537">
        <v>18</v>
      </c>
      <c r="H537" s="11" t="str">
        <f t="shared" si="58"/>
        <v>count</v>
      </c>
      <c r="I537" s="197"/>
      <c r="J537" s="197"/>
      <c r="K537" s="197"/>
      <c r="L537" s="197"/>
      <c r="M537" s="197"/>
      <c r="N537" s="197"/>
      <c r="O537" s="197"/>
      <c r="P537" s="197"/>
      <c r="Q537" s="197"/>
      <c r="R537" s="197"/>
      <c r="S537" s="197"/>
      <c r="T537" s="197"/>
      <c r="U537" s="197"/>
      <c r="V537" s="197"/>
      <c r="W537" s="197"/>
      <c r="X537" s="197"/>
      <c r="Y537" s="197"/>
      <c r="Z537" s="197"/>
      <c r="AA537" s="197"/>
      <c r="AB537" s="197"/>
      <c r="AC537" s="197"/>
      <c r="AD537" s="197"/>
      <c r="AE537" s="197"/>
      <c r="AF537" s="197"/>
      <c r="AG537" s="197"/>
      <c r="AH537" s="197"/>
      <c r="AI537" s="197"/>
      <c r="AJ537" s="197"/>
      <c r="AK537" s="197"/>
      <c r="AL537" s="197"/>
    </row>
    <row r="538" spans="1:38">
      <c r="A538" s="11" t="str">
        <f t="shared" si="59"/>
        <v>05-800618982011</v>
      </c>
      <c r="B538" t="s">
        <v>325</v>
      </c>
      <c r="C538" t="s">
        <v>326</v>
      </c>
      <c r="D538">
        <v>2011</v>
      </c>
      <c r="E538" t="s">
        <v>106</v>
      </c>
      <c r="F538">
        <v>209245.74</v>
      </c>
      <c r="G538">
        <v>144</v>
      </c>
      <c r="H538" s="11" t="str">
        <f t="shared" si="58"/>
        <v>count</v>
      </c>
      <c r="I538" s="197"/>
      <c r="J538" s="197"/>
      <c r="K538" s="197"/>
      <c r="L538" s="197"/>
      <c r="M538" s="197"/>
      <c r="N538" s="197"/>
      <c r="O538" s="197"/>
      <c r="P538" s="197"/>
      <c r="Q538" s="197"/>
      <c r="R538" s="197"/>
      <c r="S538" s="197"/>
      <c r="T538" s="197"/>
      <c r="U538" s="197"/>
      <c r="V538" s="197"/>
      <c r="W538" s="197"/>
      <c r="X538" s="197"/>
      <c r="Y538" s="197"/>
      <c r="Z538" s="197"/>
      <c r="AA538" s="197"/>
      <c r="AB538" s="197"/>
      <c r="AC538" s="197"/>
      <c r="AD538" s="197"/>
      <c r="AE538" s="197"/>
      <c r="AF538" s="197"/>
      <c r="AG538" s="197"/>
      <c r="AH538" s="197"/>
      <c r="AI538" s="197"/>
      <c r="AJ538" s="197"/>
      <c r="AK538" s="197"/>
      <c r="AL538" s="197"/>
    </row>
    <row r="539" spans="1:38">
      <c r="A539" s="11" t="str">
        <f t="shared" si="59"/>
        <v>05-800618982013</v>
      </c>
      <c r="B539" t="s">
        <v>325</v>
      </c>
      <c r="C539" t="s">
        <v>326</v>
      </c>
      <c r="D539">
        <v>2013</v>
      </c>
      <c r="E539" t="s">
        <v>69</v>
      </c>
      <c r="F539">
        <v>125027.29</v>
      </c>
      <c r="G539">
        <v>169</v>
      </c>
      <c r="H539" s="11" t="str">
        <f t="shared" si="58"/>
        <v>count</v>
      </c>
      <c r="I539" s="197"/>
      <c r="J539" s="197"/>
      <c r="K539" s="197"/>
      <c r="L539" s="197"/>
      <c r="M539" s="197"/>
      <c r="N539" s="197"/>
      <c r="O539" s="197"/>
      <c r="P539" s="197"/>
      <c r="Q539" s="197"/>
      <c r="R539" s="197"/>
      <c r="S539" s="197"/>
      <c r="T539" s="197"/>
      <c r="U539" s="197"/>
      <c r="V539" s="197"/>
      <c r="W539" s="197"/>
      <c r="X539" s="197"/>
      <c r="Y539" s="197"/>
      <c r="Z539" s="197"/>
      <c r="AA539" s="197"/>
      <c r="AB539" s="197"/>
      <c r="AC539" s="197"/>
      <c r="AD539" s="197"/>
      <c r="AE539" s="197"/>
      <c r="AF539" s="197"/>
      <c r="AG539" s="197"/>
      <c r="AH539" s="197"/>
      <c r="AI539" s="197"/>
      <c r="AJ539" s="197"/>
      <c r="AK539" s="197"/>
      <c r="AL539" s="197"/>
    </row>
    <row r="540" spans="1:38">
      <c r="A540" s="11" t="str">
        <f t="shared" si="59"/>
        <v>05-800618982012</v>
      </c>
      <c r="B540" t="s">
        <v>325</v>
      </c>
      <c r="C540" t="s">
        <v>326</v>
      </c>
      <c r="D540">
        <v>2012</v>
      </c>
      <c r="E540" t="s">
        <v>69</v>
      </c>
      <c r="F540">
        <v>89246.29</v>
      </c>
      <c r="G540">
        <v>119</v>
      </c>
      <c r="H540" s="11" t="str">
        <f t="shared" si="58"/>
        <v>count</v>
      </c>
      <c r="I540" s="197"/>
      <c r="J540" s="197"/>
      <c r="K540" s="197"/>
      <c r="L540" s="197"/>
      <c r="M540" s="197"/>
      <c r="N540" s="197"/>
      <c r="O540" s="197"/>
      <c r="P540" s="197"/>
      <c r="Q540" s="197"/>
      <c r="R540" s="197"/>
      <c r="S540" s="197"/>
      <c r="T540" s="197"/>
      <c r="U540" s="197"/>
      <c r="V540" s="197"/>
      <c r="W540" s="197"/>
      <c r="X540" s="197"/>
      <c r="Y540" s="197"/>
      <c r="Z540" s="197"/>
      <c r="AA540" s="197"/>
      <c r="AB540" s="197"/>
      <c r="AC540" s="197"/>
      <c r="AD540" s="197"/>
      <c r="AE540" s="197"/>
      <c r="AF540" s="197"/>
      <c r="AG540" s="197"/>
      <c r="AH540" s="197"/>
      <c r="AI540" s="197"/>
      <c r="AJ540" s="197"/>
      <c r="AK540" s="197"/>
      <c r="AL540" s="197"/>
    </row>
    <row r="541" spans="1:38">
      <c r="A541" s="11" t="str">
        <f t="shared" si="59"/>
        <v>05-800618982011</v>
      </c>
      <c r="B541" t="s">
        <v>325</v>
      </c>
      <c r="C541" t="s">
        <v>326</v>
      </c>
      <c r="D541">
        <v>2011</v>
      </c>
      <c r="E541" t="s">
        <v>104</v>
      </c>
      <c r="F541">
        <v>105603.14</v>
      </c>
      <c r="G541">
        <v>117</v>
      </c>
      <c r="H541" s="11" t="str">
        <f t="shared" si="58"/>
        <v>count</v>
      </c>
      <c r="I541" s="197"/>
      <c r="J541" s="197"/>
      <c r="K541" s="197"/>
      <c r="L541" s="197"/>
      <c r="M541" s="197"/>
      <c r="N541" s="197"/>
      <c r="O541" s="197"/>
      <c r="P541" s="197"/>
      <c r="Q541" s="197"/>
      <c r="R541" s="197"/>
      <c r="S541" s="197"/>
      <c r="T541" s="197"/>
      <c r="U541" s="197"/>
      <c r="V541" s="197"/>
      <c r="W541" s="197"/>
      <c r="X541" s="197"/>
      <c r="Y541" s="197"/>
      <c r="Z541" s="197"/>
      <c r="AA541" s="197"/>
      <c r="AB541" s="197"/>
      <c r="AC541" s="197"/>
      <c r="AD541" s="197"/>
      <c r="AE541" s="197"/>
      <c r="AF541" s="197"/>
      <c r="AG541" s="197"/>
      <c r="AH541" s="197"/>
      <c r="AI541" s="197"/>
      <c r="AJ541" s="197"/>
      <c r="AK541" s="197"/>
      <c r="AL541" s="197"/>
    </row>
    <row r="542" spans="1:38">
      <c r="A542" s="11" t="str">
        <f t="shared" si="59"/>
        <v>05-800618982012</v>
      </c>
      <c r="B542" t="s">
        <v>325</v>
      </c>
      <c r="C542" t="s">
        <v>326</v>
      </c>
      <c r="D542">
        <v>2012</v>
      </c>
      <c r="E542" t="s">
        <v>105</v>
      </c>
      <c r="F542">
        <v>27902.82</v>
      </c>
      <c r="G542">
        <v>33</v>
      </c>
      <c r="H542" s="11" t="str">
        <f t="shared" si="58"/>
        <v>count</v>
      </c>
      <c r="I542" s="197"/>
      <c r="J542" s="197"/>
      <c r="K542" s="197"/>
      <c r="L542" s="197"/>
      <c r="M542" s="197"/>
      <c r="N542" s="197"/>
      <c r="O542" s="197"/>
      <c r="P542" s="197"/>
      <c r="Q542" s="197"/>
      <c r="R542" s="197"/>
      <c r="S542" s="197"/>
      <c r="T542" s="197"/>
      <c r="U542" s="197"/>
      <c r="V542" s="197"/>
      <c r="W542" s="197"/>
      <c r="X542" s="197"/>
      <c r="Y542" s="197"/>
      <c r="Z542" s="197"/>
      <c r="AA542" s="197"/>
      <c r="AB542" s="197"/>
      <c r="AC542" s="197"/>
      <c r="AD542" s="197"/>
      <c r="AE542" s="197"/>
      <c r="AF542" s="197"/>
      <c r="AG542" s="197"/>
      <c r="AH542" s="197"/>
      <c r="AI542" s="197"/>
      <c r="AJ542" s="197"/>
      <c r="AK542" s="197"/>
      <c r="AL542" s="197"/>
    </row>
    <row r="543" spans="1:38">
      <c r="A543" s="11" t="str">
        <f t="shared" si="59"/>
        <v>05-800618982011</v>
      </c>
      <c r="B543" t="s">
        <v>325</v>
      </c>
      <c r="C543" t="s">
        <v>326</v>
      </c>
      <c r="D543">
        <v>2011</v>
      </c>
      <c r="E543" t="s">
        <v>63</v>
      </c>
      <c r="F543">
        <v>181166.35</v>
      </c>
      <c r="G543">
        <v>249</v>
      </c>
      <c r="H543" s="11" t="str">
        <f t="shared" si="58"/>
        <v>count</v>
      </c>
      <c r="I543" s="197"/>
      <c r="J543" s="197"/>
      <c r="K543" s="197"/>
      <c r="L543" s="197"/>
      <c r="M543" s="197"/>
      <c r="N543" s="197"/>
      <c r="O543" s="197"/>
      <c r="P543" s="197"/>
      <c r="Q543" s="197"/>
      <c r="R543" s="197"/>
      <c r="S543" s="197"/>
      <c r="T543" s="197"/>
      <c r="U543" s="197"/>
      <c r="V543" s="197"/>
      <c r="W543" s="197"/>
      <c r="X543" s="197"/>
      <c r="Y543" s="197"/>
      <c r="Z543" s="197"/>
      <c r="AA543" s="197"/>
      <c r="AB543" s="197"/>
      <c r="AC543" s="197"/>
      <c r="AD543" s="197"/>
      <c r="AE543" s="197"/>
      <c r="AF543" s="197"/>
      <c r="AG543" s="197"/>
      <c r="AH543" s="197"/>
      <c r="AI543" s="197"/>
      <c r="AJ543" s="197"/>
      <c r="AK543" s="197"/>
      <c r="AL543" s="197"/>
    </row>
    <row r="544" spans="1:38">
      <c r="A544" s="11" t="str">
        <f t="shared" si="59"/>
        <v>05-801658912011</v>
      </c>
      <c r="B544" t="s">
        <v>13</v>
      </c>
      <c r="C544" t="s">
        <v>9</v>
      </c>
      <c r="D544">
        <v>2011</v>
      </c>
      <c r="E544" t="s">
        <v>69</v>
      </c>
      <c r="F544">
        <v>302.39999999999998</v>
      </c>
      <c r="G544">
        <v>1</v>
      </c>
      <c r="H544" s="11" t="str">
        <f t="shared" si="58"/>
        <v>volume</v>
      </c>
      <c r="I544" s="197"/>
      <c r="J544" s="197"/>
      <c r="K544" s="197"/>
      <c r="L544" s="197"/>
      <c r="M544" s="197"/>
      <c r="N544" s="197"/>
      <c r="O544" s="197"/>
      <c r="P544" s="197"/>
      <c r="Q544" s="197"/>
      <c r="R544" s="197"/>
      <c r="S544" s="197"/>
      <c r="T544" s="197"/>
      <c r="U544" s="197"/>
      <c r="V544" s="197"/>
      <c r="W544" s="197"/>
      <c r="X544" s="197"/>
      <c r="Y544" s="197"/>
      <c r="Z544" s="197"/>
      <c r="AA544" s="197"/>
      <c r="AB544" s="197"/>
      <c r="AC544" s="197"/>
      <c r="AD544" s="197"/>
      <c r="AE544" s="197"/>
      <c r="AF544" s="197"/>
      <c r="AG544" s="197"/>
      <c r="AH544" s="197"/>
      <c r="AI544" s="197"/>
      <c r="AJ544" s="197"/>
      <c r="AK544" s="197"/>
      <c r="AL544" s="197"/>
    </row>
    <row r="545" spans="1:38">
      <c r="A545" s="11" t="str">
        <f t="shared" si="59"/>
        <v>05-801658912012</v>
      </c>
      <c r="B545" t="s">
        <v>13</v>
      </c>
      <c r="C545" t="s">
        <v>9</v>
      </c>
      <c r="D545">
        <v>2012</v>
      </c>
      <c r="E545" t="s">
        <v>105</v>
      </c>
      <c r="F545">
        <v>256267.01</v>
      </c>
      <c r="G545">
        <v>280</v>
      </c>
      <c r="H545" s="11" t="str">
        <f t="shared" si="58"/>
        <v>count</v>
      </c>
      <c r="I545" s="197"/>
      <c r="J545" s="197"/>
      <c r="K545" s="197"/>
      <c r="L545" s="197"/>
      <c r="M545" s="197"/>
      <c r="N545" s="197"/>
      <c r="O545" s="197"/>
      <c r="P545" s="197"/>
      <c r="Q545" s="197"/>
      <c r="R545" s="197"/>
      <c r="S545" s="197"/>
      <c r="T545" s="197"/>
      <c r="U545" s="197"/>
      <c r="V545" s="197"/>
      <c r="W545" s="197"/>
      <c r="X545" s="197"/>
      <c r="Y545" s="197"/>
      <c r="Z545" s="197"/>
      <c r="AA545" s="197"/>
      <c r="AB545" s="197"/>
      <c r="AC545" s="197"/>
      <c r="AD545" s="197"/>
      <c r="AE545" s="197"/>
      <c r="AF545" s="197"/>
      <c r="AG545" s="197"/>
      <c r="AH545" s="197"/>
      <c r="AI545" s="197"/>
      <c r="AJ545" s="197"/>
      <c r="AK545" s="197"/>
      <c r="AL545" s="197"/>
    </row>
    <row r="546" spans="1:38">
      <c r="A546" s="11" t="str">
        <f t="shared" si="59"/>
        <v>05-801658912011</v>
      </c>
      <c r="B546" t="s">
        <v>13</v>
      </c>
      <c r="C546" t="s">
        <v>9</v>
      </c>
      <c r="D546">
        <v>2011</v>
      </c>
      <c r="E546" t="s">
        <v>104</v>
      </c>
      <c r="F546">
        <v>942591.69</v>
      </c>
      <c r="G546">
        <v>895</v>
      </c>
      <c r="H546" s="11" t="str">
        <f t="shared" si="58"/>
        <v>count</v>
      </c>
      <c r="I546" s="197"/>
      <c r="J546" s="197"/>
      <c r="K546" s="197"/>
      <c r="L546" s="197"/>
      <c r="M546" s="197"/>
      <c r="N546" s="197"/>
      <c r="O546" s="197"/>
      <c r="P546" s="197"/>
      <c r="Q546" s="197"/>
      <c r="R546" s="197"/>
      <c r="S546" s="197"/>
      <c r="T546" s="197"/>
      <c r="U546" s="197"/>
      <c r="V546" s="197"/>
      <c r="W546" s="197"/>
      <c r="X546" s="197"/>
      <c r="Y546" s="197"/>
      <c r="Z546" s="197"/>
      <c r="AA546" s="197"/>
      <c r="AB546" s="197"/>
      <c r="AC546" s="197"/>
      <c r="AD546" s="197"/>
      <c r="AE546" s="197"/>
      <c r="AF546" s="197"/>
      <c r="AG546" s="197"/>
      <c r="AH546" s="197"/>
      <c r="AI546" s="197"/>
      <c r="AJ546" s="197"/>
      <c r="AK546" s="197"/>
      <c r="AL546" s="197"/>
    </row>
    <row r="547" spans="1:38">
      <c r="A547" s="11" t="str">
        <f t="shared" si="59"/>
        <v>05-801658912011</v>
      </c>
      <c r="B547" t="s">
        <v>13</v>
      </c>
      <c r="C547" t="s">
        <v>9</v>
      </c>
      <c r="D547">
        <v>2011</v>
      </c>
      <c r="E547" t="s">
        <v>63</v>
      </c>
      <c r="F547">
        <v>1847367.34</v>
      </c>
      <c r="G547">
        <v>1746</v>
      </c>
      <c r="H547" s="11" t="str">
        <f t="shared" si="58"/>
        <v>count</v>
      </c>
      <c r="I547" s="197"/>
      <c r="J547" s="197"/>
      <c r="K547" s="197"/>
      <c r="L547" s="197"/>
      <c r="M547" s="197"/>
      <c r="N547" s="197"/>
      <c r="O547" s="197"/>
      <c r="P547" s="197"/>
      <c r="Q547" s="197"/>
      <c r="R547" s="197"/>
      <c r="S547" s="197"/>
      <c r="T547" s="197"/>
      <c r="U547" s="197"/>
      <c r="V547" s="197"/>
      <c r="W547" s="197"/>
      <c r="X547" s="197"/>
      <c r="Y547" s="197"/>
      <c r="Z547" s="197"/>
      <c r="AA547" s="197"/>
      <c r="AB547" s="197"/>
      <c r="AC547" s="197"/>
      <c r="AD547" s="197"/>
      <c r="AE547" s="197"/>
      <c r="AF547" s="197"/>
      <c r="AG547" s="197"/>
      <c r="AH547" s="197"/>
      <c r="AI547" s="197"/>
      <c r="AJ547" s="197"/>
      <c r="AK547" s="197"/>
      <c r="AL547" s="197"/>
    </row>
    <row r="548" spans="1:38">
      <c r="A548" s="11" t="str">
        <f t="shared" si="59"/>
        <v>05-801658912013</v>
      </c>
      <c r="B548" t="s">
        <v>13</v>
      </c>
      <c r="C548" t="s">
        <v>9</v>
      </c>
      <c r="D548">
        <v>2013</v>
      </c>
      <c r="E548" t="s">
        <v>105</v>
      </c>
      <c r="F548">
        <v>253609.03</v>
      </c>
      <c r="G548">
        <v>246</v>
      </c>
      <c r="H548" s="11" t="str">
        <f t="shared" si="58"/>
        <v>count</v>
      </c>
      <c r="I548" s="197"/>
      <c r="J548" s="197"/>
      <c r="K548" s="197"/>
      <c r="L548" s="197"/>
      <c r="M548" s="197"/>
      <c r="N548" s="197"/>
      <c r="O548" s="197"/>
      <c r="P548" s="197"/>
      <c r="Q548" s="197"/>
      <c r="R548" s="197"/>
      <c r="S548" s="197"/>
      <c r="T548" s="197"/>
      <c r="U548" s="197"/>
      <c r="V548" s="197"/>
      <c r="W548" s="197"/>
      <c r="X548" s="197"/>
      <c r="Y548" s="197"/>
      <c r="Z548" s="197"/>
      <c r="AA548" s="197"/>
      <c r="AB548" s="197"/>
      <c r="AC548" s="197"/>
      <c r="AD548" s="197"/>
      <c r="AE548" s="197"/>
      <c r="AF548" s="197"/>
      <c r="AG548" s="197"/>
      <c r="AH548" s="197"/>
      <c r="AI548" s="197"/>
      <c r="AJ548" s="197"/>
      <c r="AK548" s="197"/>
      <c r="AL548" s="197"/>
    </row>
    <row r="549" spans="1:38">
      <c r="A549" s="11" t="str">
        <f t="shared" si="59"/>
        <v>05-801658912012</v>
      </c>
      <c r="B549" t="s">
        <v>13</v>
      </c>
      <c r="C549" t="s">
        <v>9</v>
      </c>
      <c r="D549">
        <v>2012</v>
      </c>
      <c r="E549" t="s">
        <v>104</v>
      </c>
      <c r="F549">
        <v>1196328.1100000001</v>
      </c>
      <c r="G549">
        <v>1080</v>
      </c>
      <c r="H549" s="11" t="str">
        <f t="shared" si="58"/>
        <v>count</v>
      </c>
      <c r="I549" s="197"/>
      <c r="J549" s="197"/>
      <c r="K549" s="197"/>
      <c r="L549" s="197"/>
      <c r="M549" s="197"/>
      <c r="N549" s="197"/>
      <c r="O549" s="197"/>
      <c r="P549" s="197"/>
      <c r="Q549" s="197"/>
      <c r="R549" s="197"/>
      <c r="S549" s="197"/>
      <c r="T549" s="197"/>
      <c r="U549" s="197"/>
      <c r="V549" s="197"/>
      <c r="W549" s="197"/>
      <c r="X549" s="197"/>
      <c r="Y549" s="197"/>
      <c r="Z549" s="197"/>
      <c r="AA549" s="197"/>
      <c r="AB549" s="197"/>
      <c r="AC549" s="197"/>
      <c r="AD549" s="197"/>
      <c r="AE549" s="197"/>
      <c r="AF549" s="197"/>
      <c r="AG549" s="197"/>
      <c r="AH549" s="197"/>
      <c r="AI549" s="197"/>
      <c r="AJ549" s="197"/>
      <c r="AK549" s="197"/>
      <c r="AL549" s="197"/>
    </row>
    <row r="550" spans="1:38">
      <c r="A550" s="11" t="str">
        <f t="shared" si="59"/>
        <v>05-801658912012</v>
      </c>
      <c r="B550" t="s">
        <v>13</v>
      </c>
      <c r="C550" t="s">
        <v>9</v>
      </c>
      <c r="D550">
        <v>2012</v>
      </c>
      <c r="E550" t="s">
        <v>63</v>
      </c>
      <c r="F550">
        <v>1901268.53</v>
      </c>
      <c r="G550">
        <v>1703</v>
      </c>
      <c r="H550" s="11" t="str">
        <f t="shared" si="58"/>
        <v>count</v>
      </c>
      <c r="I550" s="197"/>
      <c r="J550" s="197"/>
      <c r="K550" s="197"/>
      <c r="L550" s="197"/>
      <c r="M550" s="197"/>
      <c r="N550" s="197"/>
      <c r="O550" s="197"/>
      <c r="P550" s="197"/>
      <c r="Q550" s="197"/>
      <c r="R550" s="197"/>
      <c r="S550" s="197"/>
      <c r="T550" s="197"/>
      <c r="U550" s="197"/>
      <c r="V550" s="197"/>
      <c r="W550" s="197"/>
      <c r="X550" s="197"/>
      <c r="Y550" s="197"/>
      <c r="Z550" s="197"/>
      <c r="AA550" s="197"/>
      <c r="AB550" s="197"/>
      <c r="AC550" s="197"/>
      <c r="AD550" s="197"/>
      <c r="AE550" s="197"/>
      <c r="AF550" s="197"/>
      <c r="AG550" s="197"/>
      <c r="AH550" s="197"/>
      <c r="AI550" s="197"/>
      <c r="AJ550" s="197"/>
      <c r="AK550" s="197"/>
      <c r="AL550" s="197"/>
    </row>
    <row r="551" spans="1:38">
      <c r="A551" s="11" t="str">
        <f t="shared" si="59"/>
        <v>05-801658912013</v>
      </c>
      <c r="B551" t="s">
        <v>13</v>
      </c>
      <c r="C551" t="s">
        <v>9</v>
      </c>
      <c r="D551">
        <v>2013</v>
      </c>
      <c r="E551" t="s">
        <v>69</v>
      </c>
      <c r="F551">
        <v>394386.68</v>
      </c>
      <c r="G551">
        <v>478</v>
      </c>
      <c r="H551" s="11" t="str">
        <f t="shared" si="58"/>
        <v>count</v>
      </c>
      <c r="I551" s="197"/>
      <c r="J551" s="197"/>
      <c r="K551" s="197"/>
      <c r="L551" s="197"/>
      <c r="M551" s="197"/>
      <c r="N551" s="197"/>
      <c r="O551" s="197"/>
      <c r="P551" s="197"/>
      <c r="Q551" s="197"/>
      <c r="R551" s="197"/>
      <c r="S551" s="197"/>
      <c r="T551" s="197"/>
      <c r="U551" s="197"/>
      <c r="V551" s="197"/>
      <c r="W551" s="197"/>
      <c r="X551" s="197"/>
      <c r="Y551" s="197"/>
      <c r="Z551" s="197"/>
      <c r="AA551" s="197"/>
      <c r="AB551" s="197"/>
      <c r="AC551" s="197"/>
      <c r="AD551" s="197"/>
      <c r="AE551" s="197"/>
      <c r="AF551" s="197"/>
      <c r="AG551" s="197"/>
      <c r="AH551" s="197"/>
      <c r="AI551" s="197"/>
      <c r="AJ551" s="197"/>
      <c r="AK551" s="197"/>
      <c r="AL551" s="197"/>
    </row>
    <row r="552" spans="1:38">
      <c r="A552" s="11" t="str">
        <f t="shared" si="59"/>
        <v>05-801658912013</v>
      </c>
      <c r="B552" t="s">
        <v>13</v>
      </c>
      <c r="C552" t="s">
        <v>9</v>
      </c>
      <c r="D552">
        <v>2013</v>
      </c>
      <c r="E552" t="s">
        <v>63</v>
      </c>
      <c r="F552">
        <v>1894928.41</v>
      </c>
      <c r="G552">
        <v>1741</v>
      </c>
      <c r="H552" s="11" t="str">
        <f t="shared" si="58"/>
        <v>count</v>
      </c>
      <c r="I552" s="197"/>
      <c r="J552" s="197"/>
      <c r="K552" s="197"/>
      <c r="L552" s="197"/>
      <c r="M552" s="197"/>
      <c r="N552" s="197"/>
      <c r="O552" s="197"/>
      <c r="P552" s="197"/>
      <c r="Q552" s="197"/>
      <c r="R552" s="197"/>
      <c r="S552" s="197"/>
      <c r="T552" s="197"/>
      <c r="U552" s="197"/>
      <c r="V552" s="197"/>
      <c r="W552" s="197"/>
      <c r="X552" s="197"/>
      <c r="Y552" s="197"/>
      <c r="Z552" s="197"/>
      <c r="AA552" s="197"/>
      <c r="AB552" s="197"/>
      <c r="AC552" s="197"/>
      <c r="AD552" s="197"/>
      <c r="AE552" s="197"/>
      <c r="AF552" s="197"/>
      <c r="AG552" s="197"/>
      <c r="AH552" s="197"/>
      <c r="AI552" s="197"/>
      <c r="AJ552" s="197"/>
      <c r="AK552" s="197"/>
      <c r="AL552" s="197"/>
    </row>
    <row r="553" spans="1:38">
      <c r="A553" s="11" t="str">
        <f t="shared" si="59"/>
        <v>05-801658912011</v>
      </c>
      <c r="B553" t="s">
        <v>13</v>
      </c>
      <c r="C553" t="s">
        <v>9</v>
      </c>
      <c r="D553">
        <v>2011</v>
      </c>
      <c r="E553" t="s">
        <v>105</v>
      </c>
      <c r="F553">
        <v>198745.52</v>
      </c>
      <c r="G553">
        <v>195</v>
      </c>
      <c r="H553" s="11" t="str">
        <f t="shared" si="58"/>
        <v>count</v>
      </c>
      <c r="I553" s="197"/>
      <c r="J553" s="197"/>
      <c r="K553" s="197"/>
      <c r="L553" s="197"/>
      <c r="M553" s="197"/>
      <c r="N553" s="197"/>
      <c r="O553" s="197"/>
      <c r="P553" s="197"/>
      <c r="Q553" s="197"/>
      <c r="R553" s="197"/>
      <c r="S553" s="197"/>
      <c r="T553" s="197"/>
      <c r="U553" s="197"/>
      <c r="V553" s="197"/>
      <c r="W553" s="197"/>
      <c r="X553" s="197"/>
      <c r="Y553" s="197"/>
      <c r="Z553" s="197"/>
      <c r="AA553" s="197"/>
      <c r="AB553" s="197"/>
      <c r="AC553" s="197"/>
      <c r="AD553" s="197"/>
      <c r="AE553" s="197"/>
      <c r="AF553" s="197"/>
      <c r="AG553" s="197"/>
      <c r="AH553" s="197"/>
      <c r="AI553" s="197"/>
      <c r="AJ553" s="197"/>
      <c r="AK553" s="197"/>
      <c r="AL553" s="197"/>
    </row>
    <row r="554" spans="1:38">
      <c r="A554" s="11" t="str">
        <f t="shared" si="59"/>
        <v>05-801658912013</v>
      </c>
      <c r="B554" t="s">
        <v>13</v>
      </c>
      <c r="C554" t="s">
        <v>9</v>
      </c>
      <c r="D554">
        <v>2013</v>
      </c>
      <c r="E554" t="s">
        <v>104</v>
      </c>
      <c r="F554">
        <v>1045712.12</v>
      </c>
      <c r="G554">
        <v>967</v>
      </c>
      <c r="H554" s="11" t="str">
        <f t="shared" si="58"/>
        <v>count</v>
      </c>
      <c r="I554" s="197"/>
      <c r="J554" s="197"/>
      <c r="K554" s="197"/>
      <c r="L554" s="197"/>
      <c r="M554" s="197"/>
      <c r="N554" s="197"/>
      <c r="O554" s="197"/>
      <c r="P554" s="197"/>
      <c r="Q554" s="197"/>
      <c r="R554" s="197"/>
      <c r="S554" s="197"/>
      <c r="T554" s="197"/>
      <c r="U554" s="197"/>
      <c r="V554" s="197"/>
      <c r="W554" s="197"/>
      <c r="X554" s="197"/>
      <c r="Y554" s="197"/>
      <c r="Z554" s="197"/>
      <c r="AA554" s="197"/>
      <c r="AB554" s="197"/>
      <c r="AC554" s="197"/>
      <c r="AD554" s="197"/>
      <c r="AE554" s="197"/>
      <c r="AF554" s="197"/>
      <c r="AG554" s="197"/>
      <c r="AH554" s="197"/>
      <c r="AI554" s="197"/>
      <c r="AJ554" s="197"/>
      <c r="AK554" s="197"/>
      <c r="AL554" s="197"/>
    </row>
    <row r="555" spans="1:38">
      <c r="A555" s="11" t="str">
        <f t="shared" si="59"/>
        <v>05-801658912012</v>
      </c>
      <c r="B555" t="s">
        <v>13</v>
      </c>
      <c r="C555" t="s">
        <v>9</v>
      </c>
      <c r="D555">
        <v>2012</v>
      </c>
      <c r="E555" t="s">
        <v>69</v>
      </c>
      <c r="F555">
        <v>350809.17</v>
      </c>
      <c r="G555">
        <v>427</v>
      </c>
      <c r="H555" s="11" t="str">
        <f t="shared" si="58"/>
        <v>count</v>
      </c>
      <c r="I555" s="197"/>
      <c r="J555" s="197"/>
      <c r="K555" s="197"/>
      <c r="L555" s="197"/>
      <c r="M555" s="197"/>
      <c r="N555" s="197"/>
      <c r="O555" s="197"/>
      <c r="P555" s="197"/>
      <c r="Q555" s="197"/>
      <c r="R555" s="197"/>
      <c r="S555" s="197"/>
      <c r="T555" s="197"/>
      <c r="U555" s="197"/>
      <c r="V555" s="197"/>
      <c r="W555" s="197"/>
      <c r="X555" s="197"/>
      <c r="Y555" s="197"/>
      <c r="Z555" s="197"/>
      <c r="AA555" s="197"/>
      <c r="AB555" s="197"/>
      <c r="AC555" s="197"/>
      <c r="AD555" s="197"/>
      <c r="AE555" s="197"/>
      <c r="AF555" s="197"/>
      <c r="AG555" s="197"/>
      <c r="AH555" s="197"/>
      <c r="AI555" s="197"/>
      <c r="AJ555" s="197"/>
      <c r="AK555" s="197"/>
      <c r="AL555" s="197"/>
    </row>
    <row r="556" spans="1:38">
      <c r="A556" s="11" t="str">
        <f t="shared" si="59"/>
        <v>05-805373332012</v>
      </c>
      <c r="B556" t="s">
        <v>327</v>
      </c>
      <c r="C556" t="s">
        <v>328</v>
      </c>
      <c r="D556">
        <v>2012</v>
      </c>
      <c r="E556" t="s">
        <v>105</v>
      </c>
      <c r="F556">
        <v>229510.73</v>
      </c>
      <c r="G556">
        <v>175</v>
      </c>
      <c r="H556" s="11" t="str">
        <f t="shared" si="58"/>
        <v>volume</v>
      </c>
      <c r="I556" s="197"/>
      <c r="J556" s="197"/>
      <c r="K556" s="197"/>
      <c r="L556" s="197"/>
      <c r="M556" s="197"/>
      <c r="N556" s="197"/>
      <c r="O556" s="197"/>
      <c r="P556" s="197"/>
      <c r="Q556" s="197"/>
      <c r="R556" s="197"/>
      <c r="S556" s="197"/>
      <c r="T556" s="197"/>
      <c r="U556" s="197"/>
      <c r="V556" s="197"/>
      <c r="W556" s="197"/>
      <c r="X556" s="197"/>
      <c r="Y556" s="197"/>
      <c r="Z556" s="197"/>
      <c r="AA556" s="197"/>
      <c r="AB556" s="197"/>
      <c r="AC556" s="197"/>
      <c r="AD556" s="197"/>
      <c r="AE556" s="197"/>
      <c r="AF556" s="197"/>
      <c r="AG556" s="197"/>
      <c r="AH556" s="197"/>
      <c r="AI556" s="197"/>
      <c r="AJ556" s="197"/>
      <c r="AK556" s="197"/>
      <c r="AL556" s="197"/>
    </row>
    <row r="557" spans="1:38">
      <c r="A557" s="11" t="str">
        <f t="shared" si="59"/>
        <v>05-805373332011</v>
      </c>
      <c r="B557" t="s">
        <v>327</v>
      </c>
      <c r="C557" t="s">
        <v>328</v>
      </c>
      <c r="D557">
        <v>2011</v>
      </c>
      <c r="E557" t="s">
        <v>105</v>
      </c>
      <c r="F557">
        <v>206044.94</v>
      </c>
      <c r="G557">
        <v>153</v>
      </c>
      <c r="H557" s="11" t="str">
        <f t="shared" si="58"/>
        <v>count</v>
      </c>
      <c r="I557" s="197"/>
      <c r="J557" s="197"/>
      <c r="K557" s="197"/>
      <c r="L557" s="197"/>
      <c r="M557" s="197"/>
      <c r="N557" s="197"/>
      <c r="O557" s="197"/>
      <c r="P557" s="197"/>
      <c r="Q557" s="197"/>
      <c r="R557" s="197"/>
      <c r="S557" s="197"/>
      <c r="T557" s="197"/>
      <c r="U557" s="197"/>
      <c r="V557" s="197"/>
      <c r="W557" s="197"/>
      <c r="X557" s="197"/>
      <c r="Y557" s="197"/>
      <c r="Z557" s="197"/>
      <c r="AA557" s="197"/>
      <c r="AB557" s="197"/>
      <c r="AC557" s="197"/>
      <c r="AD557" s="197"/>
      <c r="AE557" s="197"/>
      <c r="AF557" s="197"/>
      <c r="AG557" s="197"/>
      <c r="AH557" s="197"/>
      <c r="AI557" s="197"/>
      <c r="AJ557" s="197"/>
      <c r="AK557" s="197"/>
      <c r="AL557" s="197"/>
    </row>
    <row r="558" spans="1:38">
      <c r="A558" s="11" t="str">
        <f t="shared" si="59"/>
        <v>05-805373332013</v>
      </c>
      <c r="B558" t="s">
        <v>327</v>
      </c>
      <c r="C558" t="s">
        <v>328</v>
      </c>
      <c r="D558">
        <v>2013</v>
      </c>
      <c r="E558" t="s">
        <v>69</v>
      </c>
      <c r="F558">
        <v>441640.23</v>
      </c>
      <c r="G558">
        <v>376</v>
      </c>
      <c r="H558" s="11" t="str">
        <f t="shared" si="58"/>
        <v>count</v>
      </c>
      <c r="I558" s="197"/>
      <c r="J558" s="197"/>
      <c r="K558" s="197"/>
      <c r="L558" s="197"/>
      <c r="M558" s="197"/>
      <c r="N558" s="197"/>
      <c r="O558" s="197"/>
      <c r="P558" s="197"/>
      <c r="Q558" s="197"/>
      <c r="R558" s="197"/>
      <c r="S558" s="197"/>
      <c r="T558" s="197"/>
      <c r="U558" s="197"/>
      <c r="V558" s="197"/>
      <c r="W558" s="197"/>
      <c r="X558" s="197"/>
      <c r="Y558" s="197"/>
      <c r="Z558" s="197"/>
      <c r="AA558" s="197"/>
      <c r="AB558" s="197"/>
      <c r="AC558" s="197"/>
      <c r="AD558" s="197"/>
      <c r="AE558" s="197"/>
      <c r="AF558" s="197"/>
      <c r="AG558" s="197"/>
      <c r="AH558" s="197"/>
      <c r="AI558" s="197"/>
      <c r="AJ558" s="197"/>
      <c r="AK558" s="197"/>
      <c r="AL558" s="197"/>
    </row>
    <row r="559" spans="1:38">
      <c r="A559" s="11" t="str">
        <f t="shared" si="59"/>
        <v>05-805373332013</v>
      </c>
      <c r="B559" t="s">
        <v>327</v>
      </c>
      <c r="C559" t="s">
        <v>328</v>
      </c>
      <c r="D559">
        <v>2013</v>
      </c>
      <c r="E559" t="s">
        <v>104</v>
      </c>
      <c r="F559">
        <v>865338.32</v>
      </c>
      <c r="G559">
        <v>597</v>
      </c>
      <c r="H559" s="11" t="str">
        <f t="shared" si="58"/>
        <v>count</v>
      </c>
      <c r="I559" s="197"/>
      <c r="J559" s="197"/>
      <c r="K559" s="197"/>
      <c r="L559" s="197"/>
      <c r="M559" s="197"/>
      <c r="N559" s="197"/>
      <c r="O559" s="197"/>
      <c r="P559" s="197"/>
      <c r="Q559" s="197"/>
      <c r="R559" s="197"/>
      <c r="S559" s="197"/>
      <c r="T559" s="197"/>
      <c r="U559" s="197"/>
      <c r="V559" s="197"/>
      <c r="W559" s="197"/>
      <c r="X559" s="197"/>
      <c r="Y559" s="197"/>
      <c r="Z559" s="197"/>
      <c r="AA559" s="197"/>
      <c r="AB559" s="197"/>
      <c r="AC559" s="197"/>
      <c r="AD559" s="197"/>
      <c r="AE559" s="197"/>
      <c r="AF559" s="197"/>
      <c r="AG559" s="197"/>
      <c r="AH559" s="197"/>
      <c r="AI559" s="197"/>
      <c r="AJ559" s="197"/>
      <c r="AK559" s="197"/>
      <c r="AL559" s="197"/>
    </row>
    <row r="560" spans="1:38">
      <c r="A560" s="11" t="str">
        <f t="shared" si="59"/>
        <v>05-805373332013</v>
      </c>
      <c r="B560" t="s">
        <v>327</v>
      </c>
      <c r="C560" t="s">
        <v>328</v>
      </c>
      <c r="D560">
        <v>2013</v>
      </c>
      <c r="E560" t="s">
        <v>63</v>
      </c>
      <c r="F560">
        <v>1641519.09</v>
      </c>
      <c r="G560">
        <v>1070</v>
      </c>
      <c r="H560" s="11" t="str">
        <f t="shared" si="58"/>
        <v>count</v>
      </c>
      <c r="I560" s="197"/>
      <c r="J560" s="197"/>
      <c r="K560" s="197"/>
      <c r="L560" s="197"/>
      <c r="M560" s="197"/>
      <c r="N560" s="197"/>
      <c r="O560" s="197"/>
      <c r="P560" s="197"/>
      <c r="Q560" s="197"/>
      <c r="R560" s="197"/>
      <c r="S560" s="197"/>
      <c r="T560" s="197"/>
      <c r="U560" s="197"/>
      <c r="V560" s="197"/>
      <c r="W560" s="197"/>
      <c r="X560" s="197"/>
      <c r="Y560" s="197"/>
      <c r="Z560" s="197"/>
      <c r="AA560" s="197"/>
      <c r="AB560" s="197"/>
      <c r="AC560" s="197"/>
      <c r="AD560" s="197"/>
      <c r="AE560" s="197"/>
      <c r="AF560" s="197"/>
      <c r="AG560" s="197"/>
      <c r="AH560" s="197"/>
      <c r="AI560" s="197"/>
      <c r="AJ560" s="197"/>
      <c r="AK560" s="197"/>
      <c r="AL560" s="197"/>
    </row>
    <row r="561" spans="1:38">
      <c r="A561" s="11" t="str">
        <f t="shared" si="59"/>
        <v>05-805373332013</v>
      </c>
      <c r="B561" t="s">
        <v>327</v>
      </c>
      <c r="C561" t="s">
        <v>328</v>
      </c>
      <c r="D561">
        <v>2013</v>
      </c>
      <c r="E561" t="s">
        <v>105</v>
      </c>
      <c r="F561">
        <v>253790.21</v>
      </c>
      <c r="G561">
        <v>168</v>
      </c>
      <c r="H561" s="11" t="str">
        <f t="shared" si="58"/>
        <v>count</v>
      </c>
      <c r="I561" s="197"/>
      <c r="J561" s="197"/>
      <c r="K561" s="197"/>
      <c r="L561" s="197"/>
      <c r="M561" s="197"/>
      <c r="N561" s="197"/>
      <c r="O561" s="197"/>
      <c r="P561" s="197"/>
      <c r="Q561" s="197"/>
      <c r="R561" s="197"/>
      <c r="S561" s="197"/>
      <c r="T561" s="197"/>
      <c r="U561" s="197"/>
      <c r="V561" s="197"/>
      <c r="W561" s="197"/>
      <c r="X561" s="197"/>
      <c r="Y561" s="197"/>
      <c r="Z561" s="197"/>
      <c r="AA561" s="197"/>
      <c r="AB561" s="197"/>
      <c r="AC561" s="197"/>
      <c r="AD561" s="197"/>
      <c r="AE561" s="197"/>
      <c r="AF561" s="197"/>
      <c r="AG561" s="197"/>
      <c r="AH561" s="197"/>
      <c r="AI561" s="197"/>
      <c r="AJ561" s="197"/>
      <c r="AK561" s="197"/>
      <c r="AL561" s="197"/>
    </row>
    <row r="562" spans="1:38">
      <c r="A562" s="11" t="str">
        <f t="shared" si="59"/>
        <v>05-805373332012</v>
      </c>
      <c r="B562" t="s">
        <v>327</v>
      </c>
      <c r="C562" t="s">
        <v>328</v>
      </c>
      <c r="D562">
        <v>2012</v>
      </c>
      <c r="E562" t="s">
        <v>63</v>
      </c>
      <c r="F562">
        <v>1667366.76</v>
      </c>
      <c r="G562">
        <v>1073</v>
      </c>
      <c r="H562" s="11" t="str">
        <f t="shared" si="58"/>
        <v>count</v>
      </c>
      <c r="I562" s="197"/>
      <c r="J562" s="197"/>
      <c r="K562" s="197"/>
      <c r="L562" s="197"/>
      <c r="M562" s="197"/>
      <c r="N562" s="197"/>
      <c r="O562" s="197"/>
      <c r="P562" s="197"/>
      <c r="Q562" s="197"/>
      <c r="R562" s="197"/>
      <c r="S562" s="197"/>
      <c r="T562" s="197"/>
      <c r="U562" s="197"/>
      <c r="V562" s="197"/>
      <c r="W562" s="197"/>
      <c r="X562" s="197"/>
      <c r="Y562" s="197"/>
      <c r="Z562" s="197"/>
      <c r="AA562" s="197"/>
      <c r="AB562" s="197"/>
      <c r="AC562" s="197"/>
      <c r="AD562" s="197"/>
      <c r="AE562" s="197"/>
      <c r="AF562" s="197"/>
      <c r="AG562" s="197"/>
      <c r="AH562" s="197"/>
      <c r="AI562" s="197"/>
      <c r="AJ562" s="197"/>
      <c r="AK562" s="197"/>
      <c r="AL562" s="197"/>
    </row>
    <row r="563" spans="1:38">
      <c r="A563" s="11" t="str">
        <f t="shared" si="59"/>
        <v>05-805373332012</v>
      </c>
      <c r="B563" t="s">
        <v>327</v>
      </c>
      <c r="C563" t="s">
        <v>328</v>
      </c>
      <c r="D563">
        <v>2012</v>
      </c>
      <c r="E563" t="s">
        <v>104</v>
      </c>
      <c r="F563">
        <v>973503.79</v>
      </c>
      <c r="G563">
        <v>658</v>
      </c>
      <c r="H563" s="11" t="str">
        <f t="shared" si="58"/>
        <v>count</v>
      </c>
      <c r="I563" s="197"/>
      <c r="J563" s="197"/>
      <c r="K563" s="197"/>
      <c r="L563" s="197"/>
      <c r="M563" s="197"/>
      <c r="N563" s="197"/>
      <c r="O563" s="197"/>
      <c r="P563" s="197"/>
      <c r="Q563" s="197"/>
      <c r="R563" s="197"/>
      <c r="S563" s="197"/>
      <c r="T563" s="197"/>
      <c r="U563" s="197"/>
      <c r="V563" s="197"/>
      <c r="W563" s="197"/>
      <c r="X563" s="197"/>
      <c r="Y563" s="197"/>
      <c r="Z563" s="197"/>
      <c r="AA563" s="197"/>
      <c r="AB563" s="197"/>
      <c r="AC563" s="197"/>
      <c r="AD563" s="197"/>
      <c r="AE563" s="197"/>
      <c r="AF563" s="197"/>
      <c r="AG563" s="197"/>
      <c r="AH563" s="197"/>
      <c r="AI563" s="197"/>
      <c r="AJ563" s="197"/>
      <c r="AK563" s="197"/>
      <c r="AL563" s="197"/>
    </row>
    <row r="564" spans="1:38">
      <c r="A564" s="11" t="str">
        <f t="shared" si="59"/>
        <v>05-805373332011</v>
      </c>
      <c r="B564" t="s">
        <v>327</v>
      </c>
      <c r="C564" t="s">
        <v>328</v>
      </c>
      <c r="D564">
        <v>2011</v>
      </c>
      <c r="E564" t="s">
        <v>104</v>
      </c>
      <c r="F564">
        <v>1022275.57</v>
      </c>
      <c r="G564">
        <v>672</v>
      </c>
      <c r="H564" s="11" t="str">
        <f t="shared" si="58"/>
        <v>count</v>
      </c>
      <c r="I564" s="197"/>
      <c r="J564" s="197"/>
      <c r="K564" s="197"/>
      <c r="L564" s="197"/>
      <c r="M564" s="197"/>
      <c r="N564" s="197"/>
      <c r="O564" s="197"/>
      <c r="P564" s="197"/>
      <c r="Q564" s="197"/>
      <c r="R564" s="197"/>
      <c r="S564" s="197"/>
      <c r="T564" s="197"/>
      <c r="U564" s="197"/>
      <c r="V564" s="197"/>
      <c r="W564" s="197"/>
      <c r="X564" s="197"/>
      <c r="Y564" s="197"/>
      <c r="Z564" s="197"/>
      <c r="AA564" s="197"/>
      <c r="AB564" s="197"/>
      <c r="AC564" s="197"/>
      <c r="AD564" s="197"/>
      <c r="AE564" s="197"/>
      <c r="AF564" s="197"/>
      <c r="AG564" s="197"/>
      <c r="AH564" s="197"/>
      <c r="AI564" s="197"/>
      <c r="AJ564" s="197"/>
      <c r="AK564" s="197"/>
      <c r="AL564" s="197"/>
    </row>
    <row r="565" spans="1:38">
      <c r="A565" s="11" t="str">
        <f t="shared" si="59"/>
        <v>05-805373332011</v>
      </c>
      <c r="B565" t="s">
        <v>327</v>
      </c>
      <c r="C565" t="s">
        <v>328</v>
      </c>
      <c r="D565">
        <v>2011</v>
      </c>
      <c r="E565" t="s">
        <v>63</v>
      </c>
      <c r="F565">
        <v>1903918.87</v>
      </c>
      <c r="G565">
        <v>1362</v>
      </c>
      <c r="H565" s="11" t="str">
        <f t="shared" si="58"/>
        <v>count</v>
      </c>
      <c r="I565" s="197"/>
      <c r="J565" s="197"/>
      <c r="K565" s="197"/>
      <c r="L565" s="197"/>
      <c r="M565" s="197"/>
      <c r="N565" s="197"/>
      <c r="O565" s="197"/>
      <c r="P565" s="197"/>
      <c r="Q565" s="197"/>
      <c r="R565" s="197"/>
      <c r="S565" s="197"/>
      <c r="T565" s="197"/>
      <c r="U565" s="197"/>
      <c r="V565" s="197"/>
      <c r="W565" s="197"/>
      <c r="X565" s="197"/>
      <c r="Y565" s="197"/>
      <c r="Z565" s="197"/>
      <c r="AA565" s="197"/>
      <c r="AB565" s="197"/>
      <c r="AC565" s="197"/>
      <c r="AD565" s="197"/>
      <c r="AE565" s="197"/>
      <c r="AF565" s="197"/>
      <c r="AG565" s="197"/>
      <c r="AH565" s="197"/>
      <c r="AI565" s="197"/>
      <c r="AJ565" s="197"/>
      <c r="AK565" s="197"/>
      <c r="AL565" s="197"/>
    </row>
    <row r="566" spans="1:38">
      <c r="A566" s="11" t="str">
        <f t="shared" si="59"/>
        <v>05-805373332012</v>
      </c>
      <c r="B566" t="s">
        <v>327</v>
      </c>
      <c r="C566" t="s">
        <v>328</v>
      </c>
      <c r="D566">
        <v>2012</v>
      </c>
      <c r="E566" t="s">
        <v>69</v>
      </c>
      <c r="F566">
        <v>402957.64</v>
      </c>
      <c r="G566">
        <v>354</v>
      </c>
      <c r="H566" s="11" t="str">
        <f t="shared" si="58"/>
        <v>count</v>
      </c>
      <c r="I566" s="197"/>
      <c r="J566" s="197"/>
      <c r="K566" s="197"/>
      <c r="L566" s="197"/>
      <c r="M566" s="197"/>
      <c r="N566" s="197"/>
      <c r="O566" s="197"/>
      <c r="P566" s="197"/>
      <c r="Q566" s="197"/>
      <c r="R566" s="197"/>
      <c r="S566" s="197"/>
      <c r="T566" s="197"/>
      <c r="U566" s="197"/>
      <c r="V566" s="197"/>
      <c r="W566" s="197"/>
      <c r="X566" s="197"/>
      <c r="Y566" s="197"/>
      <c r="Z566" s="197"/>
      <c r="AA566" s="197"/>
      <c r="AB566" s="197"/>
      <c r="AC566" s="197"/>
      <c r="AD566" s="197"/>
      <c r="AE566" s="197"/>
      <c r="AF566" s="197"/>
      <c r="AG566" s="197"/>
      <c r="AH566" s="197"/>
      <c r="AI566" s="197"/>
      <c r="AJ566" s="197"/>
      <c r="AK566" s="197"/>
      <c r="AL566" s="197"/>
    </row>
    <row r="567" spans="1:38">
      <c r="A567" s="11" t="str">
        <f t="shared" si="59"/>
        <v>05-810704462013</v>
      </c>
      <c r="B567" t="s">
        <v>333</v>
      </c>
      <c r="C567" t="s">
        <v>334</v>
      </c>
      <c r="D567">
        <v>2013</v>
      </c>
      <c r="E567" t="s">
        <v>63</v>
      </c>
      <c r="F567">
        <v>305172.93</v>
      </c>
      <c r="G567">
        <v>196</v>
      </c>
      <c r="H567" s="11" t="str">
        <f t="shared" si="58"/>
        <v>volume</v>
      </c>
      <c r="I567" s="197"/>
      <c r="J567" s="197"/>
      <c r="K567" s="197"/>
      <c r="L567" s="197"/>
      <c r="M567" s="197"/>
      <c r="N567" s="197"/>
      <c r="O567" s="197"/>
      <c r="P567" s="197"/>
      <c r="Q567" s="197"/>
      <c r="R567" s="197"/>
      <c r="S567" s="197"/>
      <c r="T567" s="197"/>
      <c r="U567" s="197"/>
      <c r="V567" s="197"/>
      <c r="W567" s="197"/>
      <c r="X567" s="197"/>
      <c r="Y567" s="197"/>
      <c r="Z567" s="197"/>
      <c r="AA567" s="197"/>
      <c r="AB567" s="197"/>
      <c r="AC567" s="197"/>
      <c r="AD567" s="197"/>
      <c r="AE567" s="197"/>
      <c r="AF567" s="197"/>
      <c r="AG567" s="197"/>
      <c r="AH567" s="197"/>
      <c r="AI567" s="197"/>
      <c r="AJ567" s="197"/>
      <c r="AK567" s="197"/>
      <c r="AL567" s="197"/>
    </row>
    <row r="568" spans="1:38">
      <c r="A568" s="11" t="str">
        <f t="shared" si="59"/>
        <v>05-810704462013</v>
      </c>
      <c r="B568" t="s">
        <v>333</v>
      </c>
      <c r="C568" t="s">
        <v>334</v>
      </c>
      <c r="D568">
        <v>2013</v>
      </c>
      <c r="E568" t="s">
        <v>104</v>
      </c>
      <c r="F568">
        <v>151780.68</v>
      </c>
      <c r="G568">
        <v>89</v>
      </c>
      <c r="H568" s="11" t="str">
        <f t="shared" si="58"/>
        <v>count</v>
      </c>
      <c r="I568" s="197"/>
      <c r="J568" s="197"/>
      <c r="K568" s="197"/>
      <c r="L568" s="197"/>
      <c r="M568" s="197"/>
      <c r="N568" s="197"/>
      <c r="O568" s="197"/>
      <c r="P568" s="197"/>
      <c r="Q568" s="197"/>
      <c r="R568" s="197"/>
      <c r="S568" s="197"/>
      <c r="T568" s="197"/>
      <c r="U568" s="197"/>
      <c r="V568" s="197"/>
      <c r="W568" s="197"/>
      <c r="X568" s="197"/>
      <c r="Y568" s="197"/>
      <c r="Z568" s="197"/>
      <c r="AA568" s="197"/>
      <c r="AB568" s="197"/>
      <c r="AC568" s="197"/>
      <c r="AD568" s="197"/>
      <c r="AE568" s="197"/>
      <c r="AF568" s="197"/>
      <c r="AG568" s="197"/>
      <c r="AH568" s="197"/>
      <c r="AI568" s="197"/>
      <c r="AJ568" s="197"/>
      <c r="AK568" s="197"/>
      <c r="AL568" s="197"/>
    </row>
    <row r="569" spans="1:38">
      <c r="A569" s="11" t="str">
        <f t="shared" si="59"/>
        <v>05-810704462011</v>
      </c>
      <c r="B569" t="s">
        <v>333</v>
      </c>
      <c r="C569" t="s">
        <v>334</v>
      </c>
      <c r="D569">
        <v>2011</v>
      </c>
      <c r="E569" t="s">
        <v>105</v>
      </c>
      <c r="F569">
        <v>18934.38</v>
      </c>
      <c r="G569">
        <v>9</v>
      </c>
      <c r="H569" s="11" t="str">
        <f t="shared" si="58"/>
        <v>count</v>
      </c>
      <c r="I569" s="197"/>
      <c r="J569" s="197"/>
      <c r="K569" s="197"/>
      <c r="L569" s="197"/>
      <c r="M569" s="197"/>
      <c r="N569" s="197"/>
      <c r="O569" s="197"/>
      <c r="P569" s="197"/>
      <c r="Q569" s="197"/>
      <c r="R569" s="197"/>
      <c r="S569" s="197"/>
      <c r="T569" s="197"/>
      <c r="U569" s="197"/>
      <c r="V569" s="197"/>
      <c r="W569" s="197"/>
      <c r="X569" s="197"/>
      <c r="Y569" s="197"/>
      <c r="Z569" s="197"/>
      <c r="AA569" s="197"/>
      <c r="AB569" s="197"/>
      <c r="AC569" s="197"/>
      <c r="AD569" s="197"/>
      <c r="AE569" s="197"/>
      <c r="AF569" s="197"/>
      <c r="AG569" s="197"/>
      <c r="AH569" s="197"/>
      <c r="AI569" s="197"/>
      <c r="AJ569" s="197"/>
      <c r="AK569" s="197"/>
      <c r="AL569" s="197"/>
    </row>
    <row r="570" spans="1:38">
      <c r="A570" s="11" t="str">
        <f t="shared" si="59"/>
        <v>05-810704462012</v>
      </c>
      <c r="B570" t="s">
        <v>333</v>
      </c>
      <c r="C570" t="s">
        <v>334</v>
      </c>
      <c r="D570">
        <v>2012</v>
      </c>
      <c r="E570" t="s">
        <v>63</v>
      </c>
      <c r="F570">
        <v>237419.09</v>
      </c>
      <c r="G570">
        <v>138</v>
      </c>
      <c r="H570" s="11" t="str">
        <f t="shared" si="58"/>
        <v>count</v>
      </c>
      <c r="I570" s="197"/>
      <c r="J570" s="197"/>
      <c r="K570" s="197"/>
      <c r="L570" s="197"/>
      <c r="M570" s="197"/>
      <c r="N570" s="197"/>
      <c r="O570" s="197"/>
      <c r="P570" s="197"/>
      <c r="Q570" s="197"/>
      <c r="R570" s="197"/>
      <c r="S570" s="197"/>
      <c r="T570" s="197"/>
      <c r="U570" s="197"/>
      <c r="V570" s="197"/>
      <c r="W570" s="197"/>
      <c r="X570" s="197"/>
      <c r="Y570" s="197"/>
      <c r="Z570" s="197"/>
      <c r="AA570" s="197"/>
      <c r="AB570" s="197"/>
      <c r="AC570" s="197"/>
      <c r="AD570" s="197"/>
      <c r="AE570" s="197"/>
      <c r="AF570" s="197"/>
      <c r="AG570" s="197"/>
      <c r="AH570" s="197"/>
      <c r="AI570" s="197"/>
      <c r="AJ570" s="197"/>
      <c r="AK570" s="197"/>
      <c r="AL570" s="197"/>
    </row>
    <row r="571" spans="1:38">
      <c r="A571" s="11" t="str">
        <f t="shared" si="59"/>
        <v>05-810704462013</v>
      </c>
      <c r="B571" t="s">
        <v>333</v>
      </c>
      <c r="C571" t="s">
        <v>334</v>
      </c>
      <c r="D571">
        <v>2013</v>
      </c>
      <c r="E571" t="s">
        <v>105</v>
      </c>
      <c r="F571">
        <v>31194.53</v>
      </c>
      <c r="G571">
        <v>21</v>
      </c>
      <c r="H571" s="11" t="str">
        <f t="shared" si="58"/>
        <v>count</v>
      </c>
      <c r="I571" s="197"/>
      <c r="J571" s="197"/>
      <c r="K571" s="197"/>
      <c r="L571" s="197"/>
      <c r="M571" s="197"/>
      <c r="N571" s="197"/>
      <c r="O571" s="197"/>
      <c r="P571" s="197"/>
      <c r="Q571" s="197"/>
      <c r="R571" s="197"/>
      <c r="S571" s="197"/>
      <c r="T571" s="197"/>
      <c r="U571" s="197"/>
      <c r="V571" s="197"/>
      <c r="W571" s="197"/>
      <c r="X571" s="197"/>
      <c r="Y571" s="197"/>
      <c r="Z571" s="197"/>
      <c r="AA571" s="197"/>
      <c r="AB571" s="197"/>
      <c r="AC571" s="197"/>
      <c r="AD571" s="197"/>
      <c r="AE571" s="197"/>
      <c r="AF571" s="197"/>
      <c r="AG571" s="197"/>
      <c r="AH571" s="197"/>
      <c r="AI571" s="197"/>
      <c r="AJ571" s="197"/>
      <c r="AK571" s="197"/>
      <c r="AL571" s="197"/>
    </row>
    <row r="572" spans="1:38">
      <c r="A572" s="11" t="str">
        <f t="shared" si="59"/>
        <v>05-810704462012</v>
      </c>
      <c r="B572" t="s">
        <v>333</v>
      </c>
      <c r="C572" t="s">
        <v>334</v>
      </c>
      <c r="D572">
        <v>2012</v>
      </c>
      <c r="E572" t="s">
        <v>69</v>
      </c>
      <c r="F572">
        <v>74932.899999999994</v>
      </c>
      <c r="G572">
        <v>56</v>
      </c>
      <c r="H572" s="11" t="str">
        <f t="shared" si="58"/>
        <v>count</v>
      </c>
      <c r="I572" s="197"/>
      <c r="J572" s="197"/>
      <c r="K572" s="197"/>
      <c r="L572" s="197"/>
      <c r="M572" s="197"/>
      <c r="N572" s="197"/>
      <c r="O572" s="197"/>
      <c r="P572" s="197"/>
      <c r="Q572" s="197"/>
      <c r="R572" s="197"/>
      <c r="S572" s="197"/>
      <c r="T572" s="197"/>
      <c r="U572" s="197"/>
      <c r="V572" s="197"/>
      <c r="W572" s="197"/>
      <c r="X572" s="197"/>
      <c r="Y572" s="197"/>
      <c r="Z572" s="197"/>
      <c r="AA572" s="197"/>
      <c r="AB572" s="197"/>
      <c r="AC572" s="197"/>
      <c r="AD572" s="197"/>
      <c r="AE572" s="197"/>
      <c r="AF572" s="197"/>
      <c r="AG572" s="197"/>
      <c r="AH572" s="197"/>
      <c r="AI572" s="197"/>
      <c r="AJ572" s="197"/>
      <c r="AK572" s="197"/>
      <c r="AL572" s="197"/>
    </row>
    <row r="573" spans="1:38">
      <c r="A573" s="11" t="str">
        <f t="shared" si="59"/>
        <v>05-810704462012</v>
      </c>
      <c r="B573" t="s">
        <v>333</v>
      </c>
      <c r="C573" t="s">
        <v>334</v>
      </c>
      <c r="D573">
        <v>2012</v>
      </c>
      <c r="E573" t="s">
        <v>104</v>
      </c>
      <c r="F573">
        <v>136671.07999999999</v>
      </c>
      <c r="G573">
        <v>81</v>
      </c>
      <c r="H573" s="11" t="str">
        <f t="shared" si="58"/>
        <v>count</v>
      </c>
      <c r="I573" s="197"/>
      <c r="J573" s="197"/>
      <c r="K573" s="197"/>
      <c r="L573" s="197"/>
      <c r="M573" s="197"/>
      <c r="N573" s="197"/>
      <c r="O573" s="197"/>
      <c r="P573" s="197"/>
      <c r="Q573" s="197"/>
      <c r="R573" s="197"/>
      <c r="S573" s="197"/>
      <c r="T573" s="197"/>
      <c r="U573" s="197"/>
      <c r="V573" s="197"/>
      <c r="W573" s="197"/>
      <c r="X573" s="197"/>
      <c r="Y573" s="197"/>
      <c r="Z573" s="197"/>
      <c r="AA573" s="197"/>
      <c r="AB573" s="197"/>
      <c r="AC573" s="197"/>
      <c r="AD573" s="197"/>
      <c r="AE573" s="197"/>
      <c r="AF573" s="197"/>
      <c r="AG573" s="197"/>
      <c r="AH573" s="197"/>
      <c r="AI573" s="197"/>
      <c r="AJ573" s="197"/>
      <c r="AK573" s="197"/>
      <c r="AL573" s="197"/>
    </row>
    <row r="574" spans="1:38">
      <c r="A574" s="11" t="str">
        <f t="shared" si="59"/>
        <v>05-810704462011</v>
      </c>
      <c r="B574" t="s">
        <v>333</v>
      </c>
      <c r="C574" t="s">
        <v>334</v>
      </c>
      <c r="D574">
        <v>2011</v>
      </c>
      <c r="E574" t="s">
        <v>63</v>
      </c>
      <c r="F574">
        <v>263611.09999999998</v>
      </c>
      <c r="G574">
        <v>139</v>
      </c>
      <c r="H574" s="11" t="str">
        <f t="shared" si="58"/>
        <v>count</v>
      </c>
      <c r="I574" s="197"/>
      <c r="J574" s="197"/>
      <c r="K574" s="197"/>
      <c r="L574" s="197"/>
      <c r="M574" s="197"/>
      <c r="N574" s="197"/>
      <c r="O574" s="197"/>
      <c r="P574" s="197"/>
      <c r="Q574" s="197"/>
      <c r="R574" s="197"/>
      <c r="S574" s="197"/>
      <c r="T574" s="197"/>
      <c r="U574" s="197"/>
      <c r="V574" s="197"/>
      <c r="W574" s="197"/>
      <c r="X574" s="197"/>
      <c r="Y574" s="197"/>
      <c r="Z574" s="197"/>
      <c r="AA574" s="197"/>
      <c r="AB574" s="197"/>
      <c r="AC574" s="197"/>
      <c r="AD574" s="197"/>
      <c r="AE574" s="197"/>
      <c r="AF574" s="197"/>
      <c r="AG574" s="197"/>
      <c r="AH574" s="197"/>
      <c r="AI574" s="197"/>
      <c r="AJ574" s="197"/>
      <c r="AK574" s="197"/>
      <c r="AL574" s="197"/>
    </row>
    <row r="575" spans="1:38">
      <c r="A575" s="11" t="str">
        <f t="shared" si="59"/>
        <v>05-810704462011</v>
      </c>
      <c r="B575" t="s">
        <v>333</v>
      </c>
      <c r="C575" t="s">
        <v>334</v>
      </c>
      <c r="D575">
        <v>2011</v>
      </c>
      <c r="E575" t="s">
        <v>104</v>
      </c>
      <c r="F575">
        <v>140038.51</v>
      </c>
      <c r="G575">
        <v>68</v>
      </c>
      <c r="H575" s="11" t="str">
        <f t="shared" si="58"/>
        <v>count</v>
      </c>
      <c r="I575" s="197"/>
      <c r="J575" s="197"/>
      <c r="K575" s="197"/>
      <c r="L575" s="197"/>
      <c r="M575" s="197"/>
      <c r="N575" s="197"/>
      <c r="O575" s="197"/>
      <c r="P575" s="197"/>
      <c r="Q575" s="197"/>
      <c r="R575" s="197"/>
      <c r="S575" s="197"/>
      <c r="T575" s="197"/>
      <c r="U575" s="197"/>
      <c r="V575" s="197"/>
      <c r="W575" s="197"/>
      <c r="X575" s="197"/>
      <c r="Y575" s="197"/>
      <c r="Z575" s="197"/>
      <c r="AA575" s="197"/>
      <c r="AB575" s="197"/>
      <c r="AC575" s="197"/>
      <c r="AD575" s="197"/>
      <c r="AE575" s="197"/>
      <c r="AF575" s="197"/>
      <c r="AG575" s="197"/>
      <c r="AH575" s="197"/>
      <c r="AI575" s="197"/>
      <c r="AJ575" s="197"/>
      <c r="AK575" s="197"/>
      <c r="AL575" s="197"/>
    </row>
    <row r="576" spans="1:38">
      <c r="A576" s="11" t="str">
        <f t="shared" si="59"/>
        <v>05-810704462013</v>
      </c>
      <c r="B576" t="s">
        <v>333</v>
      </c>
      <c r="C576" t="s">
        <v>334</v>
      </c>
      <c r="D576">
        <v>2013</v>
      </c>
      <c r="E576" t="s">
        <v>69</v>
      </c>
      <c r="F576">
        <v>142669.97</v>
      </c>
      <c r="G576">
        <v>95</v>
      </c>
      <c r="H576" s="11" t="str">
        <f t="shared" si="58"/>
        <v>count</v>
      </c>
      <c r="I576" s="197"/>
      <c r="J576" s="197"/>
      <c r="K576" s="197"/>
      <c r="L576" s="197"/>
      <c r="M576" s="197"/>
      <c r="N576" s="197"/>
      <c r="O576" s="197"/>
      <c r="P576" s="197"/>
      <c r="Q576" s="197"/>
      <c r="R576" s="197"/>
      <c r="S576" s="197"/>
      <c r="T576" s="197"/>
      <c r="U576" s="197"/>
      <c r="V576" s="197"/>
      <c r="W576" s="197"/>
      <c r="X576" s="197"/>
      <c r="Y576" s="197"/>
      <c r="Z576" s="197"/>
      <c r="AA576" s="197"/>
      <c r="AB576" s="197"/>
      <c r="AC576" s="197"/>
      <c r="AD576" s="197"/>
      <c r="AE576" s="197"/>
      <c r="AF576" s="197"/>
      <c r="AG576" s="197"/>
      <c r="AH576" s="197"/>
      <c r="AI576" s="197"/>
      <c r="AJ576" s="197"/>
      <c r="AK576" s="197"/>
      <c r="AL576" s="197"/>
    </row>
    <row r="577" spans="1:38">
      <c r="A577" s="11" t="str">
        <f t="shared" si="59"/>
        <v>05-810704462012</v>
      </c>
      <c r="B577" t="s">
        <v>333</v>
      </c>
      <c r="C577" t="s">
        <v>334</v>
      </c>
      <c r="D577">
        <v>2012</v>
      </c>
      <c r="E577" t="s">
        <v>105</v>
      </c>
      <c r="F577">
        <v>30242.71</v>
      </c>
      <c r="G577">
        <v>20</v>
      </c>
      <c r="H577" s="11" t="str">
        <f t="shared" si="58"/>
        <v>count</v>
      </c>
      <c r="I577" s="197"/>
      <c r="J577" s="197"/>
      <c r="K577" s="197"/>
      <c r="L577" s="197"/>
      <c r="M577" s="197"/>
      <c r="N577" s="197"/>
      <c r="O577" s="197"/>
      <c r="P577" s="197"/>
      <c r="Q577" s="197"/>
      <c r="R577" s="197"/>
      <c r="S577" s="197"/>
      <c r="T577" s="197"/>
      <c r="U577" s="197"/>
      <c r="V577" s="197"/>
      <c r="W577" s="197"/>
      <c r="X577" s="197"/>
      <c r="Y577" s="197"/>
      <c r="Z577" s="197"/>
      <c r="AA577" s="197"/>
      <c r="AB577" s="197"/>
      <c r="AC577" s="197"/>
      <c r="AD577" s="197"/>
      <c r="AE577" s="197"/>
      <c r="AF577" s="197"/>
      <c r="AG577" s="197"/>
      <c r="AH577" s="197"/>
      <c r="AI577" s="197"/>
      <c r="AJ577" s="197"/>
      <c r="AK577" s="197"/>
      <c r="AL577" s="197"/>
    </row>
    <row r="578" spans="1:38">
      <c r="A578" s="11" t="str">
        <f t="shared" si="59"/>
        <v>05-812703652012</v>
      </c>
      <c r="B578" t="s">
        <v>335</v>
      </c>
      <c r="C578" t="s">
        <v>336</v>
      </c>
      <c r="D578">
        <v>2012</v>
      </c>
      <c r="E578" t="s">
        <v>105</v>
      </c>
      <c r="F578">
        <v>11305.8</v>
      </c>
      <c r="G578">
        <v>144</v>
      </c>
      <c r="H578" s="11" t="str">
        <f t="shared" ref="H578:H641" si="60">IF(B578=B577,"count","volume")</f>
        <v>volume</v>
      </c>
      <c r="I578" s="197"/>
      <c r="J578" s="197"/>
      <c r="K578" s="197"/>
      <c r="L578" s="197"/>
      <c r="M578" s="197"/>
      <c r="N578" s="197"/>
      <c r="O578" s="197"/>
      <c r="P578" s="197"/>
      <c r="Q578" s="197"/>
      <c r="R578" s="197"/>
      <c r="S578" s="197"/>
      <c r="T578" s="197"/>
      <c r="U578" s="197"/>
      <c r="V578" s="197"/>
      <c r="W578" s="197"/>
      <c r="X578" s="197"/>
      <c r="Y578" s="197"/>
      <c r="Z578" s="197"/>
      <c r="AA578" s="197"/>
      <c r="AB578" s="197"/>
      <c r="AC578" s="197"/>
      <c r="AD578" s="197"/>
      <c r="AE578" s="197"/>
      <c r="AF578" s="197"/>
      <c r="AG578" s="197"/>
      <c r="AH578" s="197"/>
      <c r="AI578" s="197"/>
      <c r="AJ578" s="197"/>
      <c r="AK578" s="197"/>
      <c r="AL578" s="197"/>
    </row>
    <row r="579" spans="1:38">
      <c r="A579" s="11" t="str">
        <f t="shared" ref="A579:A642" si="61">B579&amp;D579</f>
        <v>05-812703652013</v>
      </c>
      <c r="B579" t="s">
        <v>335</v>
      </c>
      <c r="C579" t="s">
        <v>336</v>
      </c>
      <c r="D579">
        <v>2013</v>
      </c>
      <c r="E579" t="s">
        <v>69</v>
      </c>
      <c r="F579">
        <v>32457.93</v>
      </c>
      <c r="G579">
        <v>366</v>
      </c>
      <c r="H579" s="11" t="str">
        <f t="shared" si="60"/>
        <v>count</v>
      </c>
      <c r="I579" s="197"/>
      <c r="J579" s="197"/>
      <c r="K579" s="197"/>
      <c r="L579" s="197"/>
      <c r="M579" s="197"/>
      <c r="N579" s="197"/>
      <c r="O579" s="197"/>
      <c r="P579" s="197"/>
      <c r="Q579" s="197"/>
      <c r="R579" s="197"/>
      <c r="S579" s="197"/>
      <c r="T579" s="197"/>
      <c r="U579" s="197"/>
      <c r="V579" s="197"/>
      <c r="W579" s="197"/>
      <c r="X579" s="197"/>
      <c r="Y579" s="197"/>
      <c r="Z579" s="197"/>
      <c r="AA579" s="197"/>
      <c r="AB579" s="197"/>
      <c r="AC579" s="197"/>
      <c r="AD579" s="197"/>
      <c r="AE579" s="197"/>
      <c r="AF579" s="197"/>
      <c r="AG579" s="197"/>
      <c r="AH579" s="197"/>
      <c r="AI579" s="197"/>
      <c r="AJ579" s="197"/>
      <c r="AK579" s="197"/>
      <c r="AL579" s="197"/>
    </row>
    <row r="580" spans="1:38">
      <c r="A580" s="11" t="str">
        <f t="shared" si="61"/>
        <v>05-812703652011</v>
      </c>
      <c r="B580" t="s">
        <v>335</v>
      </c>
      <c r="C580" t="s">
        <v>336</v>
      </c>
      <c r="D580">
        <v>2011</v>
      </c>
      <c r="E580" t="s">
        <v>106</v>
      </c>
      <c r="F580">
        <v>35210.730000000003</v>
      </c>
      <c r="G580">
        <v>269</v>
      </c>
      <c r="H580" s="11" t="str">
        <f t="shared" si="60"/>
        <v>count</v>
      </c>
      <c r="I580" s="197"/>
      <c r="J580" s="197"/>
      <c r="K580" s="197"/>
      <c r="L580" s="197"/>
      <c r="M580" s="197"/>
      <c r="N580" s="197"/>
      <c r="O580" s="197"/>
      <c r="P580" s="197"/>
      <c r="Q580" s="197"/>
      <c r="R580" s="197"/>
      <c r="S580" s="197"/>
      <c r="T580" s="197"/>
      <c r="U580" s="197"/>
      <c r="V580" s="197"/>
      <c r="W580" s="197"/>
      <c r="X580" s="197"/>
      <c r="Y580" s="197"/>
      <c r="Z580" s="197"/>
      <c r="AA580" s="197"/>
      <c r="AB580" s="197"/>
      <c r="AC580" s="197"/>
      <c r="AD580" s="197"/>
      <c r="AE580" s="197"/>
      <c r="AF580" s="197"/>
      <c r="AG580" s="197"/>
      <c r="AH580" s="197"/>
      <c r="AI580" s="197"/>
      <c r="AJ580" s="197"/>
      <c r="AK580" s="197"/>
      <c r="AL580" s="197"/>
    </row>
    <row r="581" spans="1:38">
      <c r="A581" s="11" t="str">
        <f t="shared" si="61"/>
        <v>05-812703652011</v>
      </c>
      <c r="B581" t="s">
        <v>335</v>
      </c>
      <c r="C581" t="s">
        <v>336</v>
      </c>
      <c r="D581">
        <v>2011</v>
      </c>
      <c r="E581" t="s">
        <v>104</v>
      </c>
      <c r="F581">
        <v>21436.880000000001</v>
      </c>
      <c r="G581">
        <v>119</v>
      </c>
      <c r="H581" s="11" t="str">
        <f t="shared" si="60"/>
        <v>count</v>
      </c>
      <c r="I581" s="197"/>
      <c r="J581" s="197"/>
      <c r="K581" s="197"/>
      <c r="L581" s="197"/>
      <c r="M581" s="197"/>
      <c r="N581" s="197"/>
      <c r="O581" s="197"/>
      <c r="P581" s="197"/>
      <c r="Q581" s="197"/>
      <c r="R581" s="197"/>
      <c r="S581" s="197"/>
      <c r="T581" s="197"/>
      <c r="U581" s="197"/>
      <c r="V581" s="197"/>
      <c r="W581" s="197"/>
      <c r="X581" s="197"/>
      <c r="Y581" s="197"/>
      <c r="Z581" s="197"/>
      <c r="AA581" s="197"/>
      <c r="AB581" s="197"/>
      <c r="AC581" s="197"/>
      <c r="AD581" s="197"/>
      <c r="AE581" s="197"/>
      <c r="AF581" s="197"/>
      <c r="AG581" s="197"/>
      <c r="AH581" s="197"/>
      <c r="AI581" s="197"/>
      <c r="AJ581" s="197"/>
      <c r="AK581" s="197"/>
      <c r="AL581" s="197"/>
    </row>
    <row r="582" spans="1:38">
      <c r="A582" s="11" t="str">
        <f t="shared" si="61"/>
        <v>05-812703652012</v>
      </c>
      <c r="B582" t="s">
        <v>335</v>
      </c>
      <c r="C582" t="s">
        <v>336</v>
      </c>
      <c r="D582">
        <v>2012</v>
      </c>
      <c r="E582" t="s">
        <v>69</v>
      </c>
      <c r="F582">
        <v>121273.01</v>
      </c>
      <c r="G582">
        <v>1157</v>
      </c>
      <c r="H582" s="11" t="str">
        <f t="shared" si="60"/>
        <v>count</v>
      </c>
      <c r="I582" s="197"/>
      <c r="J582" s="197"/>
      <c r="K582" s="197"/>
      <c r="L582" s="197"/>
      <c r="M582" s="197"/>
      <c r="N582" s="197"/>
      <c r="O582" s="197"/>
      <c r="P582" s="197"/>
      <c r="Q582" s="197"/>
      <c r="R582" s="197"/>
      <c r="S582" s="197"/>
      <c r="T582" s="197"/>
      <c r="U582" s="197"/>
      <c r="V582" s="197"/>
      <c r="W582" s="197"/>
      <c r="X582" s="197"/>
      <c r="Y582" s="197"/>
      <c r="Z582" s="197"/>
      <c r="AA582" s="197"/>
      <c r="AB582" s="197"/>
      <c r="AC582" s="197"/>
      <c r="AD582" s="197"/>
      <c r="AE582" s="197"/>
      <c r="AF582" s="197"/>
      <c r="AG582" s="197"/>
      <c r="AH582" s="197"/>
      <c r="AI582" s="197"/>
      <c r="AJ582" s="197"/>
      <c r="AK582" s="197"/>
      <c r="AL582" s="197"/>
    </row>
    <row r="583" spans="1:38">
      <c r="A583" s="11" t="str">
        <f t="shared" si="61"/>
        <v>05-812703652013</v>
      </c>
      <c r="B583" t="s">
        <v>335</v>
      </c>
      <c r="C583" t="s">
        <v>336</v>
      </c>
      <c r="D583">
        <v>2013</v>
      </c>
      <c r="E583" t="s">
        <v>105</v>
      </c>
      <c r="F583">
        <v>2591.15</v>
      </c>
      <c r="G583">
        <v>35</v>
      </c>
      <c r="H583" s="11" t="str">
        <f t="shared" si="60"/>
        <v>count</v>
      </c>
      <c r="I583" s="197"/>
      <c r="J583" s="197"/>
      <c r="K583" s="197"/>
      <c r="L583" s="197"/>
      <c r="M583" s="197"/>
      <c r="N583" s="197"/>
      <c r="O583" s="197"/>
      <c r="P583" s="197"/>
      <c r="Q583" s="197"/>
      <c r="R583" s="197"/>
      <c r="S583" s="197"/>
      <c r="T583" s="197"/>
      <c r="U583" s="197"/>
      <c r="V583" s="197"/>
      <c r="W583" s="197"/>
      <c r="X583" s="197"/>
      <c r="Y583" s="197"/>
      <c r="Z583" s="197"/>
      <c r="AA583" s="197"/>
      <c r="AB583" s="197"/>
      <c r="AC583" s="197"/>
      <c r="AD583" s="197"/>
      <c r="AE583" s="197"/>
      <c r="AF583" s="197"/>
      <c r="AG583" s="197"/>
      <c r="AH583" s="197"/>
      <c r="AI583" s="197"/>
      <c r="AJ583" s="197"/>
      <c r="AK583" s="197"/>
      <c r="AL583" s="197"/>
    </row>
    <row r="584" spans="1:38">
      <c r="A584" s="11" t="str">
        <f t="shared" si="61"/>
        <v>05-812703652011</v>
      </c>
      <c r="B584" t="s">
        <v>335</v>
      </c>
      <c r="C584" t="s">
        <v>336</v>
      </c>
      <c r="D584">
        <v>2011</v>
      </c>
      <c r="E584" t="s">
        <v>63</v>
      </c>
      <c r="F584">
        <v>59546.3</v>
      </c>
      <c r="G584">
        <v>351</v>
      </c>
      <c r="H584" s="11" t="str">
        <f t="shared" si="60"/>
        <v>count</v>
      </c>
      <c r="I584" s="197"/>
      <c r="J584" s="197"/>
      <c r="K584" s="197"/>
      <c r="L584" s="197"/>
      <c r="M584" s="197"/>
      <c r="N584" s="197"/>
      <c r="O584" s="197"/>
      <c r="P584" s="197"/>
      <c r="Q584" s="197"/>
      <c r="R584" s="197"/>
      <c r="S584" s="197"/>
      <c r="T584" s="197"/>
      <c r="U584" s="197"/>
      <c r="V584" s="197"/>
      <c r="W584" s="197"/>
      <c r="X584" s="197"/>
      <c r="Y584" s="197"/>
      <c r="Z584" s="197"/>
      <c r="AA584" s="197"/>
      <c r="AB584" s="197"/>
      <c r="AC584" s="197"/>
      <c r="AD584" s="197"/>
      <c r="AE584" s="197"/>
      <c r="AF584" s="197"/>
      <c r="AG584" s="197"/>
      <c r="AH584" s="197"/>
      <c r="AI584" s="197"/>
      <c r="AJ584" s="197"/>
      <c r="AK584" s="197"/>
      <c r="AL584" s="197"/>
    </row>
    <row r="585" spans="1:38">
      <c r="A585" s="11" t="str">
        <f t="shared" si="61"/>
        <v>05-812703652012</v>
      </c>
      <c r="B585" t="s">
        <v>335</v>
      </c>
      <c r="C585" t="s">
        <v>336</v>
      </c>
      <c r="D585">
        <v>2012</v>
      </c>
      <c r="E585" t="s">
        <v>104</v>
      </c>
      <c r="F585">
        <v>41868.82</v>
      </c>
      <c r="G585">
        <v>425</v>
      </c>
      <c r="H585" s="11" t="str">
        <f t="shared" si="60"/>
        <v>count</v>
      </c>
      <c r="I585" s="197"/>
      <c r="J585" s="197"/>
      <c r="K585" s="197"/>
      <c r="L585" s="197"/>
      <c r="M585" s="197"/>
      <c r="N585" s="197"/>
      <c r="O585" s="197"/>
      <c r="P585" s="197"/>
      <c r="Q585" s="197"/>
      <c r="R585" s="197"/>
      <c r="S585" s="197"/>
      <c r="T585" s="197"/>
      <c r="U585" s="197"/>
      <c r="V585" s="197"/>
      <c r="W585" s="197"/>
      <c r="X585" s="197"/>
      <c r="Y585" s="197"/>
      <c r="Z585" s="197"/>
      <c r="AA585" s="197"/>
      <c r="AB585" s="197"/>
      <c r="AC585" s="197"/>
      <c r="AD585" s="197"/>
      <c r="AE585" s="197"/>
      <c r="AF585" s="197"/>
      <c r="AG585" s="197"/>
      <c r="AH585" s="197"/>
      <c r="AI585" s="197"/>
      <c r="AJ585" s="197"/>
      <c r="AK585" s="197"/>
      <c r="AL585" s="197"/>
    </row>
    <row r="586" spans="1:38">
      <c r="A586" s="11" t="str">
        <f t="shared" si="61"/>
        <v>05-812703652011</v>
      </c>
      <c r="B586" t="s">
        <v>335</v>
      </c>
      <c r="C586" t="s">
        <v>336</v>
      </c>
      <c r="D586">
        <v>2011</v>
      </c>
      <c r="E586" t="s">
        <v>1074</v>
      </c>
      <c r="F586">
        <v>433.71</v>
      </c>
      <c r="G586">
        <v>4</v>
      </c>
      <c r="H586" s="11" t="str">
        <f t="shared" si="60"/>
        <v>count</v>
      </c>
      <c r="I586" s="197"/>
      <c r="J586" s="197"/>
      <c r="K586" s="197"/>
      <c r="L586" s="197"/>
      <c r="M586" s="197"/>
      <c r="N586" s="197"/>
      <c r="O586" s="197"/>
      <c r="P586" s="197"/>
      <c r="Q586" s="197"/>
      <c r="R586" s="197"/>
      <c r="S586" s="197"/>
      <c r="T586" s="197"/>
      <c r="U586" s="197"/>
      <c r="V586" s="197"/>
      <c r="W586" s="197"/>
      <c r="X586" s="197"/>
      <c r="Y586" s="197"/>
      <c r="Z586" s="197"/>
      <c r="AA586" s="197"/>
      <c r="AB586" s="197"/>
      <c r="AC586" s="197"/>
      <c r="AD586" s="197"/>
      <c r="AE586" s="197"/>
      <c r="AF586" s="197"/>
      <c r="AG586" s="197"/>
      <c r="AH586" s="197"/>
      <c r="AI586" s="197"/>
      <c r="AJ586" s="197"/>
      <c r="AK586" s="197"/>
      <c r="AL586" s="197"/>
    </row>
    <row r="587" spans="1:38">
      <c r="A587" s="11" t="str">
        <f t="shared" si="61"/>
        <v>05-812703652011</v>
      </c>
      <c r="B587" t="s">
        <v>335</v>
      </c>
      <c r="C587" t="s">
        <v>336</v>
      </c>
      <c r="D587">
        <v>2011</v>
      </c>
      <c r="E587" t="s">
        <v>69</v>
      </c>
      <c r="F587">
        <v>808.33</v>
      </c>
      <c r="G587">
        <v>6</v>
      </c>
      <c r="H587" s="11" t="str">
        <f t="shared" si="60"/>
        <v>count</v>
      </c>
      <c r="I587" s="197"/>
      <c r="J587" s="197"/>
      <c r="K587" s="197"/>
      <c r="L587" s="197"/>
      <c r="M587" s="197"/>
      <c r="N587" s="197"/>
      <c r="O587" s="197"/>
      <c r="P587" s="197"/>
      <c r="Q587" s="197"/>
      <c r="R587" s="197"/>
      <c r="S587" s="197"/>
      <c r="T587" s="197"/>
      <c r="U587" s="197"/>
      <c r="V587" s="197"/>
      <c r="W587" s="197"/>
      <c r="X587" s="197"/>
      <c r="Y587" s="197"/>
      <c r="Z587" s="197"/>
      <c r="AA587" s="197"/>
      <c r="AB587" s="197"/>
      <c r="AC587" s="197"/>
      <c r="AD587" s="197"/>
      <c r="AE587" s="197"/>
      <c r="AF587" s="197"/>
      <c r="AG587" s="197"/>
      <c r="AH587" s="197"/>
      <c r="AI587" s="197"/>
      <c r="AJ587" s="197"/>
      <c r="AK587" s="197"/>
      <c r="AL587" s="197"/>
    </row>
    <row r="588" spans="1:38">
      <c r="A588" s="11" t="str">
        <f t="shared" si="61"/>
        <v>05-812703652012</v>
      </c>
      <c r="B588" t="s">
        <v>335</v>
      </c>
      <c r="C588" t="s">
        <v>336</v>
      </c>
      <c r="D588">
        <v>2012</v>
      </c>
      <c r="E588" t="s">
        <v>1075</v>
      </c>
      <c r="F588">
        <v>19495.32</v>
      </c>
      <c r="G588">
        <v>169</v>
      </c>
      <c r="H588" s="11" t="str">
        <f t="shared" si="60"/>
        <v>count</v>
      </c>
      <c r="I588" s="197"/>
      <c r="J588" s="197"/>
      <c r="K588" s="197"/>
      <c r="L588" s="197"/>
      <c r="M588" s="197"/>
      <c r="N588" s="197"/>
      <c r="O588" s="197"/>
      <c r="P588" s="197"/>
      <c r="Q588" s="197"/>
      <c r="R588" s="197"/>
      <c r="S588" s="197"/>
      <c r="T588" s="197"/>
      <c r="U588" s="197"/>
      <c r="V588" s="197"/>
      <c r="W588" s="197"/>
      <c r="X588" s="197"/>
      <c r="Y588" s="197"/>
      <c r="Z588" s="197"/>
      <c r="AA588" s="197"/>
      <c r="AB588" s="197"/>
      <c r="AC588" s="197"/>
      <c r="AD588" s="197"/>
      <c r="AE588" s="197"/>
      <c r="AF588" s="197"/>
      <c r="AG588" s="197"/>
      <c r="AH588" s="197"/>
      <c r="AI588" s="197"/>
      <c r="AJ588" s="197"/>
      <c r="AK588" s="197"/>
      <c r="AL588" s="197"/>
    </row>
    <row r="589" spans="1:38">
      <c r="A589" s="11" t="str">
        <f t="shared" si="61"/>
        <v>05-812703652013</v>
      </c>
      <c r="B589" t="s">
        <v>335</v>
      </c>
      <c r="C589" t="s">
        <v>336</v>
      </c>
      <c r="D589">
        <v>2013</v>
      </c>
      <c r="E589" t="s">
        <v>106</v>
      </c>
      <c r="F589">
        <v>14028.56</v>
      </c>
      <c r="G589">
        <v>181</v>
      </c>
      <c r="H589" s="11" t="str">
        <f t="shared" si="60"/>
        <v>count</v>
      </c>
      <c r="I589" s="197"/>
      <c r="J589" s="197"/>
      <c r="K589" s="197"/>
      <c r="L589" s="197"/>
      <c r="M589" s="197"/>
      <c r="N589" s="197"/>
      <c r="O589" s="197"/>
      <c r="P589" s="197"/>
      <c r="Q589" s="197"/>
      <c r="R589" s="197"/>
      <c r="S589" s="197"/>
      <c r="T589" s="197"/>
      <c r="U589" s="197"/>
      <c r="V589" s="197"/>
      <c r="W589" s="197"/>
      <c r="X589" s="197"/>
      <c r="Y589" s="197"/>
      <c r="Z589" s="197"/>
      <c r="AA589" s="197"/>
      <c r="AB589" s="197"/>
      <c r="AC589" s="197"/>
      <c r="AD589" s="197"/>
      <c r="AE589" s="197"/>
      <c r="AF589" s="197"/>
      <c r="AG589" s="197"/>
      <c r="AH589" s="197"/>
      <c r="AI589" s="197"/>
      <c r="AJ589" s="197"/>
      <c r="AK589" s="197"/>
      <c r="AL589" s="197"/>
    </row>
    <row r="590" spans="1:38">
      <c r="A590" s="11" t="str">
        <f t="shared" si="61"/>
        <v>05-812703652012</v>
      </c>
      <c r="B590" t="s">
        <v>335</v>
      </c>
      <c r="C590" t="s">
        <v>336</v>
      </c>
      <c r="D590">
        <v>2012</v>
      </c>
      <c r="E590" t="s">
        <v>63</v>
      </c>
      <c r="F590">
        <v>60090.38</v>
      </c>
      <c r="G590">
        <v>619</v>
      </c>
      <c r="H590" s="11" t="str">
        <f t="shared" si="60"/>
        <v>count</v>
      </c>
      <c r="I590" s="197"/>
      <c r="J590" s="197"/>
      <c r="K590" s="197"/>
      <c r="L590" s="197"/>
      <c r="M590" s="197"/>
      <c r="N590" s="197"/>
      <c r="O590" s="197"/>
      <c r="P590" s="197"/>
      <c r="Q590" s="197"/>
      <c r="R590" s="197"/>
      <c r="S590" s="197"/>
      <c r="T590" s="197"/>
      <c r="U590" s="197"/>
      <c r="V590" s="197"/>
      <c r="W590" s="197"/>
      <c r="X590" s="197"/>
      <c r="Y590" s="197"/>
      <c r="Z590" s="197"/>
      <c r="AA590" s="197"/>
      <c r="AB590" s="197"/>
      <c r="AC590" s="197"/>
      <c r="AD590" s="197"/>
      <c r="AE590" s="197"/>
      <c r="AF590" s="197"/>
      <c r="AG590" s="197"/>
      <c r="AH590" s="197"/>
      <c r="AI590" s="197"/>
      <c r="AJ590" s="197"/>
      <c r="AK590" s="197"/>
      <c r="AL590" s="197"/>
    </row>
    <row r="591" spans="1:38">
      <c r="A591" s="11" t="str">
        <f t="shared" si="61"/>
        <v>05-812703652012</v>
      </c>
      <c r="B591" t="s">
        <v>335</v>
      </c>
      <c r="C591" t="s">
        <v>336</v>
      </c>
      <c r="D591">
        <v>2012</v>
      </c>
      <c r="E591" t="s">
        <v>1074</v>
      </c>
      <c r="F591">
        <v>2475.37</v>
      </c>
      <c r="G591">
        <v>32</v>
      </c>
      <c r="H591" s="11" t="str">
        <f t="shared" si="60"/>
        <v>count</v>
      </c>
      <c r="I591" s="197"/>
      <c r="J591" s="197"/>
      <c r="K591" s="197"/>
      <c r="L591" s="197"/>
      <c r="M591" s="197"/>
      <c r="N591" s="197"/>
      <c r="O591" s="197"/>
      <c r="P591" s="197"/>
      <c r="Q591" s="197"/>
      <c r="R591" s="197"/>
      <c r="S591" s="197"/>
      <c r="T591" s="197"/>
      <c r="U591" s="197"/>
      <c r="V591" s="197"/>
      <c r="W591" s="197"/>
      <c r="X591" s="197"/>
      <c r="Y591" s="197"/>
      <c r="Z591" s="197"/>
      <c r="AA591" s="197"/>
      <c r="AB591" s="197"/>
      <c r="AC591" s="197"/>
      <c r="AD591" s="197"/>
      <c r="AE591" s="197"/>
      <c r="AF591" s="197"/>
      <c r="AG591" s="197"/>
      <c r="AH591" s="197"/>
      <c r="AI591" s="197"/>
      <c r="AJ591" s="197"/>
      <c r="AK591" s="197"/>
      <c r="AL591" s="197"/>
    </row>
    <row r="592" spans="1:38">
      <c r="A592" s="11" t="str">
        <f t="shared" si="61"/>
        <v>05-812703652011</v>
      </c>
      <c r="B592" t="s">
        <v>335</v>
      </c>
      <c r="C592" t="s">
        <v>336</v>
      </c>
      <c r="D592">
        <v>2011</v>
      </c>
      <c r="E592" t="s">
        <v>1075</v>
      </c>
      <c r="F592">
        <v>2975.03</v>
      </c>
      <c r="G592">
        <v>25</v>
      </c>
      <c r="H592" s="11" t="str">
        <f t="shared" si="60"/>
        <v>count</v>
      </c>
      <c r="I592" s="197"/>
      <c r="J592" s="197"/>
      <c r="K592" s="197"/>
      <c r="L592" s="197"/>
      <c r="M592" s="197"/>
      <c r="N592" s="197"/>
      <c r="O592" s="197"/>
      <c r="P592" s="197"/>
      <c r="Q592" s="197"/>
      <c r="R592" s="197"/>
      <c r="S592" s="197"/>
      <c r="T592" s="197"/>
      <c r="U592" s="197"/>
      <c r="V592" s="197"/>
      <c r="W592" s="197"/>
      <c r="X592" s="197"/>
      <c r="Y592" s="197"/>
      <c r="Z592" s="197"/>
      <c r="AA592" s="197"/>
      <c r="AB592" s="197"/>
      <c r="AC592" s="197"/>
      <c r="AD592" s="197"/>
      <c r="AE592" s="197"/>
      <c r="AF592" s="197"/>
      <c r="AG592" s="197"/>
      <c r="AH592" s="197"/>
      <c r="AI592" s="197"/>
      <c r="AJ592" s="197"/>
      <c r="AK592" s="197"/>
      <c r="AL592" s="197"/>
    </row>
    <row r="593" spans="1:38">
      <c r="A593" s="11" t="str">
        <f t="shared" si="61"/>
        <v>05-812703652013</v>
      </c>
      <c r="B593" t="s">
        <v>335</v>
      </c>
      <c r="C593" t="s">
        <v>336</v>
      </c>
      <c r="D593">
        <v>2013</v>
      </c>
      <c r="E593" t="s">
        <v>104</v>
      </c>
      <c r="F593">
        <v>9532.76</v>
      </c>
      <c r="G593">
        <v>104</v>
      </c>
      <c r="H593" s="11" t="str">
        <f t="shared" si="60"/>
        <v>count</v>
      </c>
      <c r="I593" s="197"/>
      <c r="J593" s="197"/>
      <c r="K593" s="197"/>
      <c r="L593" s="197"/>
      <c r="M593" s="197"/>
      <c r="N593" s="197"/>
      <c r="O593" s="197"/>
      <c r="P593" s="197"/>
      <c r="Q593" s="197"/>
      <c r="R593" s="197"/>
      <c r="S593" s="197"/>
      <c r="T593" s="197"/>
      <c r="U593" s="197"/>
      <c r="V593" s="197"/>
      <c r="W593" s="197"/>
      <c r="X593" s="197"/>
      <c r="Y593" s="197"/>
      <c r="Z593" s="197"/>
      <c r="AA593" s="197"/>
      <c r="AB593" s="197"/>
      <c r="AC593" s="197"/>
      <c r="AD593" s="197"/>
      <c r="AE593" s="197"/>
      <c r="AF593" s="197"/>
      <c r="AG593" s="197"/>
      <c r="AH593" s="197"/>
      <c r="AI593" s="197"/>
      <c r="AJ593" s="197"/>
      <c r="AK593" s="197"/>
      <c r="AL593" s="197"/>
    </row>
    <row r="594" spans="1:38">
      <c r="A594" s="11" t="str">
        <f t="shared" si="61"/>
        <v>05-812703652013</v>
      </c>
      <c r="B594" t="s">
        <v>335</v>
      </c>
      <c r="C594" t="s">
        <v>336</v>
      </c>
      <c r="D594">
        <v>2013</v>
      </c>
      <c r="E594" t="s">
        <v>63</v>
      </c>
      <c r="F594">
        <v>17842.349999999999</v>
      </c>
      <c r="G594">
        <v>180</v>
      </c>
      <c r="H594" s="11" t="str">
        <f t="shared" si="60"/>
        <v>count</v>
      </c>
      <c r="I594" s="197"/>
      <c r="J594" s="197"/>
      <c r="K594" s="197"/>
      <c r="L594" s="197"/>
      <c r="M594" s="197"/>
      <c r="N594" s="197"/>
      <c r="O594" s="197"/>
      <c r="P594" s="197"/>
      <c r="Q594" s="197"/>
      <c r="R594" s="197"/>
      <c r="S594" s="197"/>
      <c r="T594" s="197"/>
      <c r="U594" s="197"/>
      <c r="V594" s="197"/>
      <c r="W594" s="197"/>
      <c r="X594" s="197"/>
      <c r="Y594" s="197"/>
      <c r="Z594" s="197"/>
      <c r="AA594" s="197"/>
      <c r="AB594" s="197"/>
      <c r="AC594" s="197"/>
      <c r="AD594" s="197"/>
      <c r="AE594" s="197"/>
      <c r="AF594" s="197"/>
      <c r="AG594" s="197"/>
      <c r="AH594" s="197"/>
      <c r="AI594" s="197"/>
      <c r="AJ594" s="197"/>
      <c r="AK594" s="197"/>
      <c r="AL594" s="197"/>
    </row>
    <row r="595" spans="1:38">
      <c r="A595" s="11" t="str">
        <f t="shared" si="61"/>
        <v>05-812703652012</v>
      </c>
      <c r="B595" t="s">
        <v>335</v>
      </c>
      <c r="C595" t="s">
        <v>336</v>
      </c>
      <c r="D595">
        <v>2012</v>
      </c>
      <c r="E595" t="s">
        <v>106</v>
      </c>
      <c r="F595">
        <v>74698.97</v>
      </c>
      <c r="G595">
        <v>824</v>
      </c>
      <c r="H595" s="11" t="str">
        <f t="shared" si="60"/>
        <v>count</v>
      </c>
      <c r="I595" s="197"/>
      <c r="J595" s="197"/>
      <c r="K595" s="197"/>
      <c r="L595" s="197"/>
      <c r="M595" s="197"/>
      <c r="N595" s="197"/>
      <c r="O595" s="197"/>
      <c r="P595" s="197"/>
      <c r="Q595" s="197"/>
      <c r="R595" s="197"/>
      <c r="S595" s="197"/>
      <c r="T595" s="197"/>
      <c r="U595" s="197"/>
      <c r="V595" s="197"/>
      <c r="W595" s="197"/>
      <c r="X595" s="197"/>
      <c r="Y595" s="197"/>
      <c r="Z595" s="197"/>
      <c r="AA595" s="197"/>
      <c r="AB595" s="197"/>
      <c r="AC595" s="197"/>
      <c r="AD595" s="197"/>
      <c r="AE595" s="197"/>
      <c r="AF595" s="197"/>
      <c r="AG595" s="197"/>
      <c r="AH595" s="197"/>
      <c r="AI595" s="197"/>
      <c r="AJ595" s="197"/>
      <c r="AK595" s="197"/>
      <c r="AL595" s="197"/>
    </row>
    <row r="596" spans="1:38">
      <c r="A596" s="11" t="str">
        <f t="shared" si="61"/>
        <v>05-812703652011</v>
      </c>
      <c r="B596" t="s">
        <v>335</v>
      </c>
      <c r="C596" t="s">
        <v>336</v>
      </c>
      <c r="D596">
        <v>2011</v>
      </c>
      <c r="E596" t="s">
        <v>105</v>
      </c>
      <c r="F596">
        <v>688.97</v>
      </c>
      <c r="G596">
        <v>7</v>
      </c>
      <c r="H596" s="11" t="str">
        <f t="shared" si="60"/>
        <v>count</v>
      </c>
      <c r="I596" s="197"/>
      <c r="J596" s="197"/>
      <c r="K596" s="197"/>
      <c r="L596" s="197"/>
      <c r="M596" s="197"/>
      <c r="N596" s="197"/>
      <c r="O596" s="197"/>
      <c r="P596" s="197"/>
      <c r="Q596" s="197"/>
      <c r="R596" s="197"/>
      <c r="S596" s="197"/>
      <c r="T596" s="197"/>
      <c r="U596" s="197"/>
      <c r="V596" s="197"/>
      <c r="W596" s="197"/>
      <c r="X596" s="197"/>
      <c r="Y596" s="197"/>
      <c r="Z596" s="197"/>
      <c r="AA596" s="197"/>
      <c r="AB596" s="197"/>
      <c r="AC596" s="197"/>
      <c r="AD596" s="197"/>
      <c r="AE596" s="197"/>
      <c r="AF596" s="197"/>
      <c r="AG596" s="197"/>
      <c r="AH596" s="197"/>
      <c r="AI596" s="197"/>
      <c r="AJ596" s="197"/>
      <c r="AK596" s="197"/>
      <c r="AL596" s="197"/>
    </row>
    <row r="597" spans="1:38">
      <c r="A597" s="11" t="str">
        <f t="shared" si="61"/>
        <v>05-825950502011</v>
      </c>
      <c r="B597" t="s">
        <v>342</v>
      </c>
      <c r="C597" t="s">
        <v>343</v>
      </c>
      <c r="D597">
        <v>2011</v>
      </c>
      <c r="E597" t="s">
        <v>104</v>
      </c>
      <c r="F597">
        <v>1101643.82</v>
      </c>
      <c r="G597">
        <v>940</v>
      </c>
      <c r="H597" s="11" t="str">
        <f t="shared" si="60"/>
        <v>volume</v>
      </c>
      <c r="I597" s="197"/>
      <c r="J597" s="197"/>
      <c r="K597" s="197"/>
      <c r="L597" s="197"/>
      <c r="M597" s="197"/>
      <c r="N597" s="197"/>
      <c r="O597" s="197"/>
      <c r="P597" s="197"/>
      <c r="Q597" s="197"/>
      <c r="R597" s="197"/>
      <c r="S597" s="197"/>
      <c r="T597" s="197"/>
      <c r="U597" s="197"/>
      <c r="V597" s="197"/>
      <c r="W597" s="197"/>
      <c r="X597" s="197"/>
      <c r="Y597" s="197"/>
      <c r="Z597" s="197"/>
      <c r="AA597" s="197"/>
      <c r="AB597" s="197"/>
      <c r="AC597" s="197"/>
      <c r="AD597" s="197"/>
      <c r="AE597" s="197"/>
      <c r="AF597" s="197"/>
      <c r="AG597" s="197"/>
      <c r="AH597" s="197"/>
      <c r="AI597" s="197"/>
      <c r="AJ597" s="197"/>
      <c r="AK597" s="197"/>
      <c r="AL597" s="197"/>
    </row>
    <row r="598" spans="1:38">
      <c r="A598" s="11" t="str">
        <f t="shared" si="61"/>
        <v>05-825950502011</v>
      </c>
      <c r="B598" t="s">
        <v>342</v>
      </c>
      <c r="C598" t="s">
        <v>343</v>
      </c>
      <c r="D598">
        <v>2011</v>
      </c>
      <c r="E598" t="s">
        <v>63</v>
      </c>
      <c r="F598">
        <v>2027349.43</v>
      </c>
      <c r="G598">
        <v>1805</v>
      </c>
      <c r="H598" s="11" t="str">
        <f t="shared" si="60"/>
        <v>count</v>
      </c>
      <c r="I598" s="197"/>
      <c r="J598" s="197"/>
      <c r="K598" s="197"/>
      <c r="L598" s="197"/>
      <c r="M598" s="197"/>
      <c r="N598" s="197"/>
      <c r="O598" s="197"/>
      <c r="P598" s="197"/>
      <c r="Q598" s="197"/>
      <c r="R598" s="197"/>
      <c r="S598" s="197"/>
      <c r="T598" s="197"/>
      <c r="U598" s="197"/>
      <c r="V598" s="197"/>
      <c r="W598" s="197"/>
      <c r="X598" s="197"/>
      <c r="Y598" s="197"/>
      <c r="Z598" s="197"/>
      <c r="AA598" s="197"/>
      <c r="AB598" s="197"/>
      <c r="AC598" s="197"/>
      <c r="AD598" s="197"/>
      <c r="AE598" s="197"/>
      <c r="AF598" s="197"/>
      <c r="AG598" s="197"/>
      <c r="AH598" s="197"/>
      <c r="AI598" s="197"/>
      <c r="AJ598" s="197"/>
      <c r="AK598" s="197"/>
      <c r="AL598" s="197"/>
    </row>
    <row r="599" spans="1:38">
      <c r="A599" s="11" t="str">
        <f t="shared" si="61"/>
        <v>05-825950502012</v>
      </c>
      <c r="B599" t="s">
        <v>342</v>
      </c>
      <c r="C599" t="s">
        <v>343</v>
      </c>
      <c r="D599">
        <v>2012</v>
      </c>
      <c r="E599" t="s">
        <v>1075</v>
      </c>
      <c r="F599">
        <v>242379.6</v>
      </c>
      <c r="G599">
        <v>255</v>
      </c>
      <c r="H599" s="11" t="str">
        <f t="shared" si="60"/>
        <v>count</v>
      </c>
      <c r="I599" s="197"/>
      <c r="J599" s="197"/>
      <c r="K599" s="197"/>
      <c r="L599" s="197"/>
      <c r="M599" s="197"/>
      <c r="N599" s="197"/>
      <c r="O599" s="197"/>
      <c r="P599" s="197"/>
      <c r="Q599" s="197"/>
      <c r="R599" s="197"/>
      <c r="S599" s="197"/>
      <c r="T599" s="197"/>
      <c r="U599" s="197"/>
      <c r="V599" s="197"/>
      <c r="W599" s="197"/>
      <c r="X599" s="197"/>
      <c r="Y599" s="197"/>
      <c r="Z599" s="197"/>
      <c r="AA599" s="197"/>
      <c r="AB599" s="197"/>
      <c r="AC599" s="197"/>
      <c r="AD599" s="197"/>
      <c r="AE599" s="197"/>
      <c r="AF599" s="197"/>
      <c r="AG599" s="197"/>
      <c r="AH599" s="197"/>
      <c r="AI599" s="197"/>
      <c r="AJ599" s="197"/>
      <c r="AK599" s="197"/>
      <c r="AL599" s="197"/>
    </row>
    <row r="600" spans="1:38">
      <c r="A600" s="11" t="str">
        <f t="shared" si="61"/>
        <v>05-825950502012</v>
      </c>
      <c r="B600" t="s">
        <v>342</v>
      </c>
      <c r="C600" t="s">
        <v>343</v>
      </c>
      <c r="D600">
        <v>2012</v>
      </c>
      <c r="E600" t="s">
        <v>1076</v>
      </c>
      <c r="F600">
        <v>59216.73</v>
      </c>
      <c r="G600">
        <v>77</v>
      </c>
      <c r="H600" s="11" t="str">
        <f t="shared" si="60"/>
        <v>count</v>
      </c>
      <c r="I600" s="197"/>
      <c r="J600" s="197"/>
      <c r="K600" s="197"/>
      <c r="L600" s="197"/>
      <c r="M600" s="197"/>
      <c r="N600" s="197"/>
      <c r="O600" s="197"/>
      <c r="P600" s="197"/>
      <c r="Q600" s="197"/>
      <c r="R600" s="197"/>
      <c r="S600" s="197"/>
      <c r="T600" s="197"/>
      <c r="U600" s="197"/>
      <c r="V600" s="197"/>
      <c r="W600" s="197"/>
      <c r="X600" s="197"/>
      <c r="Y600" s="197"/>
      <c r="Z600" s="197"/>
      <c r="AA600" s="197"/>
      <c r="AB600" s="197"/>
      <c r="AC600" s="197"/>
      <c r="AD600" s="197"/>
      <c r="AE600" s="197"/>
      <c r="AF600" s="197"/>
      <c r="AG600" s="197"/>
      <c r="AH600" s="197"/>
      <c r="AI600" s="197"/>
      <c r="AJ600" s="197"/>
      <c r="AK600" s="197"/>
      <c r="AL600" s="197"/>
    </row>
    <row r="601" spans="1:38">
      <c r="A601" s="11" t="str">
        <f t="shared" si="61"/>
        <v>05-825950502012</v>
      </c>
      <c r="B601" t="s">
        <v>342</v>
      </c>
      <c r="C601" t="s">
        <v>343</v>
      </c>
      <c r="D601">
        <v>2012</v>
      </c>
      <c r="E601" t="s">
        <v>105</v>
      </c>
      <c r="F601">
        <v>518991.76</v>
      </c>
      <c r="G601">
        <v>475</v>
      </c>
      <c r="H601" s="11" t="str">
        <f t="shared" si="60"/>
        <v>count</v>
      </c>
      <c r="I601" s="197"/>
      <c r="J601" s="197"/>
      <c r="K601" s="197"/>
      <c r="L601" s="197"/>
      <c r="M601" s="197"/>
      <c r="N601" s="197"/>
      <c r="O601" s="197"/>
      <c r="P601" s="197"/>
      <c r="Q601" s="197"/>
      <c r="R601" s="197"/>
      <c r="S601" s="197"/>
      <c r="T601" s="197"/>
      <c r="U601" s="197"/>
      <c r="V601" s="197"/>
      <c r="W601" s="197"/>
      <c r="X601" s="197"/>
      <c r="Y601" s="197"/>
      <c r="Z601" s="197"/>
      <c r="AA601" s="197"/>
      <c r="AB601" s="197"/>
      <c r="AC601" s="197"/>
      <c r="AD601" s="197"/>
      <c r="AE601" s="197"/>
      <c r="AF601" s="197"/>
      <c r="AG601" s="197"/>
      <c r="AH601" s="197"/>
      <c r="AI601" s="197"/>
      <c r="AJ601" s="197"/>
      <c r="AK601" s="197"/>
      <c r="AL601" s="197"/>
    </row>
    <row r="602" spans="1:38">
      <c r="A602" s="11" t="str">
        <f t="shared" si="61"/>
        <v>05-825950502012</v>
      </c>
      <c r="B602" t="s">
        <v>342</v>
      </c>
      <c r="C602" t="s">
        <v>343</v>
      </c>
      <c r="D602">
        <v>2012</v>
      </c>
      <c r="E602" t="s">
        <v>104</v>
      </c>
      <c r="F602">
        <v>1308868.78</v>
      </c>
      <c r="G602">
        <v>1212</v>
      </c>
      <c r="H602" s="11" t="str">
        <f t="shared" si="60"/>
        <v>count</v>
      </c>
      <c r="I602" s="197"/>
      <c r="J602" s="197"/>
      <c r="K602" s="197"/>
      <c r="L602" s="197"/>
      <c r="M602" s="197"/>
      <c r="N602" s="197"/>
      <c r="O602" s="197"/>
      <c r="P602" s="197"/>
      <c r="Q602" s="197"/>
      <c r="R602" s="197"/>
      <c r="S602" s="197"/>
      <c r="T602" s="197"/>
      <c r="U602" s="197"/>
      <c r="V602" s="197"/>
      <c r="W602" s="197"/>
      <c r="X602" s="197"/>
      <c r="Y602" s="197"/>
      <c r="Z602" s="197"/>
      <c r="AA602" s="197"/>
      <c r="AB602" s="197"/>
      <c r="AC602" s="197"/>
      <c r="AD602" s="197"/>
      <c r="AE602" s="197"/>
      <c r="AF602" s="197"/>
      <c r="AG602" s="197"/>
      <c r="AH602" s="197"/>
      <c r="AI602" s="197"/>
      <c r="AJ602" s="197"/>
      <c r="AK602" s="197"/>
      <c r="AL602" s="197"/>
    </row>
    <row r="603" spans="1:38">
      <c r="A603" s="11" t="str">
        <f t="shared" si="61"/>
        <v>05-825950502011</v>
      </c>
      <c r="B603" t="s">
        <v>342</v>
      </c>
      <c r="C603" t="s">
        <v>343</v>
      </c>
      <c r="D603">
        <v>2011</v>
      </c>
      <c r="E603" t="s">
        <v>1075</v>
      </c>
      <c r="F603">
        <v>312295.55</v>
      </c>
      <c r="G603">
        <v>349</v>
      </c>
      <c r="H603" s="11" t="str">
        <f t="shared" si="60"/>
        <v>count</v>
      </c>
      <c r="I603" s="197"/>
      <c r="J603" s="197"/>
      <c r="K603" s="197"/>
      <c r="L603" s="197"/>
      <c r="M603" s="197"/>
      <c r="N603" s="197"/>
      <c r="O603" s="197"/>
      <c r="P603" s="197"/>
      <c r="Q603" s="197"/>
      <c r="R603" s="197"/>
      <c r="S603" s="197"/>
      <c r="T603" s="197"/>
      <c r="U603" s="197"/>
      <c r="V603" s="197"/>
      <c r="W603" s="197"/>
      <c r="X603" s="197"/>
      <c r="Y603" s="197"/>
      <c r="Z603" s="197"/>
      <c r="AA603" s="197"/>
      <c r="AB603" s="197"/>
      <c r="AC603" s="197"/>
      <c r="AD603" s="197"/>
      <c r="AE603" s="197"/>
      <c r="AF603" s="197"/>
      <c r="AG603" s="197"/>
      <c r="AH603" s="197"/>
      <c r="AI603" s="197"/>
      <c r="AJ603" s="197"/>
      <c r="AK603" s="197"/>
      <c r="AL603" s="197"/>
    </row>
    <row r="604" spans="1:38">
      <c r="A604" s="11" t="str">
        <f t="shared" si="61"/>
        <v>05-825950502012</v>
      </c>
      <c r="B604" t="s">
        <v>342</v>
      </c>
      <c r="C604" t="s">
        <v>343</v>
      </c>
      <c r="D604">
        <v>2012</v>
      </c>
      <c r="E604" t="s">
        <v>63</v>
      </c>
      <c r="F604">
        <v>2291547.37</v>
      </c>
      <c r="G604">
        <v>2066</v>
      </c>
      <c r="H604" s="11" t="str">
        <f t="shared" si="60"/>
        <v>count</v>
      </c>
      <c r="I604" s="197"/>
      <c r="J604" s="197"/>
      <c r="K604" s="197"/>
      <c r="L604" s="197"/>
      <c r="M604" s="197"/>
      <c r="N604" s="197"/>
      <c r="O604" s="197"/>
      <c r="P604" s="197"/>
      <c r="Q604" s="197"/>
      <c r="R604" s="197"/>
      <c r="S604" s="197"/>
      <c r="T604" s="197"/>
      <c r="U604" s="197"/>
      <c r="V604" s="197"/>
      <c r="W604" s="197"/>
      <c r="X604" s="197"/>
      <c r="Y604" s="197"/>
      <c r="Z604" s="197"/>
      <c r="AA604" s="197"/>
      <c r="AB604" s="197"/>
      <c r="AC604" s="197"/>
      <c r="AD604" s="197"/>
      <c r="AE604" s="197"/>
      <c r="AF604" s="197"/>
      <c r="AG604" s="197"/>
      <c r="AH604" s="197"/>
      <c r="AI604" s="197"/>
      <c r="AJ604" s="197"/>
      <c r="AK604" s="197"/>
      <c r="AL604" s="197"/>
    </row>
    <row r="605" spans="1:38">
      <c r="A605" s="11" t="str">
        <f t="shared" si="61"/>
        <v>05-825950502013</v>
      </c>
      <c r="B605" t="s">
        <v>342</v>
      </c>
      <c r="C605" t="s">
        <v>343</v>
      </c>
      <c r="D605">
        <v>2013</v>
      </c>
      <c r="E605" t="s">
        <v>105</v>
      </c>
      <c r="F605">
        <v>539003.05000000005</v>
      </c>
      <c r="G605">
        <v>466</v>
      </c>
      <c r="H605" s="11" t="str">
        <f t="shared" si="60"/>
        <v>count</v>
      </c>
      <c r="I605" s="197"/>
      <c r="J605" s="197"/>
      <c r="K605" s="197"/>
      <c r="L605" s="197"/>
      <c r="M605" s="197"/>
      <c r="N605" s="197"/>
      <c r="O605" s="197"/>
      <c r="P605" s="197"/>
      <c r="Q605" s="197"/>
      <c r="R605" s="197"/>
      <c r="S605" s="197"/>
      <c r="T605" s="197"/>
      <c r="U605" s="197"/>
      <c r="V605" s="197"/>
      <c r="W605" s="197"/>
      <c r="X605" s="197"/>
      <c r="Y605" s="197"/>
      <c r="Z605" s="197"/>
      <c r="AA605" s="197"/>
      <c r="AB605" s="197"/>
      <c r="AC605" s="197"/>
      <c r="AD605" s="197"/>
      <c r="AE605" s="197"/>
      <c r="AF605" s="197"/>
      <c r="AG605" s="197"/>
      <c r="AH605" s="197"/>
      <c r="AI605" s="197"/>
      <c r="AJ605" s="197"/>
      <c r="AK605" s="197"/>
      <c r="AL605" s="197"/>
    </row>
    <row r="606" spans="1:38">
      <c r="A606" s="11" t="str">
        <f t="shared" si="61"/>
        <v>05-825950502011</v>
      </c>
      <c r="B606" t="s">
        <v>342</v>
      </c>
      <c r="C606" t="s">
        <v>343</v>
      </c>
      <c r="D606">
        <v>2011</v>
      </c>
      <c r="E606" t="s">
        <v>1074</v>
      </c>
      <c r="F606">
        <v>86376.1</v>
      </c>
      <c r="G606">
        <v>111</v>
      </c>
      <c r="H606" s="11" t="str">
        <f t="shared" si="60"/>
        <v>count</v>
      </c>
      <c r="I606" s="197"/>
      <c r="J606" s="197"/>
      <c r="K606" s="197"/>
      <c r="L606" s="197"/>
      <c r="M606" s="197"/>
      <c r="N606" s="197"/>
      <c r="O606" s="197"/>
      <c r="P606" s="197"/>
      <c r="Q606" s="197"/>
      <c r="R606" s="197"/>
      <c r="S606" s="197"/>
      <c r="T606" s="197"/>
      <c r="U606" s="197"/>
      <c r="V606" s="197"/>
      <c r="W606" s="197"/>
      <c r="X606" s="197"/>
      <c r="Y606" s="197"/>
      <c r="Z606" s="197"/>
      <c r="AA606" s="197"/>
      <c r="AB606" s="197"/>
      <c r="AC606" s="197"/>
      <c r="AD606" s="197"/>
      <c r="AE606" s="197"/>
      <c r="AF606" s="197"/>
      <c r="AG606" s="197"/>
      <c r="AH606" s="197"/>
      <c r="AI606" s="197"/>
      <c r="AJ606" s="197"/>
      <c r="AK606" s="197"/>
      <c r="AL606" s="197"/>
    </row>
    <row r="607" spans="1:38">
      <c r="A607" s="11" t="str">
        <f t="shared" si="61"/>
        <v>05-825950502012</v>
      </c>
      <c r="B607" t="s">
        <v>342</v>
      </c>
      <c r="C607" t="s">
        <v>343</v>
      </c>
      <c r="D607">
        <v>2012</v>
      </c>
      <c r="E607" t="s">
        <v>106</v>
      </c>
      <c r="F607">
        <v>600</v>
      </c>
      <c r="G607">
        <v>1</v>
      </c>
      <c r="H607" s="11" t="str">
        <f t="shared" si="60"/>
        <v>count</v>
      </c>
      <c r="I607" s="197"/>
      <c r="J607" s="197"/>
      <c r="K607" s="197"/>
      <c r="L607" s="197"/>
      <c r="M607" s="197"/>
      <c r="N607" s="197"/>
      <c r="O607" s="197"/>
      <c r="P607" s="197"/>
      <c r="Q607" s="197"/>
      <c r="R607" s="197"/>
      <c r="S607" s="197"/>
      <c r="T607" s="197"/>
      <c r="U607" s="197"/>
      <c r="V607" s="197"/>
      <c r="W607" s="197"/>
      <c r="X607" s="197"/>
      <c r="Y607" s="197"/>
      <c r="Z607" s="197"/>
      <c r="AA607" s="197"/>
      <c r="AB607" s="197"/>
      <c r="AC607" s="197"/>
      <c r="AD607" s="197"/>
      <c r="AE607" s="197"/>
      <c r="AF607" s="197"/>
      <c r="AG607" s="197"/>
      <c r="AH607" s="197"/>
      <c r="AI607" s="197"/>
      <c r="AJ607" s="197"/>
      <c r="AK607" s="197"/>
      <c r="AL607" s="197"/>
    </row>
    <row r="608" spans="1:38">
      <c r="A608" s="11" t="str">
        <f t="shared" si="61"/>
        <v>05-825950502013</v>
      </c>
      <c r="B608" t="s">
        <v>342</v>
      </c>
      <c r="C608" t="s">
        <v>343</v>
      </c>
      <c r="D608">
        <v>2013</v>
      </c>
      <c r="E608" t="s">
        <v>69</v>
      </c>
      <c r="F608">
        <v>1238816.19</v>
      </c>
      <c r="G608">
        <v>1361</v>
      </c>
      <c r="H608" s="11" t="str">
        <f t="shared" si="60"/>
        <v>count</v>
      </c>
      <c r="I608" s="197"/>
      <c r="J608" s="197"/>
      <c r="K608" s="197"/>
      <c r="L608" s="197"/>
      <c r="M608" s="197"/>
      <c r="N608" s="197"/>
      <c r="O608" s="197"/>
      <c r="P608" s="197"/>
      <c r="Q608" s="197"/>
      <c r="R608" s="197"/>
      <c r="S608" s="197"/>
      <c r="T608" s="197"/>
      <c r="U608" s="197"/>
      <c r="V608" s="197"/>
      <c r="W608" s="197"/>
      <c r="X608" s="197"/>
      <c r="Y608" s="197"/>
      <c r="Z608" s="197"/>
      <c r="AA608" s="197"/>
      <c r="AB608" s="197"/>
      <c r="AC608" s="197"/>
      <c r="AD608" s="197"/>
      <c r="AE608" s="197"/>
      <c r="AF608" s="197"/>
      <c r="AG608" s="197"/>
      <c r="AH608" s="197"/>
      <c r="AI608" s="197"/>
      <c r="AJ608" s="197"/>
      <c r="AK608" s="197"/>
      <c r="AL608" s="197"/>
    </row>
    <row r="609" spans="1:38">
      <c r="A609" s="11" t="str">
        <f t="shared" si="61"/>
        <v>05-825950502012</v>
      </c>
      <c r="B609" t="s">
        <v>342</v>
      </c>
      <c r="C609" t="s">
        <v>343</v>
      </c>
      <c r="D609">
        <v>2012</v>
      </c>
      <c r="E609" t="s">
        <v>1074</v>
      </c>
      <c r="F609">
        <v>124555.46</v>
      </c>
      <c r="G609">
        <v>113</v>
      </c>
      <c r="H609" s="11" t="str">
        <f t="shared" si="60"/>
        <v>count</v>
      </c>
      <c r="I609" s="197"/>
      <c r="J609" s="197"/>
      <c r="K609" s="197"/>
      <c r="L609" s="197"/>
      <c r="M609" s="197"/>
      <c r="N609" s="197"/>
      <c r="O609" s="197"/>
      <c r="P609" s="197"/>
      <c r="Q609" s="197"/>
      <c r="R609" s="197"/>
      <c r="S609" s="197"/>
      <c r="T609" s="197"/>
      <c r="U609" s="197"/>
      <c r="V609" s="197"/>
      <c r="W609" s="197"/>
      <c r="X609" s="197"/>
      <c r="Y609" s="197"/>
      <c r="Z609" s="197"/>
      <c r="AA609" s="197"/>
      <c r="AB609" s="197"/>
      <c r="AC609" s="197"/>
      <c r="AD609" s="197"/>
      <c r="AE609" s="197"/>
      <c r="AF609" s="197"/>
      <c r="AG609" s="197"/>
      <c r="AH609" s="197"/>
      <c r="AI609" s="197"/>
      <c r="AJ609" s="197"/>
      <c r="AK609" s="197"/>
      <c r="AL609" s="197"/>
    </row>
    <row r="610" spans="1:38">
      <c r="A610" s="11" t="str">
        <f t="shared" si="61"/>
        <v>05-825950502011</v>
      </c>
      <c r="B610" t="s">
        <v>342</v>
      </c>
      <c r="C610" t="s">
        <v>343</v>
      </c>
      <c r="D610">
        <v>2011</v>
      </c>
      <c r="E610" t="s">
        <v>105</v>
      </c>
      <c r="F610">
        <v>366792.1</v>
      </c>
      <c r="G610">
        <v>312</v>
      </c>
      <c r="H610" s="11" t="str">
        <f t="shared" si="60"/>
        <v>count</v>
      </c>
      <c r="I610" s="197"/>
      <c r="J610" s="197"/>
      <c r="K610" s="197"/>
      <c r="L610" s="197"/>
      <c r="M610" s="197"/>
      <c r="N610" s="197"/>
      <c r="O610" s="197"/>
      <c r="P610" s="197"/>
      <c r="Q610" s="197"/>
      <c r="R610" s="197"/>
      <c r="S610" s="197"/>
      <c r="T610" s="197"/>
      <c r="U610" s="197"/>
      <c r="V610" s="197"/>
      <c r="W610" s="197"/>
      <c r="X610" s="197"/>
      <c r="Y610" s="197"/>
      <c r="Z610" s="197"/>
      <c r="AA610" s="197"/>
      <c r="AB610" s="197"/>
      <c r="AC610" s="197"/>
      <c r="AD610" s="197"/>
      <c r="AE610" s="197"/>
      <c r="AF610" s="197"/>
      <c r="AG610" s="197"/>
      <c r="AH610" s="197"/>
      <c r="AI610" s="197"/>
      <c r="AJ610" s="197"/>
      <c r="AK610" s="197"/>
      <c r="AL610" s="197"/>
    </row>
    <row r="611" spans="1:38">
      <c r="A611" s="11" t="str">
        <f t="shared" si="61"/>
        <v>05-825950502011</v>
      </c>
      <c r="B611" t="s">
        <v>342</v>
      </c>
      <c r="C611" t="s">
        <v>343</v>
      </c>
      <c r="D611">
        <v>2011</v>
      </c>
      <c r="E611" t="s">
        <v>1076</v>
      </c>
      <c r="F611">
        <v>38466.620000000003</v>
      </c>
      <c r="G611">
        <v>50</v>
      </c>
      <c r="H611" s="11" t="str">
        <f t="shared" si="60"/>
        <v>count</v>
      </c>
      <c r="I611" s="197"/>
      <c r="J611" s="197"/>
      <c r="K611" s="197"/>
      <c r="L611" s="197"/>
      <c r="M611" s="197"/>
      <c r="N611" s="197"/>
      <c r="O611" s="197"/>
      <c r="P611" s="197"/>
      <c r="Q611" s="197"/>
      <c r="R611" s="197"/>
      <c r="S611" s="197"/>
      <c r="T611" s="197"/>
      <c r="U611" s="197"/>
      <c r="V611" s="197"/>
      <c r="W611" s="197"/>
      <c r="X611" s="197"/>
      <c r="Y611" s="197"/>
      <c r="Z611" s="197"/>
      <c r="AA611" s="197"/>
      <c r="AB611" s="197"/>
      <c r="AC611" s="197"/>
      <c r="AD611" s="197"/>
      <c r="AE611" s="197"/>
      <c r="AF611" s="197"/>
      <c r="AG611" s="197"/>
      <c r="AH611" s="197"/>
      <c r="AI611" s="197"/>
      <c r="AJ611" s="197"/>
      <c r="AK611" s="197"/>
      <c r="AL611" s="197"/>
    </row>
    <row r="612" spans="1:38">
      <c r="A612" s="11" t="str">
        <f t="shared" si="61"/>
        <v>05-825950502012</v>
      </c>
      <c r="B612" t="s">
        <v>342</v>
      </c>
      <c r="C612" t="s">
        <v>343</v>
      </c>
      <c r="D612">
        <v>2012</v>
      </c>
      <c r="E612" t="s">
        <v>69</v>
      </c>
      <c r="F612">
        <v>706565.74</v>
      </c>
      <c r="G612">
        <v>852</v>
      </c>
      <c r="H612" s="11" t="str">
        <f t="shared" si="60"/>
        <v>count</v>
      </c>
      <c r="I612" s="197"/>
      <c r="J612" s="197"/>
      <c r="K612" s="197"/>
      <c r="L612" s="197"/>
      <c r="M612" s="197"/>
      <c r="N612" s="197"/>
      <c r="O612" s="197"/>
      <c r="P612" s="197"/>
      <c r="Q612" s="197"/>
      <c r="R612" s="197"/>
      <c r="S612" s="197"/>
      <c r="T612" s="197"/>
      <c r="U612" s="197"/>
      <c r="V612" s="197"/>
      <c r="W612" s="197"/>
      <c r="X612" s="197"/>
      <c r="Y612" s="197"/>
      <c r="Z612" s="197"/>
      <c r="AA612" s="197"/>
      <c r="AB612" s="197"/>
      <c r="AC612" s="197"/>
      <c r="AD612" s="197"/>
      <c r="AE612" s="197"/>
      <c r="AF612" s="197"/>
      <c r="AG612" s="197"/>
      <c r="AH612" s="197"/>
      <c r="AI612" s="197"/>
      <c r="AJ612" s="197"/>
      <c r="AK612" s="197"/>
      <c r="AL612" s="197"/>
    </row>
    <row r="613" spans="1:38">
      <c r="A613" s="11" t="str">
        <f t="shared" si="61"/>
        <v>05-825950502013</v>
      </c>
      <c r="B613" t="s">
        <v>342</v>
      </c>
      <c r="C613" t="s">
        <v>343</v>
      </c>
      <c r="D613">
        <v>2013</v>
      </c>
      <c r="E613" t="s">
        <v>63</v>
      </c>
      <c r="F613">
        <v>2411549.8199999998</v>
      </c>
      <c r="G613">
        <v>2127</v>
      </c>
      <c r="H613" s="11" t="str">
        <f t="shared" si="60"/>
        <v>count</v>
      </c>
      <c r="I613" s="197"/>
      <c r="J613" s="197"/>
      <c r="K613" s="197"/>
      <c r="L613" s="197"/>
      <c r="M613" s="197"/>
      <c r="N613" s="197"/>
      <c r="O613" s="197"/>
      <c r="P613" s="197"/>
      <c r="Q613" s="197"/>
      <c r="R613" s="197"/>
      <c r="S613" s="197"/>
      <c r="T613" s="197"/>
      <c r="U613" s="197"/>
      <c r="V613" s="197"/>
      <c r="W613" s="197"/>
      <c r="X613" s="197"/>
      <c r="Y613" s="197"/>
      <c r="Z613" s="197"/>
      <c r="AA613" s="197"/>
      <c r="AB613" s="197"/>
      <c r="AC613" s="197"/>
      <c r="AD613" s="197"/>
      <c r="AE613" s="197"/>
      <c r="AF613" s="197"/>
      <c r="AG613" s="197"/>
      <c r="AH613" s="197"/>
      <c r="AI613" s="197"/>
      <c r="AJ613" s="197"/>
      <c r="AK613" s="197"/>
      <c r="AL613" s="197"/>
    </row>
    <row r="614" spans="1:38">
      <c r="A614" s="11" t="str">
        <f t="shared" si="61"/>
        <v>05-825950502013</v>
      </c>
      <c r="B614" t="s">
        <v>342</v>
      </c>
      <c r="C614" t="s">
        <v>343</v>
      </c>
      <c r="D614">
        <v>2013</v>
      </c>
      <c r="E614" t="s">
        <v>104</v>
      </c>
      <c r="F614">
        <v>1292818.99</v>
      </c>
      <c r="G614">
        <v>1187</v>
      </c>
      <c r="H614" s="11" t="str">
        <f t="shared" si="60"/>
        <v>count</v>
      </c>
      <c r="I614" s="197"/>
      <c r="J614" s="197"/>
      <c r="K614" s="197"/>
      <c r="L614" s="197"/>
      <c r="M614" s="197"/>
      <c r="N614" s="197"/>
      <c r="O614" s="197"/>
      <c r="P614" s="197"/>
      <c r="Q614" s="197"/>
      <c r="R614" s="197"/>
      <c r="S614" s="197"/>
      <c r="T614" s="197"/>
      <c r="U614" s="197"/>
      <c r="V614" s="197"/>
      <c r="W614" s="197"/>
      <c r="X614" s="197"/>
      <c r="Y614" s="197"/>
      <c r="Z614" s="197"/>
      <c r="AA614" s="197"/>
      <c r="AB614" s="197"/>
      <c r="AC614" s="197"/>
      <c r="AD614" s="197"/>
      <c r="AE614" s="197"/>
      <c r="AF614" s="197"/>
      <c r="AG614" s="197"/>
      <c r="AH614" s="197"/>
      <c r="AI614" s="197"/>
      <c r="AJ614" s="197"/>
      <c r="AK614" s="197"/>
      <c r="AL614" s="197"/>
    </row>
    <row r="615" spans="1:38">
      <c r="A615" s="11" t="str">
        <f t="shared" si="61"/>
        <v>05-826440642011</v>
      </c>
      <c r="B615" t="s">
        <v>344</v>
      </c>
      <c r="C615" t="s">
        <v>345</v>
      </c>
      <c r="D615">
        <v>2011</v>
      </c>
      <c r="E615" t="s">
        <v>1075</v>
      </c>
      <c r="F615">
        <v>9842.43</v>
      </c>
      <c r="G615">
        <v>28</v>
      </c>
      <c r="H615" s="11" t="str">
        <f t="shared" si="60"/>
        <v>volume</v>
      </c>
      <c r="I615" s="197"/>
      <c r="J615" s="197"/>
      <c r="K615" s="197"/>
      <c r="L615" s="197"/>
      <c r="M615" s="197"/>
      <c r="N615" s="197"/>
      <c r="O615" s="197"/>
      <c r="P615" s="197"/>
      <c r="Q615" s="197"/>
      <c r="R615" s="197"/>
      <c r="S615" s="197"/>
      <c r="T615" s="197"/>
      <c r="U615" s="197"/>
      <c r="V615" s="197"/>
      <c r="W615" s="197"/>
      <c r="X615" s="197"/>
      <c r="Y615" s="197"/>
      <c r="Z615" s="197"/>
      <c r="AA615" s="197"/>
      <c r="AB615" s="197"/>
      <c r="AC615" s="197"/>
      <c r="AD615" s="197"/>
      <c r="AE615" s="197"/>
      <c r="AF615" s="197"/>
      <c r="AG615" s="197"/>
      <c r="AH615" s="197"/>
      <c r="AI615" s="197"/>
      <c r="AJ615" s="197"/>
      <c r="AK615" s="197"/>
      <c r="AL615" s="197"/>
    </row>
    <row r="616" spans="1:38">
      <c r="A616" s="11" t="str">
        <f t="shared" si="61"/>
        <v>05-826440642011</v>
      </c>
      <c r="B616" t="s">
        <v>344</v>
      </c>
      <c r="C616" t="s">
        <v>345</v>
      </c>
      <c r="D616">
        <v>2011</v>
      </c>
      <c r="E616" t="s">
        <v>104</v>
      </c>
      <c r="F616">
        <v>210802.42</v>
      </c>
      <c r="G616">
        <v>490</v>
      </c>
      <c r="H616" s="11" t="str">
        <f t="shared" si="60"/>
        <v>count</v>
      </c>
      <c r="I616" s="197"/>
      <c r="J616" s="197"/>
      <c r="K616" s="197"/>
      <c r="L616" s="197"/>
      <c r="M616" s="197"/>
      <c r="N616" s="197"/>
      <c r="O616" s="197"/>
      <c r="P616" s="197"/>
      <c r="Q616" s="197"/>
      <c r="R616" s="197"/>
      <c r="S616" s="197"/>
      <c r="T616" s="197"/>
      <c r="U616" s="197"/>
      <c r="V616" s="197"/>
      <c r="W616" s="197"/>
      <c r="X616" s="197"/>
      <c r="Y616" s="197"/>
      <c r="Z616" s="197"/>
      <c r="AA616" s="197"/>
      <c r="AB616" s="197"/>
      <c r="AC616" s="197"/>
      <c r="AD616" s="197"/>
      <c r="AE616" s="197"/>
      <c r="AF616" s="197"/>
      <c r="AG616" s="197"/>
      <c r="AH616" s="197"/>
      <c r="AI616" s="197"/>
      <c r="AJ616" s="197"/>
      <c r="AK616" s="197"/>
      <c r="AL616" s="197"/>
    </row>
    <row r="617" spans="1:38">
      <c r="A617" s="11" t="str">
        <f t="shared" si="61"/>
        <v>05-826440642011</v>
      </c>
      <c r="B617" t="s">
        <v>344</v>
      </c>
      <c r="C617" t="s">
        <v>345</v>
      </c>
      <c r="D617">
        <v>2011</v>
      </c>
      <c r="E617" t="s">
        <v>63</v>
      </c>
      <c r="F617">
        <v>522106.24</v>
      </c>
      <c r="G617">
        <v>1273</v>
      </c>
      <c r="H617" s="11" t="str">
        <f t="shared" si="60"/>
        <v>count</v>
      </c>
      <c r="I617" s="197"/>
      <c r="J617" s="197"/>
      <c r="K617" s="197"/>
      <c r="L617" s="197"/>
      <c r="M617" s="197"/>
      <c r="N617" s="197"/>
      <c r="O617" s="197"/>
      <c r="P617" s="197"/>
      <c r="Q617" s="197"/>
      <c r="R617" s="197"/>
      <c r="S617" s="197"/>
      <c r="T617" s="197"/>
      <c r="U617" s="197"/>
      <c r="V617" s="197"/>
      <c r="W617" s="197"/>
      <c r="X617" s="197"/>
      <c r="Y617" s="197"/>
      <c r="Z617" s="197"/>
      <c r="AA617" s="197"/>
      <c r="AB617" s="197"/>
      <c r="AC617" s="197"/>
      <c r="AD617" s="197"/>
      <c r="AE617" s="197"/>
      <c r="AF617" s="197"/>
      <c r="AG617" s="197"/>
      <c r="AH617" s="197"/>
      <c r="AI617" s="197"/>
      <c r="AJ617" s="197"/>
      <c r="AK617" s="197"/>
      <c r="AL617" s="197"/>
    </row>
    <row r="618" spans="1:38">
      <c r="A618" s="11" t="str">
        <f t="shared" si="61"/>
        <v>05-826440642013</v>
      </c>
      <c r="B618" t="s">
        <v>344</v>
      </c>
      <c r="C618" t="s">
        <v>345</v>
      </c>
      <c r="D618">
        <v>2013</v>
      </c>
      <c r="E618" t="s">
        <v>105</v>
      </c>
      <c r="F618">
        <v>59556.25</v>
      </c>
      <c r="G618">
        <v>122</v>
      </c>
      <c r="H618" s="11" t="str">
        <f t="shared" si="60"/>
        <v>count</v>
      </c>
      <c r="I618" s="197"/>
      <c r="J618" s="197"/>
      <c r="K618" s="197"/>
      <c r="L618" s="197"/>
      <c r="M618" s="197"/>
      <c r="N618" s="197"/>
      <c r="O618" s="197"/>
      <c r="P618" s="197"/>
      <c r="Q618" s="197"/>
      <c r="R618" s="197"/>
      <c r="S618" s="197"/>
      <c r="T618" s="197"/>
      <c r="U618" s="197"/>
      <c r="V618" s="197"/>
      <c r="W618" s="197"/>
      <c r="X618" s="197"/>
      <c r="Y618" s="197"/>
      <c r="Z618" s="197"/>
      <c r="AA618" s="197"/>
      <c r="AB618" s="197"/>
      <c r="AC618" s="197"/>
      <c r="AD618" s="197"/>
      <c r="AE618" s="197"/>
      <c r="AF618" s="197"/>
      <c r="AG618" s="197"/>
      <c r="AH618" s="197"/>
      <c r="AI618" s="197"/>
      <c r="AJ618" s="197"/>
      <c r="AK618" s="197"/>
      <c r="AL618" s="197"/>
    </row>
    <row r="619" spans="1:38">
      <c r="A619" s="11" t="str">
        <f t="shared" si="61"/>
        <v>05-826440642013</v>
      </c>
      <c r="B619" t="s">
        <v>344</v>
      </c>
      <c r="C619" t="s">
        <v>345</v>
      </c>
      <c r="D619">
        <v>2013</v>
      </c>
      <c r="E619" t="s">
        <v>133</v>
      </c>
      <c r="F619">
        <v>125496.31</v>
      </c>
      <c r="G619">
        <v>301</v>
      </c>
      <c r="H619" s="11" t="str">
        <f t="shared" si="60"/>
        <v>count</v>
      </c>
      <c r="I619" s="197"/>
      <c r="J619" s="197"/>
      <c r="K619" s="197"/>
      <c r="L619" s="197"/>
      <c r="M619" s="197"/>
      <c r="N619" s="197"/>
      <c r="O619" s="197"/>
      <c r="P619" s="197"/>
      <c r="Q619" s="197"/>
      <c r="R619" s="197"/>
      <c r="S619" s="197"/>
      <c r="T619" s="197"/>
      <c r="U619" s="197"/>
      <c r="V619" s="197"/>
      <c r="W619" s="197"/>
      <c r="X619" s="197"/>
      <c r="Y619" s="197"/>
      <c r="Z619" s="197"/>
      <c r="AA619" s="197"/>
      <c r="AB619" s="197"/>
      <c r="AC619" s="197"/>
      <c r="AD619" s="197"/>
      <c r="AE619" s="197"/>
      <c r="AF619" s="197"/>
      <c r="AG619" s="197"/>
      <c r="AH619" s="197"/>
      <c r="AI619" s="197"/>
      <c r="AJ619" s="197"/>
      <c r="AK619" s="197"/>
      <c r="AL619" s="197"/>
    </row>
    <row r="620" spans="1:38">
      <c r="A620" s="11" t="str">
        <f t="shared" si="61"/>
        <v>05-826440642011</v>
      </c>
      <c r="B620" t="s">
        <v>344</v>
      </c>
      <c r="C620" t="s">
        <v>345</v>
      </c>
      <c r="D620">
        <v>2011</v>
      </c>
      <c r="E620" t="s">
        <v>133</v>
      </c>
      <c r="F620">
        <v>119682.59</v>
      </c>
      <c r="G620">
        <v>281</v>
      </c>
      <c r="H620" s="11" t="str">
        <f t="shared" si="60"/>
        <v>count</v>
      </c>
      <c r="I620" s="197"/>
      <c r="J620" s="197"/>
      <c r="K620" s="197"/>
      <c r="L620" s="197"/>
      <c r="M620" s="197"/>
      <c r="N620" s="197"/>
      <c r="O620" s="197"/>
      <c r="P620" s="197"/>
      <c r="Q620" s="197"/>
      <c r="R620" s="197"/>
      <c r="S620" s="197"/>
      <c r="T620" s="197"/>
      <c r="U620" s="197"/>
      <c r="V620" s="197"/>
      <c r="W620" s="197"/>
      <c r="X620" s="197"/>
      <c r="Y620" s="197"/>
      <c r="Z620" s="197"/>
      <c r="AA620" s="197"/>
      <c r="AB620" s="197"/>
      <c r="AC620" s="197"/>
      <c r="AD620" s="197"/>
      <c r="AE620" s="197"/>
      <c r="AF620" s="197"/>
      <c r="AG620" s="197"/>
      <c r="AH620" s="197"/>
      <c r="AI620" s="197"/>
      <c r="AJ620" s="197"/>
      <c r="AK620" s="197"/>
      <c r="AL620" s="197"/>
    </row>
    <row r="621" spans="1:38">
      <c r="A621" s="11" t="str">
        <f t="shared" si="61"/>
        <v>05-826440642011</v>
      </c>
      <c r="B621" t="s">
        <v>344</v>
      </c>
      <c r="C621" t="s">
        <v>345</v>
      </c>
      <c r="D621">
        <v>2011</v>
      </c>
      <c r="E621" t="s">
        <v>1076</v>
      </c>
      <c r="F621">
        <v>3257.75</v>
      </c>
      <c r="G621">
        <v>8</v>
      </c>
      <c r="H621" s="11" t="str">
        <f t="shared" si="60"/>
        <v>count</v>
      </c>
      <c r="I621" s="197"/>
      <c r="J621" s="197"/>
      <c r="K621" s="197"/>
      <c r="L621" s="197"/>
      <c r="M621" s="197"/>
      <c r="N621" s="197"/>
      <c r="O621" s="197"/>
      <c r="P621" s="197"/>
      <c r="Q621" s="197"/>
      <c r="R621" s="197"/>
      <c r="S621" s="197"/>
      <c r="T621" s="197"/>
      <c r="U621" s="197"/>
      <c r="V621" s="197"/>
      <c r="W621" s="197"/>
      <c r="X621" s="197"/>
      <c r="Y621" s="197"/>
      <c r="Z621" s="197"/>
      <c r="AA621" s="197"/>
      <c r="AB621" s="197"/>
      <c r="AC621" s="197"/>
      <c r="AD621" s="197"/>
      <c r="AE621" s="197"/>
      <c r="AF621" s="197"/>
      <c r="AG621" s="197"/>
      <c r="AH621" s="197"/>
      <c r="AI621" s="197"/>
      <c r="AJ621" s="197"/>
      <c r="AK621" s="197"/>
      <c r="AL621" s="197"/>
    </row>
    <row r="622" spans="1:38">
      <c r="A622" s="11" t="str">
        <f t="shared" si="61"/>
        <v>05-826440642012</v>
      </c>
      <c r="B622" t="s">
        <v>344</v>
      </c>
      <c r="C622" t="s">
        <v>345</v>
      </c>
      <c r="D622">
        <v>2012</v>
      </c>
      <c r="E622" t="s">
        <v>105</v>
      </c>
      <c r="F622">
        <v>58891.9</v>
      </c>
      <c r="G622">
        <v>134</v>
      </c>
      <c r="H622" s="11" t="str">
        <f t="shared" si="60"/>
        <v>count</v>
      </c>
      <c r="I622" s="197"/>
      <c r="J622" s="197"/>
      <c r="K622" s="197"/>
      <c r="L622" s="197"/>
      <c r="M622" s="197"/>
      <c r="N622" s="197"/>
      <c r="O622" s="197"/>
      <c r="P622" s="197"/>
      <c r="Q622" s="197"/>
      <c r="R622" s="197"/>
      <c r="S622" s="197"/>
      <c r="T622" s="197"/>
      <c r="U622" s="197"/>
      <c r="V622" s="197"/>
      <c r="W622" s="197"/>
      <c r="X622" s="197"/>
      <c r="Y622" s="197"/>
      <c r="Z622" s="197"/>
      <c r="AA622" s="197"/>
      <c r="AB622" s="197"/>
      <c r="AC622" s="197"/>
      <c r="AD622" s="197"/>
      <c r="AE622" s="197"/>
      <c r="AF622" s="197"/>
      <c r="AG622" s="197"/>
      <c r="AH622" s="197"/>
      <c r="AI622" s="197"/>
      <c r="AJ622" s="197"/>
      <c r="AK622" s="197"/>
      <c r="AL622" s="197"/>
    </row>
    <row r="623" spans="1:38">
      <c r="A623" s="11" t="str">
        <f t="shared" si="61"/>
        <v>05-826440642011</v>
      </c>
      <c r="B623" t="s">
        <v>344</v>
      </c>
      <c r="C623" t="s">
        <v>345</v>
      </c>
      <c r="D623">
        <v>2011</v>
      </c>
      <c r="E623" t="s">
        <v>69</v>
      </c>
      <c r="F623">
        <v>1982.78</v>
      </c>
      <c r="G623">
        <v>4</v>
      </c>
      <c r="H623" s="11" t="str">
        <f t="shared" si="60"/>
        <v>count</v>
      </c>
      <c r="I623" s="197"/>
      <c r="J623" s="197"/>
      <c r="K623" s="197"/>
      <c r="L623" s="197"/>
      <c r="M623" s="197"/>
      <c r="N623" s="197"/>
      <c r="O623" s="197"/>
      <c r="P623" s="197"/>
      <c r="Q623" s="197"/>
      <c r="R623" s="197"/>
      <c r="S623" s="197"/>
      <c r="T623" s="197"/>
      <c r="U623" s="197"/>
      <c r="V623" s="197"/>
      <c r="W623" s="197"/>
      <c r="X623" s="197"/>
      <c r="Y623" s="197"/>
      <c r="Z623" s="197"/>
      <c r="AA623" s="197"/>
      <c r="AB623" s="197"/>
      <c r="AC623" s="197"/>
      <c r="AD623" s="197"/>
      <c r="AE623" s="197"/>
      <c r="AF623" s="197"/>
      <c r="AG623" s="197"/>
      <c r="AH623" s="197"/>
      <c r="AI623" s="197"/>
      <c r="AJ623" s="197"/>
      <c r="AK623" s="197"/>
      <c r="AL623" s="197"/>
    </row>
    <row r="624" spans="1:38">
      <c r="A624" s="11" t="str">
        <f t="shared" si="61"/>
        <v>05-826440642012</v>
      </c>
      <c r="B624" t="s">
        <v>344</v>
      </c>
      <c r="C624" t="s">
        <v>345</v>
      </c>
      <c r="D624">
        <v>2012</v>
      </c>
      <c r="E624" t="s">
        <v>133</v>
      </c>
      <c r="F624">
        <v>145704.14000000001</v>
      </c>
      <c r="G624">
        <v>366</v>
      </c>
      <c r="H624" s="11" t="str">
        <f t="shared" si="60"/>
        <v>count</v>
      </c>
      <c r="I624" s="197"/>
      <c r="J624" s="197"/>
      <c r="K624" s="197"/>
      <c r="L624" s="197"/>
      <c r="M624" s="197"/>
      <c r="N624" s="197"/>
      <c r="O624" s="197"/>
      <c r="P624" s="197"/>
      <c r="Q624" s="197"/>
      <c r="R624" s="197"/>
      <c r="S624" s="197"/>
      <c r="T624" s="197"/>
      <c r="U624" s="197"/>
      <c r="V624" s="197"/>
      <c r="W624" s="197"/>
      <c r="X624" s="197"/>
      <c r="Y624" s="197"/>
      <c r="Z624" s="197"/>
      <c r="AA624" s="197"/>
      <c r="AB624" s="197"/>
      <c r="AC624" s="197"/>
      <c r="AD624" s="197"/>
      <c r="AE624" s="197"/>
      <c r="AF624" s="197"/>
      <c r="AG624" s="197"/>
      <c r="AH624" s="197"/>
      <c r="AI624" s="197"/>
      <c r="AJ624" s="197"/>
      <c r="AK624" s="197"/>
      <c r="AL624" s="197"/>
    </row>
    <row r="625" spans="1:38">
      <c r="A625" s="11" t="str">
        <f t="shared" si="61"/>
        <v>05-826440642013</v>
      </c>
      <c r="B625" t="s">
        <v>344</v>
      </c>
      <c r="C625" t="s">
        <v>345</v>
      </c>
      <c r="D625">
        <v>2013</v>
      </c>
      <c r="E625" t="s">
        <v>63</v>
      </c>
      <c r="F625">
        <v>282620.02</v>
      </c>
      <c r="G625">
        <v>671</v>
      </c>
      <c r="H625" s="11" t="str">
        <f t="shared" si="60"/>
        <v>count</v>
      </c>
      <c r="I625" s="197"/>
      <c r="J625" s="197"/>
      <c r="K625" s="197"/>
      <c r="L625" s="197"/>
      <c r="M625" s="197"/>
      <c r="N625" s="197"/>
      <c r="O625" s="197"/>
      <c r="P625" s="197"/>
      <c r="Q625" s="197"/>
      <c r="R625" s="197"/>
      <c r="S625" s="197"/>
      <c r="T625" s="197"/>
      <c r="U625" s="197"/>
      <c r="V625" s="197"/>
      <c r="W625" s="197"/>
      <c r="X625" s="197"/>
      <c r="Y625" s="197"/>
      <c r="Z625" s="197"/>
      <c r="AA625" s="197"/>
      <c r="AB625" s="197"/>
      <c r="AC625" s="197"/>
      <c r="AD625" s="197"/>
      <c r="AE625" s="197"/>
      <c r="AF625" s="197"/>
      <c r="AG625" s="197"/>
      <c r="AH625" s="197"/>
      <c r="AI625" s="197"/>
      <c r="AJ625" s="197"/>
      <c r="AK625" s="197"/>
      <c r="AL625" s="197"/>
    </row>
    <row r="626" spans="1:38">
      <c r="A626" s="11" t="str">
        <f t="shared" si="61"/>
        <v>05-826440642011</v>
      </c>
      <c r="B626" t="s">
        <v>344</v>
      </c>
      <c r="C626" t="s">
        <v>345</v>
      </c>
      <c r="D626">
        <v>2011</v>
      </c>
      <c r="E626" t="s">
        <v>105</v>
      </c>
      <c r="F626">
        <v>56367.59</v>
      </c>
      <c r="G626">
        <v>115</v>
      </c>
      <c r="H626" s="11" t="str">
        <f t="shared" si="60"/>
        <v>count</v>
      </c>
      <c r="I626" s="197"/>
      <c r="J626" s="197"/>
      <c r="K626" s="197"/>
      <c r="L626" s="197"/>
      <c r="M626" s="197"/>
      <c r="N626" s="197"/>
      <c r="O626" s="197"/>
      <c r="P626" s="197"/>
      <c r="Q626" s="197"/>
      <c r="R626" s="197"/>
      <c r="S626" s="197"/>
      <c r="T626" s="197"/>
      <c r="U626" s="197"/>
      <c r="V626" s="197"/>
      <c r="W626" s="197"/>
      <c r="X626" s="197"/>
      <c r="Y626" s="197"/>
      <c r="Z626" s="197"/>
      <c r="AA626" s="197"/>
      <c r="AB626" s="197"/>
      <c r="AC626" s="197"/>
      <c r="AD626" s="197"/>
      <c r="AE626" s="197"/>
      <c r="AF626" s="197"/>
      <c r="AG626" s="197"/>
      <c r="AH626" s="197"/>
      <c r="AI626" s="197"/>
      <c r="AJ626" s="197"/>
      <c r="AK626" s="197"/>
      <c r="AL626" s="197"/>
    </row>
    <row r="627" spans="1:38">
      <c r="A627" s="11" t="str">
        <f t="shared" si="61"/>
        <v>05-826440642012</v>
      </c>
      <c r="B627" t="s">
        <v>344</v>
      </c>
      <c r="C627" t="s">
        <v>345</v>
      </c>
      <c r="D627">
        <v>2012</v>
      </c>
      <c r="E627" t="s">
        <v>69</v>
      </c>
      <c r="F627">
        <v>254695.04000000001</v>
      </c>
      <c r="G627">
        <v>667</v>
      </c>
      <c r="H627" s="11" t="str">
        <f t="shared" si="60"/>
        <v>count</v>
      </c>
      <c r="I627" s="197"/>
      <c r="J627" s="197"/>
      <c r="K627" s="197"/>
      <c r="L627" s="197"/>
      <c r="M627" s="197"/>
      <c r="N627" s="197"/>
      <c r="O627" s="197"/>
      <c r="P627" s="197"/>
      <c r="Q627" s="197"/>
      <c r="R627" s="197"/>
      <c r="S627" s="197"/>
      <c r="T627" s="197"/>
      <c r="U627" s="197"/>
      <c r="V627" s="197"/>
      <c r="W627" s="197"/>
      <c r="X627" s="197"/>
      <c r="Y627" s="197"/>
      <c r="Z627" s="197"/>
      <c r="AA627" s="197"/>
      <c r="AB627" s="197"/>
      <c r="AC627" s="197"/>
      <c r="AD627" s="197"/>
      <c r="AE627" s="197"/>
      <c r="AF627" s="197"/>
      <c r="AG627" s="197"/>
      <c r="AH627" s="197"/>
      <c r="AI627" s="197"/>
      <c r="AJ627" s="197"/>
      <c r="AK627" s="197"/>
      <c r="AL627" s="197"/>
    </row>
    <row r="628" spans="1:38">
      <c r="A628" s="11" t="str">
        <f t="shared" si="61"/>
        <v>05-826440642013</v>
      </c>
      <c r="B628" t="s">
        <v>344</v>
      </c>
      <c r="C628" t="s">
        <v>345</v>
      </c>
      <c r="D628">
        <v>2013</v>
      </c>
      <c r="E628" t="s">
        <v>104</v>
      </c>
      <c r="F628">
        <v>175515.19</v>
      </c>
      <c r="G628">
        <v>415</v>
      </c>
      <c r="H628" s="11" t="str">
        <f t="shared" si="60"/>
        <v>count</v>
      </c>
      <c r="I628" s="197"/>
      <c r="J628" s="197"/>
      <c r="K628" s="197"/>
      <c r="L628" s="197"/>
      <c r="M628" s="197"/>
      <c r="N628" s="197"/>
      <c r="O628" s="197"/>
      <c r="P628" s="197"/>
      <c r="Q628" s="197"/>
      <c r="R628" s="197"/>
      <c r="S628" s="197"/>
      <c r="T628" s="197"/>
      <c r="U628" s="197"/>
      <c r="V628" s="197"/>
      <c r="W628" s="197"/>
      <c r="X628" s="197"/>
      <c r="Y628" s="197"/>
      <c r="Z628" s="197"/>
      <c r="AA628" s="197"/>
      <c r="AB628" s="197"/>
      <c r="AC628" s="197"/>
      <c r="AD628" s="197"/>
      <c r="AE628" s="197"/>
      <c r="AF628" s="197"/>
      <c r="AG628" s="197"/>
      <c r="AH628" s="197"/>
      <c r="AI628" s="197"/>
      <c r="AJ628" s="197"/>
      <c r="AK628" s="197"/>
      <c r="AL628" s="197"/>
    </row>
    <row r="629" spans="1:38">
      <c r="A629" s="11" t="str">
        <f t="shared" si="61"/>
        <v>05-826440642012</v>
      </c>
      <c r="B629" t="s">
        <v>344</v>
      </c>
      <c r="C629" t="s">
        <v>345</v>
      </c>
      <c r="D629">
        <v>2012</v>
      </c>
      <c r="E629" t="s">
        <v>104</v>
      </c>
      <c r="F629">
        <v>205802.76</v>
      </c>
      <c r="G629">
        <v>531</v>
      </c>
      <c r="H629" s="11" t="str">
        <f t="shared" si="60"/>
        <v>count</v>
      </c>
      <c r="I629" s="197"/>
      <c r="J629" s="197"/>
      <c r="K629" s="197"/>
      <c r="L629" s="197"/>
      <c r="M629" s="197"/>
      <c r="N629" s="197"/>
      <c r="O629" s="197"/>
      <c r="P629" s="197"/>
      <c r="Q629" s="197"/>
      <c r="R629" s="197"/>
      <c r="S629" s="197"/>
      <c r="T629" s="197"/>
      <c r="U629" s="197"/>
      <c r="V629" s="197"/>
      <c r="W629" s="197"/>
      <c r="X629" s="197"/>
      <c r="Y629" s="197"/>
      <c r="Z629" s="197"/>
      <c r="AA629" s="197"/>
      <c r="AB629" s="197"/>
      <c r="AC629" s="197"/>
      <c r="AD629" s="197"/>
      <c r="AE629" s="197"/>
      <c r="AF629" s="197"/>
      <c r="AG629" s="197"/>
      <c r="AH629" s="197"/>
      <c r="AI629" s="197"/>
      <c r="AJ629" s="197"/>
      <c r="AK629" s="197"/>
      <c r="AL629" s="197"/>
    </row>
    <row r="630" spans="1:38">
      <c r="A630" s="11" t="str">
        <f t="shared" si="61"/>
        <v>05-826440642011</v>
      </c>
      <c r="B630" t="s">
        <v>344</v>
      </c>
      <c r="C630" t="s">
        <v>345</v>
      </c>
      <c r="D630">
        <v>2011</v>
      </c>
      <c r="E630" t="s">
        <v>1074</v>
      </c>
      <c r="F630">
        <v>4489.5</v>
      </c>
      <c r="G630">
        <v>15</v>
      </c>
      <c r="H630" s="11" t="str">
        <f t="shared" si="60"/>
        <v>count</v>
      </c>
      <c r="I630" s="197"/>
      <c r="J630" s="197"/>
      <c r="K630" s="197"/>
      <c r="L630" s="197"/>
      <c r="M630" s="197"/>
      <c r="N630" s="197"/>
      <c r="O630" s="197"/>
      <c r="P630" s="197"/>
      <c r="Q630" s="197"/>
      <c r="R630" s="197"/>
      <c r="S630" s="197"/>
      <c r="T630" s="197"/>
      <c r="U630" s="197"/>
      <c r="V630" s="197"/>
      <c r="W630" s="197"/>
      <c r="X630" s="197"/>
      <c r="Y630" s="197"/>
      <c r="Z630" s="197"/>
      <c r="AA630" s="197"/>
      <c r="AB630" s="197"/>
      <c r="AC630" s="197"/>
      <c r="AD630" s="197"/>
      <c r="AE630" s="197"/>
      <c r="AF630" s="197"/>
      <c r="AG630" s="197"/>
      <c r="AH630" s="197"/>
      <c r="AI630" s="197"/>
      <c r="AJ630" s="197"/>
      <c r="AK630" s="197"/>
      <c r="AL630" s="197"/>
    </row>
    <row r="631" spans="1:38">
      <c r="A631" s="11" t="str">
        <f t="shared" si="61"/>
        <v>05-826440642012</v>
      </c>
      <c r="B631" t="s">
        <v>344</v>
      </c>
      <c r="C631" t="s">
        <v>345</v>
      </c>
      <c r="D631">
        <v>2012</v>
      </c>
      <c r="E631" t="s">
        <v>63</v>
      </c>
      <c r="F631">
        <v>353837.64</v>
      </c>
      <c r="G631">
        <v>898</v>
      </c>
      <c r="H631" s="11" t="str">
        <f t="shared" si="60"/>
        <v>count</v>
      </c>
      <c r="I631" s="197"/>
      <c r="J631" s="197"/>
      <c r="K631" s="197"/>
      <c r="L631" s="197"/>
      <c r="M631" s="197"/>
      <c r="N631" s="197"/>
      <c r="O631" s="197"/>
      <c r="P631" s="197"/>
      <c r="Q631" s="197"/>
      <c r="R631" s="197"/>
      <c r="S631" s="197"/>
      <c r="T631" s="197"/>
      <c r="U631" s="197"/>
      <c r="V631" s="197"/>
      <c r="W631" s="197"/>
      <c r="X631" s="197"/>
      <c r="Y631" s="197"/>
      <c r="Z631" s="197"/>
      <c r="AA631" s="197"/>
      <c r="AB631" s="197"/>
      <c r="AC631" s="197"/>
      <c r="AD631" s="197"/>
      <c r="AE631" s="197"/>
      <c r="AF631" s="197"/>
      <c r="AG631" s="197"/>
      <c r="AH631" s="197"/>
      <c r="AI631" s="197"/>
      <c r="AJ631" s="197"/>
      <c r="AK631" s="197"/>
      <c r="AL631" s="197"/>
    </row>
    <row r="632" spans="1:38">
      <c r="A632" s="11" t="str">
        <f t="shared" si="61"/>
        <v>05-826440642013</v>
      </c>
      <c r="B632" t="s">
        <v>344</v>
      </c>
      <c r="C632" t="s">
        <v>345</v>
      </c>
      <c r="D632">
        <v>2013</v>
      </c>
      <c r="E632" t="s">
        <v>69</v>
      </c>
      <c r="F632">
        <v>260873.62</v>
      </c>
      <c r="G632">
        <v>669</v>
      </c>
      <c r="H632" s="11" t="str">
        <f t="shared" si="60"/>
        <v>count</v>
      </c>
      <c r="I632" s="197"/>
      <c r="J632" s="197"/>
      <c r="K632" s="197"/>
      <c r="L632" s="197"/>
      <c r="M632" s="197"/>
      <c r="N632" s="197"/>
      <c r="O632" s="197"/>
      <c r="P632" s="197"/>
      <c r="Q632" s="197"/>
      <c r="R632" s="197"/>
      <c r="S632" s="197"/>
      <c r="T632" s="197"/>
      <c r="U632" s="197"/>
      <c r="V632" s="197"/>
      <c r="W632" s="197"/>
      <c r="X632" s="197"/>
      <c r="Y632" s="197"/>
      <c r="Z632" s="197"/>
      <c r="AA632" s="197"/>
      <c r="AB632" s="197"/>
      <c r="AC632" s="197"/>
      <c r="AD632" s="197"/>
      <c r="AE632" s="197"/>
      <c r="AF632" s="197"/>
      <c r="AG632" s="197"/>
      <c r="AH632" s="197"/>
      <c r="AI632" s="197"/>
      <c r="AJ632" s="197"/>
      <c r="AK632" s="197"/>
      <c r="AL632" s="197"/>
    </row>
    <row r="633" spans="1:38">
      <c r="A633" s="11" t="str">
        <f t="shared" si="61"/>
        <v>05-851280932013</v>
      </c>
      <c r="B633" t="s">
        <v>353</v>
      </c>
      <c r="C633" t="s">
        <v>354</v>
      </c>
      <c r="D633">
        <v>2013</v>
      </c>
      <c r="E633" t="s">
        <v>63</v>
      </c>
      <c r="F633">
        <v>204008.04</v>
      </c>
      <c r="G633">
        <v>521</v>
      </c>
      <c r="H633" s="11" t="str">
        <f t="shared" si="60"/>
        <v>volume</v>
      </c>
      <c r="I633" s="197"/>
      <c r="J633" s="197"/>
      <c r="K633" s="197"/>
      <c r="L633" s="197"/>
      <c r="M633" s="197"/>
      <c r="N633" s="197"/>
      <c r="O633" s="197"/>
      <c r="P633" s="197"/>
      <c r="Q633" s="197"/>
      <c r="R633" s="197"/>
      <c r="S633" s="197"/>
      <c r="T633" s="197"/>
      <c r="U633" s="197"/>
      <c r="V633" s="197"/>
      <c r="W633" s="197"/>
      <c r="X633" s="197"/>
      <c r="Y633" s="197"/>
      <c r="Z633" s="197"/>
      <c r="AA633" s="197"/>
      <c r="AB633" s="197"/>
      <c r="AC633" s="197"/>
      <c r="AD633" s="197"/>
      <c r="AE633" s="197"/>
      <c r="AF633" s="197"/>
      <c r="AG633" s="197"/>
      <c r="AH633" s="197"/>
      <c r="AI633" s="197"/>
      <c r="AJ633" s="197"/>
      <c r="AK633" s="197"/>
      <c r="AL633" s="197"/>
    </row>
    <row r="634" spans="1:38">
      <c r="A634" s="11" t="str">
        <f t="shared" si="61"/>
        <v>05-851280932013</v>
      </c>
      <c r="B634" t="s">
        <v>353</v>
      </c>
      <c r="C634" t="s">
        <v>354</v>
      </c>
      <c r="D634">
        <v>2013</v>
      </c>
      <c r="E634" t="s">
        <v>104</v>
      </c>
      <c r="F634">
        <v>95390.24</v>
      </c>
      <c r="G634">
        <v>231</v>
      </c>
      <c r="H634" s="11" t="str">
        <f t="shared" si="60"/>
        <v>count</v>
      </c>
      <c r="I634" s="197"/>
      <c r="J634" s="197"/>
      <c r="K634" s="197"/>
      <c r="L634" s="197"/>
      <c r="M634" s="197"/>
      <c r="N634" s="197"/>
      <c r="O634" s="197"/>
      <c r="P634" s="197"/>
      <c r="Q634" s="197"/>
      <c r="R634" s="197"/>
      <c r="S634" s="197"/>
      <c r="T634" s="197"/>
      <c r="U634" s="197"/>
      <c r="V634" s="197"/>
      <c r="W634" s="197"/>
      <c r="X634" s="197"/>
      <c r="Y634" s="197"/>
      <c r="Z634" s="197"/>
      <c r="AA634" s="197"/>
      <c r="AB634" s="197"/>
      <c r="AC634" s="197"/>
      <c r="AD634" s="197"/>
      <c r="AE634" s="197"/>
      <c r="AF634" s="197"/>
      <c r="AG634" s="197"/>
      <c r="AH634" s="197"/>
      <c r="AI634" s="197"/>
      <c r="AJ634" s="197"/>
      <c r="AK634" s="197"/>
      <c r="AL634" s="197"/>
    </row>
    <row r="635" spans="1:38">
      <c r="A635" s="11" t="str">
        <f t="shared" si="61"/>
        <v>05-851280932011</v>
      </c>
      <c r="B635" t="s">
        <v>353</v>
      </c>
      <c r="C635" t="s">
        <v>354</v>
      </c>
      <c r="D635">
        <v>2011</v>
      </c>
      <c r="E635" t="s">
        <v>69</v>
      </c>
      <c r="F635">
        <v>475.2</v>
      </c>
      <c r="G635">
        <v>2</v>
      </c>
      <c r="H635" s="11" t="str">
        <f t="shared" si="60"/>
        <v>count</v>
      </c>
      <c r="I635" s="197"/>
      <c r="J635" s="197"/>
      <c r="K635" s="197"/>
      <c r="L635" s="197"/>
      <c r="M635" s="197"/>
      <c r="N635" s="197"/>
      <c r="O635" s="197"/>
      <c r="P635" s="197"/>
      <c r="Q635" s="197"/>
      <c r="R635" s="197"/>
      <c r="S635" s="197"/>
      <c r="T635" s="197"/>
      <c r="U635" s="197"/>
      <c r="V635" s="197"/>
      <c r="W635" s="197"/>
      <c r="X635" s="197"/>
      <c r="Y635" s="197"/>
      <c r="Z635" s="197"/>
      <c r="AA635" s="197"/>
      <c r="AB635" s="197"/>
      <c r="AC635" s="197"/>
      <c r="AD635" s="197"/>
      <c r="AE635" s="197"/>
      <c r="AF635" s="197"/>
      <c r="AG635" s="197"/>
      <c r="AH635" s="197"/>
      <c r="AI635" s="197"/>
      <c r="AJ635" s="197"/>
      <c r="AK635" s="197"/>
      <c r="AL635" s="197"/>
    </row>
    <row r="636" spans="1:38">
      <c r="A636" s="11" t="str">
        <f t="shared" si="61"/>
        <v>05-851280932012</v>
      </c>
      <c r="B636" t="s">
        <v>353</v>
      </c>
      <c r="C636" t="s">
        <v>354</v>
      </c>
      <c r="D636">
        <v>2012</v>
      </c>
      <c r="E636" t="s">
        <v>104</v>
      </c>
      <c r="F636">
        <v>109802.13</v>
      </c>
      <c r="G636">
        <v>285</v>
      </c>
      <c r="H636" s="11" t="str">
        <f t="shared" si="60"/>
        <v>count</v>
      </c>
      <c r="I636" s="197"/>
      <c r="J636" s="197"/>
      <c r="K636" s="197"/>
      <c r="L636" s="197"/>
      <c r="M636" s="197"/>
      <c r="N636" s="197"/>
      <c r="O636" s="197"/>
      <c r="P636" s="197"/>
      <c r="Q636" s="197"/>
      <c r="R636" s="197"/>
      <c r="S636" s="197"/>
      <c r="T636" s="197"/>
      <c r="U636" s="197"/>
      <c r="V636" s="197"/>
      <c r="W636" s="197"/>
      <c r="X636" s="197"/>
      <c r="Y636" s="197"/>
      <c r="Z636" s="197"/>
      <c r="AA636" s="197"/>
      <c r="AB636" s="197"/>
      <c r="AC636" s="197"/>
      <c r="AD636" s="197"/>
      <c r="AE636" s="197"/>
      <c r="AF636" s="197"/>
      <c r="AG636" s="197"/>
      <c r="AH636" s="197"/>
      <c r="AI636" s="197"/>
      <c r="AJ636" s="197"/>
      <c r="AK636" s="197"/>
      <c r="AL636" s="197"/>
    </row>
    <row r="637" spans="1:38">
      <c r="A637" s="11" t="str">
        <f t="shared" si="61"/>
        <v>05-851280932012</v>
      </c>
      <c r="B637" t="s">
        <v>353</v>
      </c>
      <c r="C637" t="s">
        <v>354</v>
      </c>
      <c r="D637">
        <v>2012</v>
      </c>
      <c r="E637" t="s">
        <v>63</v>
      </c>
      <c r="F637">
        <v>193547.1</v>
      </c>
      <c r="G637">
        <v>514</v>
      </c>
      <c r="H637" s="11" t="str">
        <f t="shared" si="60"/>
        <v>count</v>
      </c>
      <c r="I637" s="197"/>
      <c r="J637" s="197"/>
      <c r="K637" s="197"/>
      <c r="L637" s="197"/>
      <c r="M637" s="197"/>
      <c r="N637" s="197"/>
      <c r="O637" s="197"/>
      <c r="P637" s="197"/>
      <c r="Q637" s="197"/>
      <c r="R637" s="197"/>
      <c r="S637" s="197"/>
      <c r="T637" s="197"/>
      <c r="U637" s="197"/>
      <c r="V637" s="197"/>
      <c r="W637" s="197"/>
      <c r="X637" s="197"/>
      <c r="Y637" s="197"/>
      <c r="Z637" s="197"/>
      <c r="AA637" s="197"/>
      <c r="AB637" s="197"/>
      <c r="AC637" s="197"/>
      <c r="AD637" s="197"/>
      <c r="AE637" s="197"/>
      <c r="AF637" s="197"/>
      <c r="AG637" s="197"/>
      <c r="AH637" s="197"/>
      <c r="AI637" s="197"/>
      <c r="AJ637" s="197"/>
      <c r="AK637" s="197"/>
      <c r="AL637" s="197"/>
    </row>
    <row r="638" spans="1:38">
      <c r="A638" s="11" t="str">
        <f t="shared" si="61"/>
        <v>05-851280932013</v>
      </c>
      <c r="B638" t="s">
        <v>353</v>
      </c>
      <c r="C638" t="s">
        <v>354</v>
      </c>
      <c r="D638">
        <v>2013</v>
      </c>
      <c r="E638" t="s">
        <v>105</v>
      </c>
      <c r="F638">
        <v>24759.27</v>
      </c>
      <c r="G638">
        <v>52</v>
      </c>
      <c r="H638" s="11" t="str">
        <f t="shared" si="60"/>
        <v>count</v>
      </c>
      <c r="I638" s="197"/>
      <c r="J638" s="197"/>
      <c r="K638" s="197"/>
      <c r="L638" s="197"/>
      <c r="M638" s="197"/>
      <c r="N638" s="197"/>
      <c r="O638" s="197"/>
      <c r="P638" s="197"/>
      <c r="Q638" s="197"/>
      <c r="R638" s="197"/>
      <c r="S638" s="197"/>
      <c r="T638" s="197"/>
      <c r="U638" s="197"/>
      <c r="V638" s="197"/>
      <c r="W638" s="197"/>
      <c r="X638" s="197"/>
      <c r="Y638" s="197"/>
      <c r="Z638" s="197"/>
      <c r="AA638" s="197"/>
      <c r="AB638" s="197"/>
      <c r="AC638" s="197"/>
      <c r="AD638" s="197"/>
      <c r="AE638" s="197"/>
      <c r="AF638" s="197"/>
      <c r="AG638" s="197"/>
      <c r="AH638" s="197"/>
      <c r="AI638" s="197"/>
      <c r="AJ638" s="197"/>
      <c r="AK638" s="197"/>
      <c r="AL638" s="197"/>
    </row>
    <row r="639" spans="1:38">
      <c r="A639" s="11" t="str">
        <f t="shared" si="61"/>
        <v>05-851280932012</v>
      </c>
      <c r="B639" t="s">
        <v>353</v>
      </c>
      <c r="C639" t="s">
        <v>354</v>
      </c>
      <c r="D639">
        <v>2012</v>
      </c>
      <c r="E639" t="s">
        <v>69</v>
      </c>
      <c r="F639">
        <v>59417.38</v>
      </c>
      <c r="G639">
        <v>205</v>
      </c>
      <c r="H639" s="11" t="str">
        <f t="shared" si="60"/>
        <v>count</v>
      </c>
      <c r="I639" s="197"/>
      <c r="J639" s="197"/>
      <c r="K639" s="197"/>
      <c r="L639" s="197"/>
      <c r="M639" s="197"/>
      <c r="N639" s="197"/>
      <c r="O639" s="197"/>
      <c r="P639" s="197"/>
      <c r="Q639" s="197"/>
      <c r="R639" s="197"/>
      <c r="S639" s="197"/>
      <c r="T639" s="197"/>
      <c r="U639" s="197"/>
      <c r="V639" s="197"/>
      <c r="W639" s="197"/>
      <c r="X639" s="197"/>
      <c r="Y639" s="197"/>
      <c r="Z639" s="197"/>
      <c r="AA639" s="197"/>
      <c r="AB639" s="197"/>
      <c r="AC639" s="197"/>
      <c r="AD639" s="197"/>
      <c r="AE639" s="197"/>
      <c r="AF639" s="197"/>
      <c r="AG639" s="197"/>
      <c r="AH639" s="197"/>
      <c r="AI639" s="197"/>
      <c r="AJ639" s="197"/>
      <c r="AK639" s="197"/>
      <c r="AL639" s="197"/>
    </row>
    <row r="640" spans="1:38">
      <c r="A640" s="11" t="str">
        <f t="shared" si="61"/>
        <v>05-851280932012</v>
      </c>
      <c r="B640" t="s">
        <v>353</v>
      </c>
      <c r="C640" t="s">
        <v>354</v>
      </c>
      <c r="D640">
        <v>2012</v>
      </c>
      <c r="E640" t="s">
        <v>105</v>
      </c>
      <c r="F640">
        <v>20973.89</v>
      </c>
      <c r="G640">
        <v>50</v>
      </c>
      <c r="H640" s="11" t="str">
        <f t="shared" si="60"/>
        <v>count</v>
      </c>
      <c r="I640" s="197"/>
      <c r="J640" s="197"/>
      <c r="K640" s="197"/>
      <c r="L640" s="197"/>
      <c r="M640" s="197"/>
      <c r="N640" s="197"/>
      <c r="O640" s="197"/>
      <c r="P640" s="197"/>
      <c r="Q640" s="197"/>
      <c r="R640" s="197"/>
      <c r="S640" s="197"/>
      <c r="T640" s="197"/>
      <c r="U640" s="197"/>
      <c r="V640" s="197"/>
      <c r="W640" s="197"/>
      <c r="X640" s="197"/>
      <c r="Y640" s="197"/>
      <c r="Z640" s="197"/>
      <c r="AA640" s="197"/>
      <c r="AB640" s="197"/>
      <c r="AC640" s="197"/>
      <c r="AD640" s="197"/>
      <c r="AE640" s="197"/>
      <c r="AF640" s="197"/>
      <c r="AG640" s="197"/>
      <c r="AH640" s="197"/>
      <c r="AI640" s="197"/>
      <c r="AJ640" s="197"/>
      <c r="AK640" s="197"/>
      <c r="AL640" s="197"/>
    </row>
    <row r="641" spans="1:38">
      <c r="A641" s="11" t="str">
        <f t="shared" si="61"/>
        <v>05-851280932011</v>
      </c>
      <c r="B641" t="s">
        <v>353</v>
      </c>
      <c r="C641" t="s">
        <v>354</v>
      </c>
      <c r="D641">
        <v>2011</v>
      </c>
      <c r="E641" t="s">
        <v>63</v>
      </c>
      <c r="F641">
        <v>91926.24</v>
      </c>
      <c r="G641">
        <v>203</v>
      </c>
      <c r="H641" s="11" t="str">
        <f t="shared" si="60"/>
        <v>count</v>
      </c>
      <c r="I641" s="197"/>
      <c r="J641" s="197"/>
      <c r="K641" s="197"/>
      <c r="L641" s="197"/>
      <c r="M641" s="197"/>
      <c r="N641" s="197"/>
      <c r="O641" s="197"/>
      <c r="P641" s="197"/>
      <c r="Q641" s="197"/>
      <c r="R641" s="197"/>
      <c r="S641" s="197"/>
      <c r="T641" s="197"/>
      <c r="U641" s="197"/>
      <c r="V641" s="197"/>
      <c r="W641" s="197"/>
      <c r="X641" s="197"/>
      <c r="Y641" s="197"/>
      <c r="Z641" s="197"/>
      <c r="AA641" s="197"/>
      <c r="AB641" s="197"/>
      <c r="AC641" s="197"/>
      <c r="AD641" s="197"/>
      <c r="AE641" s="197"/>
      <c r="AF641" s="197"/>
      <c r="AG641" s="197"/>
      <c r="AH641" s="197"/>
      <c r="AI641" s="197"/>
      <c r="AJ641" s="197"/>
      <c r="AK641" s="197"/>
      <c r="AL641" s="197"/>
    </row>
    <row r="642" spans="1:38">
      <c r="A642" s="11" t="str">
        <f t="shared" si="61"/>
        <v>05-851280932011</v>
      </c>
      <c r="B642" t="s">
        <v>353</v>
      </c>
      <c r="C642" t="s">
        <v>354</v>
      </c>
      <c r="D642">
        <v>2011</v>
      </c>
      <c r="E642" t="s">
        <v>105</v>
      </c>
      <c r="F642">
        <v>10014.18</v>
      </c>
      <c r="G642">
        <v>20</v>
      </c>
      <c r="H642" s="11" t="str">
        <f t="shared" ref="H642:H705" si="62">IF(B642=B641,"count","volume")</f>
        <v>count</v>
      </c>
      <c r="I642" s="197"/>
      <c r="J642" s="197"/>
      <c r="K642" s="197"/>
      <c r="L642" s="197"/>
      <c r="M642" s="197"/>
      <c r="N642" s="197"/>
      <c r="O642" s="197"/>
      <c r="P642" s="197"/>
      <c r="Q642" s="197"/>
      <c r="R642" s="197"/>
      <c r="S642" s="197"/>
      <c r="T642" s="197"/>
      <c r="U642" s="197"/>
      <c r="V642" s="197"/>
      <c r="W642" s="197"/>
      <c r="X642" s="197"/>
      <c r="Y642" s="197"/>
      <c r="Z642" s="197"/>
      <c r="AA642" s="197"/>
      <c r="AB642" s="197"/>
      <c r="AC642" s="197"/>
      <c r="AD642" s="197"/>
      <c r="AE642" s="197"/>
      <c r="AF642" s="197"/>
      <c r="AG642" s="197"/>
      <c r="AH642" s="197"/>
      <c r="AI642" s="197"/>
      <c r="AJ642" s="197"/>
      <c r="AK642" s="197"/>
      <c r="AL642" s="197"/>
    </row>
    <row r="643" spans="1:38">
      <c r="A643" s="11" t="str">
        <f t="shared" ref="A643:A706" si="63">B643&amp;D643</f>
        <v>05-851280932011</v>
      </c>
      <c r="B643" t="s">
        <v>353</v>
      </c>
      <c r="C643" t="s">
        <v>354</v>
      </c>
      <c r="D643">
        <v>2011</v>
      </c>
      <c r="E643" t="s">
        <v>104</v>
      </c>
      <c r="F643">
        <v>39705.050000000003</v>
      </c>
      <c r="G643">
        <v>87</v>
      </c>
      <c r="H643" s="11" t="str">
        <f t="shared" si="62"/>
        <v>count</v>
      </c>
      <c r="I643" s="197"/>
      <c r="J643" s="197"/>
      <c r="K643" s="197"/>
      <c r="L643" s="197"/>
      <c r="M643" s="197"/>
      <c r="N643" s="197"/>
      <c r="O643" s="197"/>
      <c r="P643" s="197"/>
      <c r="Q643" s="197"/>
      <c r="R643" s="197"/>
      <c r="S643" s="197"/>
      <c r="T643" s="197"/>
      <c r="U643" s="197"/>
      <c r="V643" s="197"/>
      <c r="W643" s="197"/>
      <c r="X643" s="197"/>
      <c r="Y643" s="197"/>
      <c r="Z643" s="197"/>
      <c r="AA643" s="197"/>
      <c r="AB643" s="197"/>
      <c r="AC643" s="197"/>
      <c r="AD643" s="197"/>
      <c r="AE643" s="197"/>
      <c r="AF643" s="197"/>
      <c r="AG643" s="197"/>
      <c r="AH643" s="197"/>
      <c r="AI643" s="197"/>
      <c r="AJ643" s="197"/>
      <c r="AK643" s="197"/>
      <c r="AL643" s="197"/>
    </row>
    <row r="644" spans="1:38">
      <c r="A644" s="11" t="str">
        <f t="shared" si="63"/>
        <v>05-851280932013</v>
      </c>
      <c r="B644" t="s">
        <v>353</v>
      </c>
      <c r="C644" t="s">
        <v>354</v>
      </c>
      <c r="D644">
        <v>2013</v>
      </c>
      <c r="E644" t="s">
        <v>69</v>
      </c>
      <c r="F644">
        <v>60371.88</v>
      </c>
      <c r="G644">
        <v>218</v>
      </c>
      <c r="H644" s="11" t="str">
        <f t="shared" si="62"/>
        <v>count</v>
      </c>
      <c r="I644" s="197"/>
      <c r="J644" s="197"/>
      <c r="K644" s="197"/>
      <c r="L644" s="197"/>
      <c r="M644" s="197"/>
      <c r="N644" s="197"/>
      <c r="O644" s="197"/>
      <c r="P644" s="197"/>
      <c r="Q644" s="197"/>
      <c r="R644" s="197"/>
      <c r="S644" s="197"/>
      <c r="T644" s="197"/>
      <c r="U644" s="197"/>
      <c r="V644" s="197"/>
      <c r="W644" s="197"/>
      <c r="X644" s="197"/>
      <c r="Y644" s="197"/>
      <c r="Z644" s="197"/>
      <c r="AA644" s="197"/>
      <c r="AB644" s="197"/>
      <c r="AC644" s="197"/>
      <c r="AD644" s="197"/>
      <c r="AE644" s="197"/>
      <c r="AF644" s="197"/>
      <c r="AG644" s="197"/>
      <c r="AH644" s="197"/>
      <c r="AI644" s="197"/>
      <c r="AJ644" s="197"/>
      <c r="AK644" s="197"/>
      <c r="AL644" s="197"/>
    </row>
    <row r="645" spans="1:38">
      <c r="A645" s="11" t="str">
        <f t="shared" si="63"/>
        <v>05-852976122011</v>
      </c>
      <c r="B645" t="s">
        <v>355</v>
      </c>
      <c r="C645" t="s">
        <v>356</v>
      </c>
      <c r="D645">
        <v>2011</v>
      </c>
      <c r="E645" t="s">
        <v>63</v>
      </c>
      <c r="F645">
        <v>150975.57999999999</v>
      </c>
      <c r="G645">
        <v>571</v>
      </c>
      <c r="H645" s="11" t="str">
        <f t="shared" si="62"/>
        <v>volume</v>
      </c>
      <c r="I645" s="197"/>
      <c r="J645" s="197"/>
      <c r="K645" s="197"/>
      <c r="L645" s="197"/>
      <c r="M645" s="197"/>
      <c r="N645" s="197"/>
      <c r="O645" s="197"/>
      <c r="P645" s="197"/>
      <c r="Q645" s="197"/>
      <c r="R645" s="197"/>
      <c r="S645" s="197"/>
      <c r="T645" s="197"/>
      <c r="U645" s="197"/>
      <c r="V645" s="197"/>
      <c r="W645" s="197"/>
      <c r="X645" s="197"/>
      <c r="Y645" s="197"/>
      <c r="Z645" s="197"/>
      <c r="AA645" s="197"/>
      <c r="AB645" s="197"/>
      <c r="AC645" s="197"/>
      <c r="AD645" s="197"/>
      <c r="AE645" s="197"/>
      <c r="AF645" s="197"/>
      <c r="AG645" s="197"/>
      <c r="AH645" s="197"/>
      <c r="AI645" s="197"/>
      <c r="AJ645" s="197"/>
      <c r="AK645" s="197"/>
      <c r="AL645" s="197"/>
    </row>
    <row r="646" spans="1:38">
      <c r="A646" s="11" t="str">
        <f t="shared" si="63"/>
        <v>05-852976122013</v>
      </c>
      <c r="B646" t="s">
        <v>355</v>
      </c>
      <c r="C646" t="s">
        <v>356</v>
      </c>
      <c r="D646">
        <v>2013</v>
      </c>
      <c r="E646" t="s">
        <v>69</v>
      </c>
      <c r="F646">
        <v>105084.46</v>
      </c>
      <c r="G646">
        <v>379</v>
      </c>
      <c r="H646" s="11" t="str">
        <f t="shared" si="62"/>
        <v>count</v>
      </c>
      <c r="I646" s="197"/>
      <c r="J646" s="197"/>
      <c r="K646" s="197"/>
      <c r="L646" s="197"/>
      <c r="M646" s="197"/>
      <c r="N646" s="197"/>
      <c r="O646" s="197"/>
      <c r="P646" s="197"/>
      <c r="Q646" s="197"/>
      <c r="R646" s="197"/>
      <c r="S646" s="197"/>
      <c r="T646" s="197"/>
      <c r="U646" s="197"/>
      <c r="V646" s="197"/>
      <c r="W646" s="197"/>
      <c r="X646" s="197"/>
      <c r="Y646" s="197"/>
      <c r="Z646" s="197"/>
      <c r="AA646" s="197"/>
      <c r="AB646" s="197"/>
      <c r="AC646" s="197"/>
      <c r="AD646" s="197"/>
      <c r="AE646" s="197"/>
      <c r="AF646" s="197"/>
      <c r="AG646" s="197"/>
      <c r="AH646" s="197"/>
      <c r="AI646" s="197"/>
      <c r="AJ646" s="197"/>
      <c r="AK646" s="197"/>
      <c r="AL646" s="197"/>
    </row>
    <row r="647" spans="1:38">
      <c r="A647" s="11" t="str">
        <f t="shared" si="63"/>
        <v>05-852976122012</v>
      </c>
      <c r="B647" t="s">
        <v>355</v>
      </c>
      <c r="C647" t="s">
        <v>356</v>
      </c>
      <c r="D647">
        <v>2012</v>
      </c>
      <c r="E647" t="s">
        <v>105</v>
      </c>
      <c r="F647">
        <v>38339.089999999997</v>
      </c>
      <c r="G647">
        <v>141</v>
      </c>
      <c r="H647" s="11" t="str">
        <f t="shared" si="62"/>
        <v>count</v>
      </c>
      <c r="I647" s="197"/>
      <c r="J647" s="197"/>
      <c r="K647" s="197"/>
      <c r="L647" s="197"/>
      <c r="M647" s="197"/>
      <c r="N647" s="197"/>
      <c r="O647" s="197"/>
      <c r="P647" s="197"/>
      <c r="Q647" s="197"/>
      <c r="R647" s="197"/>
      <c r="S647" s="197"/>
      <c r="T647" s="197"/>
      <c r="U647" s="197"/>
      <c r="V647" s="197"/>
      <c r="W647" s="197"/>
      <c r="X647" s="197"/>
      <c r="Y647" s="197"/>
      <c r="Z647" s="197"/>
      <c r="AA647" s="197"/>
      <c r="AB647" s="197"/>
      <c r="AC647" s="197"/>
      <c r="AD647" s="197"/>
      <c r="AE647" s="197"/>
      <c r="AF647" s="197"/>
      <c r="AG647" s="197"/>
      <c r="AH647" s="197"/>
      <c r="AI647" s="197"/>
      <c r="AJ647" s="197"/>
      <c r="AK647" s="197"/>
      <c r="AL647" s="197"/>
    </row>
    <row r="648" spans="1:38">
      <c r="A648" s="11" t="str">
        <f t="shared" si="63"/>
        <v>05-852976122011</v>
      </c>
      <c r="B648" t="s">
        <v>355</v>
      </c>
      <c r="C648" t="s">
        <v>356</v>
      </c>
      <c r="D648">
        <v>2011</v>
      </c>
      <c r="E648" t="s">
        <v>104</v>
      </c>
      <c r="F648">
        <v>92324.800000000003</v>
      </c>
      <c r="G648">
        <v>354</v>
      </c>
      <c r="H648" s="11" t="str">
        <f t="shared" si="62"/>
        <v>count</v>
      </c>
      <c r="I648" s="197"/>
      <c r="J648" s="197"/>
      <c r="K648" s="197"/>
      <c r="L648" s="197"/>
      <c r="M648" s="197"/>
      <c r="N648" s="197"/>
      <c r="O648" s="197"/>
      <c r="P648" s="197"/>
      <c r="Q648" s="197"/>
      <c r="R648" s="197"/>
      <c r="S648" s="197"/>
      <c r="T648" s="197"/>
      <c r="U648" s="197"/>
      <c r="V648" s="197"/>
      <c r="W648" s="197"/>
      <c r="X648" s="197"/>
      <c r="Y648" s="197"/>
      <c r="Z648" s="197"/>
      <c r="AA648" s="197"/>
      <c r="AB648" s="197"/>
      <c r="AC648" s="197"/>
      <c r="AD648" s="197"/>
      <c r="AE648" s="197"/>
      <c r="AF648" s="197"/>
      <c r="AG648" s="197"/>
      <c r="AH648" s="197"/>
      <c r="AI648" s="197"/>
      <c r="AJ648" s="197"/>
      <c r="AK648" s="197"/>
      <c r="AL648" s="197"/>
    </row>
    <row r="649" spans="1:38">
      <c r="A649" s="11" t="str">
        <f t="shared" si="63"/>
        <v>05-852976122013</v>
      </c>
      <c r="B649" t="s">
        <v>355</v>
      </c>
      <c r="C649" t="s">
        <v>356</v>
      </c>
      <c r="D649">
        <v>2013</v>
      </c>
      <c r="E649" t="s">
        <v>133</v>
      </c>
      <c r="F649">
        <v>25689.64</v>
      </c>
      <c r="G649">
        <v>96</v>
      </c>
      <c r="H649" s="11" t="str">
        <f t="shared" si="62"/>
        <v>count</v>
      </c>
      <c r="I649" s="197"/>
      <c r="J649" s="197"/>
      <c r="K649" s="197"/>
      <c r="L649" s="197"/>
      <c r="M649" s="197"/>
      <c r="N649" s="197"/>
      <c r="O649" s="197"/>
      <c r="P649" s="197"/>
      <c r="Q649" s="197"/>
      <c r="R649" s="197"/>
      <c r="S649" s="197"/>
      <c r="T649" s="197"/>
      <c r="U649" s="197"/>
      <c r="V649" s="197"/>
      <c r="W649" s="197"/>
      <c r="X649" s="197"/>
      <c r="Y649" s="197"/>
      <c r="Z649" s="197"/>
      <c r="AA649" s="197"/>
      <c r="AB649" s="197"/>
      <c r="AC649" s="197"/>
      <c r="AD649" s="197"/>
      <c r="AE649" s="197"/>
      <c r="AF649" s="197"/>
      <c r="AG649" s="197"/>
      <c r="AH649" s="197"/>
      <c r="AI649" s="197"/>
      <c r="AJ649" s="197"/>
      <c r="AK649" s="197"/>
      <c r="AL649" s="197"/>
    </row>
    <row r="650" spans="1:38">
      <c r="A650" s="11" t="str">
        <f t="shared" si="63"/>
        <v>05-852976122013</v>
      </c>
      <c r="B650" t="s">
        <v>355</v>
      </c>
      <c r="C650" t="s">
        <v>356</v>
      </c>
      <c r="D650">
        <v>2013</v>
      </c>
      <c r="E650" t="s">
        <v>104</v>
      </c>
      <c r="F650">
        <v>139945.04999999999</v>
      </c>
      <c r="G650">
        <v>500</v>
      </c>
      <c r="H650" s="11" t="str">
        <f t="shared" si="62"/>
        <v>count</v>
      </c>
      <c r="I650" s="197"/>
      <c r="J650" s="197"/>
      <c r="K650" s="197"/>
      <c r="L650" s="197"/>
      <c r="M650" s="197"/>
      <c r="N650" s="197"/>
      <c r="O650" s="197"/>
      <c r="P650" s="197"/>
      <c r="Q650" s="197"/>
      <c r="R650" s="197"/>
      <c r="S650" s="197"/>
      <c r="T650" s="197"/>
      <c r="U650" s="197"/>
      <c r="V650" s="197"/>
      <c r="W650" s="197"/>
      <c r="X650" s="197"/>
      <c r="Y650" s="197"/>
      <c r="Z650" s="197"/>
      <c r="AA650" s="197"/>
      <c r="AB650" s="197"/>
      <c r="AC650" s="197"/>
      <c r="AD650" s="197"/>
      <c r="AE650" s="197"/>
      <c r="AF650" s="197"/>
      <c r="AG650" s="197"/>
      <c r="AH650" s="197"/>
      <c r="AI650" s="197"/>
      <c r="AJ650" s="197"/>
      <c r="AK650" s="197"/>
      <c r="AL650" s="197"/>
    </row>
    <row r="651" spans="1:38">
      <c r="A651" s="11" t="str">
        <f t="shared" si="63"/>
        <v>05-852976122013</v>
      </c>
      <c r="B651" t="s">
        <v>355</v>
      </c>
      <c r="C651" t="s">
        <v>356</v>
      </c>
      <c r="D651">
        <v>2013</v>
      </c>
      <c r="E651" t="s">
        <v>63</v>
      </c>
      <c r="F651">
        <v>220699.94</v>
      </c>
      <c r="G651">
        <v>781</v>
      </c>
      <c r="H651" s="11" t="str">
        <f t="shared" si="62"/>
        <v>count</v>
      </c>
      <c r="I651" s="197"/>
      <c r="J651" s="197"/>
      <c r="K651" s="197"/>
      <c r="L651" s="197"/>
      <c r="M651" s="197"/>
      <c r="N651" s="197"/>
      <c r="O651" s="197"/>
      <c r="P651" s="197"/>
      <c r="Q651" s="197"/>
      <c r="R651" s="197"/>
      <c r="S651" s="197"/>
      <c r="T651" s="197"/>
      <c r="U651" s="197"/>
      <c r="V651" s="197"/>
      <c r="W651" s="197"/>
      <c r="X651" s="197"/>
      <c r="Y651" s="197"/>
      <c r="Z651" s="197"/>
      <c r="AA651" s="197"/>
      <c r="AB651" s="197"/>
      <c r="AC651" s="197"/>
      <c r="AD651" s="197"/>
      <c r="AE651" s="197"/>
      <c r="AF651" s="197"/>
      <c r="AG651" s="197"/>
      <c r="AH651" s="197"/>
      <c r="AI651" s="197"/>
      <c r="AJ651" s="197"/>
      <c r="AK651" s="197"/>
      <c r="AL651" s="197"/>
    </row>
    <row r="652" spans="1:38">
      <c r="A652" s="11" t="str">
        <f t="shared" si="63"/>
        <v>05-852976122011</v>
      </c>
      <c r="B652" t="s">
        <v>355</v>
      </c>
      <c r="C652" t="s">
        <v>356</v>
      </c>
      <c r="D652">
        <v>2011</v>
      </c>
      <c r="E652" t="s">
        <v>105</v>
      </c>
      <c r="F652">
        <v>22706.78</v>
      </c>
      <c r="G652">
        <v>81</v>
      </c>
      <c r="H652" s="11" t="str">
        <f t="shared" si="62"/>
        <v>count</v>
      </c>
      <c r="I652" s="197"/>
      <c r="J652" s="197"/>
      <c r="K652" s="197"/>
      <c r="L652" s="197"/>
      <c r="M652" s="197"/>
      <c r="N652" s="197"/>
      <c r="O652" s="197"/>
      <c r="P652" s="197"/>
      <c r="Q652" s="197"/>
      <c r="R652" s="197"/>
      <c r="S652" s="197"/>
      <c r="T652" s="197"/>
      <c r="U652" s="197"/>
      <c r="V652" s="197"/>
      <c r="W652" s="197"/>
      <c r="X652" s="197"/>
      <c r="Y652" s="197"/>
      <c r="Z652" s="197"/>
      <c r="AA652" s="197"/>
      <c r="AB652" s="197"/>
      <c r="AC652" s="197"/>
      <c r="AD652" s="197"/>
      <c r="AE652" s="197"/>
      <c r="AF652" s="197"/>
      <c r="AG652" s="197"/>
      <c r="AH652" s="197"/>
      <c r="AI652" s="197"/>
      <c r="AJ652" s="197"/>
      <c r="AK652" s="197"/>
      <c r="AL652" s="197"/>
    </row>
    <row r="653" spans="1:38">
      <c r="A653" s="11" t="str">
        <f t="shared" si="63"/>
        <v>05-852976122012</v>
      </c>
      <c r="B653" t="s">
        <v>355</v>
      </c>
      <c r="C653" t="s">
        <v>356</v>
      </c>
      <c r="D653">
        <v>2012</v>
      </c>
      <c r="E653" t="s">
        <v>63</v>
      </c>
      <c r="F653">
        <v>227265.82</v>
      </c>
      <c r="G653">
        <v>832</v>
      </c>
      <c r="H653" s="11" t="str">
        <f t="shared" si="62"/>
        <v>count</v>
      </c>
      <c r="I653" s="197"/>
      <c r="J653" s="197"/>
      <c r="K653" s="197"/>
      <c r="L653" s="197"/>
      <c r="M653" s="197"/>
      <c r="N653" s="197"/>
      <c r="O653" s="197"/>
      <c r="P653" s="197"/>
      <c r="Q653" s="197"/>
      <c r="R653" s="197"/>
      <c r="S653" s="197"/>
      <c r="T653" s="197"/>
      <c r="U653" s="197"/>
      <c r="V653" s="197"/>
      <c r="W653" s="197"/>
      <c r="X653" s="197"/>
      <c r="Y653" s="197"/>
      <c r="Z653" s="197"/>
      <c r="AA653" s="197"/>
      <c r="AB653" s="197"/>
      <c r="AC653" s="197"/>
      <c r="AD653" s="197"/>
      <c r="AE653" s="197"/>
      <c r="AF653" s="197"/>
      <c r="AG653" s="197"/>
      <c r="AH653" s="197"/>
      <c r="AI653" s="197"/>
      <c r="AJ653" s="197"/>
      <c r="AK653" s="197"/>
      <c r="AL653" s="197"/>
    </row>
    <row r="654" spans="1:38">
      <c r="A654" s="11" t="str">
        <f t="shared" si="63"/>
        <v>05-852976122012</v>
      </c>
      <c r="B654" t="s">
        <v>355</v>
      </c>
      <c r="C654" t="s">
        <v>356</v>
      </c>
      <c r="D654">
        <v>2012</v>
      </c>
      <c r="E654" t="s">
        <v>104</v>
      </c>
      <c r="F654">
        <v>170660.37</v>
      </c>
      <c r="G654">
        <v>667</v>
      </c>
      <c r="H654" s="11" t="str">
        <f t="shared" si="62"/>
        <v>count</v>
      </c>
      <c r="I654" s="197"/>
      <c r="J654" s="197"/>
      <c r="K654" s="197"/>
      <c r="L654" s="197"/>
      <c r="M654" s="197"/>
      <c r="N654" s="197"/>
      <c r="O654" s="197"/>
      <c r="P654" s="197"/>
      <c r="Q654" s="197"/>
      <c r="R654" s="197"/>
      <c r="S654" s="197"/>
      <c r="T654" s="197"/>
      <c r="U654" s="197"/>
      <c r="V654" s="197"/>
      <c r="W654" s="197"/>
      <c r="X654" s="197"/>
      <c r="Y654" s="197"/>
      <c r="Z654" s="197"/>
      <c r="AA654" s="197"/>
      <c r="AB654" s="197"/>
      <c r="AC654" s="197"/>
      <c r="AD654" s="197"/>
      <c r="AE654" s="197"/>
      <c r="AF654" s="197"/>
      <c r="AG654" s="197"/>
      <c r="AH654" s="197"/>
      <c r="AI654" s="197"/>
      <c r="AJ654" s="197"/>
      <c r="AK654" s="197"/>
      <c r="AL654" s="197"/>
    </row>
    <row r="655" spans="1:38">
      <c r="A655" s="11" t="str">
        <f t="shared" si="63"/>
        <v>05-852976122012</v>
      </c>
      <c r="B655" t="s">
        <v>355</v>
      </c>
      <c r="C655" t="s">
        <v>356</v>
      </c>
      <c r="D655">
        <v>2012</v>
      </c>
      <c r="E655" t="s">
        <v>69</v>
      </c>
      <c r="F655">
        <v>98949.86</v>
      </c>
      <c r="G655">
        <v>407</v>
      </c>
      <c r="H655" s="11" t="str">
        <f t="shared" si="62"/>
        <v>count</v>
      </c>
      <c r="I655" s="197"/>
      <c r="J655" s="197"/>
      <c r="K655" s="197"/>
      <c r="L655" s="197"/>
      <c r="M655" s="197"/>
      <c r="N655" s="197"/>
      <c r="O655" s="197"/>
      <c r="P655" s="197"/>
      <c r="Q655" s="197"/>
      <c r="R655" s="197"/>
      <c r="S655" s="197"/>
      <c r="T655" s="197"/>
      <c r="U655" s="197"/>
      <c r="V655" s="197"/>
      <c r="W655" s="197"/>
      <c r="X655" s="197"/>
      <c r="Y655" s="197"/>
      <c r="Z655" s="197"/>
      <c r="AA655" s="197"/>
      <c r="AB655" s="197"/>
      <c r="AC655" s="197"/>
      <c r="AD655" s="197"/>
      <c r="AE655" s="197"/>
      <c r="AF655" s="197"/>
      <c r="AG655" s="197"/>
      <c r="AH655" s="197"/>
      <c r="AI655" s="197"/>
      <c r="AJ655" s="197"/>
      <c r="AK655" s="197"/>
      <c r="AL655" s="197"/>
    </row>
    <row r="656" spans="1:38">
      <c r="A656" s="11" t="str">
        <f t="shared" si="63"/>
        <v>05-852976122013</v>
      </c>
      <c r="B656" t="s">
        <v>355</v>
      </c>
      <c r="C656" t="s">
        <v>356</v>
      </c>
      <c r="D656">
        <v>2013</v>
      </c>
      <c r="E656" t="s">
        <v>105</v>
      </c>
      <c r="F656">
        <v>31805.93</v>
      </c>
      <c r="G656">
        <v>122</v>
      </c>
      <c r="H656" s="11" t="str">
        <f t="shared" si="62"/>
        <v>count</v>
      </c>
      <c r="I656" s="197"/>
      <c r="J656" s="197"/>
      <c r="K656" s="197"/>
      <c r="L656" s="197"/>
      <c r="M656" s="197"/>
      <c r="N656" s="197"/>
      <c r="O656" s="197"/>
      <c r="P656" s="197"/>
      <c r="Q656" s="197"/>
      <c r="R656" s="197"/>
      <c r="S656" s="197"/>
      <c r="T656" s="197"/>
      <c r="U656" s="197"/>
      <c r="V656" s="197"/>
      <c r="W656" s="197"/>
      <c r="X656" s="197"/>
      <c r="Y656" s="197"/>
      <c r="Z656" s="197"/>
      <c r="AA656" s="197"/>
      <c r="AB656" s="197"/>
      <c r="AC656" s="197"/>
      <c r="AD656" s="197"/>
      <c r="AE656" s="197"/>
      <c r="AF656" s="197"/>
      <c r="AG656" s="197"/>
      <c r="AH656" s="197"/>
      <c r="AI656" s="197"/>
      <c r="AJ656" s="197"/>
      <c r="AK656" s="197"/>
      <c r="AL656" s="197"/>
    </row>
    <row r="657" spans="1:38">
      <c r="A657" s="11" t="str">
        <f t="shared" si="63"/>
        <v>05-854398012011</v>
      </c>
      <c r="B657" t="s">
        <v>357</v>
      </c>
      <c r="C657" t="s">
        <v>358</v>
      </c>
      <c r="D657">
        <v>2011</v>
      </c>
      <c r="E657" t="s">
        <v>63</v>
      </c>
      <c r="F657">
        <v>408688.2</v>
      </c>
      <c r="G657">
        <v>1008</v>
      </c>
      <c r="H657" s="11" t="str">
        <f t="shared" si="62"/>
        <v>volume</v>
      </c>
      <c r="I657" s="197"/>
      <c r="J657" s="197"/>
      <c r="K657" s="197"/>
      <c r="L657" s="197"/>
      <c r="M657" s="197"/>
      <c r="N657" s="197"/>
      <c r="O657" s="197"/>
      <c r="P657" s="197"/>
      <c r="Q657" s="197"/>
      <c r="R657" s="197"/>
      <c r="S657" s="197"/>
      <c r="T657" s="197"/>
      <c r="U657" s="197"/>
      <c r="V657" s="197"/>
      <c r="W657" s="197"/>
      <c r="X657" s="197"/>
      <c r="Y657" s="197"/>
      <c r="Z657" s="197"/>
      <c r="AA657" s="197"/>
      <c r="AB657" s="197"/>
      <c r="AC657" s="197"/>
      <c r="AD657" s="197"/>
      <c r="AE657" s="197"/>
      <c r="AF657" s="197"/>
      <c r="AG657" s="197"/>
      <c r="AH657" s="197"/>
      <c r="AI657" s="197"/>
      <c r="AJ657" s="197"/>
      <c r="AK657" s="197"/>
      <c r="AL657" s="197"/>
    </row>
    <row r="658" spans="1:38">
      <c r="A658" s="11" t="str">
        <f t="shared" si="63"/>
        <v>05-854398012011</v>
      </c>
      <c r="B658" t="s">
        <v>357</v>
      </c>
      <c r="C658" t="s">
        <v>358</v>
      </c>
      <c r="D658">
        <v>2011</v>
      </c>
      <c r="E658" t="s">
        <v>104</v>
      </c>
      <c r="F658">
        <v>178845.75</v>
      </c>
      <c r="G658">
        <v>458</v>
      </c>
      <c r="H658" s="11" t="str">
        <f t="shared" si="62"/>
        <v>count</v>
      </c>
      <c r="I658" s="197"/>
      <c r="J658" s="197"/>
      <c r="K658" s="197"/>
      <c r="L658" s="197"/>
      <c r="M658" s="197"/>
      <c r="N658" s="197"/>
      <c r="O658" s="197"/>
      <c r="P658" s="197"/>
      <c r="Q658" s="197"/>
      <c r="R658" s="197"/>
      <c r="S658" s="197"/>
      <c r="T658" s="197"/>
      <c r="U658" s="197"/>
      <c r="V658" s="197"/>
      <c r="W658" s="197"/>
      <c r="X658" s="197"/>
      <c r="Y658" s="197"/>
      <c r="Z658" s="197"/>
      <c r="AA658" s="197"/>
      <c r="AB658" s="197"/>
      <c r="AC658" s="197"/>
      <c r="AD658" s="197"/>
      <c r="AE658" s="197"/>
      <c r="AF658" s="197"/>
      <c r="AG658" s="197"/>
      <c r="AH658" s="197"/>
      <c r="AI658" s="197"/>
      <c r="AJ658" s="197"/>
      <c r="AK658" s="197"/>
      <c r="AL658" s="197"/>
    </row>
    <row r="659" spans="1:38">
      <c r="A659" s="11" t="str">
        <f t="shared" si="63"/>
        <v>05-854398012012</v>
      </c>
      <c r="B659" t="s">
        <v>357</v>
      </c>
      <c r="C659" t="s">
        <v>358</v>
      </c>
      <c r="D659">
        <v>2012</v>
      </c>
      <c r="E659" t="s">
        <v>105</v>
      </c>
      <c r="F659">
        <v>112634</v>
      </c>
      <c r="G659">
        <v>280</v>
      </c>
      <c r="H659" s="11" t="str">
        <f t="shared" si="62"/>
        <v>count</v>
      </c>
      <c r="I659" s="197"/>
      <c r="J659" s="197"/>
      <c r="K659" s="197"/>
      <c r="L659" s="197"/>
      <c r="M659" s="197"/>
      <c r="N659" s="197"/>
      <c r="O659" s="197"/>
      <c r="P659" s="197"/>
      <c r="Q659" s="197"/>
      <c r="R659" s="197"/>
      <c r="S659" s="197"/>
      <c r="T659" s="197"/>
      <c r="U659" s="197"/>
      <c r="V659" s="197"/>
      <c r="W659" s="197"/>
      <c r="X659" s="197"/>
      <c r="Y659" s="197"/>
      <c r="Z659" s="197"/>
      <c r="AA659" s="197"/>
      <c r="AB659" s="197"/>
      <c r="AC659" s="197"/>
      <c r="AD659" s="197"/>
      <c r="AE659" s="197"/>
      <c r="AF659" s="197"/>
      <c r="AG659" s="197"/>
      <c r="AH659" s="197"/>
      <c r="AI659" s="197"/>
      <c r="AJ659" s="197"/>
      <c r="AK659" s="197"/>
      <c r="AL659" s="197"/>
    </row>
    <row r="660" spans="1:38">
      <c r="A660" s="11" t="str">
        <f t="shared" si="63"/>
        <v>05-854398012013</v>
      </c>
      <c r="B660" t="s">
        <v>357</v>
      </c>
      <c r="C660" t="s">
        <v>358</v>
      </c>
      <c r="D660">
        <v>2013</v>
      </c>
      <c r="E660" t="s">
        <v>63</v>
      </c>
      <c r="F660">
        <v>636902.14</v>
      </c>
      <c r="G660">
        <v>1571</v>
      </c>
      <c r="H660" s="11" t="str">
        <f t="shared" si="62"/>
        <v>count</v>
      </c>
      <c r="I660" s="197"/>
      <c r="J660" s="197"/>
      <c r="K660" s="197"/>
      <c r="L660" s="197"/>
      <c r="M660" s="197"/>
      <c r="N660" s="197"/>
      <c r="O660" s="197"/>
      <c r="P660" s="197"/>
      <c r="Q660" s="197"/>
      <c r="R660" s="197"/>
      <c r="S660" s="197"/>
      <c r="T660" s="197"/>
      <c r="U660" s="197"/>
      <c r="V660" s="197"/>
      <c r="W660" s="197"/>
      <c r="X660" s="197"/>
      <c r="Y660" s="197"/>
      <c r="Z660" s="197"/>
      <c r="AA660" s="197"/>
      <c r="AB660" s="197"/>
      <c r="AC660" s="197"/>
      <c r="AD660" s="197"/>
      <c r="AE660" s="197"/>
      <c r="AF660" s="197"/>
      <c r="AG660" s="197"/>
      <c r="AH660" s="197"/>
      <c r="AI660" s="197"/>
      <c r="AJ660" s="197"/>
      <c r="AK660" s="197"/>
      <c r="AL660" s="197"/>
    </row>
    <row r="661" spans="1:38">
      <c r="A661" s="11" t="str">
        <f t="shared" si="63"/>
        <v>05-854398012013</v>
      </c>
      <c r="B661" t="s">
        <v>357</v>
      </c>
      <c r="C661" t="s">
        <v>358</v>
      </c>
      <c r="D661">
        <v>2013</v>
      </c>
      <c r="E661" t="s">
        <v>104</v>
      </c>
      <c r="F661">
        <v>362735.01</v>
      </c>
      <c r="G661">
        <v>878</v>
      </c>
      <c r="H661" s="11" t="str">
        <f t="shared" si="62"/>
        <v>count</v>
      </c>
      <c r="I661" s="197"/>
      <c r="J661" s="197"/>
      <c r="K661" s="197"/>
      <c r="L661" s="197"/>
      <c r="M661" s="197"/>
      <c r="N661" s="197"/>
      <c r="O661" s="197"/>
      <c r="P661" s="197"/>
      <c r="Q661" s="197"/>
      <c r="R661" s="197"/>
      <c r="S661" s="197"/>
      <c r="T661" s="197"/>
      <c r="U661" s="197"/>
      <c r="V661" s="197"/>
      <c r="W661" s="197"/>
      <c r="X661" s="197"/>
      <c r="Y661" s="197"/>
      <c r="Z661" s="197"/>
      <c r="AA661" s="197"/>
      <c r="AB661" s="197"/>
      <c r="AC661" s="197"/>
      <c r="AD661" s="197"/>
      <c r="AE661" s="197"/>
      <c r="AF661" s="197"/>
      <c r="AG661" s="197"/>
      <c r="AH661" s="197"/>
      <c r="AI661" s="197"/>
      <c r="AJ661" s="197"/>
      <c r="AK661" s="197"/>
      <c r="AL661" s="197"/>
    </row>
    <row r="662" spans="1:38">
      <c r="A662" s="11" t="str">
        <f t="shared" si="63"/>
        <v>05-854398012011</v>
      </c>
      <c r="B662" t="s">
        <v>357</v>
      </c>
      <c r="C662" t="s">
        <v>358</v>
      </c>
      <c r="D662">
        <v>2011</v>
      </c>
      <c r="E662" t="s">
        <v>1076</v>
      </c>
      <c r="F662">
        <v>2442.13</v>
      </c>
      <c r="G662">
        <v>7</v>
      </c>
      <c r="H662" s="11" t="str">
        <f t="shared" si="62"/>
        <v>count</v>
      </c>
      <c r="I662" s="197"/>
      <c r="J662" s="197"/>
      <c r="K662" s="197"/>
      <c r="L662" s="197"/>
      <c r="M662" s="197"/>
      <c r="N662" s="197"/>
      <c r="O662" s="197"/>
      <c r="P662" s="197"/>
      <c r="Q662" s="197"/>
      <c r="R662" s="197"/>
      <c r="S662" s="197"/>
      <c r="T662" s="197"/>
      <c r="U662" s="197"/>
      <c r="V662" s="197"/>
      <c r="W662" s="197"/>
      <c r="X662" s="197"/>
      <c r="Y662" s="197"/>
      <c r="Z662" s="197"/>
      <c r="AA662" s="197"/>
      <c r="AB662" s="197"/>
      <c r="AC662" s="197"/>
      <c r="AD662" s="197"/>
      <c r="AE662" s="197"/>
      <c r="AF662" s="197"/>
      <c r="AG662" s="197"/>
      <c r="AH662" s="197"/>
      <c r="AI662" s="197"/>
      <c r="AJ662" s="197"/>
      <c r="AK662" s="197"/>
      <c r="AL662" s="197"/>
    </row>
    <row r="663" spans="1:38">
      <c r="A663" s="11" t="str">
        <f t="shared" si="63"/>
        <v>05-854398012012</v>
      </c>
      <c r="B663" t="s">
        <v>357</v>
      </c>
      <c r="C663" t="s">
        <v>358</v>
      </c>
      <c r="D663">
        <v>2012</v>
      </c>
      <c r="E663" t="s">
        <v>69</v>
      </c>
      <c r="F663">
        <v>267647.95</v>
      </c>
      <c r="G663">
        <v>691</v>
      </c>
      <c r="H663" s="11" t="str">
        <f t="shared" si="62"/>
        <v>count</v>
      </c>
      <c r="I663" s="197"/>
      <c r="J663" s="197"/>
      <c r="K663" s="197"/>
      <c r="L663" s="197"/>
      <c r="M663" s="197"/>
      <c r="N663" s="197"/>
      <c r="O663" s="197"/>
      <c r="P663" s="197"/>
      <c r="Q663" s="197"/>
      <c r="R663" s="197"/>
      <c r="S663" s="197"/>
      <c r="T663" s="197"/>
      <c r="U663" s="197"/>
      <c r="V663" s="197"/>
      <c r="W663" s="197"/>
      <c r="X663" s="197"/>
      <c r="Y663" s="197"/>
      <c r="Z663" s="197"/>
      <c r="AA663" s="197"/>
      <c r="AB663" s="197"/>
      <c r="AC663" s="197"/>
      <c r="AD663" s="197"/>
      <c r="AE663" s="197"/>
      <c r="AF663" s="197"/>
      <c r="AG663" s="197"/>
      <c r="AH663" s="197"/>
      <c r="AI663" s="197"/>
      <c r="AJ663" s="197"/>
      <c r="AK663" s="197"/>
      <c r="AL663" s="197"/>
    </row>
    <row r="664" spans="1:38">
      <c r="A664" s="11" t="str">
        <f t="shared" si="63"/>
        <v>05-854398012013</v>
      </c>
      <c r="B664" t="s">
        <v>357</v>
      </c>
      <c r="C664" t="s">
        <v>358</v>
      </c>
      <c r="D664">
        <v>2013</v>
      </c>
      <c r="E664" t="s">
        <v>69</v>
      </c>
      <c r="F664">
        <v>356114.57</v>
      </c>
      <c r="G664">
        <v>943</v>
      </c>
      <c r="H664" s="11" t="str">
        <f t="shared" si="62"/>
        <v>count</v>
      </c>
      <c r="I664" s="197"/>
      <c r="J664" s="197"/>
      <c r="K664" s="197"/>
      <c r="L664" s="197"/>
      <c r="M664" s="197"/>
      <c r="N664" s="197"/>
      <c r="O664" s="197"/>
      <c r="P664" s="197"/>
      <c r="Q664" s="197"/>
      <c r="R664" s="197"/>
      <c r="S664" s="197"/>
      <c r="T664" s="197"/>
      <c r="U664" s="197"/>
      <c r="V664" s="197"/>
      <c r="W664" s="197"/>
      <c r="X664" s="197"/>
      <c r="Y664" s="197"/>
      <c r="Z664" s="197"/>
      <c r="AA664" s="197"/>
      <c r="AB664" s="197"/>
      <c r="AC664" s="197"/>
      <c r="AD664" s="197"/>
      <c r="AE664" s="197"/>
      <c r="AF664" s="197"/>
      <c r="AG664" s="197"/>
      <c r="AH664" s="197"/>
      <c r="AI664" s="197"/>
      <c r="AJ664" s="197"/>
      <c r="AK664" s="197"/>
      <c r="AL664" s="197"/>
    </row>
    <row r="665" spans="1:38">
      <c r="A665" s="11" t="str">
        <f t="shared" si="63"/>
        <v>05-854398012011</v>
      </c>
      <c r="B665" t="s">
        <v>357</v>
      </c>
      <c r="C665" t="s">
        <v>358</v>
      </c>
      <c r="D665">
        <v>2011</v>
      </c>
      <c r="E665" t="s">
        <v>105</v>
      </c>
      <c r="F665">
        <v>50954.34</v>
      </c>
      <c r="G665">
        <v>120</v>
      </c>
      <c r="H665" s="11" t="str">
        <f t="shared" si="62"/>
        <v>count</v>
      </c>
      <c r="I665" s="197"/>
      <c r="J665" s="197"/>
      <c r="K665" s="197"/>
      <c r="L665" s="197"/>
      <c r="M665" s="197"/>
      <c r="N665" s="197"/>
      <c r="O665" s="197"/>
      <c r="P665" s="197"/>
      <c r="Q665" s="197"/>
      <c r="R665" s="197"/>
      <c r="S665" s="197"/>
      <c r="T665" s="197"/>
      <c r="U665" s="197"/>
      <c r="V665" s="197"/>
      <c r="W665" s="197"/>
      <c r="X665" s="197"/>
      <c r="Y665" s="197"/>
      <c r="Z665" s="197"/>
      <c r="AA665" s="197"/>
      <c r="AB665" s="197"/>
      <c r="AC665" s="197"/>
      <c r="AD665" s="197"/>
      <c r="AE665" s="197"/>
      <c r="AF665" s="197"/>
      <c r="AG665" s="197"/>
      <c r="AH665" s="197"/>
      <c r="AI665" s="197"/>
      <c r="AJ665" s="197"/>
      <c r="AK665" s="197"/>
      <c r="AL665" s="197"/>
    </row>
    <row r="666" spans="1:38">
      <c r="A666" s="11" t="str">
        <f t="shared" si="63"/>
        <v>05-854398012013</v>
      </c>
      <c r="B666" t="s">
        <v>357</v>
      </c>
      <c r="C666" t="s">
        <v>358</v>
      </c>
      <c r="D666">
        <v>2013</v>
      </c>
      <c r="E666" t="s">
        <v>105</v>
      </c>
      <c r="F666">
        <v>94381.18</v>
      </c>
      <c r="G666">
        <v>227</v>
      </c>
      <c r="H666" s="11" t="str">
        <f t="shared" si="62"/>
        <v>count</v>
      </c>
      <c r="I666" s="197"/>
      <c r="J666" s="197"/>
      <c r="K666" s="197"/>
      <c r="L666" s="197"/>
      <c r="M666" s="197"/>
      <c r="N666" s="197"/>
      <c r="O666" s="197"/>
      <c r="P666" s="197"/>
      <c r="Q666" s="197"/>
      <c r="R666" s="197"/>
      <c r="S666" s="197"/>
      <c r="T666" s="197"/>
      <c r="U666" s="197"/>
      <c r="V666" s="197"/>
      <c r="W666" s="197"/>
      <c r="X666" s="197"/>
      <c r="Y666" s="197"/>
      <c r="Z666" s="197"/>
      <c r="AA666" s="197"/>
      <c r="AB666" s="197"/>
      <c r="AC666" s="197"/>
      <c r="AD666" s="197"/>
      <c r="AE666" s="197"/>
      <c r="AF666" s="197"/>
      <c r="AG666" s="197"/>
      <c r="AH666" s="197"/>
      <c r="AI666" s="197"/>
      <c r="AJ666" s="197"/>
      <c r="AK666" s="197"/>
      <c r="AL666" s="197"/>
    </row>
    <row r="667" spans="1:38">
      <c r="A667" s="11" t="str">
        <f t="shared" si="63"/>
        <v>05-854398012012</v>
      </c>
      <c r="B667" t="s">
        <v>357</v>
      </c>
      <c r="C667" t="s">
        <v>358</v>
      </c>
      <c r="D667">
        <v>2012</v>
      </c>
      <c r="E667" t="s">
        <v>63</v>
      </c>
      <c r="F667">
        <v>690159.52</v>
      </c>
      <c r="G667">
        <v>1681</v>
      </c>
      <c r="H667" s="11" t="str">
        <f t="shared" si="62"/>
        <v>count</v>
      </c>
      <c r="I667" s="197"/>
      <c r="J667" s="197"/>
      <c r="K667" s="197"/>
      <c r="L667" s="197"/>
      <c r="M667" s="197"/>
      <c r="N667" s="197"/>
      <c r="O667" s="197"/>
      <c r="P667" s="197"/>
      <c r="Q667" s="197"/>
      <c r="R667" s="197"/>
      <c r="S667" s="197"/>
      <c r="T667" s="197"/>
      <c r="U667" s="197"/>
      <c r="V667" s="197"/>
      <c r="W667" s="197"/>
      <c r="X667" s="197"/>
      <c r="Y667" s="197"/>
      <c r="Z667" s="197"/>
      <c r="AA667" s="197"/>
      <c r="AB667" s="197"/>
      <c r="AC667" s="197"/>
      <c r="AD667" s="197"/>
      <c r="AE667" s="197"/>
      <c r="AF667" s="197"/>
      <c r="AG667" s="197"/>
      <c r="AH667" s="197"/>
      <c r="AI667" s="197"/>
      <c r="AJ667" s="197"/>
      <c r="AK667" s="197"/>
      <c r="AL667" s="197"/>
    </row>
    <row r="668" spans="1:38">
      <c r="A668" s="11" t="str">
        <f t="shared" si="63"/>
        <v>05-854398012011</v>
      </c>
      <c r="B668" t="s">
        <v>357</v>
      </c>
      <c r="C668" t="s">
        <v>358</v>
      </c>
      <c r="D668">
        <v>2011</v>
      </c>
      <c r="E668" t="s">
        <v>1075</v>
      </c>
      <c r="F668">
        <v>2075.3200000000002</v>
      </c>
      <c r="G668">
        <v>7</v>
      </c>
      <c r="H668" s="11" t="str">
        <f t="shared" si="62"/>
        <v>count</v>
      </c>
      <c r="I668" s="197"/>
      <c r="J668" s="197"/>
      <c r="K668" s="197"/>
      <c r="L668" s="197"/>
      <c r="M668" s="197"/>
      <c r="N668" s="197"/>
      <c r="O668" s="197"/>
      <c r="P668" s="197"/>
      <c r="Q668" s="197"/>
      <c r="R668" s="197"/>
      <c r="S668" s="197"/>
      <c r="T668" s="197"/>
      <c r="U668" s="197"/>
      <c r="V668" s="197"/>
      <c r="W668" s="197"/>
      <c r="X668" s="197"/>
      <c r="Y668" s="197"/>
      <c r="Z668" s="197"/>
      <c r="AA668" s="197"/>
      <c r="AB668" s="197"/>
      <c r="AC668" s="197"/>
      <c r="AD668" s="197"/>
      <c r="AE668" s="197"/>
      <c r="AF668" s="197"/>
      <c r="AG668" s="197"/>
      <c r="AH668" s="197"/>
      <c r="AI668" s="197"/>
      <c r="AJ668" s="197"/>
      <c r="AK668" s="197"/>
      <c r="AL668" s="197"/>
    </row>
    <row r="669" spans="1:38">
      <c r="A669" s="11" t="str">
        <f t="shared" si="63"/>
        <v>05-854398012011</v>
      </c>
      <c r="B669" t="s">
        <v>357</v>
      </c>
      <c r="C669" t="s">
        <v>358</v>
      </c>
      <c r="D669">
        <v>2011</v>
      </c>
      <c r="E669" t="s">
        <v>1074</v>
      </c>
      <c r="F669">
        <v>4781.3100000000004</v>
      </c>
      <c r="G669">
        <v>15</v>
      </c>
      <c r="H669" s="11" t="str">
        <f t="shared" si="62"/>
        <v>count</v>
      </c>
      <c r="I669" s="197"/>
      <c r="J669" s="197"/>
      <c r="K669" s="197"/>
      <c r="L669" s="197"/>
      <c r="M669" s="197"/>
      <c r="N669" s="197"/>
      <c r="O669" s="197"/>
      <c r="P669" s="197"/>
      <c r="Q669" s="197"/>
      <c r="R669" s="197"/>
      <c r="S669" s="197"/>
      <c r="T669" s="197"/>
      <c r="U669" s="197"/>
      <c r="V669" s="197"/>
      <c r="W669" s="197"/>
      <c r="X669" s="197"/>
      <c r="Y669" s="197"/>
      <c r="Z669" s="197"/>
      <c r="AA669" s="197"/>
      <c r="AB669" s="197"/>
      <c r="AC669" s="197"/>
      <c r="AD669" s="197"/>
      <c r="AE669" s="197"/>
      <c r="AF669" s="197"/>
      <c r="AG669" s="197"/>
      <c r="AH669" s="197"/>
      <c r="AI669" s="197"/>
      <c r="AJ669" s="197"/>
      <c r="AK669" s="197"/>
      <c r="AL669" s="197"/>
    </row>
    <row r="670" spans="1:38">
      <c r="A670" s="11" t="str">
        <f t="shared" si="63"/>
        <v>05-854398012011</v>
      </c>
      <c r="B670" t="s">
        <v>357</v>
      </c>
      <c r="C670" t="s">
        <v>358</v>
      </c>
      <c r="D670">
        <v>2011</v>
      </c>
      <c r="E670" t="s">
        <v>69</v>
      </c>
      <c r="F670">
        <v>1562.24</v>
      </c>
      <c r="G670">
        <v>4</v>
      </c>
      <c r="H670" s="11" t="str">
        <f t="shared" si="62"/>
        <v>count</v>
      </c>
      <c r="I670" s="197"/>
      <c r="J670" s="197"/>
      <c r="K670" s="197"/>
      <c r="L670" s="197"/>
      <c r="M670" s="197"/>
      <c r="N670" s="197"/>
      <c r="O670" s="197"/>
      <c r="P670" s="197"/>
      <c r="Q670" s="197"/>
      <c r="R670" s="197"/>
      <c r="S670" s="197"/>
      <c r="T670" s="197"/>
      <c r="U670" s="197"/>
      <c r="V670" s="197"/>
      <c r="W670" s="197"/>
      <c r="X670" s="197"/>
      <c r="Y670" s="197"/>
      <c r="Z670" s="197"/>
      <c r="AA670" s="197"/>
      <c r="AB670" s="197"/>
      <c r="AC670" s="197"/>
      <c r="AD670" s="197"/>
      <c r="AE670" s="197"/>
      <c r="AF670" s="197"/>
      <c r="AG670" s="197"/>
      <c r="AH670" s="197"/>
      <c r="AI670" s="197"/>
      <c r="AJ670" s="197"/>
      <c r="AK670" s="197"/>
      <c r="AL670" s="197"/>
    </row>
    <row r="671" spans="1:38">
      <c r="A671" s="11" t="str">
        <f t="shared" si="63"/>
        <v>05-854398012012</v>
      </c>
      <c r="B671" t="s">
        <v>357</v>
      </c>
      <c r="C671" t="s">
        <v>358</v>
      </c>
      <c r="D671">
        <v>2012</v>
      </c>
      <c r="E671" t="s">
        <v>104</v>
      </c>
      <c r="F671">
        <v>396293.04</v>
      </c>
      <c r="G671">
        <v>938</v>
      </c>
      <c r="H671" s="11" t="str">
        <f t="shared" si="62"/>
        <v>count</v>
      </c>
      <c r="I671" s="197"/>
      <c r="J671" s="197"/>
      <c r="K671" s="197"/>
      <c r="L671" s="197"/>
      <c r="M671" s="197"/>
      <c r="N671" s="197"/>
      <c r="O671" s="197"/>
      <c r="P671" s="197"/>
      <c r="Q671" s="197"/>
      <c r="R671" s="197"/>
      <c r="S671" s="197"/>
      <c r="T671" s="197"/>
      <c r="U671" s="197"/>
      <c r="V671" s="197"/>
      <c r="W671" s="197"/>
      <c r="X671" s="197"/>
      <c r="Y671" s="197"/>
      <c r="Z671" s="197"/>
      <c r="AA671" s="197"/>
      <c r="AB671" s="197"/>
      <c r="AC671" s="197"/>
      <c r="AD671" s="197"/>
      <c r="AE671" s="197"/>
      <c r="AF671" s="197"/>
      <c r="AG671" s="197"/>
      <c r="AH671" s="197"/>
      <c r="AI671" s="197"/>
      <c r="AJ671" s="197"/>
      <c r="AK671" s="197"/>
      <c r="AL671" s="197"/>
    </row>
    <row r="672" spans="1:38">
      <c r="A672" s="11" t="str">
        <f t="shared" si="63"/>
        <v>05-859866332012</v>
      </c>
      <c r="B672" t="s">
        <v>360</v>
      </c>
      <c r="C672" t="s">
        <v>361</v>
      </c>
      <c r="D672">
        <v>2012</v>
      </c>
      <c r="E672" t="s">
        <v>1075</v>
      </c>
      <c r="F672">
        <v>6166</v>
      </c>
      <c r="G672">
        <v>7</v>
      </c>
      <c r="H672" s="11" t="str">
        <f t="shared" si="62"/>
        <v>volume</v>
      </c>
      <c r="I672" s="197"/>
      <c r="J672" s="197"/>
      <c r="K672" s="197"/>
      <c r="L672" s="197"/>
      <c r="M672" s="197"/>
      <c r="N672" s="197"/>
      <c r="O672" s="197"/>
      <c r="P672" s="197"/>
      <c r="Q672" s="197"/>
      <c r="R672" s="197"/>
      <c r="S672" s="197"/>
      <c r="T672" s="197"/>
      <c r="U672" s="197"/>
      <c r="V672" s="197"/>
      <c r="W672" s="197"/>
      <c r="X672" s="197"/>
      <c r="Y672" s="197"/>
      <c r="Z672" s="197"/>
      <c r="AA672" s="197"/>
      <c r="AB672" s="197"/>
      <c r="AC672" s="197"/>
      <c r="AD672" s="197"/>
      <c r="AE672" s="197"/>
      <c r="AF672" s="197"/>
      <c r="AG672" s="197"/>
      <c r="AH672" s="197"/>
      <c r="AI672" s="197"/>
      <c r="AJ672" s="197"/>
      <c r="AK672" s="197"/>
      <c r="AL672" s="197"/>
    </row>
    <row r="673" spans="1:38">
      <c r="A673" s="11" t="str">
        <f t="shared" si="63"/>
        <v>05-859866332013</v>
      </c>
      <c r="B673" t="s">
        <v>360</v>
      </c>
      <c r="C673" t="s">
        <v>361</v>
      </c>
      <c r="D673">
        <v>2013</v>
      </c>
      <c r="E673" t="s">
        <v>106</v>
      </c>
      <c r="F673">
        <v>4877094.63</v>
      </c>
      <c r="G673">
        <v>6817</v>
      </c>
      <c r="H673" s="11" t="str">
        <f t="shared" si="62"/>
        <v>count</v>
      </c>
      <c r="I673" s="197"/>
      <c r="J673" s="197"/>
      <c r="K673" s="197"/>
      <c r="L673" s="197"/>
      <c r="M673" s="197"/>
      <c r="N673" s="197"/>
      <c r="O673" s="197"/>
      <c r="P673" s="197"/>
      <c r="Q673" s="197"/>
      <c r="R673" s="197"/>
      <c r="S673" s="197"/>
      <c r="T673" s="197"/>
      <c r="U673" s="197"/>
      <c r="V673" s="197"/>
      <c r="W673" s="197"/>
      <c r="X673" s="197"/>
      <c r="Y673" s="197"/>
      <c r="Z673" s="197"/>
      <c r="AA673" s="197"/>
      <c r="AB673" s="197"/>
      <c r="AC673" s="197"/>
      <c r="AD673" s="197"/>
      <c r="AE673" s="197"/>
      <c r="AF673" s="197"/>
      <c r="AG673" s="197"/>
      <c r="AH673" s="197"/>
      <c r="AI673" s="197"/>
      <c r="AJ673" s="197"/>
      <c r="AK673" s="197"/>
      <c r="AL673" s="197"/>
    </row>
    <row r="674" spans="1:38">
      <c r="A674" s="11" t="str">
        <f t="shared" si="63"/>
        <v>05-859866332011</v>
      </c>
      <c r="B674" t="s">
        <v>360</v>
      </c>
      <c r="C674" t="s">
        <v>361</v>
      </c>
      <c r="D674">
        <v>2011</v>
      </c>
      <c r="E674" t="s">
        <v>105</v>
      </c>
      <c r="F674">
        <v>4792</v>
      </c>
      <c r="G674">
        <v>6</v>
      </c>
      <c r="H674" s="11" t="str">
        <f t="shared" si="62"/>
        <v>count</v>
      </c>
      <c r="I674" s="197"/>
      <c r="J674" s="197"/>
      <c r="K674" s="197"/>
      <c r="L674" s="197"/>
      <c r="M674" s="197"/>
      <c r="N674" s="197"/>
      <c r="O674" s="197"/>
      <c r="P674" s="197"/>
      <c r="Q674" s="197"/>
      <c r="R674" s="197"/>
      <c r="S674" s="197"/>
      <c r="T674" s="197"/>
      <c r="U674" s="197"/>
      <c r="V674" s="197"/>
      <c r="W674" s="197"/>
      <c r="X674" s="197"/>
      <c r="Y674" s="197"/>
      <c r="Z674" s="197"/>
      <c r="AA674" s="197"/>
      <c r="AB674" s="197"/>
      <c r="AC674" s="197"/>
      <c r="AD674" s="197"/>
      <c r="AE674" s="197"/>
      <c r="AF674" s="197"/>
      <c r="AG674" s="197"/>
      <c r="AH674" s="197"/>
      <c r="AI674" s="197"/>
      <c r="AJ674" s="197"/>
      <c r="AK674" s="197"/>
      <c r="AL674" s="197"/>
    </row>
    <row r="675" spans="1:38">
      <c r="A675" s="11" t="str">
        <f t="shared" si="63"/>
        <v>05-859866332012</v>
      </c>
      <c r="B675" t="s">
        <v>360</v>
      </c>
      <c r="C675" t="s">
        <v>361</v>
      </c>
      <c r="D675">
        <v>2012</v>
      </c>
      <c r="E675" t="s">
        <v>1074</v>
      </c>
      <c r="F675">
        <v>2731</v>
      </c>
      <c r="G675">
        <v>4</v>
      </c>
      <c r="H675" s="11" t="str">
        <f t="shared" si="62"/>
        <v>count</v>
      </c>
      <c r="I675" s="197"/>
      <c r="J675" s="197"/>
      <c r="K675" s="197"/>
      <c r="L675" s="197"/>
      <c r="M675" s="197"/>
      <c r="N675" s="197"/>
      <c r="O675" s="197"/>
      <c r="P675" s="197"/>
      <c r="Q675" s="197"/>
      <c r="R675" s="197"/>
      <c r="S675" s="197"/>
      <c r="T675" s="197"/>
      <c r="U675" s="197"/>
      <c r="V675" s="197"/>
      <c r="W675" s="197"/>
      <c r="X675" s="197"/>
      <c r="Y675" s="197"/>
      <c r="Z675" s="197"/>
      <c r="AA675" s="197"/>
      <c r="AB675" s="197"/>
      <c r="AC675" s="197"/>
      <c r="AD675" s="197"/>
      <c r="AE675" s="197"/>
      <c r="AF675" s="197"/>
      <c r="AG675" s="197"/>
      <c r="AH675" s="197"/>
      <c r="AI675" s="197"/>
      <c r="AJ675" s="197"/>
      <c r="AK675" s="197"/>
      <c r="AL675" s="197"/>
    </row>
    <row r="676" spans="1:38">
      <c r="A676" s="11" t="str">
        <f t="shared" si="63"/>
        <v>05-859866332013</v>
      </c>
      <c r="B676" t="s">
        <v>360</v>
      </c>
      <c r="C676" t="s">
        <v>361</v>
      </c>
      <c r="D676">
        <v>2013</v>
      </c>
      <c r="E676" t="s">
        <v>105</v>
      </c>
      <c r="F676">
        <v>22505.5</v>
      </c>
      <c r="G676">
        <v>27</v>
      </c>
      <c r="H676" s="11" t="str">
        <f t="shared" si="62"/>
        <v>count</v>
      </c>
      <c r="I676" s="197"/>
      <c r="J676" s="197"/>
      <c r="K676" s="197"/>
      <c r="L676" s="197"/>
      <c r="M676" s="197"/>
      <c r="N676" s="197"/>
      <c r="O676" s="197"/>
      <c r="P676" s="197"/>
      <c r="Q676" s="197"/>
      <c r="R676" s="197"/>
      <c r="S676" s="197"/>
      <c r="T676" s="197"/>
      <c r="U676" s="197"/>
      <c r="V676" s="197"/>
      <c r="W676" s="197"/>
      <c r="X676" s="197"/>
      <c r="Y676" s="197"/>
      <c r="Z676" s="197"/>
      <c r="AA676" s="197"/>
      <c r="AB676" s="197"/>
      <c r="AC676" s="197"/>
      <c r="AD676" s="197"/>
      <c r="AE676" s="197"/>
      <c r="AF676" s="197"/>
      <c r="AG676" s="197"/>
      <c r="AH676" s="197"/>
      <c r="AI676" s="197"/>
      <c r="AJ676" s="197"/>
      <c r="AK676" s="197"/>
      <c r="AL676" s="197"/>
    </row>
    <row r="677" spans="1:38">
      <c r="A677" s="11" t="str">
        <f t="shared" si="63"/>
        <v>05-859866332012</v>
      </c>
      <c r="B677" t="s">
        <v>360</v>
      </c>
      <c r="C677" t="s">
        <v>361</v>
      </c>
      <c r="D677">
        <v>2012</v>
      </c>
      <c r="E677" t="s">
        <v>69</v>
      </c>
      <c r="F677">
        <v>141309.07999999999</v>
      </c>
      <c r="G677">
        <v>179</v>
      </c>
      <c r="H677" s="11" t="str">
        <f t="shared" si="62"/>
        <v>count</v>
      </c>
      <c r="I677" s="197"/>
      <c r="J677" s="197"/>
      <c r="K677" s="197"/>
      <c r="L677" s="197"/>
      <c r="M677" s="197"/>
      <c r="N677" s="197"/>
      <c r="O677" s="197"/>
      <c r="P677" s="197"/>
      <c r="Q677" s="197"/>
      <c r="R677" s="197"/>
      <c r="S677" s="197"/>
      <c r="T677" s="197"/>
      <c r="U677" s="197"/>
      <c r="V677" s="197"/>
      <c r="W677" s="197"/>
      <c r="X677" s="197"/>
      <c r="Y677" s="197"/>
      <c r="Z677" s="197"/>
      <c r="AA677" s="197"/>
      <c r="AB677" s="197"/>
      <c r="AC677" s="197"/>
      <c r="AD677" s="197"/>
      <c r="AE677" s="197"/>
      <c r="AF677" s="197"/>
      <c r="AG677" s="197"/>
      <c r="AH677" s="197"/>
      <c r="AI677" s="197"/>
      <c r="AJ677" s="197"/>
      <c r="AK677" s="197"/>
      <c r="AL677" s="197"/>
    </row>
    <row r="678" spans="1:38">
      <c r="A678" s="11" t="str">
        <f t="shared" si="63"/>
        <v>05-859866332012</v>
      </c>
      <c r="B678" t="s">
        <v>360</v>
      </c>
      <c r="C678" t="s">
        <v>361</v>
      </c>
      <c r="D678">
        <v>2012</v>
      </c>
      <c r="E678" t="s">
        <v>63</v>
      </c>
      <c r="F678">
        <v>117488.19</v>
      </c>
      <c r="G678">
        <v>149</v>
      </c>
      <c r="H678" s="11" t="str">
        <f t="shared" si="62"/>
        <v>count</v>
      </c>
      <c r="I678" s="197"/>
      <c r="J678" s="197"/>
      <c r="K678" s="197"/>
      <c r="L678" s="197"/>
      <c r="M678" s="197"/>
      <c r="N678" s="197"/>
      <c r="O678" s="197"/>
      <c r="P678" s="197"/>
      <c r="Q678" s="197"/>
      <c r="R678" s="197"/>
      <c r="S678" s="197"/>
      <c r="T678" s="197"/>
      <c r="U678" s="197"/>
      <c r="V678" s="197"/>
      <c r="W678" s="197"/>
      <c r="X678" s="197"/>
      <c r="Y678" s="197"/>
      <c r="Z678" s="197"/>
      <c r="AA678" s="197"/>
      <c r="AB678" s="197"/>
      <c r="AC678" s="197"/>
      <c r="AD678" s="197"/>
      <c r="AE678" s="197"/>
      <c r="AF678" s="197"/>
      <c r="AG678" s="197"/>
      <c r="AH678" s="197"/>
      <c r="AI678" s="197"/>
      <c r="AJ678" s="197"/>
      <c r="AK678" s="197"/>
      <c r="AL678" s="197"/>
    </row>
    <row r="679" spans="1:38">
      <c r="A679" s="11" t="str">
        <f t="shared" si="63"/>
        <v>05-859866332011</v>
      </c>
      <c r="B679" t="s">
        <v>360</v>
      </c>
      <c r="C679" t="s">
        <v>361</v>
      </c>
      <c r="D679">
        <v>2011</v>
      </c>
      <c r="E679" t="s">
        <v>106</v>
      </c>
      <c r="F679">
        <v>469618.38</v>
      </c>
      <c r="G679">
        <v>629</v>
      </c>
      <c r="H679" s="11" t="str">
        <f t="shared" si="62"/>
        <v>count</v>
      </c>
      <c r="I679" s="197"/>
      <c r="J679" s="197"/>
      <c r="K679" s="197"/>
      <c r="L679" s="197"/>
      <c r="M679" s="197"/>
      <c r="N679" s="197"/>
      <c r="O679" s="197"/>
      <c r="P679" s="197"/>
      <c r="Q679" s="197"/>
      <c r="R679" s="197"/>
      <c r="S679" s="197"/>
      <c r="T679" s="197"/>
      <c r="U679" s="197"/>
      <c r="V679" s="197"/>
      <c r="W679" s="197"/>
      <c r="X679" s="197"/>
      <c r="Y679" s="197"/>
      <c r="Z679" s="197"/>
      <c r="AA679" s="197"/>
      <c r="AB679" s="197"/>
      <c r="AC679" s="197"/>
      <c r="AD679" s="197"/>
      <c r="AE679" s="197"/>
      <c r="AF679" s="197"/>
      <c r="AG679" s="197"/>
      <c r="AH679" s="197"/>
      <c r="AI679" s="197"/>
      <c r="AJ679" s="197"/>
      <c r="AK679" s="197"/>
      <c r="AL679" s="197"/>
    </row>
    <row r="680" spans="1:38">
      <c r="A680" s="11" t="str">
        <f t="shared" si="63"/>
        <v>05-859866332011</v>
      </c>
      <c r="B680" t="s">
        <v>360</v>
      </c>
      <c r="C680" t="s">
        <v>361</v>
      </c>
      <c r="D680">
        <v>2011</v>
      </c>
      <c r="E680" t="s">
        <v>1074</v>
      </c>
      <c r="F680">
        <v>815</v>
      </c>
      <c r="G680">
        <v>1</v>
      </c>
      <c r="H680" s="11" t="str">
        <f t="shared" si="62"/>
        <v>count</v>
      </c>
      <c r="I680" s="197"/>
      <c r="J680" s="197"/>
      <c r="K680" s="197"/>
      <c r="L680" s="197"/>
      <c r="M680" s="197"/>
      <c r="N680" s="197"/>
      <c r="O680" s="197"/>
      <c r="P680" s="197"/>
      <c r="Q680" s="197"/>
      <c r="R680" s="197"/>
      <c r="S680" s="197"/>
      <c r="T680" s="197"/>
      <c r="U680" s="197"/>
      <c r="V680" s="197"/>
      <c r="W680" s="197"/>
      <c r="X680" s="197"/>
      <c r="Y680" s="197"/>
      <c r="Z680" s="197"/>
      <c r="AA680" s="197"/>
      <c r="AB680" s="197"/>
      <c r="AC680" s="197"/>
      <c r="AD680" s="197"/>
      <c r="AE680" s="197"/>
      <c r="AF680" s="197"/>
      <c r="AG680" s="197"/>
      <c r="AH680" s="197"/>
      <c r="AI680" s="197"/>
      <c r="AJ680" s="197"/>
      <c r="AK680" s="197"/>
      <c r="AL680" s="197"/>
    </row>
    <row r="681" spans="1:38">
      <c r="A681" s="11" t="str">
        <f t="shared" si="63"/>
        <v>05-859866332012</v>
      </c>
      <c r="B681" t="s">
        <v>360</v>
      </c>
      <c r="C681" t="s">
        <v>361</v>
      </c>
      <c r="D681">
        <v>2012</v>
      </c>
      <c r="E681" t="s">
        <v>104</v>
      </c>
      <c r="F681">
        <v>80901.070000000007</v>
      </c>
      <c r="G681">
        <v>96</v>
      </c>
      <c r="H681" s="11" t="str">
        <f t="shared" si="62"/>
        <v>count</v>
      </c>
      <c r="I681" s="197"/>
      <c r="J681" s="197"/>
      <c r="K681" s="197"/>
      <c r="L681" s="197"/>
      <c r="M681" s="197"/>
      <c r="N681" s="197"/>
      <c r="O681" s="197"/>
      <c r="P681" s="197"/>
      <c r="Q681" s="197"/>
      <c r="R681" s="197"/>
      <c r="S681" s="197"/>
      <c r="T681" s="197"/>
      <c r="U681" s="197"/>
      <c r="V681" s="197"/>
      <c r="W681" s="197"/>
      <c r="X681" s="197"/>
      <c r="Y681" s="197"/>
      <c r="Z681" s="197"/>
      <c r="AA681" s="197"/>
      <c r="AB681" s="197"/>
      <c r="AC681" s="197"/>
      <c r="AD681" s="197"/>
      <c r="AE681" s="197"/>
      <c r="AF681" s="197"/>
      <c r="AG681" s="197"/>
      <c r="AH681" s="197"/>
      <c r="AI681" s="197"/>
      <c r="AJ681" s="197"/>
      <c r="AK681" s="197"/>
      <c r="AL681" s="197"/>
    </row>
    <row r="682" spans="1:38">
      <c r="A682" s="11" t="str">
        <f t="shared" si="63"/>
        <v>05-859866332011</v>
      </c>
      <c r="B682" t="s">
        <v>360</v>
      </c>
      <c r="C682" t="s">
        <v>361</v>
      </c>
      <c r="D682">
        <v>2011</v>
      </c>
      <c r="E682" t="s">
        <v>63</v>
      </c>
      <c r="F682">
        <v>9144</v>
      </c>
      <c r="G682">
        <v>11</v>
      </c>
      <c r="H682" s="11" t="str">
        <f t="shared" si="62"/>
        <v>count</v>
      </c>
      <c r="I682" s="197"/>
      <c r="J682" s="197"/>
      <c r="K682" s="197"/>
      <c r="L682" s="197"/>
      <c r="M682" s="197"/>
      <c r="N682" s="197"/>
      <c r="O682" s="197"/>
      <c r="P682" s="197"/>
      <c r="Q682" s="197"/>
      <c r="R682" s="197"/>
      <c r="S682" s="197"/>
      <c r="T682" s="197"/>
      <c r="U682" s="197"/>
      <c r="V682" s="197"/>
      <c r="W682" s="197"/>
      <c r="X682" s="197"/>
      <c r="Y682" s="197"/>
      <c r="Z682" s="197"/>
      <c r="AA682" s="197"/>
      <c r="AB682" s="197"/>
      <c r="AC682" s="197"/>
      <c r="AD682" s="197"/>
      <c r="AE682" s="197"/>
      <c r="AF682" s="197"/>
      <c r="AG682" s="197"/>
      <c r="AH682" s="197"/>
      <c r="AI682" s="197"/>
      <c r="AJ682" s="197"/>
      <c r="AK682" s="197"/>
      <c r="AL682" s="197"/>
    </row>
    <row r="683" spans="1:38">
      <c r="A683" s="11" t="str">
        <f t="shared" si="63"/>
        <v>05-859866332011</v>
      </c>
      <c r="B683" t="s">
        <v>360</v>
      </c>
      <c r="C683" t="s">
        <v>361</v>
      </c>
      <c r="D683">
        <v>2011</v>
      </c>
      <c r="E683" t="s">
        <v>104</v>
      </c>
      <c r="F683">
        <v>9222</v>
      </c>
      <c r="G683">
        <v>13</v>
      </c>
      <c r="H683" s="11" t="str">
        <f t="shared" si="62"/>
        <v>count</v>
      </c>
      <c r="I683" s="197"/>
      <c r="J683" s="197"/>
      <c r="K683" s="197"/>
      <c r="L683" s="197"/>
      <c r="M683" s="197"/>
      <c r="N683" s="197"/>
      <c r="O683" s="197"/>
      <c r="P683" s="197"/>
      <c r="Q683" s="197"/>
      <c r="R683" s="197"/>
      <c r="S683" s="197"/>
      <c r="T683" s="197"/>
      <c r="U683" s="197"/>
      <c r="V683" s="197"/>
      <c r="W683" s="197"/>
      <c r="X683" s="197"/>
      <c r="Y683" s="197"/>
      <c r="Z683" s="197"/>
      <c r="AA683" s="197"/>
      <c r="AB683" s="197"/>
      <c r="AC683" s="197"/>
      <c r="AD683" s="197"/>
      <c r="AE683" s="197"/>
      <c r="AF683" s="197"/>
      <c r="AG683" s="197"/>
      <c r="AH683" s="197"/>
      <c r="AI683" s="197"/>
      <c r="AJ683" s="197"/>
      <c r="AK683" s="197"/>
      <c r="AL683" s="197"/>
    </row>
    <row r="684" spans="1:38">
      <c r="A684" s="11" t="str">
        <f t="shared" si="63"/>
        <v>05-859866332012</v>
      </c>
      <c r="B684" t="s">
        <v>360</v>
      </c>
      <c r="C684" t="s">
        <v>361</v>
      </c>
      <c r="D684">
        <v>2012</v>
      </c>
      <c r="E684" t="s">
        <v>106</v>
      </c>
      <c r="F684">
        <v>5377782.6900000004</v>
      </c>
      <c r="G684">
        <v>7512</v>
      </c>
      <c r="H684" s="11" t="str">
        <f t="shared" si="62"/>
        <v>count</v>
      </c>
      <c r="I684" s="197"/>
      <c r="J684" s="197"/>
      <c r="K684" s="197"/>
      <c r="L684" s="197"/>
      <c r="M684" s="197"/>
      <c r="N684" s="197"/>
      <c r="O684" s="197"/>
      <c r="P684" s="197"/>
      <c r="Q684" s="197"/>
      <c r="R684" s="197"/>
      <c r="S684" s="197"/>
      <c r="T684" s="197"/>
      <c r="U684" s="197"/>
      <c r="V684" s="197"/>
      <c r="W684" s="197"/>
      <c r="X684" s="197"/>
      <c r="Y684" s="197"/>
      <c r="Z684" s="197"/>
      <c r="AA684" s="197"/>
      <c r="AB684" s="197"/>
      <c r="AC684" s="197"/>
      <c r="AD684" s="197"/>
      <c r="AE684" s="197"/>
      <c r="AF684" s="197"/>
      <c r="AG684" s="197"/>
      <c r="AH684" s="197"/>
      <c r="AI684" s="197"/>
      <c r="AJ684" s="197"/>
      <c r="AK684" s="197"/>
      <c r="AL684" s="197"/>
    </row>
    <row r="685" spans="1:38">
      <c r="A685" s="11" t="str">
        <f t="shared" si="63"/>
        <v>05-859866332012</v>
      </c>
      <c r="B685" t="s">
        <v>360</v>
      </c>
      <c r="C685" t="s">
        <v>361</v>
      </c>
      <c r="D685">
        <v>2012</v>
      </c>
      <c r="E685" t="s">
        <v>1076</v>
      </c>
      <c r="F685">
        <v>5481</v>
      </c>
      <c r="G685">
        <v>6</v>
      </c>
      <c r="H685" s="11" t="str">
        <f t="shared" si="62"/>
        <v>count</v>
      </c>
      <c r="I685" s="197"/>
      <c r="J685" s="197"/>
      <c r="K685" s="197"/>
      <c r="L685" s="197"/>
      <c r="M685" s="197"/>
      <c r="N685" s="197"/>
      <c r="O685" s="197"/>
      <c r="P685" s="197"/>
      <c r="Q685" s="197"/>
      <c r="R685" s="197"/>
      <c r="S685" s="197"/>
      <c r="T685" s="197"/>
      <c r="U685" s="197"/>
      <c r="V685" s="197"/>
      <c r="W685" s="197"/>
      <c r="X685" s="197"/>
      <c r="Y685" s="197"/>
      <c r="Z685" s="197"/>
      <c r="AA685" s="197"/>
      <c r="AB685" s="197"/>
      <c r="AC685" s="197"/>
      <c r="AD685" s="197"/>
      <c r="AE685" s="197"/>
      <c r="AF685" s="197"/>
      <c r="AG685" s="197"/>
      <c r="AH685" s="197"/>
      <c r="AI685" s="197"/>
      <c r="AJ685" s="197"/>
      <c r="AK685" s="197"/>
      <c r="AL685" s="197"/>
    </row>
    <row r="686" spans="1:38">
      <c r="A686" s="11" t="str">
        <f t="shared" si="63"/>
        <v>05-859866332012</v>
      </c>
      <c r="B686" t="s">
        <v>360</v>
      </c>
      <c r="C686" t="s">
        <v>361</v>
      </c>
      <c r="D686">
        <v>2012</v>
      </c>
      <c r="E686" t="s">
        <v>105</v>
      </c>
      <c r="F686">
        <v>16941.310000000001</v>
      </c>
      <c r="G686">
        <v>21</v>
      </c>
      <c r="H686" s="11" t="str">
        <f t="shared" si="62"/>
        <v>count</v>
      </c>
      <c r="I686" s="197"/>
      <c r="J686" s="197"/>
      <c r="K686" s="197"/>
      <c r="L686" s="197"/>
      <c r="M686" s="197"/>
      <c r="N686" s="197"/>
      <c r="O686" s="197"/>
      <c r="P686" s="197"/>
      <c r="Q686" s="197"/>
      <c r="R686" s="197"/>
      <c r="S686" s="197"/>
      <c r="T686" s="197"/>
      <c r="U686" s="197"/>
      <c r="V686" s="197"/>
      <c r="W686" s="197"/>
      <c r="X686" s="197"/>
      <c r="Y686" s="197"/>
      <c r="Z686" s="197"/>
      <c r="AA686" s="197"/>
      <c r="AB686" s="197"/>
      <c r="AC686" s="197"/>
      <c r="AD686" s="197"/>
      <c r="AE686" s="197"/>
      <c r="AF686" s="197"/>
      <c r="AG686" s="197"/>
      <c r="AH686" s="197"/>
      <c r="AI686" s="197"/>
      <c r="AJ686" s="197"/>
      <c r="AK686" s="197"/>
      <c r="AL686" s="197"/>
    </row>
    <row r="687" spans="1:38">
      <c r="A687" s="11" t="str">
        <f t="shared" si="63"/>
        <v>05-859866332013</v>
      </c>
      <c r="B687" t="s">
        <v>360</v>
      </c>
      <c r="C687" t="s">
        <v>361</v>
      </c>
      <c r="D687">
        <v>2013</v>
      </c>
      <c r="E687" t="s">
        <v>69</v>
      </c>
      <c r="F687">
        <v>376356.81</v>
      </c>
      <c r="G687">
        <v>495</v>
      </c>
      <c r="H687" s="11" t="str">
        <f t="shared" si="62"/>
        <v>count</v>
      </c>
      <c r="I687" s="197"/>
      <c r="J687" s="197"/>
      <c r="K687" s="197"/>
      <c r="L687" s="197"/>
      <c r="M687" s="197"/>
      <c r="N687" s="197"/>
      <c r="O687" s="197"/>
      <c r="P687" s="197"/>
      <c r="Q687" s="197"/>
      <c r="R687" s="197"/>
      <c r="S687" s="197"/>
      <c r="T687" s="197"/>
      <c r="U687" s="197"/>
      <c r="V687" s="197"/>
      <c r="W687" s="197"/>
      <c r="X687" s="197"/>
      <c r="Y687" s="197"/>
      <c r="Z687" s="197"/>
      <c r="AA687" s="197"/>
      <c r="AB687" s="197"/>
      <c r="AC687" s="197"/>
      <c r="AD687" s="197"/>
      <c r="AE687" s="197"/>
      <c r="AF687" s="197"/>
      <c r="AG687" s="197"/>
      <c r="AH687" s="197"/>
      <c r="AI687" s="197"/>
      <c r="AJ687" s="197"/>
      <c r="AK687" s="197"/>
      <c r="AL687" s="197"/>
    </row>
    <row r="688" spans="1:38">
      <c r="A688" s="11" t="str">
        <f t="shared" si="63"/>
        <v>05-859866332011</v>
      </c>
      <c r="B688" t="s">
        <v>360</v>
      </c>
      <c r="C688" t="s">
        <v>361</v>
      </c>
      <c r="D688">
        <v>2011</v>
      </c>
      <c r="E688" t="s">
        <v>1075</v>
      </c>
      <c r="F688">
        <v>2442</v>
      </c>
      <c r="G688">
        <v>3</v>
      </c>
      <c r="H688" s="11" t="str">
        <f t="shared" si="62"/>
        <v>count</v>
      </c>
      <c r="I688" s="197"/>
      <c r="J688" s="197"/>
      <c r="K688" s="197"/>
      <c r="L688" s="197"/>
      <c r="M688" s="197"/>
      <c r="N688" s="197"/>
      <c r="O688" s="197"/>
      <c r="P688" s="197"/>
      <c r="Q688" s="197"/>
      <c r="R688" s="197"/>
      <c r="S688" s="197"/>
      <c r="T688" s="197"/>
      <c r="U688" s="197"/>
      <c r="V688" s="197"/>
      <c r="W688" s="197"/>
      <c r="X688" s="197"/>
      <c r="Y688" s="197"/>
      <c r="Z688" s="197"/>
      <c r="AA688" s="197"/>
      <c r="AB688" s="197"/>
      <c r="AC688" s="197"/>
      <c r="AD688" s="197"/>
      <c r="AE688" s="197"/>
      <c r="AF688" s="197"/>
      <c r="AG688" s="197"/>
      <c r="AH688" s="197"/>
      <c r="AI688" s="197"/>
      <c r="AJ688" s="197"/>
      <c r="AK688" s="197"/>
      <c r="AL688" s="197"/>
    </row>
    <row r="689" spans="1:38">
      <c r="A689" s="11" t="str">
        <f t="shared" si="63"/>
        <v>05-859866332011</v>
      </c>
      <c r="B689" t="s">
        <v>360</v>
      </c>
      <c r="C689" t="s">
        <v>361</v>
      </c>
      <c r="D689">
        <v>2011</v>
      </c>
      <c r="E689" t="s">
        <v>69</v>
      </c>
      <c r="F689">
        <v>2076</v>
      </c>
      <c r="G689">
        <v>2</v>
      </c>
      <c r="H689" s="11" t="str">
        <f t="shared" si="62"/>
        <v>count</v>
      </c>
      <c r="I689" s="197"/>
      <c r="J689" s="197"/>
      <c r="K689" s="197"/>
      <c r="L689" s="197"/>
      <c r="M689" s="197"/>
      <c r="N689" s="197"/>
      <c r="O689" s="197"/>
      <c r="P689" s="197"/>
      <c r="Q689" s="197"/>
      <c r="R689" s="197"/>
      <c r="S689" s="197"/>
      <c r="T689" s="197"/>
      <c r="U689" s="197"/>
      <c r="V689" s="197"/>
      <c r="W689" s="197"/>
      <c r="X689" s="197"/>
      <c r="Y689" s="197"/>
      <c r="Z689" s="197"/>
      <c r="AA689" s="197"/>
      <c r="AB689" s="197"/>
      <c r="AC689" s="197"/>
      <c r="AD689" s="197"/>
      <c r="AE689" s="197"/>
      <c r="AF689" s="197"/>
      <c r="AG689" s="197"/>
      <c r="AH689" s="197"/>
      <c r="AI689" s="197"/>
      <c r="AJ689" s="197"/>
      <c r="AK689" s="197"/>
      <c r="AL689" s="197"/>
    </row>
    <row r="690" spans="1:38">
      <c r="A690" s="11" t="str">
        <f t="shared" si="63"/>
        <v>05-859866332013</v>
      </c>
      <c r="B690" t="s">
        <v>360</v>
      </c>
      <c r="C690" t="s">
        <v>361</v>
      </c>
      <c r="D690">
        <v>2013</v>
      </c>
      <c r="E690" t="s">
        <v>63</v>
      </c>
      <c r="F690">
        <v>197663.4</v>
      </c>
      <c r="G690">
        <v>252</v>
      </c>
      <c r="H690" s="11" t="str">
        <f t="shared" si="62"/>
        <v>count</v>
      </c>
      <c r="I690" s="197"/>
      <c r="J690" s="197"/>
      <c r="K690" s="197"/>
      <c r="L690" s="197"/>
      <c r="M690" s="197"/>
      <c r="N690" s="197"/>
      <c r="O690" s="197"/>
      <c r="P690" s="197"/>
      <c r="Q690" s="197"/>
      <c r="R690" s="197"/>
      <c r="S690" s="197"/>
      <c r="T690" s="197"/>
      <c r="U690" s="197"/>
      <c r="V690" s="197"/>
      <c r="W690" s="197"/>
      <c r="X690" s="197"/>
      <c r="Y690" s="197"/>
      <c r="Z690" s="197"/>
      <c r="AA690" s="197"/>
      <c r="AB690" s="197"/>
      <c r="AC690" s="197"/>
      <c r="AD690" s="197"/>
      <c r="AE690" s="197"/>
      <c r="AF690" s="197"/>
      <c r="AG690" s="197"/>
      <c r="AH690" s="197"/>
      <c r="AI690" s="197"/>
      <c r="AJ690" s="197"/>
      <c r="AK690" s="197"/>
      <c r="AL690" s="197"/>
    </row>
    <row r="691" spans="1:38">
      <c r="A691" s="11" t="str">
        <f t="shared" si="63"/>
        <v>05-859866332013</v>
      </c>
      <c r="B691" t="s">
        <v>360</v>
      </c>
      <c r="C691" t="s">
        <v>361</v>
      </c>
      <c r="D691">
        <v>2013</v>
      </c>
      <c r="E691" t="s">
        <v>104</v>
      </c>
      <c r="F691">
        <v>77945.42</v>
      </c>
      <c r="G691">
        <v>102</v>
      </c>
      <c r="H691" s="11" t="str">
        <f t="shared" si="62"/>
        <v>count</v>
      </c>
      <c r="I691" s="197"/>
      <c r="J691" s="197"/>
      <c r="K691" s="197"/>
      <c r="L691" s="197"/>
      <c r="M691" s="197"/>
      <c r="N691" s="197"/>
      <c r="O691" s="197"/>
      <c r="P691" s="197"/>
      <c r="Q691" s="197"/>
      <c r="R691" s="197"/>
      <c r="S691" s="197"/>
      <c r="T691" s="197"/>
      <c r="U691" s="197"/>
      <c r="V691" s="197"/>
      <c r="W691" s="197"/>
      <c r="X691" s="197"/>
      <c r="Y691" s="197"/>
      <c r="Z691" s="197"/>
      <c r="AA691" s="197"/>
      <c r="AB691" s="197"/>
      <c r="AC691" s="197"/>
      <c r="AD691" s="197"/>
      <c r="AE691" s="197"/>
      <c r="AF691" s="197"/>
      <c r="AG691" s="197"/>
      <c r="AH691" s="197"/>
      <c r="AI691" s="197"/>
      <c r="AJ691" s="197"/>
      <c r="AK691" s="197"/>
      <c r="AL691" s="197"/>
    </row>
    <row r="692" spans="1:38">
      <c r="A692" s="11" t="str">
        <f t="shared" si="63"/>
        <v>05-871328942012</v>
      </c>
      <c r="B692" t="s">
        <v>369</v>
      </c>
      <c r="C692" t="s">
        <v>370</v>
      </c>
      <c r="D692">
        <v>2012</v>
      </c>
      <c r="E692" t="s">
        <v>69</v>
      </c>
      <c r="F692">
        <v>157826.22</v>
      </c>
      <c r="G692">
        <v>267</v>
      </c>
      <c r="H692" s="11" t="str">
        <f t="shared" si="62"/>
        <v>volume</v>
      </c>
      <c r="I692" s="197"/>
      <c r="J692" s="197"/>
      <c r="K692" s="197"/>
      <c r="L692" s="197"/>
      <c r="M692" s="197"/>
      <c r="N692" s="197"/>
      <c r="O692" s="197"/>
      <c r="P692" s="197"/>
      <c r="Q692" s="197"/>
      <c r="R692" s="197"/>
      <c r="S692" s="197"/>
      <c r="T692" s="197"/>
      <c r="U692" s="197"/>
      <c r="V692" s="197"/>
      <c r="W692" s="197"/>
      <c r="X692" s="197"/>
      <c r="Y692" s="197"/>
      <c r="Z692" s="197"/>
      <c r="AA692" s="197"/>
      <c r="AB692" s="197"/>
      <c r="AC692" s="197"/>
      <c r="AD692" s="197"/>
      <c r="AE692" s="197"/>
      <c r="AF692" s="197"/>
      <c r="AG692" s="197"/>
      <c r="AH692" s="197"/>
      <c r="AI692" s="197"/>
      <c r="AJ692" s="197"/>
      <c r="AK692" s="197"/>
      <c r="AL692" s="197"/>
    </row>
    <row r="693" spans="1:38">
      <c r="A693" s="11" t="str">
        <f t="shared" si="63"/>
        <v>05-871328942011</v>
      </c>
      <c r="B693" t="s">
        <v>369</v>
      </c>
      <c r="C693" t="s">
        <v>370</v>
      </c>
      <c r="D693">
        <v>2011</v>
      </c>
      <c r="E693" t="s">
        <v>63</v>
      </c>
      <c r="F693">
        <v>4620.75</v>
      </c>
      <c r="G693">
        <v>8</v>
      </c>
      <c r="H693" s="11" t="str">
        <f t="shared" si="62"/>
        <v>count</v>
      </c>
      <c r="I693" s="197"/>
      <c r="J693" s="197"/>
      <c r="K693" s="197"/>
      <c r="L693" s="197"/>
      <c r="M693" s="197"/>
      <c r="N693" s="197"/>
      <c r="O693" s="197"/>
      <c r="P693" s="197"/>
      <c r="Q693" s="197"/>
      <c r="R693" s="197"/>
      <c r="S693" s="197"/>
      <c r="T693" s="197"/>
      <c r="U693" s="197"/>
      <c r="V693" s="197"/>
      <c r="W693" s="197"/>
      <c r="X693" s="197"/>
      <c r="Y693" s="197"/>
      <c r="Z693" s="197"/>
      <c r="AA693" s="197"/>
      <c r="AB693" s="197"/>
      <c r="AC693" s="197"/>
      <c r="AD693" s="197"/>
      <c r="AE693" s="197"/>
      <c r="AF693" s="197"/>
      <c r="AG693" s="197"/>
      <c r="AH693" s="197"/>
      <c r="AI693" s="197"/>
      <c r="AJ693" s="197"/>
      <c r="AK693" s="197"/>
      <c r="AL693" s="197"/>
    </row>
    <row r="694" spans="1:38">
      <c r="A694" s="11" t="str">
        <f t="shared" si="63"/>
        <v>05-871328942012</v>
      </c>
      <c r="B694" t="s">
        <v>369</v>
      </c>
      <c r="C694" t="s">
        <v>370</v>
      </c>
      <c r="D694">
        <v>2012</v>
      </c>
      <c r="E694" t="s">
        <v>1076</v>
      </c>
      <c r="F694">
        <v>908.95</v>
      </c>
      <c r="G694">
        <v>2</v>
      </c>
      <c r="H694" s="11" t="str">
        <f t="shared" si="62"/>
        <v>count</v>
      </c>
      <c r="I694" s="197"/>
      <c r="J694" s="197"/>
      <c r="K694" s="197"/>
      <c r="L694" s="197"/>
      <c r="M694" s="197"/>
      <c r="N694" s="197"/>
      <c r="O694" s="197"/>
      <c r="P694" s="197"/>
      <c r="Q694" s="197"/>
      <c r="R694" s="197"/>
      <c r="S694" s="197"/>
      <c r="T694" s="197"/>
      <c r="U694" s="197"/>
      <c r="V694" s="197"/>
      <c r="W694" s="197"/>
      <c r="X694" s="197"/>
      <c r="Y694" s="197"/>
      <c r="Z694" s="197"/>
      <c r="AA694" s="197"/>
      <c r="AB694" s="197"/>
      <c r="AC694" s="197"/>
      <c r="AD694" s="197"/>
      <c r="AE694" s="197"/>
      <c r="AF694" s="197"/>
      <c r="AG694" s="197"/>
      <c r="AH694" s="197"/>
      <c r="AI694" s="197"/>
      <c r="AJ694" s="197"/>
      <c r="AK694" s="197"/>
      <c r="AL694" s="197"/>
    </row>
    <row r="695" spans="1:38">
      <c r="A695" s="11" t="str">
        <f t="shared" si="63"/>
        <v>05-871328942011</v>
      </c>
      <c r="B695" t="s">
        <v>369</v>
      </c>
      <c r="C695" t="s">
        <v>370</v>
      </c>
      <c r="D695">
        <v>2011</v>
      </c>
      <c r="E695" t="s">
        <v>106</v>
      </c>
      <c r="F695">
        <v>190889.64</v>
      </c>
      <c r="G695">
        <v>242</v>
      </c>
      <c r="H695" s="11" t="str">
        <f t="shared" si="62"/>
        <v>count</v>
      </c>
      <c r="I695" s="197"/>
      <c r="J695" s="197"/>
      <c r="K695" s="197"/>
      <c r="L695" s="197"/>
      <c r="M695" s="197"/>
      <c r="N695" s="197"/>
      <c r="O695" s="197"/>
      <c r="P695" s="197"/>
      <c r="Q695" s="197"/>
      <c r="R695" s="197"/>
      <c r="S695" s="197"/>
      <c r="T695" s="197"/>
      <c r="U695" s="197"/>
      <c r="V695" s="197"/>
      <c r="W695" s="197"/>
      <c r="X695" s="197"/>
      <c r="Y695" s="197"/>
      <c r="Z695" s="197"/>
      <c r="AA695" s="197"/>
      <c r="AB695" s="197"/>
      <c r="AC695" s="197"/>
      <c r="AD695" s="197"/>
      <c r="AE695" s="197"/>
      <c r="AF695" s="197"/>
      <c r="AG695" s="197"/>
      <c r="AH695" s="197"/>
      <c r="AI695" s="197"/>
      <c r="AJ695" s="197"/>
      <c r="AK695" s="197"/>
      <c r="AL695" s="197"/>
    </row>
    <row r="696" spans="1:38">
      <c r="A696" s="11" t="str">
        <f t="shared" si="63"/>
        <v>05-871328942012</v>
      </c>
      <c r="B696" t="s">
        <v>369</v>
      </c>
      <c r="C696" t="s">
        <v>370</v>
      </c>
      <c r="D696">
        <v>2012</v>
      </c>
      <c r="E696" t="s">
        <v>105</v>
      </c>
      <c r="F696">
        <v>6028.75</v>
      </c>
      <c r="G696">
        <v>6</v>
      </c>
      <c r="H696" s="11" t="str">
        <f t="shared" si="62"/>
        <v>count</v>
      </c>
      <c r="I696" s="197"/>
      <c r="J696" s="197"/>
      <c r="K696" s="197"/>
      <c r="L696" s="197"/>
      <c r="M696" s="197"/>
      <c r="N696" s="197"/>
      <c r="O696" s="197"/>
      <c r="P696" s="197"/>
      <c r="Q696" s="197"/>
      <c r="R696" s="197"/>
      <c r="S696" s="197"/>
      <c r="T696" s="197"/>
      <c r="U696" s="197"/>
      <c r="V696" s="197"/>
      <c r="W696" s="197"/>
      <c r="X696" s="197"/>
      <c r="Y696" s="197"/>
      <c r="Z696" s="197"/>
      <c r="AA696" s="197"/>
      <c r="AB696" s="197"/>
      <c r="AC696" s="197"/>
      <c r="AD696" s="197"/>
      <c r="AE696" s="197"/>
      <c r="AF696" s="197"/>
      <c r="AG696" s="197"/>
      <c r="AH696" s="197"/>
      <c r="AI696" s="197"/>
      <c r="AJ696" s="197"/>
      <c r="AK696" s="197"/>
      <c r="AL696" s="197"/>
    </row>
    <row r="697" spans="1:38">
      <c r="A697" s="11" t="str">
        <f t="shared" si="63"/>
        <v>05-871328942011</v>
      </c>
      <c r="B697" t="s">
        <v>369</v>
      </c>
      <c r="C697" t="s">
        <v>370</v>
      </c>
      <c r="D697">
        <v>2011</v>
      </c>
      <c r="E697" t="s">
        <v>1074</v>
      </c>
      <c r="F697">
        <v>948.95</v>
      </c>
      <c r="G697">
        <v>2</v>
      </c>
      <c r="H697" s="11" t="str">
        <f t="shared" si="62"/>
        <v>count</v>
      </c>
      <c r="I697" s="197"/>
      <c r="J697" s="197"/>
      <c r="K697" s="197"/>
      <c r="L697" s="197"/>
      <c r="M697" s="197"/>
      <c r="N697" s="197"/>
      <c r="O697" s="197"/>
      <c r="P697" s="197"/>
      <c r="Q697" s="197"/>
      <c r="R697" s="197"/>
      <c r="S697" s="197"/>
      <c r="T697" s="197"/>
      <c r="U697" s="197"/>
      <c r="V697" s="197"/>
      <c r="W697" s="197"/>
      <c r="X697" s="197"/>
      <c r="Y697" s="197"/>
      <c r="Z697" s="197"/>
      <c r="AA697" s="197"/>
      <c r="AB697" s="197"/>
      <c r="AC697" s="197"/>
      <c r="AD697" s="197"/>
      <c r="AE697" s="197"/>
      <c r="AF697" s="197"/>
      <c r="AG697" s="197"/>
      <c r="AH697" s="197"/>
      <c r="AI697" s="197"/>
      <c r="AJ697" s="197"/>
      <c r="AK697" s="197"/>
      <c r="AL697" s="197"/>
    </row>
    <row r="698" spans="1:38">
      <c r="A698" s="11" t="str">
        <f t="shared" si="63"/>
        <v>05-871328942011</v>
      </c>
      <c r="B698" t="s">
        <v>369</v>
      </c>
      <c r="C698" t="s">
        <v>370</v>
      </c>
      <c r="D698">
        <v>2011</v>
      </c>
      <c r="E698" t="s">
        <v>104</v>
      </c>
      <c r="F698">
        <v>2751.64</v>
      </c>
      <c r="G698">
        <v>3</v>
      </c>
      <c r="H698" s="11" t="str">
        <f t="shared" si="62"/>
        <v>count</v>
      </c>
      <c r="I698" s="197"/>
      <c r="J698" s="197"/>
      <c r="K698" s="197"/>
      <c r="L698" s="197"/>
      <c r="M698" s="197"/>
      <c r="N698" s="197"/>
      <c r="O698" s="197"/>
      <c r="P698" s="197"/>
      <c r="Q698" s="197"/>
      <c r="R698" s="197"/>
      <c r="S698" s="197"/>
      <c r="T698" s="197"/>
      <c r="U698" s="197"/>
      <c r="V698" s="197"/>
      <c r="W698" s="197"/>
      <c r="X698" s="197"/>
      <c r="Y698" s="197"/>
      <c r="Z698" s="197"/>
      <c r="AA698" s="197"/>
      <c r="AB698" s="197"/>
      <c r="AC698" s="197"/>
      <c r="AD698" s="197"/>
      <c r="AE698" s="197"/>
      <c r="AF698" s="197"/>
      <c r="AG698" s="197"/>
      <c r="AH698" s="197"/>
      <c r="AI698" s="197"/>
      <c r="AJ698" s="197"/>
      <c r="AK698" s="197"/>
      <c r="AL698" s="197"/>
    </row>
    <row r="699" spans="1:38">
      <c r="A699" s="11" t="str">
        <f t="shared" si="63"/>
        <v>05-871328942013</v>
      </c>
      <c r="B699" t="s">
        <v>369</v>
      </c>
      <c r="C699" t="s">
        <v>370</v>
      </c>
      <c r="D699">
        <v>2013</v>
      </c>
      <c r="E699" t="s">
        <v>105</v>
      </c>
      <c r="F699">
        <v>24154.46</v>
      </c>
      <c r="G699">
        <v>30</v>
      </c>
      <c r="H699" s="11" t="str">
        <f t="shared" si="62"/>
        <v>count</v>
      </c>
      <c r="I699" s="197"/>
      <c r="J699" s="197"/>
      <c r="K699" s="197"/>
      <c r="L699" s="197"/>
      <c r="M699" s="197"/>
      <c r="N699" s="197"/>
      <c r="O699" s="197"/>
      <c r="P699" s="197"/>
      <c r="Q699" s="197"/>
      <c r="R699" s="197"/>
      <c r="S699" s="197"/>
      <c r="T699" s="197"/>
      <c r="U699" s="197"/>
      <c r="V699" s="197"/>
      <c r="W699" s="197"/>
      <c r="X699" s="197"/>
      <c r="Y699" s="197"/>
      <c r="Z699" s="197"/>
      <c r="AA699" s="197"/>
      <c r="AB699" s="197"/>
      <c r="AC699" s="197"/>
      <c r="AD699" s="197"/>
      <c r="AE699" s="197"/>
      <c r="AF699" s="197"/>
      <c r="AG699" s="197"/>
      <c r="AH699" s="197"/>
      <c r="AI699" s="197"/>
      <c r="AJ699" s="197"/>
      <c r="AK699" s="197"/>
      <c r="AL699" s="197"/>
    </row>
    <row r="700" spans="1:38">
      <c r="A700" s="11" t="str">
        <f t="shared" si="63"/>
        <v>05-871328942012</v>
      </c>
      <c r="B700" t="s">
        <v>369</v>
      </c>
      <c r="C700" t="s">
        <v>370</v>
      </c>
      <c r="D700">
        <v>2012</v>
      </c>
      <c r="E700" t="s">
        <v>1075</v>
      </c>
      <c r="F700">
        <v>16331.61</v>
      </c>
      <c r="G700">
        <v>34</v>
      </c>
      <c r="H700" s="11" t="str">
        <f t="shared" si="62"/>
        <v>count</v>
      </c>
      <c r="I700" s="197"/>
      <c r="J700" s="197"/>
      <c r="K700" s="197"/>
      <c r="L700" s="197"/>
      <c r="M700" s="197"/>
      <c r="N700" s="197"/>
      <c r="O700" s="197"/>
      <c r="P700" s="197"/>
      <c r="Q700" s="197"/>
      <c r="R700" s="197"/>
      <c r="S700" s="197"/>
      <c r="T700" s="197"/>
      <c r="U700" s="197"/>
      <c r="V700" s="197"/>
      <c r="W700" s="197"/>
      <c r="X700" s="197"/>
      <c r="Y700" s="197"/>
      <c r="Z700" s="197"/>
      <c r="AA700" s="197"/>
      <c r="AB700" s="197"/>
      <c r="AC700" s="197"/>
      <c r="AD700" s="197"/>
      <c r="AE700" s="197"/>
      <c r="AF700" s="197"/>
      <c r="AG700" s="197"/>
      <c r="AH700" s="197"/>
      <c r="AI700" s="197"/>
      <c r="AJ700" s="197"/>
      <c r="AK700" s="197"/>
      <c r="AL700" s="197"/>
    </row>
    <row r="701" spans="1:38">
      <c r="A701" s="11" t="str">
        <f t="shared" si="63"/>
        <v>05-871328942013</v>
      </c>
      <c r="B701" t="s">
        <v>369</v>
      </c>
      <c r="C701" t="s">
        <v>370</v>
      </c>
      <c r="D701">
        <v>2013</v>
      </c>
      <c r="E701" t="s">
        <v>106</v>
      </c>
      <c r="F701">
        <v>4358101.2699999996</v>
      </c>
      <c r="G701">
        <v>4881</v>
      </c>
      <c r="H701" s="11" t="str">
        <f t="shared" si="62"/>
        <v>count</v>
      </c>
      <c r="I701" s="197"/>
      <c r="J701" s="197"/>
      <c r="K701" s="197"/>
      <c r="L701" s="197"/>
      <c r="M701" s="197"/>
      <c r="N701" s="197"/>
      <c r="O701" s="197"/>
      <c r="P701" s="197"/>
      <c r="Q701" s="197"/>
      <c r="R701" s="197"/>
      <c r="S701" s="197"/>
      <c r="T701" s="197"/>
      <c r="U701" s="197"/>
      <c r="V701" s="197"/>
      <c r="W701" s="197"/>
      <c r="X701" s="197"/>
      <c r="Y701" s="197"/>
      <c r="Z701" s="197"/>
      <c r="AA701" s="197"/>
      <c r="AB701" s="197"/>
      <c r="AC701" s="197"/>
      <c r="AD701" s="197"/>
      <c r="AE701" s="197"/>
      <c r="AF701" s="197"/>
      <c r="AG701" s="197"/>
      <c r="AH701" s="197"/>
      <c r="AI701" s="197"/>
      <c r="AJ701" s="197"/>
      <c r="AK701" s="197"/>
      <c r="AL701" s="197"/>
    </row>
    <row r="702" spans="1:38">
      <c r="A702" s="11" t="str">
        <f t="shared" si="63"/>
        <v>05-871328942011</v>
      </c>
      <c r="B702" t="s">
        <v>369</v>
      </c>
      <c r="C702" t="s">
        <v>370</v>
      </c>
      <c r="D702">
        <v>2011</v>
      </c>
      <c r="E702" t="s">
        <v>69</v>
      </c>
      <c r="F702">
        <v>210</v>
      </c>
      <c r="G702">
        <v>1</v>
      </c>
      <c r="H702" s="11" t="str">
        <f t="shared" si="62"/>
        <v>count</v>
      </c>
      <c r="I702" s="197"/>
      <c r="J702" s="197"/>
      <c r="K702" s="197"/>
      <c r="L702" s="197"/>
      <c r="M702" s="197"/>
      <c r="N702" s="197"/>
      <c r="O702" s="197"/>
      <c r="P702" s="197"/>
      <c r="Q702" s="197"/>
      <c r="R702" s="197"/>
      <c r="S702" s="197"/>
      <c r="T702" s="197"/>
      <c r="U702" s="197"/>
      <c r="V702" s="197"/>
      <c r="W702" s="197"/>
      <c r="X702" s="197"/>
      <c r="Y702" s="197"/>
      <c r="Z702" s="197"/>
      <c r="AA702" s="197"/>
      <c r="AB702" s="197"/>
      <c r="AC702" s="197"/>
      <c r="AD702" s="197"/>
      <c r="AE702" s="197"/>
      <c r="AF702" s="197"/>
      <c r="AG702" s="197"/>
      <c r="AH702" s="197"/>
      <c r="AI702" s="197"/>
      <c r="AJ702" s="197"/>
      <c r="AK702" s="197"/>
      <c r="AL702" s="197"/>
    </row>
    <row r="703" spans="1:38">
      <c r="A703" s="11" t="str">
        <f t="shared" si="63"/>
        <v>05-871328942012</v>
      </c>
      <c r="B703" t="s">
        <v>369</v>
      </c>
      <c r="C703" t="s">
        <v>370</v>
      </c>
      <c r="D703">
        <v>2012</v>
      </c>
      <c r="E703" t="s">
        <v>63</v>
      </c>
      <c r="F703">
        <v>168184.98</v>
      </c>
      <c r="G703">
        <v>234</v>
      </c>
      <c r="H703" s="11" t="str">
        <f t="shared" si="62"/>
        <v>count</v>
      </c>
      <c r="I703" s="197"/>
      <c r="J703" s="197"/>
      <c r="K703" s="197"/>
      <c r="L703" s="197"/>
      <c r="M703" s="197"/>
      <c r="N703" s="197"/>
      <c r="O703" s="197"/>
      <c r="P703" s="197"/>
      <c r="Q703" s="197"/>
      <c r="R703" s="197"/>
      <c r="S703" s="197"/>
      <c r="T703" s="197"/>
      <c r="U703" s="197"/>
      <c r="V703" s="197"/>
      <c r="W703" s="197"/>
      <c r="X703" s="197"/>
      <c r="Y703" s="197"/>
      <c r="Z703" s="197"/>
      <c r="AA703" s="197"/>
      <c r="AB703" s="197"/>
      <c r="AC703" s="197"/>
      <c r="AD703" s="197"/>
      <c r="AE703" s="197"/>
      <c r="AF703" s="197"/>
      <c r="AG703" s="197"/>
      <c r="AH703" s="197"/>
      <c r="AI703" s="197"/>
      <c r="AJ703" s="197"/>
      <c r="AK703" s="197"/>
      <c r="AL703" s="197"/>
    </row>
    <row r="704" spans="1:38">
      <c r="A704" s="11" t="str">
        <f t="shared" si="63"/>
        <v>05-871328942012</v>
      </c>
      <c r="B704" t="s">
        <v>369</v>
      </c>
      <c r="C704" t="s">
        <v>370</v>
      </c>
      <c r="D704">
        <v>2012</v>
      </c>
      <c r="E704" t="s">
        <v>104</v>
      </c>
      <c r="F704">
        <v>67332.009999999995</v>
      </c>
      <c r="G704">
        <v>96</v>
      </c>
      <c r="H704" s="11" t="str">
        <f t="shared" si="62"/>
        <v>count</v>
      </c>
      <c r="I704" s="197"/>
      <c r="J704" s="197"/>
      <c r="K704" s="197"/>
      <c r="L704" s="197"/>
      <c r="M704" s="197"/>
      <c r="N704" s="197"/>
      <c r="O704" s="197"/>
      <c r="P704" s="197"/>
      <c r="Q704" s="197"/>
      <c r="R704" s="197"/>
      <c r="S704" s="197"/>
      <c r="T704" s="197"/>
      <c r="U704" s="197"/>
      <c r="V704" s="197"/>
      <c r="W704" s="197"/>
      <c r="X704" s="197"/>
      <c r="Y704" s="197"/>
      <c r="Z704" s="197"/>
      <c r="AA704" s="197"/>
      <c r="AB704" s="197"/>
      <c r="AC704" s="197"/>
      <c r="AD704" s="197"/>
      <c r="AE704" s="197"/>
      <c r="AF704" s="197"/>
      <c r="AG704" s="197"/>
      <c r="AH704" s="197"/>
      <c r="AI704" s="197"/>
      <c r="AJ704" s="197"/>
      <c r="AK704" s="197"/>
      <c r="AL704" s="197"/>
    </row>
    <row r="705" spans="1:38">
      <c r="A705" s="11" t="str">
        <f t="shared" si="63"/>
        <v>05-871328942012</v>
      </c>
      <c r="B705" t="s">
        <v>369</v>
      </c>
      <c r="C705" t="s">
        <v>370</v>
      </c>
      <c r="D705">
        <v>2012</v>
      </c>
      <c r="E705" t="s">
        <v>106</v>
      </c>
      <c r="F705">
        <v>2980930.92</v>
      </c>
      <c r="G705">
        <v>3623</v>
      </c>
      <c r="H705" s="11" t="str">
        <f t="shared" si="62"/>
        <v>count</v>
      </c>
      <c r="I705" s="197"/>
      <c r="J705" s="197"/>
      <c r="K705" s="197"/>
      <c r="L705" s="197"/>
      <c r="M705" s="197"/>
      <c r="N705" s="197"/>
      <c r="O705" s="197"/>
      <c r="P705" s="197"/>
      <c r="Q705" s="197"/>
      <c r="R705" s="197"/>
      <c r="S705" s="197"/>
      <c r="T705" s="197"/>
      <c r="U705" s="197"/>
      <c r="V705" s="197"/>
      <c r="W705" s="197"/>
      <c r="X705" s="197"/>
      <c r="Y705" s="197"/>
      <c r="Z705" s="197"/>
      <c r="AA705" s="197"/>
      <c r="AB705" s="197"/>
      <c r="AC705" s="197"/>
      <c r="AD705" s="197"/>
      <c r="AE705" s="197"/>
      <c r="AF705" s="197"/>
      <c r="AG705" s="197"/>
      <c r="AH705" s="197"/>
      <c r="AI705" s="197"/>
      <c r="AJ705" s="197"/>
      <c r="AK705" s="197"/>
      <c r="AL705" s="197"/>
    </row>
    <row r="706" spans="1:38">
      <c r="A706" s="11" t="str">
        <f t="shared" si="63"/>
        <v>05-871328942012</v>
      </c>
      <c r="B706" t="s">
        <v>369</v>
      </c>
      <c r="C706" t="s">
        <v>370</v>
      </c>
      <c r="D706">
        <v>2012</v>
      </c>
      <c r="E706" t="s">
        <v>1074</v>
      </c>
      <c r="F706">
        <v>1406</v>
      </c>
      <c r="G706">
        <v>6</v>
      </c>
      <c r="H706" s="11" t="str">
        <f t="shared" ref="H706:H769" si="64">IF(B706=B705,"count","volume")</f>
        <v>count</v>
      </c>
      <c r="I706" s="197"/>
      <c r="J706" s="197"/>
      <c r="K706" s="197"/>
      <c r="L706" s="197"/>
      <c r="M706" s="197"/>
      <c r="N706" s="197"/>
      <c r="O706" s="197"/>
      <c r="P706" s="197"/>
      <c r="Q706" s="197"/>
      <c r="R706" s="197"/>
      <c r="S706" s="197"/>
      <c r="T706" s="197"/>
      <c r="U706" s="197"/>
      <c r="V706" s="197"/>
      <c r="W706" s="197"/>
      <c r="X706" s="197"/>
      <c r="Y706" s="197"/>
      <c r="Z706" s="197"/>
      <c r="AA706" s="197"/>
      <c r="AB706" s="197"/>
      <c r="AC706" s="197"/>
      <c r="AD706" s="197"/>
      <c r="AE706" s="197"/>
      <c r="AF706" s="197"/>
      <c r="AG706" s="197"/>
      <c r="AH706" s="197"/>
      <c r="AI706" s="197"/>
      <c r="AJ706" s="197"/>
      <c r="AK706" s="197"/>
      <c r="AL706" s="197"/>
    </row>
    <row r="707" spans="1:38">
      <c r="A707" s="11" t="str">
        <f t="shared" ref="A707:A770" si="65">B707&amp;D707</f>
        <v>05-871328942011</v>
      </c>
      <c r="B707" t="s">
        <v>369</v>
      </c>
      <c r="C707" t="s">
        <v>370</v>
      </c>
      <c r="D707">
        <v>2011</v>
      </c>
      <c r="E707" t="s">
        <v>68</v>
      </c>
      <c r="F707">
        <v>182030.22</v>
      </c>
      <c r="G707">
        <v>301</v>
      </c>
      <c r="H707" s="11" t="str">
        <f t="shared" si="64"/>
        <v>count</v>
      </c>
      <c r="I707" s="197"/>
      <c r="J707" s="197"/>
      <c r="K707" s="197"/>
      <c r="L707" s="197"/>
      <c r="M707" s="197"/>
      <c r="N707" s="197"/>
      <c r="O707" s="197"/>
      <c r="P707" s="197"/>
      <c r="Q707" s="197"/>
      <c r="R707" s="197"/>
      <c r="S707" s="197"/>
      <c r="T707" s="197"/>
      <c r="U707" s="197"/>
      <c r="V707" s="197"/>
      <c r="W707" s="197"/>
      <c r="X707" s="197"/>
      <c r="Y707" s="197"/>
      <c r="Z707" s="197"/>
      <c r="AA707" s="197"/>
      <c r="AB707" s="197"/>
      <c r="AC707" s="197"/>
      <c r="AD707" s="197"/>
      <c r="AE707" s="197"/>
      <c r="AF707" s="197"/>
      <c r="AG707" s="197"/>
      <c r="AH707" s="197"/>
      <c r="AI707" s="197"/>
      <c r="AJ707" s="197"/>
      <c r="AK707" s="197"/>
      <c r="AL707" s="197"/>
    </row>
    <row r="708" spans="1:38">
      <c r="A708" s="11" t="str">
        <f t="shared" si="65"/>
        <v>05-871328942013</v>
      </c>
      <c r="B708" t="s">
        <v>369</v>
      </c>
      <c r="C708" t="s">
        <v>370</v>
      </c>
      <c r="D708">
        <v>2013</v>
      </c>
      <c r="E708" t="s">
        <v>104</v>
      </c>
      <c r="F708">
        <v>153215.19</v>
      </c>
      <c r="G708">
        <v>202</v>
      </c>
      <c r="H708" s="11" t="str">
        <f t="shared" si="64"/>
        <v>count</v>
      </c>
      <c r="I708" s="197"/>
      <c r="J708" s="197"/>
      <c r="K708" s="197"/>
      <c r="L708" s="197"/>
      <c r="M708" s="197"/>
      <c r="N708" s="197"/>
      <c r="O708" s="197"/>
      <c r="P708" s="197"/>
      <c r="Q708" s="197"/>
      <c r="R708" s="197"/>
      <c r="S708" s="197"/>
      <c r="T708" s="197"/>
      <c r="U708" s="197"/>
      <c r="V708" s="197"/>
      <c r="W708" s="197"/>
      <c r="X708" s="197"/>
      <c r="Y708" s="197"/>
      <c r="Z708" s="197"/>
      <c r="AA708" s="197"/>
      <c r="AB708" s="197"/>
      <c r="AC708" s="197"/>
      <c r="AD708" s="197"/>
      <c r="AE708" s="197"/>
      <c r="AF708" s="197"/>
      <c r="AG708" s="197"/>
      <c r="AH708" s="197"/>
      <c r="AI708" s="197"/>
      <c r="AJ708" s="197"/>
      <c r="AK708" s="197"/>
      <c r="AL708" s="197"/>
    </row>
    <row r="709" spans="1:38">
      <c r="A709" s="11" t="str">
        <f t="shared" si="65"/>
        <v>05-871328942013</v>
      </c>
      <c r="B709" t="s">
        <v>369</v>
      </c>
      <c r="C709" t="s">
        <v>370</v>
      </c>
      <c r="D709">
        <v>2013</v>
      </c>
      <c r="E709" t="s">
        <v>63</v>
      </c>
      <c r="F709">
        <v>331261.78000000003</v>
      </c>
      <c r="G709">
        <v>402</v>
      </c>
      <c r="H709" s="11" t="str">
        <f t="shared" si="64"/>
        <v>count</v>
      </c>
      <c r="I709" s="197"/>
      <c r="J709" s="197"/>
      <c r="K709" s="197"/>
      <c r="L709" s="197"/>
      <c r="M709" s="197"/>
      <c r="N709" s="197"/>
      <c r="O709" s="197"/>
      <c r="P709" s="197"/>
      <c r="Q709" s="197"/>
      <c r="R709" s="197"/>
      <c r="S709" s="197"/>
      <c r="T709" s="197"/>
      <c r="U709" s="197"/>
      <c r="V709" s="197"/>
      <c r="W709" s="197"/>
      <c r="X709" s="197"/>
      <c r="Y709" s="197"/>
      <c r="Z709" s="197"/>
      <c r="AA709" s="197"/>
      <c r="AB709" s="197"/>
      <c r="AC709" s="197"/>
      <c r="AD709" s="197"/>
      <c r="AE709" s="197"/>
      <c r="AF709" s="197"/>
      <c r="AG709" s="197"/>
      <c r="AH709" s="197"/>
      <c r="AI709" s="197"/>
      <c r="AJ709" s="197"/>
      <c r="AK709" s="197"/>
      <c r="AL709" s="197"/>
    </row>
    <row r="710" spans="1:38">
      <c r="A710" s="11" t="str">
        <f t="shared" si="65"/>
        <v>05-871328942013</v>
      </c>
      <c r="B710" t="s">
        <v>369</v>
      </c>
      <c r="C710" t="s">
        <v>370</v>
      </c>
      <c r="D710">
        <v>2013</v>
      </c>
      <c r="E710" t="s">
        <v>69</v>
      </c>
      <c r="F710">
        <v>551881.09</v>
      </c>
      <c r="G710">
        <v>818</v>
      </c>
      <c r="H710" s="11" t="str">
        <f t="shared" si="64"/>
        <v>count</v>
      </c>
      <c r="I710" s="197"/>
      <c r="J710" s="197"/>
      <c r="K710" s="197"/>
      <c r="L710" s="197"/>
      <c r="M710" s="197"/>
      <c r="N710" s="197"/>
      <c r="O710" s="197"/>
      <c r="P710" s="197"/>
      <c r="Q710" s="197"/>
      <c r="R710" s="197"/>
      <c r="S710" s="197"/>
      <c r="T710" s="197"/>
      <c r="U710" s="197"/>
      <c r="V710" s="197"/>
      <c r="W710" s="197"/>
      <c r="X710" s="197"/>
      <c r="Y710" s="197"/>
      <c r="Z710" s="197"/>
      <c r="AA710" s="197"/>
      <c r="AB710" s="197"/>
      <c r="AC710" s="197"/>
      <c r="AD710" s="197"/>
      <c r="AE710" s="197"/>
      <c r="AF710" s="197"/>
      <c r="AG710" s="197"/>
      <c r="AH710" s="197"/>
      <c r="AI710" s="197"/>
      <c r="AJ710" s="197"/>
      <c r="AK710" s="197"/>
      <c r="AL710" s="197"/>
    </row>
    <row r="711" spans="1:38">
      <c r="A711" s="11" t="str">
        <f t="shared" si="65"/>
        <v>05-874165102011</v>
      </c>
      <c r="B711" t="s">
        <v>373</v>
      </c>
      <c r="C711" t="s">
        <v>374</v>
      </c>
      <c r="D711">
        <v>2011</v>
      </c>
      <c r="E711" t="s">
        <v>63</v>
      </c>
      <c r="F711">
        <v>1036.3800000000001</v>
      </c>
      <c r="G711">
        <v>2</v>
      </c>
      <c r="H711" s="11" t="str">
        <f t="shared" si="64"/>
        <v>volume</v>
      </c>
      <c r="I711" s="197"/>
      <c r="J711" s="197"/>
      <c r="K711" s="197"/>
      <c r="L711" s="197"/>
      <c r="M711" s="197"/>
      <c r="N711" s="197"/>
      <c r="O711" s="197"/>
      <c r="P711" s="197"/>
      <c r="Q711" s="197"/>
      <c r="R711" s="197"/>
      <c r="S711" s="197"/>
      <c r="T711" s="197"/>
      <c r="U711" s="197"/>
      <c r="V711" s="197"/>
      <c r="W711" s="197"/>
      <c r="X711" s="197"/>
      <c r="Y711" s="197"/>
      <c r="Z711" s="197"/>
      <c r="AA711" s="197"/>
      <c r="AB711" s="197"/>
      <c r="AC711" s="197"/>
      <c r="AD711" s="197"/>
      <c r="AE711" s="197"/>
      <c r="AF711" s="197"/>
      <c r="AG711" s="197"/>
      <c r="AH711" s="197"/>
      <c r="AI711" s="197"/>
      <c r="AJ711" s="197"/>
      <c r="AK711" s="197"/>
      <c r="AL711" s="197"/>
    </row>
    <row r="712" spans="1:38">
      <c r="A712" s="11" t="str">
        <f t="shared" si="65"/>
        <v>05-874165102011</v>
      </c>
      <c r="B712" t="s">
        <v>373</v>
      </c>
      <c r="C712" t="s">
        <v>374</v>
      </c>
      <c r="D712">
        <v>2011</v>
      </c>
      <c r="E712" t="s">
        <v>104</v>
      </c>
      <c r="F712">
        <v>4474.3900000000003</v>
      </c>
      <c r="G712">
        <v>5</v>
      </c>
      <c r="H712" s="11" t="str">
        <f t="shared" si="64"/>
        <v>count</v>
      </c>
      <c r="I712" s="197"/>
      <c r="J712" s="197"/>
      <c r="K712" s="197"/>
      <c r="L712" s="197"/>
      <c r="M712" s="197"/>
      <c r="N712" s="197"/>
      <c r="O712" s="197"/>
      <c r="P712" s="197"/>
      <c r="Q712" s="197"/>
      <c r="R712" s="197"/>
      <c r="S712" s="197"/>
      <c r="T712" s="197"/>
      <c r="U712" s="197"/>
      <c r="V712" s="197"/>
      <c r="W712" s="197"/>
      <c r="X712" s="197"/>
      <c r="Y712" s="197"/>
      <c r="Z712" s="197"/>
      <c r="AA712" s="197"/>
      <c r="AB712" s="197"/>
      <c r="AC712" s="197"/>
      <c r="AD712" s="197"/>
      <c r="AE712" s="197"/>
      <c r="AF712" s="197"/>
      <c r="AG712" s="197"/>
      <c r="AH712" s="197"/>
      <c r="AI712" s="197"/>
      <c r="AJ712" s="197"/>
      <c r="AK712" s="197"/>
      <c r="AL712" s="197"/>
    </row>
    <row r="713" spans="1:38">
      <c r="A713" s="11" t="str">
        <f t="shared" si="65"/>
        <v>05-874165102012</v>
      </c>
      <c r="B713" t="s">
        <v>373</v>
      </c>
      <c r="C713" t="s">
        <v>374</v>
      </c>
      <c r="D713">
        <v>2012</v>
      </c>
      <c r="E713" t="s">
        <v>104</v>
      </c>
      <c r="F713">
        <v>298</v>
      </c>
      <c r="G713">
        <v>2</v>
      </c>
      <c r="H713" s="11" t="str">
        <f t="shared" si="64"/>
        <v>count</v>
      </c>
      <c r="I713" s="197"/>
      <c r="J713" s="197"/>
      <c r="K713" s="197"/>
      <c r="L713" s="197"/>
      <c r="M713" s="197"/>
      <c r="N713" s="197"/>
      <c r="O713" s="197"/>
      <c r="P713" s="197"/>
      <c r="Q713" s="197"/>
      <c r="R713" s="197"/>
      <c r="S713" s="197"/>
      <c r="T713" s="197"/>
      <c r="U713" s="197"/>
      <c r="V713" s="197"/>
      <c r="W713" s="197"/>
      <c r="X713" s="197"/>
      <c r="Y713" s="197"/>
      <c r="Z713" s="197"/>
      <c r="AA713" s="197"/>
      <c r="AB713" s="197"/>
      <c r="AC713" s="197"/>
      <c r="AD713" s="197"/>
      <c r="AE713" s="197"/>
      <c r="AF713" s="197"/>
      <c r="AG713" s="197"/>
      <c r="AH713" s="197"/>
      <c r="AI713" s="197"/>
      <c r="AJ713" s="197"/>
      <c r="AK713" s="197"/>
      <c r="AL713" s="197"/>
    </row>
    <row r="714" spans="1:38">
      <c r="A714" s="11" t="str">
        <f t="shared" si="65"/>
        <v>05-874165102012</v>
      </c>
      <c r="B714" t="s">
        <v>373</v>
      </c>
      <c r="C714" t="s">
        <v>374</v>
      </c>
      <c r="D714">
        <v>2012</v>
      </c>
      <c r="E714" t="s">
        <v>63</v>
      </c>
      <c r="F714">
        <v>1305.5</v>
      </c>
      <c r="G714">
        <v>2</v>
      </c>
      <c r="H714" s="11" t="str">
        <f t="shared" si="64"/>
        <v>count</v>
      </c>
      <c r="I714" s="197"/>
      <c r="J714" s="197"/>
      <c r="K714" s="197"/>
      <c r="L714" s="197"/>
      <c r="M714" s="197"/>
      <c r="N714" s="197"/>
      <c r="O714" s="197"/>
      <c r="P714" s="197"/>
      <c r="Q714" s="197"/>
      <c r="R714" s="197"/>
      <c r="S714" s="197"/>
      <c r="T714" s="197"/>
      <c r="U714" s="197"/>
      <c r="V714" s="197"/>
      <c r="W714" s="197"/>
      <c r="X714" s="197"/>
      <c r="Y714" s="197"/>
      <c r="Z714" s="197"/>
      <c r="AA714" s="197"/>
      <c r="AB714" s="197"/>
      <c r="AC714" s="197"/>
      <c r="AD714" s="197"/>
      <c r="AE714" s="197"/>
      <c r="AF714" s="197"/>
      <c r="AG714" s="197"/>
      <c r="AH714" s="197"/>
      <c r="AI714" s="197"/>
      <c r="AJ714" s="197"/>
      <c r="AK714" s="197"/>
      <c r="AL714" s="197"/>
    </row>
    <row r="715" spans="1:38">
      <c r="A715" s="11" t="str">
        <f t="shared" si="65"/>
        <v>05-875232322013</v>
      </c>
      <c r="B715" t="s">
        <v>376</v>
      </c>
      <c r="C715" t="s">
        <v>377</v>
      </c>
      <c r="D715">
        <v>2013</v>
      </c>
      <c r="E715" t="s">
        <v>104</v>
      </c>
      <c r="F715">
        <v>155954.92000000001</v>
      </c>
      <c r="G715">
        <v>161</v>
      </c>
      <c r="H715" s="11" t="str">
        <f t="shared" si="64"/>
        <v>volume</v>
      </c>
      <c r="I715" s="197"/>
      <c r="J715" s="197"/>
      <c r="K715" s="197"/>
      <c r="L715" s="197"/>
      <c r="M715" s="197"/>
      <c r="N715" s="197"/>
      <c r="O715" s="197"/>
      <c r="P715" s="197"/>
      <c r="Q715" s="197"/>
      <c r="R715" s="197"/>
      <c r="S715" s="197"/>
      <c r="T715" s="197"/>
      <c r="U715" s="197"/>
      <c r="V715" s="197"/>
      <c r="W715" s="197"/>
      <c r="X715" s="197"/>
      <c r="Y715" s="197"/>
      <c r="Z715" s="197"/>
      <c r="AA715" s="197"/>
      <c r="AB715" s="197"/>
      <c r="AC715" s="197"/>
      <c r="AD715" s="197"/>
      <c r="AE715" s="197"/>
      <c r="AF715" s="197"/>
      <c r="AG715" s="197"/>
      <c r="AH715" s="197"/>
      <c r="AI715" s="197"/>
      <c r="AJ715" s="197"/>
      <c r="AK715" s="197"/>
      <c r="AL715" s="197"/>
    </row>
    <row r="716" spans="1:38">
      <c r="A716" s="11" t="str">
        <f t="shared" si="65"/>
        <v>05-875232322012</v>
      </c>
      <c r="B716" t="s">
        <v>376</v>
      </c>
      <c r="C716" t="s">
        <v>377</v>
      </c>
      <c r="D716">
        <v>2012</v>
      </c>
      <c r="E716" t="s">
        <v>1075</v>
      </c>
      <c r="F716">
        <v>24908.39</v>
      </c>
      <c r="G716">
        <v>32</v>
      </c>
      <c r="H716" s="11" t="str">
        <f t="shared" si="64"/>
        <v>count</v>
      </c>
      <c r="I716" s="197"/>
      <c r="J716" s="197"/>
      <c r="K716" s="197"/>
      <c r="L716" s="197"/>
      <c r="M716" s="197"/>
      <c r="N716" s="197"/>
      <c r="O716" s="197"/>
      <c r="P716" s="197"/>
      <c r="Q716" s="197"/>
      <c r="R716" s="197"/>
      <c r="S716" s="197"/>
      <c r="T716" s="197"/>
      <c r="U716" s="197"/>
      <c r="V716" s="197"/>
      <c r="W716" s="197"/>
      <c r="X716" s="197"/>
      <c r="Y716" s="197"/>
      <c r="Z716" s="197"/>
      <c r="AA716" s="197"/>
      <c r="AB716" s="197"/>
      <c r="AC716" s="197"/>
      <c r="AD716" s="197"/>
      <c r="AE716" s="197"/>
      <c r="AF716" s="197"/>
      <c r="AG716" s="197"/>
      <c r="AH716" s="197"/>
      <c r="AI716" s="197"/>
      <c r="AJ716" s="197"/>
      <c r="AK716" s="197"/>
      <c r="AL716" s="197"/>
    </row>
    <row r="717" spans="1:38">
      <c r="A717" s="11" t="str">
        <f t="shared" si="65"/>
        <v>05-875232322013</v>
      </c>
      <c r="B717" t="s">
        <v>376</v>
      </c>
      <c r="C717" t="s">
        <v>377</v>
      </c>
      <c r="D717">
        <v>2013</v>
      </c>
      <c r="E717" t="s">
        <v>63</v>
      </c>
      <c r="F717">
        <v>159649.42000000001</v>
      </c>
      <c r="G717">
        <v>210</v>
      </c>
      <c r="H717" s="11" t="str">
        <f t="shared" si="64"/>
        <v>count</v>
      </c>
      <c r="I717" s="197"/>
      <c r="J717" s="197"/>
      <c r="K717" s="197"/>
      <c r="L717" s="197"/>
      <c r="M717" s="197"/>
      <c r="N717" s="197"/>
      <c r="O717" s="197"/>
      <c r="P717" s="197"/>
      <c r="Q717" s="197"/>
      <c r="R717" s="197"/>
      <c r="S717" s="197"/>
      <c r="T717" s="197"/>
      <c r="U717" s="197"/>
      <c r="V717" s="197"/>
      <c r="W717" s="197"/>
      <c r="X717" s="197"/>
      <c r="Y717" s="197"/>
      <c r="Z717" s="197"/>
      <c r="AA717" s="197"/>
      <c r="AB717" s="197"/>
      <c r="AC717" s="197"/>
      <c r="AD717" s="197"/>
      <c r="AE717" s="197"/>
      <c r="AF717" s="197"/>
      <c r="AG717" s="197"/>
      <c r="AH717" s="197"/>
      <c r="AI717" s="197"/>
      <c r="AJ717" s="197"/>
      <c r="AK717" s="197"/>
      <c r="AL717" s="197"/>
    </row>
    <row r="718" spans="1:38">
      <c r="A718" s="11" t="str">
        <f t="shared" si="65"/>
        <v>05-875232322013</v>
      </c>
      <c r="B718" t="s">
        <v>376</v>
      </c>
      <c r="C718" t="s">
        <v>377</v>
      </c>
      <c r="D718">
        <v>2013</v>
      </c>
      <c r="E718" t="s">
        <v>106</v>
      </c>
      <c r="F718">
        <v>2694.23</v>
      </c>
      <c r="G718">
        <v>11</v>
      </c>
      <c r="H718" s="11" t="str">
        <f t="shared" si="64"/>
        <v>count</v>
      </c>
      <c r="I718" s="197"/>
      <c r="J718" s="197"/>
      <c r="K718" s="197"/>
      <c r="L718" s="197"/>
      <c r="M718" s="197"/>
      <c r="N718" s="197"/>
      <c r="O718" s="197"/>
      <c r="P718" s="197"/>
      <c r="Q718" s="197"/>
      <c r="R718" s="197"/>
      <c r="S718" s="197"/>
      <c r="T718" s="197"/>
      <c r="U718" s="197"/>
      <c r="V718" s="197"/>
      <c r="W718" s="197"/>
      <c r="X718" s="197"/>
      <c r="Y718" s="197"/>
      <c r="Z718" s="197"/>
      <c r="AA718" s="197"/>
      <c r="AB718" s="197"/>
      <c r="AC718" s="197"/>
      <c r="AD718" s="197"/>
      <c r="AE718" s="197"/>
      <c r="AF718" s="197"/>
      <c r="AG718" s="197"/>
      <c r="AH718" s="197"/>
      <c r="AI718" s="197"/>
      <c r="AJ718" s="197"/>
      <c r="AK718" s="197"/>
      <c r="AL718" s="197"/>
    </row>
    <row r="719" spans="1:38">
      <c r="A719" s="11" t="str">
        <f t="shared" si="65"/>
        <v>05-875232322012</v>
      </c>
      <c r="B719" t="s">
        <v>376</v>
      </c>
      <c r="C719" t="s">
        <v>377</v>
      </c>
      <c r="D719">
        <v>2012</v>
      </c>
      <c r="E719" t="s">
        <v>1074</v>
      </c>
      <c r="F719">
        <v>2565</v>
      </c>
      <c r="G719">
        <v>9</v>
      </c>
      <c r="H719" s="11" t="str">
        <f t="shared" si="64"/>
        <v>count</v>
      </c>
      <c r="I719" s="197"/>
      <c r="J719" s="197"/>
      <c r="K719" s="197"/>
      <c r="L719" s="197"/>
      <c r="M719" s="197"/>
      <c r="N719" s="197"/>
      <c r="O719" s="197"/>
      <c r="P719" s="197"/>
      <c r="Q719" s="197"/>
      <c r="R719" s="197"/>
      <c r="S719" s="197"/>
      <c r="T719" s="197"/>
      <c r="U719" s="197"/>
      <c r="V719" s="197"/>
      <c r="W719" s="197"/>
      <c r="X719" s="197"/>
      <c r="Y719" s="197"/>
      <c r="Z719" s="197"/>
      <c r="AA719" s="197"/>
      <c r="AB719" s="197"/>
      <c r="AC719" s="197"/>
      <c r="AD719" s="197"/>
      <c r="AE719" s="197"/>
      <c r="AF719" s="197"/>
      <c r="AG719" s="197"/>
      <c r="AH719" s="197"/>
      <c r="AI719" s="197"/>
      <c r="AJ719" s="197"/>
      <c r="AK719" s="197"/>
      <c r="AL719" s="197"/>
    </row>
    <row r="720" spans="1:38">
      <c r="A720" s="11" t="str">
        <f t="shared" si="65"/>
        <v>05-875232322012</v>
      </c>
      <c r="B720" t="s">
        <v>376</v>
      </c>
      <c r="C720" t="s">
        <v>377</v>
      </c>
      <c r="D720">
        <v>2012</v>
      </c>
      <c r="E720" t="s">
        <v>63</v>
      </c>
      <c r="F720">
        <v>170310.81</v>
      </c>
      <c r="G720">
        <v>179</v>
      </c>
      <c r="H720" s="11" t="str">
        <f t="shared" si="64"/>
        <v>count</v>
      </c>
      <c r="I720" s="197"/>
      <c r="J720" s="197"/>
      <c r="K720" s="197"/>
      <c r="L720" s="197"/>
      <c r="M720" s="197"/>
      <c r="N720" s="197"/>
      <c r="O720" s="197"/>
      <c r="P720" s="197"/>
      <c r="Q720" s="197"/>
      <c r="R720" s="197"/>
      <c r="S720" s="197"/>
      <c r="T720" s="197"/>
      <c r="U720" s="197"/>
      <c r="V720" s="197"/>
      <c r="W720" s="197"/>
      <c r="X720" s="197"/>
      <c r="Y720" s="197"/>
      <c r="Z720" s="197"/>
      <c r="AA720" s="197"/>
      <c r="AB720" s="197"/>
      <c r="AC720" s="197"/>
      <c r="AD720" s="197"/>
      <c r="AE720" s="197"/>
      <c r="AF720" s="197"/>
      <c r="AG720" s="197"/>
      <c r="AH720" s="197"/>
      <c r="AI720" s="197"/>
      <c r="AJ720" s="197"/>
      <c r="AK720" s="197"/>
      <c r="AL720" s="197"/>
    </row>
    <row r="721" spans="1:38">
      <c r="A721" s="11" t="str">
        <f t="shared" si="65"/>
        <v>05-875232322012</v>
      </c>
      <c r="B721" t="s">
        <v>376</v>
      </c>
      <c r="C721" t="s">
        <v>377</v>
      </c>
      <c r="D721">
        <v>2012</v>
      </c>
      <c r="E721" t="s">
        <v>69</v>
      </c>
      <c r="F721">
        <v>261950.87</v>
      </c>
      <c r="G721">
        <v>317</v>
      </c>
      <c r="H721" s="11" t="str">
        <f t="shared" si="64"/>
        <v>count</v>
      </c>
      <c r="I721" s="197"/>
      <c r="J721" s="197"/>
      <c r="K721" s="197"/>
      <c r="L721" s="197"/>
      <c r="M721" s="197"/>
      <c r="N721" s="197"/>
      <c r="O721" s="197"/>
      <c r="P721" s="197"/>
      <c r="Q721" s="197"/>
      <c r="R721" s="197"/>
      <c r="S721" s="197"/>
      <c r="T721" s="197"/>
      <c r="U721" s="197"/>
      <c r="V721" s="197"/>
      <c r="W721" s="197"/>
      <c r="X721" s="197"/>
      <c r="Y721" s="197"/>
      <c r="Z721" s="197"/>
      <c r="AA721" s="197"/>
      <c r="AB721" s="197"/>
      <c r="AC721" s="197"/>
      <c r="AD721" s="197"/>
      <c r="AE721" s="197"/>
      <c r="AF721" s="197"/>
      <c r="AG721" s="197"/>
      <c r="AH721" s="197"/>
      <c r="AI721" s="197"/>
      <c r="AJ721" s="197"/>
      <c r="AK721" s="197"/>
      <c r="AL721" s="197"/>
    </row>
    <row r="722" spans="1:38">
      <c r="A722" s="11" t="str">
        <f t="shared" si="65"/>
        <v>05-875232322012</v>
      </c>
      <c r="B722" t="s">
        <v>376</v>
      </c>
      <c r="C722" t="s">
        <v>377</v>
      </c>
      <c r="D722">
        <v>2012</v>
      </c>
      <c r="E722" t="s">
        <v>104</v>
      </c>
      <c r="F722">
        <v>99211.77</v>
      </c>
      <c r="G722">
        <v>111</v>
      </c>
      <c r="H722" s="11" t="str">
        <f t="shared" si="64"/>
        <v>count</v>
      </c>
      <c r="I722" s="197"/>
      <c r="J722" s="197"/>
      <c r="K722" s="197"/>
      <c r="L722" s="197"/>
      <c r="M722" s="197"/>
      <c r="N722" s="197"/>
      <c r="O722" s="197"/>
      <c r="P722" s="197"/>
      <c r="Q722" s="197"/>
      <c r="R722" s="197"/>
      <c r="S722" s="197"/>
      <c r="T722" s="197"/>
      <c r="U722" s="197"/>
      <c r="V722" s="197"/>
      <c r="W722" s="197"/>
      <c r="X722" s="197"/>
      <c r="Y722" s="197"/>
      <c r="Z722" s="197"/>
      <c r="AA722" s="197"/>
      <c r="AB722" s="197"/>
      <c r="AC722" s="197"/>
      <c r="AD722" s="197"/>
      <c r="AE722" s="197"/>
      <c r="AF722" s="197"/>
      <c r="AG722" s="197"/>
      <c r="AH722" s="197"/>
      <c r="AI722" s="197"/>
      <c r="AJ722" s="197"/>
      <c r="AK722" s="197"/>
      <c r="AL722" s="197"/>
    </row>
    <row r="723" spans="1:38">
      <c r="A723" s="11" t="str">
        <f t="shared" si="65"/>
        <v>05-875232322011</v>
      </c>
      <c r="B723" t="s">
        <v>376</v>
      </c>
      <c r="C723" t="s">
        <v>377</v>
      </c>
      <c r="D723">
        <v>2011</v>
      </c>
      <c r="E723" t="s">
        <v>63</v>
      </c>
      <c r="F723">
        <v>70</v>
      </c>
      <c r="G723">
        <v>1</v>
      </c>
      <c r="H723" s="11" t="str">
        <f t="shared" si="64"/>
        <v>count</v>
      </c>
      <c r="I723" s="197"/>
      <c r="J723" s="197"/>
      <c r="K723" s="197"/>
      <c r="L723" s="197"/>
      <c r="M723" s="197"/>
      <c r="N723" s="197"/>
      <c r="O723" s="197"/>
      <c r="P723" s="197"/>
      <c r="Q723" s="197"/>
      <c r="R723" s="197"/>
      <c r="S723" s="197"/>
      <c r="T723" s="197"/>
      <c r="U723" s="197"/>
      <c r="V723" s="197"/>
      <c r="W723" s="197"/>
      <c r="X723" s="197"/>
      <c r="Y723" s="197"/>
      <c r="Z723" s="197"/>
      <c r="AA723" s="197"/>
      <c r="AB723" s="197"/>
      <c r="AC723" s="197"/>
      <c r="AD723" s="197"/>
      <c r="AE723" s="197"/>
      <c r="AF723" s="197"/>
      <c r="AG723" s="197"/>
      <c r="AH723" s="197"/>
      <c r="AI723" s="197"/>
      <c r="AJ723" s="197"/>
      <c r="AK723" s="197"/>
      <c r="AL723" s="197"/>
    </row>
    <row r="724" spans="1:38">
      <c r="A724" s="11" t="str">
        <f t="shared" si="65"/>
        <v>05-875232322011</v>
      </c>
      <c r="B724" t="s">
        <v>376</v>
      </c>
      <c r="C724" t="s">
        <v>377</v>
      </c>
      <c r="D724">
        <v>2011</v>
      </c>
      <c r="E724" t="s">
        <v>104</v>
      </c>
      <c r="F724">
        <v>1</v>
      </c>
      <c r="G724">
        <v>1</v>
      </c>
      <c r="H724" s="11" t="str">
        <f t="shared" si="64"/>
        <v>count</v>
      </c>
      <c r="I724" s="197"/>
      <c r="J724" s="197"/>
      <c r="K724" s="197"/>
      <c r="L724" s="197"/>
      <c r="M724" s="197"/>
      <c r="N724" s="197"/>
      <c r="O724" s="197"/>
      <c r="P724" s="197"/>
      <c r="Q724" s="197"/>
      <c r="R724" s="197"/>
      <c r="S724" s="197"/>
      <c r="T724" s="197"/>
      <c r="U724" s="197"/>
      <c r="V724" s="197"/>
      <c r="W724" s="197"/>
      <c r="X724" s="197"/>
      <c r="Y724" s="197"/>
      <c r="Z724" s="197"/>
      <c r="AA724" s="197"/>
      <c r="AB724" s="197"/>
      <c r="AC724" s="197"/>
      <c r="AD724" s="197"/>
      <c r="AE724" s="197"/>
      <c r="AF724" s="197"/>
      <c r="AG724" s="197"/>
      <c r="AH724" s="197"/>
      <c r="AI724" s="197"/>
      <c r="AJ724" s="197"/>
      <c r="AK724" s="197"/>
      <c r="AL724" s="197"/>
    </row>
    <row r="725" spans="1:38">
      <c r="A725" s="11" t="str">
        <f t="shared" si="65"/>
        <v>05-875232322013</v>
      </c>
      <c r="B725" t="s">
        <v>376</v>
      </c>
      <c r="C725" t="s">
        <v>377</v>
      </c>
      <c r="D725">
        <v>2013</v>
      </c>
      <c r="E725" t="s">
        <v>105</v>
      </c>
      <c r="F725">
        <v>44232</v>
      </c>
      <c r="G725">
        <v>42</v>
      </c>
      <c r="H725" s="11" t="str">
        <f t="shared" si="64"/>
        <v>count</v>
      </c>
      <c r="I725" s="197"/>
      <c r="J725" s="197"/>
      <c r="K725" s="197"/>
      <c r="L725" s="197"/>
      <c r="M725" s="197"/>
      <c r="N725" s="197"/>
      <c r="O725" s="197"/>
      <c r="P725" s="197"/>
      <c r="Q725" s="197"/>
      <c r="R725" s="197"/>
      <c r="S725" s="197"/>
      <c r="T725" s="197"/>
      <c r="U725" s="197"/>
      <c r="V725" s="197"/>
      <c r="W725" s="197"/>
      <c r="X725" s="197"/>
      <c r="Y725" s="197"/>
      <c r="Z725" s="197"/>
      <c r="AA725" s="197"/>
      <c r="AB725" s="197"/>
      <c r="AC725" s="197"/>
      <c r="AD725" s="197"/>
      <c r="AE725" s="197"/>
      <c r="AF725" s="197"/>
      <c r="AG725" s="197"/>
      <c r="AH725" s="197"/>
      <c r="AI725" s="197"/>
      <c r="AJ725" s="197"/>
      <c r="AK725" s="197"/>
      <c r="AL725" s="197"/>
    </row>
    <row r="726" spans="1:38">
      <c r="A726" s="11" t="str">
        <f t="shared" si="65"/>
        <v>05-875232322013</v>
      </c>
      <c r="B726" t="s">
        <v>376</v>
      </c>
      <c r="C726" t="s">
        <v>377</v>
      </c>
      <c r="D726">
        <v>2013</v>
      </c>
      <c r="E726" t="s">
        <v>69</v>
      </c>
      <c r="F726">
        <v>438232.71</v>
      </c>
      <c r="G726">
        <v>550</v>
      </c>
      <c r="H726" s="11" t="str">
        <f t="shared" si="64"/>
        <v>count</v>
      </c>
      <c r="I726" s="197"/>
      <c r="J726" s="197"/>
      <c r="K726" s="197"/>
      <c r="L726" s="197"/>
      <c r="M726" s="197"/>
      <c r="N726" s="197"/>
      <c r="O726" s="197"/>
      <c r="P726" s="197"/>
      <c r="Q726" s="197"/>
      <c r="R726" s="197"/>
      <c r="S726" s="197"/>
      <c r="T726" s="197"/>
      <c r="U726" s="197"/>
      <c r="V726" s="197"/>
      <c r="W726" s="197"/>
      <c r="X726" s="197"/>
      <c r="Y726" s="197"/>
      <c r="Z726" s="197"/>
      <c r="AA726" s="197"/>
      <c r="AB726" s="197"/>
      <c r="AC726" s="197"/>
      <c r="AD726" s="197"/>
      <c r="AE726" s="197"/>
      <c r="AF726" s="197"/>
      <c r="AG726" s="197"/>
      <c r="AH726" s="197"/>
      <c r="AI726" s="197"/>
      <c r="AJ726" s="197"/>
      <c r="AK726" s="197"/>
      <c r="AL726" s="197"/>
    </row>
    <row r="727" spans="1:38">
      <c r="A727" s="11" t="str">
        <f t="shared" si="65"/>
        <v>05-875232322012</v>
      </c>
      <c r="B727" t="s">
        <v>376</v>
      </c>
      <c r="C727" t="s">
        <v>377</v>
      </c>
      <c r="D727">
        <v>2012</v>
      </c>
      <c r="E727" t="s">
        <v>105</v>
      </c>
      <c r="F727">
        <v>24994</v>
      </c>
      <c r="G727">
        <v>24</v>
      </c>
      <c r="H727" s="11" t="str">
        <f t="shared" si="64"/>
        <v>count</v>
      </c>
      <c r="I727" s="197"/>
      <c r="J727" s="197"/>
      <c r="K727" s="197"/>
      <c r="L727" s="197"/>
      <c r="M727" s="197"/>
      <c r="N727" s="197"/>
      <c r="O727" s="197"/>
      <c r="P727" s="197"/>
      <c r="Q727" s="197"/>
      <c r="R727" s="197"/>
      <c r="S727" s="197"/>
      <c r="T727" s="197"/>
      <c r="U727" s="197"/>
      <c r="V727" s="197"/>
      <c r="W727" s="197"/>
      <c r="X727" s="197"/>
      <c r="Y727" s="197"/>
      <c r="Z727" s="197"/>
      <c r="AA727" s="197"/>
      <c r="AB727" s="197"/>
      <c r="AC727" s="197"/>
      <c r="AD727" s="197"/>
      <c r="AE727" s="197"/>
      <c r="AF727" s="197"/>
      <c r="AG727" s="197"/>
      <c r="AH727" s="197"/>
      <c r="AI727" s="197"/>
      <c r="AJ727" s="197"/>
      <c r="AK727" s="197"/>
      <c r="AL727" s="197"/>
    </row>
    <row r="728" spans="1:38">
      <c r="A728" s="11" t="str">
        <f t="shared" si="65"/>
        <v>05-875232322012</v>
      </c>
      <c r="B728" t="s">
        <v>376</v>
      </c>
      <c r="C728" t="s">
        <v>377</v>
      </c>
      <c r="D728">
        <v>2012</v>
      </c>
      <c r="E728" t="s">
        <v>1076</v>
      </c>
      <c r="F728">
        <v>4758</v>
      </c>
      <c r="G728">
        <v>6</v>
      </c>
      <c r="H728" s="11" t="str">
        <f t="shared" si="64"/>
        <v>count</v>
      </c>
      <c r="I728" s="197"/>
      <c r="J728" s="197"/>
      <c r="K728" s="197"/>
      <c r="L728" s="197"/>
      <c r="M728" s="197"/>
      <c r="N728" s="197"/>
      <c r="O728" s="197"/>
      <c r="P728" s="197"/>
      <c r="Q728" s="197"/>
      <c r="R728" s="197"/>
      <c r="S728" s="197"/>
      <c r="T728" s="197"/>
      <c r="U728" s="197"/>
      <c r="V728" s="197"/>
      <c r="W728" s="197"/>
      <c r="X728" s="197"/>
      <c r="Y728" s="197"/>
      <c r="Z728" s="197"/>
      <c r="AA728" s="197"/>
      <c r="AB728" s="197"/>
      <c r="AC728" s="197"/>
      <c r="AD728" s="197"/>
      <c r="AE728" s="197"/>
      <c r="AF728" s="197"/>
      <c r="AG728" s="197"/>
      <c r="AH728" s="197"/>
      <c r="AI728" s="197"/>
      <c r="AJ728" s="197"/>
      <c r="AK728" s="197"/>
      <c r="AL728" s="197"/>
    </row>
    <row r="729" spans="1:38">
      <c r="A729" s="11" t="str">
        <f t="shared" si="65"/>
        <v>05-875232322012</v>
      </c>
      <c r="B729" t="s">
        <v>376</v>
      </c>
      <c r="C729" t="s">
        <v>377</v>
      </c>
      <c r="D729">
        <v>2012</v>
      </c>
      <c r="E729" t="s">
        <v>106</v>
      </c>
      <c r="F729">
        <v>1469.58</v>
      </c>
      <c r="G729">
        <v>6</v>
      </c>
      <c r="H729" s="11" t="str">
        <f t="shared" si="64"/>
        <v>count</v>
      </c>
      <c r="I729" s="197"/>
      <c r="J729" s="197"/>
      <c r="K729" s="197"/>
      <c r="L729" s="197"/>
      <c r="M729" s="197"/>
      <c r="N729" s="197"/>
      <c r="O729" s="197"/>
      <c r="P729" s="197"/>
      <c r="Q729" s="197"/>
      <c r="R729" s="197"/>
      <c r="S729" s="197"/>
      <c r="T729" s="197"/>
      <c r="U729" s="197"/>
      <c r="V729" s="197"/>
      <c r="W729" s="197"/>
      <c r="X729" s="197"/>
      <c r="Y729" s="197"/>
      <c r="Z729" s="197"/>
      <c r="AA729" s="197"/>
      <c r="AB729" s="197"/>
      <c r="AC729" s="197"/>
      <c r="AD729" s="197"/>
      <c r="AE729" s="197"/>
      <c r="AF729" s="197"/>
      <c r="AG729" s="197"/>
      <c r="AH729" s="197"/>
      <c r="AI729" s="197"/>
      <c r="AJ729" s="197"/>
      <c r="AK729" s="197"/>
      <c r="AL729" s="197"/>
    </row>
    <row r="730" spans="1:38">
      <c r="A730" s="11" t="str">
        <f t="shared" si="65"/>
        <v>05-877180032012</v>
      </c>
      <c r="B730" t="s">
        <v>379</v>
      </c>
      <c r="C730" t="s">
        <v>380</v>
      </c>
      <c r="D730">
        <v>2012</v>
      </c>
      <c r="E730" t="s">
        <v>104</v>
      </c>
      <c r="F730">
        <v>585322.05000000005</v>
      </c>
      <c r="G730">
        <v>672</v>
      </c>
      <c r="H730" s="11" t="str">
        <f t="shared" si="64"/>
        <v>volume</v>
      </c>
      <c r="I730" s="197"/>
      <c r="J730" s="197"/>
      <c r="K730" s="197"/>
      <c r="L730" s="197"/>
      <c r="M730" s="197"/>
      <c r="N730" s="197"/>
      <c r="O730" s="197"/>
      <c r="P730" s="197"/>
      <c r="Q730" s="197"/>
      <c r="R730" s="197"/>
      <c r="S730" s="197"/>
      <c r="T730" s="197"/>
      <c r="U730" s="197"/>
      <c r="V730" s="197"/>
      <c r="W730" s="197"/>
      <c r="X730" s="197"/>
      <c r="Y730" s="197"/>
      <c r="Z730" s="197"/>
      <c r="AA730" s="197"/>
      <c r="AB730" s="197"/>
      <c r="AC730" s="197"/>
      <c r="AD730" s="197"/>
      <c r="AE730" s="197"/>
      <c r="AF730" s="197"/>
      <c r="AG730" s="197"/>
      <c r="AH730" s="197"/>
      <c r="AI730" s="197"/>
      <c r="AJ730" s="197"/>
      <c r="AK730" s="197"/>
      <c r="AL730" s="197"/>
    </row>
    <row r="731" spans="1:38">
      <c r="A731" s="11" t="str">
        <f t="shared" si="65"/>
        <v>05-877180032012</v>
      </c>
      <c r="B731" t="s">
        <v>379</v>
      </c>
      <c r="C731" t="s">
        <v>380</v>
      </c>
      <c r="D731">
        <v>2012</v>
      </c>
      <c r="E731" t="s">
        <v>63</v>
      </c>
      <c r="F731">
        <v>984672.74</v>
      </c>
      <c r="G731">
        <v>1080</v>
      </c>
      <c r="H731" s="11" t="str">
        <f t="shared" si="64"/>
        <v>count</v>
      </c>
      <c r="I731" s="197"/>
      <c r="J731" s="197"/>
      <c r="K731" s="197"/>
      <c r="L731" s="197"/>
      <c r="M731" s="197"/>
      <c r="N731" s="197"/>
      <c r="O731" s="197"/>
      <c r="P731" s="197"/>
      <c r="Q731" s="197"/>
      <c r="R731" s="197"/>
      <c r="S731" s="197"/>
      <c r="T731" s="197"/>
      <c r="U731" s="197"/>
      <c r="V731" s="197"/>
      <c r="W731" s="197"/>
      <c r="X731" s="197"/>
      <c r="Y731" s="197"/>
      <c r="Z731" s="197"/>
      <c r="AA731" s="197"/>
      <c r="AB731" s="197"/>
      <c r="AC731" s="197"/>
      <c r="AD731" s="197"/>
      <c r="AE731" s="197"/>
      <c r="AF731" s="197"/>
      <c r="AG731" s="197"/>
      <c r="AH731" s="197"/>
      <c r="AI731" s="197"/>
      <c r="AJ731" s="197"/>
      <c r="AK731" s="197"/>
      <c r="AL731" s="197"/>
    </row>
    <row r="732" spans="1:38">
      <c r="A732" s="11" t="str">
        <f t="shared" si="65"/>
        <v>05-877180032012</v>
      </c>
      <c r="B732" t="s">
        <v>379</v>
      </c>
      <c r="C732" t="s">
        <v>380</v>
      </c>
      <c r="D732">
        <v>2012</v>
      </c>
      <c r="E732" t="s">
        <v>69</v>
      </c>
      <c r="F732">
        <v>203943.35</v>
      </c>
      <c r="G732">
        <v>325</v>
      </c>
      <c r="H732" s="11" t="str">
        <f t="shared" si="64"/>
        <v>count</v>
      </c>
      <c r="I732" s="197"/>
      <c r="J732" s="197"/>
      <c r="K732" s="197"/>
      <c r="L732" s="197"/>
      <c r="M732" s="197"/>
      <c r="N732" s="197"/>
      <c r="O732" s="197"/>
      <c r="P732" s="197"/>
      <c r="Q732" s="197"/>
      <c r="R732" s="197"/>
      <c r="S732" s="197"/>
      <c r="T732" s="197"/>
      <c r="U732" s="197"/>
      <c r="V732" s="197"/>
      <c r="W732" s="197"/>
      <c r="X732" s="197"/>
      <c r="Y732" s="197"/>
      <c r="Z732" s="197"/>
      <c r="AA732" s="197"/>
      <c r="AB732" s="197"/>
      <c r="AC732" s="197"/>
      <c r="AD732" s="197"/>
      <c r="AE732" s="197"/>
      <c r="AF732" s="197"/>
      <c r="AG732" s="197"/>
      <c r="AH732" s="197"/>
      <c r="AI732" s="197"/>
      <c r="AJ732" s="197"/>
      <c r="AK732" s="197"/>
      <c r="AL732" s="197"/>
    </row>
    <row r="733" spans="1:38">
      <c r="A733" s="11" t="str">
        <f t="shared" si="65"/>
        <v>05-877180032011</v>
      </c>
      <c r="B733" t="s">
        <v>379</v>
      </c>
      <c r="C733" t="s">
        <v>380</v>
      </c>
      <c r="D733">
        <v>2011</v>
      </c>
      <c r="E733" t="s">
        <v>105</v>
      </c>
      <c r="F733">
        <v>15313.38</v>
      </c>
      <c r="G733">
        <v>19</v>
      </c>
      <c r="H733" s="11" t="str">
        <f t="shared" si="64"/>
        <v>count</v>
      </c>
      <c r="I733" s="197"/>
      <c r="J733" s="197"/>
      <c r="K733" s="197"/>
      <c r="L733" s="197"/>
      <c r="M733" s="197"/>
      <c r="N733" s="197"/>
      <c r="O733" s="197"/>
      <c r="P733" s="197"/>
      <c r="Q733" s="197"/>
      <c r="R733" s="197"/>
      <c r="S733" s="197"/>
      <c r="T733" s="197"/>
      <c r="U733" s="197"/>
      <c r="V733" s="197"/>
      <c r="W733" s="197"/>
      <c r="X733" s="197"/>
      <c r="Y733" s="197"/>
      <c r="Z733" s="197"/>
      <c r="AA733" s="197"/>
      <c r="AB733" s="197"/>
      <c r="AC733" s="197"/>
      <c r="AD733" s="197"/>
      <c r="AE733" s="197"/>
      <c r="AF733" s="197"/>
      <c r="AG733" s="197"/>
      <c r="AH733" s="197"/>
      <c r="AI733" s="197"/>
      <c r="AJ733" s="197"/>
      <c r="AK733" s="197"/>
      <c r="AL733" s="197"/>
    </row>
    <row r="734" spans="1:38">
      <c r="A734" s="11" t="str">
        <f t="shared" si="65"/>
        <v>05-877180032011</v>
      </c>
      <c r="B734" t="s">
        <v>379</v>
      </c>
      <c r="C734" t="s">
        <v>380</v>
      </c>
      <c r="D734">
        <v>2011</v>
      </c>
      <c r="E734" t="s">
        <v>69</v>
      </c>
      <c r="F734">
        <v>200</v>
      </c>
      <c r="G734">
        <v>1</v>
      </c>
      <c r="H734" s="11" t="str">
        <f t="shared" si="64"/>
        <v>count</v>
      </c>
      <c r="I734" s="197"/>
      <c r="J734" s="197"/>
      <c r="K734" s="197"/>
      <c r="L734" s="197"/>
      <c r="M734" s="197"/>
      <c r="N734" s="197"/>
      <c r="O734" s="197"/>
      <c r="P734" s="197"/>
      <c r="Q734" s="197"/>
      <c r="R734" s="197"/>
      <c r="S734" s="197"/>
      <c r="T734" s="197"/>
      <c r="U734" s="197"/>
      <c r="V734" s="197"/>
      <c r="W734" s="197"/>
      <c r="X734" s="197"/>
      <c r="Y734" s="197"/>
      <c r="Z734" s="197"/>
      <c r="AA734" s="197"/>
      <c r="AB734" s="197"/>
      <c r="AC734" s="197"/>
      <c r="AD734" s="197"/>
      <c r="AE734" s="197"/>
      <c r="AF734" s="197"/>
      <c r="AG734" s="197"/>
      <c r="AH734" s="197"/>
      <c r="AI734" s="197"/>
      <c r="AJ734" s="197"/>
      <c r="AK734" s="197"/>
      <c r="AL734" s="197"/>
    </row>
    <row r="735" spans="1:38">
      <c r="A735" s="11" t="str">
        <f t="shared" si="65"/>
        <v>05-877180032013</v>
      </c>
      <c r="B735" t="s">
        <v>379</v>
      </c>
      <c r="C735" t="s">
        <v>380</v>
      </c>
      <c r="D735">
        <v>2013</v>
      </c>
      <c r="E735" t="s">
        <v>104</v>
      </c>
      <c r="F735">
        <v>581081.84</v>
      </c>
      <c r="G735">
        <v>645</v>
      </c>
      <c r="H735" s="11" t="str">
        <f t="shared" si="64"/>
        <v>count</v>
      </c>
      <c r="I735" s="197"/>
      <c r="J735" s="197"/>
      <c r="K735" s="197"/>
      <c r="L735" s="197"/>
      <c r="M735" s="197"/>
      <c r="N735" s="197"/>
      <c r="O735" s="197"/>
      <c r="P735" s="197"/>
      <c r="Q735" s="197"/>
      <c r="R735" s="197"/>
      <c r="S735" s="197"/>
      <c r="T735" s="197"/>
      <c r="U735" s="197"/>
      <c r="V735" s="197"/>
      <c r="W735" s="197"/>
      <c r="X735" s="197"/>
      <c r="Y735" s="197"/>
      <c r="Z735" s="197"/>
      <c r="AA735" s="197"/>
      <c r="AB735" s="197"/>
      <c r="AC735" s="197"/>
      <c r="AD735" s="197"/>
      <c r="AE735" s="197"/>
      <c r="AF735" s="197"/>
      <c r="AG735" s="197"/>
      <c r="AH735" s="197"/>
      <c r="AI735" s="197"/>
      <c r="AJ735" s="197"/>
      <c r="AK735" s="197"/>
      <c r="AL735" s="197"/>
    </row>
    <row r="736" spans="1:38">
      <c r="A736" s="11" t="str">
        <f t="shared" si="65"/>
        <v>05-877180032013</v>
      </c>
      <c r="B736" t="s">
        <v>379</v>
      </c>
      <c r="C736" t="s">
        <v>380</v>
      </c>
      <c r="D736">
        <v>2013</v>
      </c>
      <c r="E736" t="s">
        <v>63</v>
      </c>
      <c r="F736">
        <v>1165804.8999999999</v>
      </c>
      <c r="G736">
        <v>1187</v>
      </c>
      <c r="H736" s="11" t="str">
        <f t="shared" si="64"/>
        <v>count</v>
      </c>
      <c r="I736" s="197"/>
      <c r="J736" s="197"/>
      <c r="K736" s="197"/>
      <c r="L736" s="197"/>
      <c r="M736" s="197"/>
      <c r="N736" s="197"/>
      <c r="O736" s="197"/>
      <c r="P736" s="197"/>
      <c r="Q736" s="197"/>
      <c r="R736" s="197"/>
      <c r="S736" s="197"/>
      <c r="T736" s="197"/>
      <c r="U736" s="197"/>
      <c r="V736" s="197"/>
      <c r="W736" s="197"/>
      <c r="X736" s="197"/>
      <c r="Y736" s="197"/>
      <c r="Z736" s="197"/>
      <c r="AA736" s="197"/>
      <c r="AB736" s="197"/>
      <c r="AC736" s="197"/>
      <c r="AD736" s="197"/>
      <c r="AE736" s="197"/>
      <c r="AF736" s="197"/>
      <c r="AG736" s="197"/>
      <c r="AH736" s="197"/>
      <c r="AI736" s="197"/>
      <c r="AJ736" s="197"/>
      <c r="AK736" s="197"/>
      <c r="AL736" s="197"/>
    </row>
    <row r="737" spans="1:38">
      <c r="A737" s="11" t="str">
        <f t="shared" si="65"/>
        <v>05-877180032012</v>
      </c>
      <c r="B737" t="s">
        <v>379</v>
      </c>
      <c r="C737" t="s">
        <v>380</v>
      </c>
      <c r="D737">
        <v>2012</v>
      </c>
      <c r="E737" t="s">
        <v>105</v>
      </c>
      <c r="F737">
        <v>120089.26</v>
      </c>
      <c r="G737">
        <v>135</v>
      </c>
      <c r="H737" s="11" t="str">
        <f t="shared" si="64"/>
        <v>count</v>
      </c>
      <c r="I737" s="197"/>
      <c r="J737" s="197"/>
      <c r="K737" s="197"/>
      <c r="L737" s="197"/>
      <c r="M737" s="197"/>
      <c r="N737" s="197"/>
      <c r="O737" s="197"/>
      <c r="P737" s="197"/>
      <c r="Q737" s="197"/>
      <c r="R737" s="197"/>
      <c r="S737" s="197"/>
      <c r="T737" s="197"/>
      <c r="U737" s="197"/>
      <c r="V737" s="197"/>
      <c r="W737" s="197"/>
      <c r="X737" s="197"/>
      <c r="Y737" s="197"/>
      <c r="Z737" s="197"/>
      <c r="AA737" s="197"/>
      <c r="AB737" s="197"/>
      <c r="AC737" s="197"/>
      <c r="AD737" s="197"/>
      <c r="AE737" s="197"/>
      <c r="AF737" s="197"/>
      <c r="AG737" s="197"/>
      <c r="AH737" s="197"/>
      <c r="AI737" s="197"/>
      <c r="AJ737" s="197"/>
      <c r="AK737" s="197"/>
      <c r="AL737" s="197"/>
    </row>
    <row r="738" spans="1:38">
      <c r="A738" s="11" t="str">
        <f t="shared" si="65"/>
        <v>05-877180032011</v>
      </c>
      <c r="B738" t="s">
        <v>379</v>
      </c>
      <c r="C738" t="s">
        <v>380</v>
      </c>
      <c r="D738">
        <v>2011</v>
      </c>
      <c r="E738" t="s">
        <v>1075</v>
      </c>
      <c r="F738">
        <v>1</v>
      </c>
      <c r="G738">
        <v>1</v>
      </c>
      <c r="H738" s="11" t="str">
        <f t="shared" si="64"/>
        <v>count</v>
      </c>
      <c r="I738" s="197"/>
      <c r="J738" s="197"/>
      <c r="K738" s="197"/>
      <c r="L738" s="197"/>
      <c r="M738" s="197"/>
      <c r="N738" s="197"/>
      <c r="O738" s="197"/>
      <c r="P738" s="197"/>
      <c r="Q738" s="197"/>
      <c r="R738" s="197"/>
      <c r="S738" s="197"/>
      <c r="T738" s="197"/>
      <c r="U738" s="197"/>
      <c r="V738" s="197"/>
      <c r="W738" s="197"/>
      <c r="X738" s="197"/>
      <c r="Y738" s="197"/>
      <c r="Z738" s="197"/>
      <c r="AA738" s="197"/>
      <c r="AB738" s="197"/>
      <c r="AC738" s="197"/>
      <c r="AD738" s="197"/>
      <c r="AE738" s="197"/>
      <c r="AF738" s="197"/>
      <c r="AG738" s="197"/>
      <c r="AH738" s="197"/>
      <c r="AI738" s="197"/>
      <c r="AJ738" s="197"/>
      <c r="AK738" s="197"/>
      <c r="AL738" s="197"/>
    </row>
    <row r="739" spans="1:38">
      <c r="A739" s="11" t="str">
        <f t="shared" si="65"/>
        <v>05-877180032013</v>
      </c>
      <c r="B739" t="s">
        <v>379</v>
      </c>
      <c r="C739" t="s">
        <v>380</v>
      </c>
      <c r="D739">
        <v>2013</v>
      </c>
      <c r="E739" t="s">
        <v>69</v>
      </c>
      <c r="F739">
        <v>268493.15999999997</v>
      </c>
      <c r="G739">
        <v>393</v>
      </c>
      <c r="H739" s="11" t="str">
        <f t="shared" si="64"/>
        <v>count</v>
      </c>
      <c r="I739" s="197"/>
      <c r="J739" s="197"/>
      <c r="K739" s="197"/>
      <c r="L739" s="197"/>
      <c r="M739" s="197"/>
      <c r="N739" s="197"/>
      <c r="O739" s="197"/>
      <c r="P739" s="197"/>
      <c r="Q739" s="197"/>
      <c r="R739" s="197"/>
      <c r="S739" s="197"/>
      <c r="T739" s="197"/>
      <c r="U739" s="197"/>
      <c r="V739" s="197"/>
      <c r="W739" s="197"/>
      <c r="X739" s="197"/>
      <c r="Y739" s="197"/>
      <c r="Z739" s="197"/>
      <c r="AA739" s="197"/>
      <c r="AB739" s="197"/>
      <c r="AC739" s="197"/>
      <c r="AD739" s="197"/>
      <c r="AE739" s="197"/>
      <c r="AF739" s="197"/>
      <c r="AG739" s="197"/>
      <c r="AH739" s="197"/>
      <c r="AI739" s="197"/>
      <c r="AJ739" s="197"/>
      <c r="AK739" s="197"/>
      <c r="AL739" s="197"/>
    </row>
    <row r="740" spans="1:38">
      <c r="A740" s="11" t="str">
        <f t="shared" si="65"/>
        <v>05-877180032013</v>
      </c>
      <c r="B740" t="s">
        <v>379</v>
      </c>
      <c r="C740" t="s">
        <v>380</v>
      </c>
      <c r="D740">
        <v>2013</v>
      </c>
      <c r="E740" t="s">
        <v>105</v>
      </c>
      <c r="F740">
        <v>143659.81</v>
      </c>
      <c r="G740">
        <v>163</v>
      </c>
      <c r="H740" s="11" t="str">
        <f t="shared" si="64"/>
        <v>count</v>
      </c>
      <c r="I740" s="197"/>
      <c r="J740" s="197"/>
      <c r="K740" s="197"/>
      <c r="L740" s="197"/>
      <c r="M740" s="197"/>
      <c r="N740" s="197"/>
      <c r="O740" s="197"/>
      <c r="P740" s="197"/>
      <c r="Q740" s="197"/>
      <c r="R740" s="197"/>
      <c r="S740" s="197"/>
      <c r="T740" s="197"/>
      <c r="U740" s="197"/>
      <c r="V740" s="197"/>
      <c r="W740" s="197"/>
      <c r="X740" s="197"/>
      <c r="Y740" s="197"/>
      <c r="Z740" s="197"/>
      <c r="AA740" s="197"/>
      <c r="AB740" s="197"/>
      <c r="AC740" s="197"/>
      <c r="AD740" s="197"/>
      <c r="AE740" s="197"/>
      <c r="AF740" s="197"/>
      <c r="AG740" s="197"/>
      <c r="AH740" s="197"/>
      <c r="AI740" s="197"/>
      <c r="AJ740" s="197"/>
      <c r="AK740" s="197"/>
      <c r="AL740" s="197"/>
    </row>
    <row r="741" spans="1:38">
      <c r="A741" s="11" t="str">
        <f t="shared" si="65"/>
        <v>05-877180032011</v>
      </c>
      <c r="B741" t="s">
        <v>379</v>
      </c>
      <c r="C741" t="s">
        <v>380</v>
      </c>
      <c r="D741">
        <v>2011</v>
      </c>
      <c r="E741" t="s">
        <v>63</v>
      </c>
      <c r="F741">
        <v>173222.16</v>
      </c>
      <c r="G741">
        <v>177</v>
      </c>
      <c r="H741" s="11" t="str">
        <f t="shared" si="64"/>
        <v>count</v>
      </c>
      <c r="I741" s="197"/>
      <c r="J741" s="197"/>
      <c r="K741" s="197"/>
      <c r="L741" s="197"/>
      <c r="M741" s="197"/>
      <c r="N741" s="197"/>
      <c r="O741" s="197"/>
      <c r="P741" s="197"/>
      <c r="Q741" s="197"/>
      <c r="R741" s="197"/>
      <c r="S741" s="197"/>
      <c r="T741" s="197"/>
      <c r="U741" s="197"/>
      <c r="V741" s="197"/>
      <c r="W741" s="197"/>
      <c r="X741" s="197"/>
      <c r="Y741" s="197"/>
      <c r="Z741" s="197"/>
      <c r="AA741" s="197"/>
      <c r="AB741" s="197"/>
      <c r="AC741" s="197"/>
      <c r="AD741" s="197"/>
      <c r="AE741" s="197"/>
      <c r="AF741" s="197"/>
      <c r="AG741" s="197"/>
      <c r="AH741" s="197"/>
      <c r="AI741" s="197"/>
      <c r="AJ741" s="197"/>
      <c r="AK741" s="197"/>
      <c r="AL741" s="197"/>
    </row>
    <row r="742" spans="1:38">
      <c r="A742" s="11" t="str">
        <f t="shared" si="65"/>
        <v>05-877180032011</v>
      </c>
      <c r="B742" t="s">
        <v>379</v>
      </c>
      <c r="C742" t="s">
        <v>380</v>
      </c>
      <c r="D742">
        <v>2011</v>
      </c>
      <c r="E742" t="s">
        <v>104</v>
      </c>
      <c r="F742">
        <v>82189.539999999994</v>
      </c>
      <c r="G742">
        <v>116</v>
      </c>
      <c r="H742" s="11" t="str">
        <f t="shared" si="64"/>
        <v>count</v>
      </c>
      <c r="I742" s="197"/>
      <c r="J742" s="197"/>
      <c r="K742" s="197"/>
      <c r="L742" s="197"/>
      <c r="M742" s="197"/>
      <c r="N742" s="197"/>
      <c r="O742" s="197"/>
      <c r="P742" s="197"/>
      <c r="Q742" s="197"/>
      <c r="R742" s="197"/>
      <c r="S742" s="197"/>
      <c r="T742" s="197"/>
      <c r="U742" s="197"/>
      <c r="V742" s="197"/>
      <c r="W742" s="197"/>
      <c r="X742" s="197"/>
      <c r="Y742" s="197"/>
      <c r="Z742" s="197"/>
      <c r="AA742" s="197"/>
      <c r="AB742" s="197"/>
      <c r="AC742" s="197"/>
      <c r="AD742" s="197"/>
      <c r="AE742" s="197"/>
      <c r="AF742" s="197"/>
      <c r="AG742" s="197"/>
      <c r="AH742" s="197"/>
      <c r="AI742" s="197"/>
      <c r="AJ742" s="197"/>
      <c r="AK742" s="197"/>
      <c r="AL742" s="197"/>
    </row>
    <row r="743" spans="1:38">
      <c r="A743" s="11" t="str">
        <f t="shared" si="65"/>
        <v>05-885016952011</v>
      </c>
      <c r="B743" t="s">
        <v>391</v>
      </c>
      <c r="C743" t="s">
        <v>392</v>
      </c>
      <c r="D743">
        <v>2011</v>
      </c>
      <c r="E743" t="s">
        <v>105</v>
      </c>
      <c r="F743">
        <v>2427.02</v>
      </c>
      <c r="G743">
        <v>2</v>
      </c>
      <c r="H743" s="11" t="str">
        <f t="shared" si="64"/>
        <v>volume</v>
      </c>
      <c r="I743" s="197"/>
      <c r="J743" s="197"/>
      <c r="K743" s="197"/>
      <c r="L743" s="197"/>
      <c r="M743" s="197"/>
      <c r="N743" s="197"/>
      <c r="O743" s="197"/>
      <c r="P743" s="197"/>
      <c r="Q743" s="197"/>
      <c r="R743" s="197"/>
      <c r="S743" s="197"/>
      <c r="T743" s="197"/>
      <c r="U743" s="197"/>
      <c r="V743" s="197"/>
      <c r="W743" s="197"/>
      <c r="X743" s="197"/>
      <c r="Y743" s="197"/>
      <c r="Z743" s="197"/>
      <c r="AA743" s="197"/>
      <c r="AB743" s="197"/>
      <c r="AC743" s="197"/>
      <c r="AD743" s="197"/>
      <c r="AE743" s="197"/>
      <c r="AF743" s="197"/>
      <c r="AG743" s="197"/>
      <c r="AH743" s="197"/>
      <c r="AI743" s="197"/>
      <c r="AJ743" s="197"/>
      <c r="AK743" s="197"/>
      <c r="AL743" s="197"/>
    </row>
    <row r="744" spans="1:38">
      <c r="A744" s="11" t="str">
        <f t="shared" si="65"/>
        <v>05-885016952013</v>
      </c>
      <c r="B744" t="s">
        <v>391</v>
      </c>
      <c r="C744" t="s">
        <v>392</v>
      </c>
      <c r="D744">
        <v>2013</v>
      </c>
      <c r="E744" t="s">
        <v>104</v>
      </c>
      <c r="F744">
        <v>19412.830000000002</v>
      </c>
      <c r="G744">
        <v>18</v>
      </c>
      <c r="H744" s="11" t="str">
        <f t="shared" si="64"/>
        <v>count</v>
      </c>
      <c r="I744" s="197"/>
      <c r="J744" s="197"/>
      <c r="K744" s="197"/>
      <c r="L744" s="197"/>
      <c r="M744" s="197"/>
      <c r="N744" s="197"/>
      <c r="O744" s="197"/>
      <c r="P744" s="197"/>
      <c r="Q744" s="197"/>
      <c r="R744" s="197"/>
      <c r="S744" s="197"/>
      <c r="T744" s="197"/>
      <c r="U744" s="197"/>
      <c r="V744" s="197"/>
      <c r="W744" s="197"/>
      <c r="X744" s="197"/>
      <c r="Y744" s="197"/>
      <c r="Z744" s="197"/>
      <c r="AA744" s="197"/>
      <c r="AB744" s="197"/>
      <c r="AC744" s="197"/>
      <c r="AD744" s="197"/>
      <c r="AE744" s="197"/>
      <c r="AF744" s="197"/>
      <c r="AG744" s="197"/>
      <c r="AH744" s="197"/>
      <c r="AI744" s="197"/>
      <c r="AJ744" s="197"/>
      <c r="AK744" s="197"/>
      <c r="AL744" s="197"/>
    </row>
    <row r="745" spans="1:38">
      <c r="A745" s="11" t="str">
        <f t="shared" si="65"/>
        <v>05-885016952013</v>
      </c>
      <c r="B745" t="s">
        <v>391</v>
      </c>
      <c r="C745" t="s">
        <v>392</v>
      </c>
      <c r="D745">
        <v>2013</v>
      </c>
      <c r="E745" t="s">
        <v>63</v>
      </c>
      <c r="F745">
        <v>44657.61</v>
      </c>
      <c r="G745">
        <v>33</v>
      </c>
      <c r="H745" s="11" t="str">
        <f t="shared" si="64"/>
        <v>count</v>
      </c>
      <c r="I745" s="197"/>
      <c r="J745" s="197"/>
      <c r="K745" s="197"/>
      <c r="L745" s="197"/>
      <c r="M745" s="197"/>
      <c r="N745" s="197"/>
      <c r="O745" s="197"/>
      <c r="P745" s="197"/>
      <c r="Q745" s="197"/>
      <c r="R745" s="197"/>
      <c r="S745" s="197"/>
      <c r="T745" s="197"/>
      <c r="U745" s="197"/>
      <c r="V745" s="197"/>
      <c r="W745" s="197"/>
      <c r="X745" s="197"/>
      <c r="Y745" s="197"/>
      <c r="Z745" s="197"/>
      <c r="AA745" s="197"/>
      <c r="AB745" s="197"/>
      <c r="AC745" s="197"/>
      <c r="AD745" s="197"/>
      <c r="AE745" s="197"/>
      <c r="AF745" s="197"/>
      <c r="AG745" s="197"/>
      <c r="AH745" s="197"/>
      <c r="AI745" s="197"/>
      <c r="AJ745" s="197"/>
      <c r="AK745" s="197"/>
      <c r="AL745" s="197"/>
    </row>
    <row r="746" spans="1:38">
      <c r="A746" s="11" t="str">
        <f t="shared" si="65"/>
        <v>05-885016952012</v>
      </c>
      <c r="B746" t="s">
        <v>391</v>
      </c>
      <c r="C746" t="s">
        <v>392</v>
      </c>
      <c r="D746">
        <v>2012</v>
      </c>
      <c r="E746" t="s">
        <v>69</v>
      </c>
      <c r="F746">
        <v>21073.99</v>
      </c>
      <c r="G746">
        <v>24</v>
      </c>
      <c r="H746" s="11" t="str">
        <f t="shared" si="64"/>
        <v>count</v>
      </c>
      <c r="I746" s="197"/>
      <c r="J746" s="197"/>
      <c r="K746" s="197"/>
      <c r="L746" s="197"/>
      <c r="M746" s="197"/>
      <c r="N746" s="197"/>
      <c r="O746" s="197"/>
      <c r="P746" s="197"/>
      <c r="Q746" s="197"/>
      <c r="R746" s="197"/>
      <c r="S746" s="197"/>
      <c r="T746" s="197"/>
      <c r="U746" s="197"/>
      <c r="V746" s="197"/>
      <c r="W746" s="197"/>
      <c r="X746" s="197"/>
      <c r="Y746" s="197"/>
      <c r="Z746" s="197"/>
      <c r="AA746" s="197"/>
      <c r="AB746" s="197"/>
      <c r="AC746" s="197"/>
      <c r="AD746" s="197"/>
      <c r="AE746" s="197"/>
      <c r="AF746" s="197"/>
      <c r="AG746" s="197"/>
      <c r="AH746" s="197"/>
      <c r="AI746" s="197"/>
      <c r="AJ746" s="197"/>
      <c r="AK746" s="197"/>
      <c r="AL746" s="197"/>
    </row>
    <row r="747" spans="1:38">
      <c r="A747" s="11" t="str">
        <f t="shared" si="65"/>
        <v>05-885016952012</v>
      </c>
      <c r="B747" t="s">
        <v>391</v>
      </c>
      <c r="C747" t="s">
        <v>392</v>
      </c>
      <c r="D747">
        <v>2012</v>
      </c>
      <c r="E747" t="s">
        <v>63</v>
      </c>
      <c r="F747">
        <v>49828.639999999999</v>
      </c>
      <c r="G747">
        <v>41</v>
      </c>
      <c r="H747" s="11" t="str">
        <f t="shared" si="64"/>
        <v>count</v>
      </c>
      <c r="I747" s="197"/>
      <c r="J747" s="197"/>
      <c r="K747" s="197"/>
      <c r="L747" s="197"/>
      <c r="M747" s="197"/>
      <c r="N747" s="197"/>
      <c r="O747" s="197"/>
      <c r="P747" s="197"/>
      <c r="Q747" s="197"/>
      <c r="R747" s="197"/>
      <c r="S747" s="197"/>
      <c r="T747" s="197"/>
      <c r="U747" s="197"/>
      <c r="V747" s="197"/>
      <c r="W747" s="197"/>
      <c r="X747" s="197"/>
      <c r="Y747" s="197"/>
      <c r="Z747" s="197"/>
      <c r="AA747" s="197"/>
      <c r="AB747" s="197"/>
      <c r="AC747" s="197"/>
      <c r="AD747" s="197"/>
      <c r="AE747" s="197"/>
      <c r="AF747" s="197"/>
      <c r="AG747" s="197"/>
      <c r="AH747" s="197"/>
      <c r="AI747" s="197"/>
      <c r="AJ747" s="197"/>
      <c r="AK747" s="197"/>
      <c r="AL747" s="197"/>
    </row>
    <row r="748" spans="1:38">
      <c r="A748" s="11" t="str">
        <f t="shared" si="65"/>
        <v>05-885016952013</v>
      </c>
      <c r="B748" t="s">
        <v>391</v>
      </c>
      <c r="C748" t="s">
        <v>392</v>
      </c>
      <c r="D748">
        <v>2013</v>
      </c>
      <c r="E748" t="s">
        <v>105</v>
      </c>
      <c r="F748">
        <v>4761.7</v>
      </c>
      <c r="G748">
        <v>4</v>
      </c>
      <c r="H748" s="11" t="str">
        <f t="shared" si="64"/>
        <v>count</v>
      </c>
      <c r="I748" s="197"/>
      <c r="J748" s="197"/>
      <c r="K748" s="197"/>
      <c r="L748" s="197"/>
      <c r="M748" s="197"/>
      <c r="N748" s="197"/>
      <c r="O748" s="197"/>
      <c r="P748" s="197"/>
      <c r="Q748" s="197"/>
      <c r="R748" s="197"/>
      <c r="S748" s="197"/>
      <c r="T748" s="197"/>
      <c r="U748" s="197"/>
      <c r="V748" s="197"/>
      <c r="W748" s="197"/>
      <c r="X748" s="197"/>
      <c r="Y748" s="197"/>
      <c r="Z748" s="197"/>
      <c r="AA748" s="197"/>
      <c r="AB748" s="197"/>
      <c r="AC748" s="197"/>
      <c r="AD748" s="197"/>
      <c r="AE748" s="197"/>
      <c r="AF748" s="197"/>
      <c r="AG748" s="197"/>
      <c r="AH748" s="197"/>
      <c r="AI748" s="197"/>
      <c r="AJ748" s="197"/>
      <c r="AK748" s="197"/>
      <c r="AL748" s="197"/>
    </row>
    <row r="749" spans="1:38">
      <c r="A749" s="11" t="str">
        <f t="shared" si="65"/>
        <v>05-885016952012</v>
      </c>
      <c r="B749" t="s">
        <v>391</v>
      </c>
      <c r="C749" t="s">
        <v>392</v>
      </c>
      <c r="D749">
        <v>2012</v>
      </c>
      <c r="E749" t="s">
        <v>104</v>
      </c>
      <c r="F749">
        <v>11145.66</v>
      </c>
      <c r="G749">
        <v>13</v>
      </c>
      <c r="H749" s="11" t="str">
        <f t="shared" si="64"/>
        <v>count</v>
      </c>
      <c r="I749" s="197"/>
      <c r="J749" s="197"/>
      <c r="K749" s="197"/>
      <c r="L749" s="197"/>
      <c r="M749" s="197"/>
      <c r="N749" s="197"/>
      <c r="O749" s="197"/>
      <c r="P749" s="197"/>
      <c r="Q749" s="197"/>
      <c r="R749" s="197"/>
      <c r="S749" s="197"/>
      <c r="T749" s="197"/>
      <c r="U749" s="197"/>
      <c r="V749" s="197"/>
      <c r="W749" s="197"/>
      <c r="X749" s="197"/>
      <c r="Y749" s="197"/>
      <c r="Z749" s="197"/>
      <c r="AA749" s="197"/>
      <c r="AB749" s="197"/>
      <c r="AC749" s="197"/>
      <c r="AD749" s="197"/>
      <c r="AE749" s="197"/>
      <c r="AF749" s="197"/>
      <c r="AG749" s="197"/>
      <c r="AH749" s="197"/>
      <c r="AI749" s="197"/>
      <c r="AJ749" s="197"/>
      <c r="AK749" s="197"/>
      <c r="AL749" s="197"/>
    </row>
    <row r="750" spans="1:38">
      <c r="A750" s="11" t="str">
        <f t="shared" si="65"/>
        <v>05-885016952011</v>
      </c>
      <c r="B750" t="s">
        <v>391</v>
      </c>
      <c r="C750" t="s">
        <v>392</v>
      </c>
      <c r="D750">
        <v>2011</v>
      </c>
      <c r="E750" t="s">
        <v>63</v>
      </c>
      <c r="F750">
        <v>11382.4</v>
      </c>
      <c r="G750">
        <v>12</v>
      </c>
      <c r="H750" s="11" t="str">
        <f t="shared" si="64"/>
        <v>count</v>
      </c>
      <c r="I750" s="197"/>
      <c r="J750" s="197"/>
      <c r="K750" s="197"/>
      <c r="L750" s="197"/>
      <c r="M750" s="197"/>
      <c r="N750" s="197"/>
      <c r="O750" s="197"/>
      <c r="P750" s="197"/>
      <c r="Q750" s="197"/>
      <c r="R750" s="197"/>
      <c r="S750" s="197"/>
      <c r="T750" s="197"/>
      <c r="U750" s="197"/>
      <c r="V750" s="197"/>
      <c r="W750" s="197"/>
      <c r="X750" s="197"/>
      <c r="Y750" s="197"/>
      <c r="Z750" s="197"/>
      <c r="AA750" s="197"/>
      <c r="AB750" s="197"/>
      <c r="AC750" s="197"/>
      <c r="AD750" s="197"/>
      <c r="AE750" s="197"/>
      <c r="AF750" s="197"/>
      <c r="AG750" s="197"/>
      <c r="AH750" s="197"/>
      <c r="AI750" s="197"/>
      <c r="AJ750" s="197"/>
      <c r="AK750" s="197"/>
      <c r="AL750" s="197"/>
    </row>
    <row r="751" spans="1:38">
      <c r="A751" s="11" t="str">
        <f t="shared" si="65"/>
        <v>05-885016952011</v>
      </c>
      <c r="B751" t="s">
        <v>391</v>
      </c>
      <c r="C751" t="s">
        <v>392</v>
      </c>
      <c r="D751">
        <v>2011</v>
      </c>
      <c r="E751" t="s">
        <v>104</v>
      </c>
      <c r="F751">
        <v>2309.5300000000002</v>
      </c>
      <c r="G751">
        <v>1</v>
      </c>
      <c r="H751" s="11" t="str">
        <f t="shared" si="64"/>
        <v>count</v>
      </c>
      <c r="I751" s="197"/>
      <c r="J751" s="197"/>
      <c r="K751" s="197"/>
      <c r="L751" s="197"/>
      <c r="M751" s="197"/>
      <c r="N751" s="197"/>
      <c r="O751" s="197"/>
      <c r="P751" s="197"/>
      <c r="Q751" s="197"/>
      <c r="R751" s="197"/>
      <c r="S751" s="197"/>
      <c r="T751" s="197"/>
      <c r="U751" s="197"/>
      <c r="V751" s="197"/>
      <c r="W751" s="197"/>
      <c r="X751" s="197"/>
      <c r="Y751" s="197"/>
      <c r="Z751" s="197"/>
      <c r="AA751" s="197"/>
      <c r="AB751" s="197"/>
      <c r="AC751" s="197"/>
      <c r="AD751" s="197"/>
      <c r="AE751" s="197"/>
      <c r="AF751" s="197"/>
      <c r="AG751" s="197"/>
      <c r="AH751" s="197"/>
      <c r="AI751" s="197"/>
      <c r="AJ751" s="197"/>
      <c r="AK751" s="197"/>
      <c r="AL751" s="197"/>
    </row>
    <row r="752" spans="1:38">
      <c r="A752" s="11" t="str">
        <f t="shared" si="65"/>
        <v>05-885016952013</v>
      </c>
      <c r="B752" t="s">
        <v>391</v>
      </c>
      <c r="C752" t="s">
        <v>392</v>
      </c>
      <c r="D752">
        <v>2013</v>
      </c>
      <c r="E752" t="s">
        <v>69</v>
      </c>
      <c r="F752">
        <v>19077.5</v>
      </c>
      <c r="G752">
        <v>10</v>
      </c>
      <c r="H752" s="11" t="str">
        <f t="shared" si="64"/>
        <v>count</v>
      </c>
      <c r="I752" s="197"/>
      <c r="J752" s="197"/>
      <c r="K752" s="197"/>
      <c r="L752" s="197"/>
      <c r="M752" s="197"/>
      <c r="N752" s="197"/>
      <c r="O752" s="197"/>
      <c r="P752" s="197"/>
      <c r="Q752" s="197"/>
      <c r="R752" s="197"/>
      <c r="S752" s="197"/>
      <c r="T752" s="197"/>
      <c r="U752" s="197"/>
      <c r="V752" s="197"/>
      <c r="W752" s="197"/>
      <c r="X752" s="197"/>
      <c r="Y752" s="197"/>
      <c r="Z752" s="197"/>
      <c r="AA752" s="197"/>
      <c r="AB752" s="197"/>
      <c r="AC752" s="197"/>
      <c r="AD752" s="197"/>
      <c r="AE752" s="197"/>
      <c r="AF752" s="197"/>
      <c r="AG752" s="197"/>
      <c r="AH752" s="197"/>
      <c r="AI752" s="197"/>
      <c r="AJ752" s="197"/>
      <c r="AK752" s="197"/>
      <c r="AL752" s="197"/>
    </row>
    <row r="753" spans="1:38">
      <c r="A753" s="11" t="str">
        <f t="shared" si="65"/>
        <v>05-885016952012</v>
      </c>
      <c r="B753" t="s">
        <v>391</v>
      </c>
      <c r="C753" t="s">
        <v>392</v>
      </c>
      <c r="D753">
        <v>2012</v>
      </c>
      <c r="E753" t="s">
        <v>105</v>
      </c>
      <c r="F753">
        <v>4940.6099999999997</v>
      </c>
      <c r="G753">
        <v>3</v>
      </c>
      <c r="H753" s="11" t="str">
        <f t="shared" si="64"/>
        <v>count</v>
      </c>
      <c r="I753" s="197"/>
      <c r="J753" s="197"/>
      <c r="K753" s="197"/>
      <c r="L753" s="197"/>
      <c r="M753" s="197"/>
      <c r="N753" s="197"/>
      <c r="O753" s="197"/>
      <c r="P753" s="197"/>
      <c r="Q753" s="197"/>
      <c r="R753" s="197"/>
      <c r="S753" s="197"/>
      <c r="T753" s="197"/>
      <c r="U753" s="197"/>
      <c r="V753" s="197"/>
      <c r="W753" s="197"/>
      <c r="X753" s="197"/>
      <c r="Y753" s="197"/>
      <c r="Z753" s="197"/>
      <c r="AA753" s="197"/>
      <c r="AB753" s="197"/>
      <c r="AC753" s="197"/>
      <c r="AD753" s="197"/>
      <c r="AE753" s="197"/>
      <c r="AF753" s="197"/>
      <c r="AG753" s="197"/>
      <c r="AH753" s="197"/>
      <c r="AI753" s="197"/>
      <c r="AJ753" s="197"/>
      <c r="AK753" s="197"/>
      <c r="AL753" s="197"/>
    </row>
    <row r="754" spans="1:38">
      <c r="A754" s="11" t="str">
        <f t="shared" si="65"/>
        <v>05-887661952012</v>
      </c>
      <c r="B754" t="s">
        <v>393</v>
      </c>
      <c r="C754" t="s">
        <v>394</v>
      </c>
      <c r="D754">
        <v>2012</v>
      </c>
      <c r="E754" t="s">
        <v>1075</v>
      </c>
      <c r="F754">
        <v>3612.42</v>
      </c>
      <c r="G754">
        <v>8</v>
      </c>
      <c r="H754" s="11" t="str">
        <f t="shared" si="64"/>
        <v>volume</v>
      </c>
      <c r="I754" s="197"/>
      <c r="J754" s="197"/>
      <c r="K754" s="197"/>
      <c r="L754" s="197"/>
      <c r="M754" s="197"/>
      <c r="N754" s="197"/>
      <c r="O754" s="197"/>
      <c r="P754" s="197"/>
      <c r="Q754" s="197"/>
      <c r="R754" s="197"/>
      <c r="S754" s="197"/>
      <c r="T754" s="197"/>
      <c r="U754" s="197"/>
      <c r="V754" s="197"/>
      <c r="W754" s="197"/>
      <c r="X754" s="197"/>
      <c r="Y754" s="197"/>
      <c r="Z754" s="197"/>
      <c r="AA754" s="197"/>
      <c r="AB754" s="197"/>
      <c r="AC754" s="197"/>
      <c r="AD754" s="197"/>
      <c r="AE754" s="197"/>
      <c r="AF754" s="197"/>
      <c r="AG754" s="197"/>
      <c r="AH754" s="197"/>
      <c r="AI754" s="197"/>
      <c r="AJ754" s="197"/>
      <c r="AK754" s="197"/>
      <c r="AL754" s="197"/>
    </row>
    <row r="755" spans="1:38">
      <c r="A755" s="11" t="str">
        <f t="shared" si="65"/>
        <v>05-887661952013</v>
      </c>
      <c r="B755" t="s">
        <v>393</v>
      </c>
      <c r="C755" t="s">
        <v>394</v>
      </c>
      <c r="D755">
        <v>2013</v>
      </c>
      <c r="E755" t="s">
        <v>106</v>
      </c>
      <c r="F755">
        <v>1195</v>
      </c>
      <c r="G755">
        <v>2</v>
      </c>
      <c r="H755" s="11" t="str">
        <f t="shared" si="64"/>
        <v>count</v>
      </c>
      <c r="I755" s="197"/>
      <c r="J755" s="197"/>
      <c r="K755" s="197"/>
      <c r="L755" s="197"/>
      <c r="M755" s="197"/>
      <c r="N755" s="197"/>
      <c r="O755" s="197"/>
      <c r="P755" s="197"/>
      <c r="Q755" s="197"/>
      <c r="R755" s="197"/>
      <c r="S755" s="197"/>
      <c r="T755" s="197"/>
      <c r="U755" s="197"/>
      <c r="V755" s="197"/>
      <c r="W755" s="197"/>
      <c r="X755" s="197"/>
      <c r="Y755" s="197"/>
      <c r="Z755" s="197"/>
      <c r="AA755" s="197"/>
      <c r="AB755" s="197"/>
      <c r="AC755" s="197"/>
      <c r="AD755" s="197"/>
      <c r="AE755" s="197"/>
      <c r="AF755" s="197"/>
      <c r="AG755" s="197"/>
      <c r="AH755" s="197"/>
      <c r="AI755" s="197"/>
      <c r="AJ755" s="197"/>
      <c r="AK755" s="197"/>
      <c r="AL755" s="197"/>
    </row>
    <row r="756" spans="1:38">
      <c r="A756" s="11" t="str">
        <f t="shared" si="65"/>
        <v>05-887661952013</v>
      </c>
      <c r="B756" t="s">
        <v>393</v>
      </c>
      <c r="C756" t="s">
        <v>394</v>
      </c>
      <c r="D756">
        <v>2013</v>
      </c>
      <c r="E756" t="s">
        <v>105</v>
      </c>
      <c r="F756">
        <v>5512.27</v>
      </c>
      <c r="G756">
        <v>13</v>
      </c>
      <c r="H756" s="11" t="str">
        <f t="shared" si="64"/>
        <v>count</v>
      </c>
      <c r="I756" s="197"/>
      <c r="J756" s="197"/>
      <c r="K756" s="197"/>
      <c r="L756" s="197"/>
      <c r="M756" s="197"/>
      <c r="N756" s="197"/>
      <c r="O756" s="197"/>
      <c r="P756" s="197"/>
      <c r="Q756" s="197"/>
      <c r="R756" s="197"/>
      <c r="S756" s="197"/>
      <c r="T756" s="197"/>
      <c r="U756" s="197"/>
      <c r="V756" s="197"/>
      <c r="W756" s="197"/>
      <c r="X756" s="197"/>
      <c r="Y756" s="197"/>
      <c r="Z756" s="197"/>
      <c r="AA756" s="197"/>
      <c r="AB756" s="197"/>
      <c r="AC756" s="197"/>
      <c r="AD756" s="197"/>
      <c r="AE756" s="197"/>
      <c r="AF756" s="197"/>
      <c r="AG756" s="197"/>
      <c r="AH756" s="197"/>
      <c r="AI756" s="197"/>
      <c r="AJ756" s="197"/>
      <c r="AK756" s="197"/>
      <c r="AL756" s="197"/>
    </row>
    <row r="757" spans="1:38">
      <c r="A757" s="11" t="str">
        <f t="shared" si="65"/>
        <v>05-887661952012</v>
      </c>
      <c r="B757" t="s">
        <v>393</v>
      </c>
      <c r="C757" t="s">
        <v>394</v>
      </c>
      <c r="D757">
        <v>2012</v>
      </c>
      <c r="E757" t="s">
        <v>106</v>
      </c>
      <c r="F757">
        <v>5917.9</v>
      </c>
      <c r="G757">
        <v>8</v>
      </c>
      <c r="H757" s="11" t="str">
        <f t="shared" si="64"/>
        <v>count</v>
      </c>
      <c r="I757" s="197"/>
      <c r="J757" s="197"/>
      <c r="K757" s="197"/>
      <c r="L757" s="197"/>
      <c r="M757" s="197"/>
      <c r="N757" s="197"/>
      <c r="O757" s="197"/>
      <c r="P757" s="197"/>
      <c r="Q757" s="197"/>
      <c r="R757" s="197"/>
      <c r="S757" s="197"/>
      <c r="T757" s="197"/>
      <c r="U757" s="197"/>
      <c r="V757" s="197"/>
      <c r="W757" s="197"/>
      <c r="X757" s="197"/>
      <c r="Y757" s="197"/>
      <c r="Z757" s="197"/>
      <c r="AA757" s="197"/>
      <c r="AB757" s="197"/>
      <c r="AC757" s="197"/>
      <c r="AD757" s="197"/>
      <c r="AE757" s="197"/>
      <c r="AF757" s="197"/>
      <c r="AG757" s="197"/>
      <c r="AH757" s="197"/>
      <c r="AI757" s="197"/>
      <c r="AJ757" s="197"/>
      <c r="AK757" s="197"/>
      <c r="AL757" s="197"/>
    </row>
    <row r="758" spans="1:38">
      <c r="A758" s="11" t="str">
        <f t="shared" si="65"/>
        <v>05-887661952012</v>
      </c>
      <c r="B758" t="s">
        <v>393</v>
      </c>
      <c r="C758" t="s">
        <v>394</v>
      </c>
      <c r="D758">
        <v>2012</v>
      </c>
      <c r="E758" t="s">
        <v>104</v>
      </c>
      <c r="F758">
        <v>44075.42</v>
      </c>
      <c r="G758">
        <v>80</v>
      </c>
      <c r="H758" s="11" t="str">
        <f t="shared" si="64"/>
        <v>count</v>
      </c>
      <c r="I758" s="197"/>
      <c r="J758" s="197"/>
      <c r="K758" s="197"/>
      <c r="L758" s="197"/>
      <c r="M758" s="197"/>
      <c r="N758" s="197"/>
      <c r="O758" s="197"/>
      <c r="P758" s="197"/>
      <c r="Q758" s="197"/>
      <c r="R758" s="197"/>
      <c r="S758" s="197"/>
      <c r="T758" s="197"/>
      <c r="U758" s="197"/>
      <c r="V758" s="197"/>
      <c r="W758" s="197"/>
      <c r="X758" s="197"/>
      <c r="Y758" s="197"/>
      <c r="Z758" s="197"/>
      <c r="AA758" s="197"/>
      <c r="AB758" s="197"/>
      <c r="AC758" s="197"/>
      <c r="AD758" s="197"/>
      <c r="AE758" s="197"/>
      <c r="AF758" s="197"/>
      <c r="AG758" s="197"/>
      <c r="AH758" s="197"/>
      <c r="AI758" s="197"/>
      <c r="AJ758" s="197"/>
      <c r="AK758" s="197"/>
      <c r="AL758" s="197"/>
    </row>
    <row r="759" spans="1:38">
      <c r="A759" s="11" t="str">
        <f t="shared" si="65"/>
        <v>05-887661952012</v>
      </c>
      <c r="B759" t="s">
        <v>393</v>
      </c>
      <c r="C759" t="s">
        <v>394</v>
      </c>
      <c r="D759">
        <v>2012</v>
      </c>
      <c r="E759" t="s">
        <v>63</v>
      </c>
      <c r="F759">
        <v>86162.52</v>
      </c>
      <c r="G759">
        <v>150</v>
      </c>
      <c r="H759" s="11" t="str">
        <f t="shared" si="64"/>
        <v>count</v>
      </c>
      <c r="I759" s="197"/>
      <c r="J759" s="197"/>
      <c r="K759" s="197"/>
      <c r="L759" s="197"/>
      <c r="M759" s="197"/>
      <c r="N759" s="197"/>
      <c r="O759" s="197"/>
      <c r="P759" s="197"/>
      <c r="Q759" s="197"/>
      <c r="R759" s="197"/>
      <c r="S759" s="197"/>
      <c r="T759" s="197"/>
      <c r="U759" s="197"/>
      <c r="V759" s="197"/>
      <c r="W759" s="197"/>
      <c r="X759" s="197"/>
      <c r="Y759" s="197"/>
      <c r="Z759" s="197"/>
      <c r="AA759" s="197"/>
      <c r="AB759" s="197"/>
      <c r="AC759" s="197"/>
      <c r="AD759" s="197"/>
      <c r="AE759" s="197"/>
      <c r="AF759" s="197"/>
      <c r="AG759" s="197"/>
      <c r="AH759" s="197"/>
      <c r="AI759" s="197"/>
      <c r="AJ759" s="197"/>
      <c r="AK759" s="197"/>
      <c r="AL759" s="197"/>
    </row>
    <row r="760" spans="1:38">
      <c r="A760" s="11" t="str">
        <f t="shared" si="65"/>
        <v>05-887661952012</v>
      </c>
      <c r="B760" t="s">
        <v>393</v>
      </c>
      <c r="C760" t="s">
        <v>394</v>
      </c>
      <c r="D760">
        <v>2012</v>
      </c>
      <c r="E760" t="s">
        <v>1074</v>
      </c>
      <c r="F760">
        <v>4875.9399999999996</v>
      </c>
      <c r="G760">
        <v>7</v>
      </c>
      <c r="H760" s="11" t="str">
        <f t="shared" si="64"/>
        <v>count</v>
      </c>
      <c r="I760" s="197"/>
      <c r="J760" s="197"/>
      <c r="K760" s="197"/>
      <c r="L760" s="197"/>
      <c r="M760" s="197"/>
      <c r="N760" s="197"/>
      <c r="O760" s="197"/>
      <c r="P760" s="197"/>
      <c r="Q760" s="197"/>
      <c r="R760" s="197"/>
      <c r="S760" s="197"/>
      <c r="T760" s="197"/>
      <c r="U760" s="197"/>
      <c r="V760" s="197"/>
      <c r="W760" s="197"/>
      <c r="X760" s="197"/>
      <c r="Y760" s="197"/>
      <c r="Z760" s="197"/>
      <c r="AA760" s="197"/>
      <c r="AB760" s="197"/>
      <c r="AC760" s="197"/>
      <c r="AD760" s="197"/>
      <c r="AE760" s="197"/>
      <c r="AF760" s="197"/>
      <c r="AG760" s="197"/>
      <c r="AH760" s="197"/>
      <c r="AI760" s="197"/>
      <c r="AJ760" s="197"/>
      <c r="AK760" s="197"/>
      <c r="AL760" s="197"/>
    </row>
    <row r="761" spans="1:38">
      <c r="A761" s="11" t="str">
        <f t="shared" si="65"/>
        <v>05-887661952013</v>
      </c>
      <c r="B761" t="s">
        <v>393</v>
      </c>
      <c r="C761" t="s">
        <v>394</v>
      </c>
      <c r="D761">
        <v>2013</v>
      </c>
      <c r="E761" t="s">
        <v>104</v>
      </c>
      <c r="F761">
        <v>39185.769999999997</v>
      </c>
      <c r="G761">
        <v>76</v>
      </c>
      <c r="H761" s="11" t="str">
        <f t="shared" si="64"/>
        <v>count</v>
      </c>
      <c r="I761" s="197"/>
      <c r="J761" s="197"/>
      <c r="K761" s="197"/>
      <c r="L761" s="197"/>
      <c r="M761" s="197"/>
      <c r="N761" s="197"/>
      <c r="O761" s="197"/>
      <c r="P761" s="197"/>
      <c r="Q761" s="197"/>
      <c r="R761" s="197"/>
      <c r="S761" s="197"/>
      <c r="T761" s="197"/>
      <c r="U761" s="197"/>
      <c r="V761" s="197"/>
      <c r="W761" s="197"/>
      <c r="X761" s="197"/>
      <c r="Y761" s="197"/>
      <c r="Z761" s="197"/>
      <c r="AA761" s="197"/>
      <c r="AB761" s="197"/>
      <c r="AC761" s="197"/>
      <c r="AD761" s="197"/>
      <c r="AE761" s="197"/>
      <c r="AF761" s="197"/>
      <c r="AG761" s="197"/>
      <c r="AH761" s="197"/>
      <c r="AI761" s="197"/>
      <c r="AJ761" s="197"/>
      <c r="AK761" s="197"/>
      <c r="AL761" s="197"/>
    </row>
    <row r="762" spans="1:38">
      <c r="A762" s="11" t="str">
        <f t="shared" si="65"/>
        <v>05-887661952011</v>
      </c>
      <c r="B762" t="s">
        <v>393</v>
      </c>
      <c r="C762" t="s">
        <v>394</v>
      </c>
      <c r="D762">
        <v>2011</v>
      </c>
      <c r="E762" t="s">
        <v>106</v>
      </c>
      <c r="F762">
        <v>6671.15</v>
      </c>
      <c r="G762">
        <v>11</v>
      </c>
      <c r="H762" s="11" t="str">
        <f t="shared" si="64"/>
        <v>count</v>
      </c>
      <c r="I762" s="197"/>
      <c r="J762" s="197"/>
      <c r="K762" s="197"/>
      <c r="L762" s="197"/>
      <c r="M762" s="197"/>
      <c r="N762" s="197"/>
      <c r="O762" s="197"/>
      <c r="P762" s="197"/>
      <c r="Q762" s="197"/>
      <c r="R762" s="197"/>
      <c r="S762" s="197"/>
      <c r="T762" s="197"/>
      <c r="U762" s="197"/>
      <c r="V762" s="197"/>
      <c r="W762" s="197"/>
      <c r="X762" s="197"/>
      <c r="Y762" s="197"/>
      <c r="Z762" s="197"/>
      <c r="AA762" s="197"/>
      <c r="AB762" s="197"/>
      <c r="AC762" s="197"/>
      <c r="AD762" s="197"/>
      <c r="AE762" s="197"/>
      <c r="AF762" s="197"/>
      <c r="AG762" s="197"/>
      <c r="AH762" s="197"/>
      <c r="AI762" s="197"/>
      <c r="AJ762" s="197"/>
      <c r="AK762" s="197"/>
      <c r="AL762" s="197"/>
    </row>
    <row r="763" spans="1:38">
      <c r="A763" s="11" t="str">
        <f t="shared" si="65"/>
        <v>05-887661952013</v>
      </c>
      <c r="B763" t="s">
        <v>393</v>
      </c>
      <c r="C763" t="s">
        <v>394</v>
      </c>
      <c r="D763">
        <v>2013</v>
      </c>
      <c r="E763" t="s">
        <v>63</v>
      </c>
      <c r="F763">
        <v>64191.23</v>
      </c>
      <c r="G763">
        <v>144</v>
      </c>
      <c r="H763" s="11" t="str">
        <f t="shared" si="64"/>
        <v>count</v>
      </c>
      <c r="I763" s="197"/>
      <c r="J763" s="197"/>
      <c r="K763" s="197"/>
      <c r="L763" s="197"/>
      <c r="M763" s="197"/>
      <c r="N763" s="197"/>
      <c r="O763" s="197"/>
      <c r="P763" s="197"/>
      <c r="Q763" s="197"/>
      <c r="R763" s="197"/>
      <c r="S763" s="197"/>
      <c r="T763" s="197"/>
      <c r="U763" s="197"/>
      <c r="V763" s="197"/>
      <c r="W763" s="197"/>
      <c r="X763" s="197"/>
      <c r="Y763" s="197"/>
      <c r="Z763" s="197"/>
      <c r="AA763" s="197"/>
      <c r="AB763" s="197"/>
      <c r="AC763" s="197"/>
      <c r="AD763" s="197"/>
      <c r="AE763" s="197"/>
      <c r="AF763" s="197"/>
      <c r="AG763" s="197"/>
      <c r="AH763" s="197"/>
      <c r="AI763" s="197"/>
      <c r="AJ763" s="197"/>
      <c r="AK763" s="197"/>
      <c r="AL763" s="197"/>
    </row>
    <row r="764" spans="1:38">
      <c r="A764" s="11" t="str">
        <f t="shared" si="65"/>
        <v>05-887661952013</v>
      </c>
      <c r="B764" t="s">
        <v>393</v>
      </c>
      <c r="C764" t="s">
        <v>394</v>
      </c>
      <c r="D764">
        <v>2013</v>
      </c>
      <c r="E764" t="s">
        <v>69</v>
      </c>
      <c r="F764">
        <v>34817.230000000003</v>
      </c>
      <c r="G764">
        <v>73</v>
      </c>
      <c r="H764" s="11" t="str">
        <f t="shared" si="64"/>
        <v>count</v>
      </c>
      <c r="I764" s="197"/>
      <c r="J764" s="197"/>
      <c r="K764" s="197"/>
      <c r="L764" s="197"/>
      <c r="M764" s="197"/>
      <c r="N764" s="197"/>
      <c r="O764" s="197"/>
      <c r="P764" s="197"/>
      <c r="Q764" s="197"/>
      <c r="R764" s="197"/>
      <c r="S764" s="197"/>
      <c r="T764" s="197"/>
      <c r="U764" s="197"/>
      <c r="V764" s="197"/>
      <c r="W764" s="197"/>
      <c r="X764" s="197"/>
      <c r="Y764" s="197"/>
      <c r="Z764" s="197"/>
      <c r="AA764" s="197"/>
      <c r="AB764" s="197"/>
      <c r="AC764" s="197"/>
      <c r="AD764" s="197"/>
      <c r="AE764" s="197"/>
      <c r="AF764" s="197"/>
      <c r="AG764" s="197"/>
      <c r="AH764" s="197"/>
      <c r="AI764" s="197"/>
      <c r="AJ764" s="197"/>
      <c r="AK764" s="197"/>
      <c r="AL764" s="197"/>
    </row>
    <row r="765" spans="1:38">
      <c r="A765" s="11" t="str">
        <f t="shared" si="65"/>
        <v>05-887661952011</v>
      </c>
      <c r="B765" t="s">
        <v>393</v>
      </c>
      <c r="C765" t="s">
        <v>394</v>
      </c>
      <c r="D765">
        <v>2011</v>
      </c>
      <c r="E765" t="s">
        <v>63</v>
      </c>
      <c r="F765">
        <v>2275.75</v>
      </c>
      <c r="G765">
        <v>3</v>
      </c>
      <c r="H765" s="11" t="str">
        <f t="shared" si="64"/>
        <v>count</v>
      </c>
      <c r="I765" s="197"/>
      <c r="J765" s="197"/>
      <c r="K765" s="197"/>
      <c r="L765" s="197"/>
      <c r="M765" s="197"/>
      <c r="N765" s="197"/>
      <c r="O765" s="197"/>
      <c r="P765" s="197"/>
      <c r="Q765" s="197"/>
      <c r="R765" s="197"/>
      <c r="S765" s="197"/>
      <c r="T765" s="197"/>
      <c r="U765" s="197"/>
      <c r="V765" s="197"/>
      <c r="W765" s="197"/>
      <c r="X765" s="197"/>
      <c r="Y765" s="197"/>
      <c r="Z765" s="197"/>
      <c r="AA765" s="197"/>
      <c r="AB765" s="197"/>
      <c r="AC765" s="197"/>
      <c r="AD765" s="197"/>
      <c r="AE765" s="197"/>
      <c r="AF765" s="197"/>
      <c r="AG765" s="197"/>
      <c r="AH765" s="197"/>
      <c r="AI765" s="197"/>
      <c r="AJ765" s="197"/>
      <c r="AK765" s="197"/>
      <c r="AL765" s="197"/>
    </row>
    <row r="766" spans="1:38">
      <c r="A766" s="11" t="str">
        <f t="shared" si="65"/>
        <v>05-887661952012</v>
      </c>
      <c r="B766" t="s">
        <v>393</v>
      </c>
      <c r="C766" t="s">
        <v>394</v>
      </c>
      <c r="D766">
        <v>2012</v>
      </c>
      <c r="E766" t="s">
        <v>69</v>
      </c>
      <c r="F766">
        <v>24324.58</v>
      </c>
      <c r="G766">
        <v>54</v>
      </c>
      <c r="H766" s="11" t="str">
        <f t="shared" si="64"/>
        <v>count</v>
      </c>
      <c r="I766" s="197"/>
      <c r="J766" s="197"/>
      <c r="K766" s="197"/>
      <c r="L766" s="197"/>
      <c r="M766" s="197"/>
      <c r="N766" s="197"/>
      <c r="O766" s="197"/>
      <c r="P766" s="197"/>
      <c r="Q766" s="197"/>
      <c r="R766" s="197"/>
      <c r="S766" s="197"/>
      <c r="T766" s="197"/>
      <c r="U766" s="197"/>
      <c r="V766" s="197"/>
      <c r="W766" s="197"/>
      <c r="X766" s="197"/>
      <c r="Y766" s="197"/>
      <c r="Z766" s="197"/>
      <c r="AA766" s="197"/>
      <c r="AB766" s="197"/>
      <c r="AC766" s="197"/>
      <c r="AD766" s="197"/>
      <c r="AE766" s="197"/>
      <c r="AF766" s="197"/>
      <c r="AG766" s="197"/>
      <c r="AH766" s="197"/>
      <c r="AI766" s="197"/>
      <c r="AJ766" s="197"/>
      <c r="AK766" s="197"/>
      <c r="AL766" s="197"/>
    </row>
    <row r="767" spans="1:38">
      <c r="A767" s="11" t="str">
        <f t="shared" si="65"/>
        <v>05-887661952012</v>
      </c>
      <c r="B767" t="s">
        <v>393</v>
      </c>
      <c r="C767" t="s">
        <v>394</v>
      </c>
      <c r="D767">
        <v>2012</v>
      </c>
      <c r="E767" t="s">
        <v>1076</v>
      </c>
      <c r="F767">
        <v>1056.95</v>
      </c>
      <c r="G767">
        <v>3</v>
      </c>
      <c r="H767" s="11" t="str">
        <f t="shared" si="64"/>
        <v>count</v>
      </c>
      <c r="I767" s="197"/>
      <c r="J767" s="197"/>
      <c r="K767" s="197"/>
      <c r="L767" s="197"/>
      <c r="M767" s="197"/>
      <c r="N767" s="197"/>
      <c r="O767" s="197"/>
      <c r="P767" s="197"/>
      <c r="Q767" s="197"/>
      <c r="R767" s="197"/>
      <c r="S767" s="197"/>
      <c r="T767" s="197"/>
      <c r="U767" s="197"/>
      <c r="V767" s="197"/>
      <c r="W767" s="197"/>
      <c r="X767" s="197"/>
      <c r="Y767" s="197"/>
      <c r="Z767" s="197"/>
      <c r="AA767" s="197"/>
      <c r="AB767" s="197"/>
      <c r="AC767" s="197"/>
      <c r="AD767" s="197"/>
      <c r="AE767" s="197"/>
      <c r="AF767" s="197"/>
      <c r="AG767" s="197"/>
      <c r="AH767" s="197"/>
      <c r="AI767" s="197"/>
      <c r="AJ767" s="197"/>
      <c r="AK767" s="197"/>
      <c r="AL767" s="197"/>
    </row>
    <row r="768" spans="1:38">
      <c r="A768" s="11" t="str">
        <f t="shared" si="65"/>
        <v>05-887661952012</v>
      </c>
      <c r="B768" t="s">
        <v>393</v>
      </c>
      <c r="C768" t="s">
        <v>394</v>
      </c>
      <c r="D768">
        <v>2012</v>
      </c>
      <c r="E768" t="s">
        <v>105</v>
      </c>
      <c r="F768">
        <v>5718.9</v>
      </c>
      <c r="G768">
        <v>10</v>
      </c>
      <c r="H768" s="11" t="str">
        <f t="shared" si="64"/>
        <v>count</v>
      </c>
      <c r="I768" s="197"/>
      <c r="J768" s="197"/>
      <c r="K768" s="197"/>
      <c r="L768" s="197"/>
      <c r="M768" s="197"/>
      <c r="N768" s="197"/>
      <c r="O768" s="197"/>
      <c r="P768" s="197"/>
      <c r="Q768" s="197"/>
      <c r="R768" s="197"/>
      <c r="S768" s="197"/>
      <c r="T768" s="197"/>
      <c r="U768" s="197"/>
      <c r="V768" s="197"/>
      <c r="W768" s="197"/>
      <c r="X768" s="197"/>
      <c r="Y768" s="197"/>
      <c r="Z768" s="197"/>
      <c r="AA768" s="197"/>
      <c r="AB768" s="197"/>
      <c r="AC768" s="197"/>
      <c r="AD768" s="197"/>
      <c r="AE768" s="197"/>
      <c r="AF768" s="197"/>
      <c r="AG768" s="197"/>
      <c r="AH768" s="197"/>
      <c r="AI768" s="197"/>
      <c r="AJ768" s="197"/>
      <c r="AK768" s="197"/>
      <c r="AL768" s="197"/>
    </row>
    <row r="769" spans="1:38">
      <c r="A769" s="11" t="str">
        <f t="shared" si="65"/>
        <v>05-898319552013</v>
      </c>
      <c r="B769" t="s">
        <v>402</v>
      </c>
      <c r="C769" t="s">
        <v>403</v>
      </c>
      <c r="D769">
        <v>2013</v>
      </c>
      <c r="E769" t="s">
        <v>63</v>
      </c>
      <c r="F769">
        <v>310205.40000000002</v>
      </c>
      <c r="G769">
        <v>460</v>
      </c>
      <c r="H769" s="11" t="str">
        <f t="shared" si="64"/>
        <v>volume</v>
      </c>
      <c r="I769" s="197"/>
      <c r="J769" s="197"/>
      <c r="K769" s="197"/>
      <c r="L769" s="197"/>
      <c r="M769" s="197"/>
      <c r="N769" s="197"/>
      <c r="O769" s="197"/>
      <c r="P769" s="197"/>
      <c r="Q769" s="197"/>
      <c r="R769" s="197"/>
      <c r="S769" s="197"/>
      <c r="T769" s="197"/>
      <c r="U769" s="197"/>
      <c r="V769" s="197"/>
      <c r="W769" s="197"/>
      <c r="X769" s="197"/>
      <c r="Y769" s="197"/>
      <c r="Z769" s="197"/>
      <c r="AA769" s="197"/>
      <c r="AB769" s="197"/>
      <c r="AC769" s="197"/>
      <c r="AD769" s="197"/>
      <c r="AE769" s="197"/>
      <c r="AF769" s="197"/>
      <c r="AG769" s="197"/>
      <c r="AH769" s="197"/>
      <c r="AI769" s="197"/>
      <c r="AJ769" s="197"/>
      <c r="AK769" s="197"/>
      <c r="AL769" s="197"/>
    </row>
    <row r="770" spans="1:38">
      <c r="A770" s="11" t="str">
        <f t="shared" si="65"/>
        <v>05-898319552013</v>
      </c>
      <c r="B770" t="s">
        <v>402</v>
      </c>
      <c r="C770" t="s">
        <v>403</v>
      </c>
      <c r="D770">
        <v>2013</v>
      </c>
      <c r="E770" t="s">
        <v>69</v>
      </c>
      <c r="F770">
        <v>140017.01999999999</v>
      </c>
      <c r="G770">
        <v>202</v>
      </c>
      <c r="H770" s="11" t="str">
        <f t="shared" ref="H770:H833" si="66">IF(B770=B769,"count","volume")</f>
        <v>count</v>
      </c>
      <c r="I770" s="197"/>
      <c r="J770" s="197"/>
      <c r="K770" s="197"/>
      <c r="L770" s="197"/>
      <c r="M770" s="197"/>
      <c r="N770" s="197"/>
      <c r="O770" s="197"/>
      <c r="P770" s="197"/>
      <c r="Q770" s="197"/>
      <c r="R770" s="197"/>
      <c r="S770" s="197"/>
      <c r="T770" s="197"/>
      <c r="U770" s="197"/>
      <c r="V770" s="197"/>
      <c r="W770" s="197"/>
      <c r="X770" s="197"/>
      <c r="Y770" s="197"/>
      <c r="Z770" s="197"/>
      <c r="AA770" s="197"/>
      <c r="AB770" s="197"/>
      <c r="AC770" s="197"/>
      <c r="AD770" s="197"/>
      <c r="AE770" s="197"/>
      <c r="AF770" s="197"/>
      <c r="AG770" s="197"/>
      <c r="AH770" s="197"/>
      <c r="AI770" s="197"/>
      <c r="AJ770" s="197"/>
      <c r="AK770" s="197"/>
      <c r="AL770" s="197"/>
    </row>
    <row r="771" spans="1:38">
      <c r="A771" s="11" t="str">
        <f t="shared" ref="A771:A834" si="67">B771&amp;D771</f>
        <v>05-898319552013</v>
      </c>
      <c r="B771" t="s">
        <v>402</v>
      </c>
      <c r="C771" t="s">
        <v>403</v>
      </c>
      <c r="D771">
        <v>2013</v>
      </c>
      <c r="E771" t="s">
        <v>104</v>
      </c>
      <c r="F771">
        <v>169164.22</v>
      </c>
      <c r="G771">
        <v>247</v>
      </c>
      <c r="H771" s="11" t="str">
        <f t="shared" si="66"/>
        <v>count</v>
      </c>
      <c r="I771" s="197"/>
      <c r="J771" s="197"/>
      <c r="K771" s="197"/>
      <c r="L771" s="197"/>
      <c r="M771" s="197"/>
      <c r="N771" s="197"/>
      <c r="O771" s="197"/>
      <c r="P771" s="197"/>
      <c r="Q771" s="197"/>
      <c r="R771" s="197"/>
      <c r="S771" s="197"/>
      <c r="T771" s="197"/>
      <c r="U771" s="197"/>
      <c r="V771" s="197"/>
      <c r="W771" s="197"/>
      <c r="X771" s="197"/>
      <c r="Y771" s="197"/>
      <c r="Z771" s="197"/>
      <c r="AA771" s="197"/>
      <c r="AB771" s="197"/>
      <c r="AC771" s="197"/>
      <c r="AD771" s="197"/>
      <c r="AE771" s="197"/>
      <c r="AF771" s="197"/>
      <c r="AG771" s="197"/>
      <c r="AH771" s="197"/>
      <c r="AI771" s="197"/>
      <c r="AJ771" s="197"/>
      <c r="AK771" s="197"/>
      <c r="AL771" s="197"/>
    </row>
    <row r="772" spans="1:38">
      <c r="A772" s="11" t="str">
        <f t="shared" si="67"/>
        <v>05-898319552012</v>
      </c>
      <c r="B772" t="s">
        <v>402</v>
      </c>
      <c r="C772" t="s">
        <v>403</v>
      </c>
      <c r="D772">
        <v>2012</v>
      </c>
      <c r="E772" t="s">
        <v>105</v>
      </c>
      <c r="F772">
        <v>39687.39</v>
      </c>
      <c r="G772">
        <v>41</v>
      </c>
      <c r="H772" s="11" t="str">
        <f t="shared" si="66"/>
        <v>count</v>
      </c>
      <c r="I772" s="197"/>
      <c r="J772" s="197"/>
      <c r="K772" s="197"/>
      <c r="L772" s="197"/>
      <c r="M772" s="197"/>
      <c r="N772" s="197"/>
      <c r="O772" s="197"/>
      <c r="P772" s="197"/>
      <c r="Q772" s="197"/>
      <c r="R772" s="197"/>
      <c r="S772" s="197"/>
      <c r="T772" s="197"/>
      <c r="U772" s="197"/>
      <c r="V772" s="197"/>
      <c r="W772" s="197"/>
      <c r="X772" s="197"/>
      <c r="Y772" s="197"/>
      <c r="Z772" s="197"/>
      <c r="AA772" s="197"/>
      <c r="AB772" s="197"/>
      <c r="AC772" s="197"/>
      <c r="AD772" s="197"/>
      <c r="AE772" s="197"/>
      <c r="AF772" s="197"/>
      <c r="AG772" s="197"/>
      <c r="AH772" s="197"/>
      <c r="AI772" s="197"/>
      <c r="AJ772" s="197"/>
      <c r="AK772" s="197"/>
      <c r="AL772" s="197"/>
    </row>
    <row r="773" spans="1:38">
      <c r="A773" s="11" t="str">
        <f t="shared" si="67"/>
        <v>05-898319552012</v>
      </c>
      <c r="B773" t="s">
        <v>402</v>
      </c>
      <c r="C773" t="s">
        <v>403</v>
      </c>
      <c r="D773">
        <v>2012</v>
      </c>
      <c r="E773" t="s">
        <v>69</v>
      </c>
      <c r="F773">
        <v>86980.02</v>
      </c>
      <c r="G773">
        <v>95</v>
      </c>
      <c r="H773" s="11" t="str">
        <f t="shared" si="66"/>
        <v>count</v>
      </c>
      <c r="I773" s="197"/>
      <c r="J773" s="197"/>
      <c r="K773" s="197"/>
      <c r="L773" s="197"/>
      <c r="M773" s="197"/>
      <c r="N773" s="197"/>
      <c r="O773" s="197"/>
      <c r="P773" s="197"/>
      <c r="Q773" s="197"/>
      <c r="R773" s="197"/>
      <c r="S773" s="197"/>
      <c r="T773" s="197"/>
      <c r="U773" s="197"/>
      <c r="V773" s="197"/>
      <c r="W773" s="197"/>
      <c r="X773" s="197"/>
      <c r="Y773" s="197"/>
      <c r="Z773" s="197"/>
      <c r="AA773" s="197"/>
      <c r="AB773" s="197"/>
      <c r="AC773" s="197"/>
      <c r="AD773" s="197"/>
      <c r="AE773" s="197"/>
      <c r="AF773" s="197"/>
      <c r="AG773" s="197"/>
      <c r="AH773" s="197"/>
      <c r="AI773" s="197"/>
      <c r="AJ773" s="197"/>
      <c r="AK773" s="197"/>
      <c r="AL773" s="197"/>
    </row>
    <row r="774" spans="1:38">
      <c r="A774" s="11" t="str">
        <f t="shared" si="67"/>
        <v>05-898319552012</v>
      </c>
      <c r="B774" t="s">
        <v>402</v>
      </c>
      <c r="C774" t="s">
        <v>403</v>
      </c>
      <c r="D774">
        <v>2012</v>
      </c>
      <c r="E774" t="s">
        <v>63</v>
      </c>
      <c r="F774">
        <v>299089.40000000002</v>
      </c>
      <c r="G774">
        <v>308</v>
      </c>
      <c r="H774" s="11" t="str">
        <f t="shared" si="66"/>
        <v>count</v>
      </c>
      <c r="I774" s="197"/>
      <c r="J774" s="197"/>
      <c r="K774" s="197"/>
      <c r="L774" s="197"/>
      <c r="M774" s="197"/>
      <c r="N774" s="197"/>
      <c r="O774" s="197"/>
      <c r="P774" s="197"/>
      <c r="Q774" s="197"/>
      <c r="R774" s="197"/>
      <c r="S774" s="197"/>
      <c r="T774" s="197"/>
      <c r="U774" s="197"/>
      <c r="V774" s="197"/>
      <c r="W774" s="197"/>
      <c r="X774" s="197"/>
      <c r="Y774" s="197"/>
      <c r="Z774" s="197"/>
      <c r="AA774" s="197"/>
      <c r="AB774" s="197"/>
      <c r="AC774" s="197"/>
      <c r="AD774" s="197"/>
      <c r="AE774" s="197"/>
      <c r="AF774" s="197"/>
      <c r="AG774" s="197"/>
      <c r="AH774" s="197"/>
      <c r="AI774" s="197"/>
      <c r="AJ774" s="197"/>
      <c r="AK774" s="197"/>
      <c r="AL774" s="197"/>
    </row>
    <row r="775" spans="1:38">
      <c r="A775" s="11" t="str">
        <f t="shared" si="67"/>
        <v>05-898319552013</v>
      </c>
      <c r="B775" t="s">
        <v>402</v>
      </c>
      <c r="C775" t="s">
        <v>403</v>
      </c>
      <c r="D775">
        <v>2013</v>
      </c>
      <c r="E775" t="s">
        <v>105</v>
      </c>
      <c r="F775">
        <v>40873.839999999997</v>
      </c>
      <c r="G775">
        <v>67</v>
      </c>
      <c r="H775" s="11" t="str">
        <f t="shared" si="66"/>
        <v>count</v>
      </c>
      <c r="I775" s="197"/>
      <c r="J775" s="197"/>
      <c r="K775" s="197"/>
      <c r="L775" s="197"/>
      <c r="M775" s="197"/>
      <c r="N775" s="197"/>
      <c r="O775" s="197"/>
      <c r="P775" s="197"/>
      <c r="Q775" s="197"/>
      <c r="R775" s="197"/>
      <c r="S775" s="197"/>
      <c r="T775" s="197"/>
      <c r="U775" s="197"/>
      <c r="V775" s="197"/>
      <c r="W775" s="197"/>
      <c r="X775" s="197"/>
      <c r="Y775" s="197"/>
      <c r="Z775" s="197"/>
      <c r="AA775" s="197"/>
      <c r="AB775" s="197"/>
      <c r="AC775" s="197"/>
      <c r="AD775" s="197"/>
      <c r="AE775" s="197"/>
      <c r="AF775" s="197"/>
      <c r="AG775" s="197"/>
      <c r="AH775" s="197"/>
      <c r="AI775" s="197"/>
      <c r="AJ775" s="197"/>
      <c r="AK775" s="197"/>
      <c r="AL775" s="197"/>
    </row>
    <row r="776" spans="1:38">
      <c r="A776" s="11" t="str">
        <f t="shared" si="67"/>
        <v>05-898319552012</v>
      </c>
      <c r="B776" t="s">
        <v>402</v>
      </c>
      <c r="C776" t="s">
        <v>403</v>
      </c>
      <c r="D776">
        <v>2012</v>
      </c>
      <c r="E776" t="s">
        <v>104</v>
      </c>
      <c r="F776">
        <v>185420.58</v>
      </c>
      <c r="G776">
        <v>201</v>
      </c>
      <c r="H776" s="11" t="str">
        <f t="shared" si="66"/>
        <v>count</v>
      </c>
      <c r="I776" s="197"/>
      <c r="J776" s="197"/>
      <c r="K776" s="197"/>
      <c r="L776" s="197"/>
      <c r="M776" s="197"/>
      <c r="N776" s="197"/>
      <c r="O776" s="197"/>
      <c r="P776" s="197"/>
      <c r="Q776" s="197"/>
      <c r="R776" s="197"/>
      <c r="S776" s="197"/>
      <c r="T776" s="197"/>
      <c r="U776" s="197"/>
      <c r="V776" s="197"/>
      <c r="W776" s="197"/>
      <c r="X776" s="197"/>
      <c r="Y776" s="197"/>
      <c r="Z776" s="197"/>
      <c r="AA776" s="197"/>
      <c r="AB776" s="197"/>
      <c r="AC776" s="197"/>
      <c r="AD776" s="197"/>
      <c r="AE776" s="197"/>
      <c r="AF776" s="197"/>
      <c r="AG776" s="197"/>
      <c r="AH776" s="197"/>
      <c r="AI776" s="197"/>
      <c r="AJ776" s="197"/>
      <c r="AK776" s="197"/>
      <c r="AL776" s="197"/>
    </row>
    <row r="777" spans="1:38">
      <c r="A777" s="11" t="str">
        <f t="shared" si="67"/>
        <v>05-901695752013</v>
      </c>
      <c r="B777" t="s">
        <v>406</v>
      </c>
      <c r="C777" t="s">
        <v>407</v>
      </c>
      <c r="D777">
        <v>2013</v>
      </c>
      <c r="E777" t="s">
        <v>69</v>
      </c>
      <c r="F777">
        <v>47810.64</v>
      </c>
      <c r="G777">
        <v>44</v>
      </c>
      <c r="H777" s="11" t="str">
        <f t="shared" si="66"/>
        <v>volume</v>
      </c>
      <c r="I777" s="197"/>
      <c r="J777" s="197"/>
      <c r="K777" s="197"/>
      <c r="L777" s="197"/>
      <c r="M777" s="197"/>
      <c r="N777" s="197"/>
      <c r="O777" s="197"/>
      <c r="P777" s="197"/>
      <c r="Q777" s="197"/>
      <c r="R777" s="197"/>
      <c r="S777" s="197"/>
      <c r="T777" s="197"/>
      <c r="U777" s="197"/>
      <c r="V777" s="197"/>
      <c r="W777" s="197"/>
      <c r="X777" s="197"/>
      <c r="Y777" s="197"/>
      <c r="Z777" s="197"/>
      <c r="AA777" s="197"/>
      <c r="AB777" s="197"/>
      <c r="AC777" s="197"/>
      <c r="AD777" s="197"/>
      <c r="AE777" s="197"/>
      <c r="AF777" s="197"/>
      <c r="AG777" s="197"/>
      <c r="AH777" s="197"/>
      <c r="AI777" s="197"/>
      <c r="AJ777" s="197"/>
      <c r="AK777" s="197"/>
      <c r="AL777" s="197"/>
    </row>
    <row r="778" spans="1:38">
      <c r="A778" s="11" t="str">
        <f t="shared" si="67"/>
        <v>05-901695752013</v>
      </c>
      <c r="B778" t="s">
        <v>406</v>
      </c>
      <c r="C778" t="s">
        <v>407</v>
      </c>
      <c r="D778">
        <v>2013</v>
      </c>
      <c r="E778" t="s">
        <v>63</v>
      </c>
      <c r="F778">
        <v>229794.59</v>
      </c>
      <c r="G778">
        <v>173</v>
      </c>
      <c r="H778" s="11" t="str">
        <f t="shared" si="66"/>
        <v>count</v>
      </c>
      <c r="I778" s="197"/>
      <c r="J778" s="197"/>
      <c r="K778" s="197"/>
      <c r="L778" s="197"/>
      <c r="M778" s="197"/>
      <c r="N778" s="197"/>
      <c r="O778" s="197"/>
      <c r="P778" s="197"/>
      <c r="Q778" s="197"/>
      <c r="R778" s="197"/>
      <c r="S778" s="197"/>
      <c r="T778" s="197"/>
      <c r="U778" s="197"/>
      <c r="V778" s="197"/>
      <c r="W778" s="197"/>
      <c r="X778" s="197"/>
      <c r="Y778" s="197"/>
      <c r="Z778" s="197"/>
      <c r="AA778" s="197"/>
      <c r="AB778" s="197"/>
      <c r="AC778" s="197"/>
      <c r="AD778" s="197"/>
      <c r="AE778" s="197"/>
      <c r="AF778" s="197"/>
      <c r="AG778" s="197"/>
      <c r="AH778" s="197"/>
      <c r="AI778" s="197"/>
      <c r="AJ778" s="197"/>
      <c r="AK778" s="197"/>
      <c r="AL778" s="197"/>
    </row>
    <row r="779" spans="1:38">
      <c r="A779" s="11" t="str">
        <f t="shared" si="67"/>
        <v>05-901695752013</v>
      </c>
      <c r="B779" t="s">
        <v>406</v>
      </c>
      <c r="C779" t="s">
        <v>407</v>
      </c>
      <c r="D779">
        <v>2013</v>
      </c>
      <c r="E779" t="s">
        <v>104</v>
      </c>
      <c r="F779">
        <v>140826.87</v>
      </c>
      <c r="G779">
        <v>95</v>
      </c>
      <c r="H779" s="11" t="str">
        <f t="shared" si="66"/>
        <v>count</v>
      </c>
      <c r="I779" s="197"/>
      <c r="J779" s="197"/>
      <c r="K779" s="197"/>
      <c r="L779" s="197"/>
      <c r="M779" s="197"/>
      <c r="N779" s="197"/>
      <c r="O779" s="197"/>
      <c r="P779" s="197"/>
      <c r="Q779" s="197"/>
      <c r="R779" s="197"/>
      <c r="S779" s="197"/>
      <c r="T779" s="197"/>
      <c r="U779" s="197"/>
      <c r="V779" s="197"/>
      <c r="W779" s="197"/>
      <c r="X779" s="197"/>
      <c r="Y779" s="197"/>
      <c r="Z779" s="197"/>
      <c r="AA779" s="197"/>
      <c r="AB779" s="197"/>
      <c r="AC779" s="197"/>
      <c r="AD779" s="197"/>
      <c r="AE779" s="197"/>
      <c r="AF779" s="197"/>
      <c r="AG779" s="197"/>
      <c r="AH779" s="197"/>
      <c r="AI779" s="197"/>
      <c r="AJ779" s="197"/>
      <c r="AK779" s="197"/>
      <c r="AL779" s="197"/>
    </row>
    <row r="780" spans="1:38">
      <c r="A780" s="11" t="str">
        <f t="shared" si="67"/>
        <v>05-901695752012</v>
      </c>
      <c r="B780" t="s">
        <v>406</v>
      </c>
      <c r="C780" t="s">
        <v>407</v>
      </c>
      <c r="D780">
        <v>2012</v>
      </c>
      <c r="E780" t="s">
        <v>104</v>
      </c>
      <c r="F780">
        <v>99702.35</v>
      </c>
      <c r="G780">
        <v>74</v>
      </c>
      <c r="H780" s="11" t="str">
        <f t="shared" si="66"/>
        <v>count</v>
      </c>
      <c r="I780" s="197"/>
      <c r="J780" s="197"/>
      <c r="K780" s="197"/>
      <c r="L780" s="197"/>
      <c r="M780" s="197"/>
      <c r="N780" s="197"/>
      <c r="O780" s="197"/>
      <c r="P780" s="197"/>
      <c r="Q780" s="197"/>
      <c r="R780" s="197"/>
      <c r="S780" s="197"/>
      <c r="T780" s="197"/>
      <c r="U780" s="197"/>
      <c r="V780" s="197"/>
      <c r="W780" s="197"/>
      <c r="X780" s="197"/>
      <c r="Y780" s="197"/>
      <c r="Z780" s="197"/>
      <c r="AA780" s="197"/>
      <c r="AB780" s="197"/>
      <c r="AC780" s="197"/>
      <c r="AD780" s="197"/>
      <c r="AE780" s="197"/>
      <c r="AF780" s="197"/>
      <c r="AG780" s="197"/>
      <c r="AH780" s="197"/>
      <c r="AI780" s="197"/>
      <c r="AJ780" s="197"/>
      <c r="AK780" s="197"/>
      <c r="AL780" s="197"/>
    </row>
    <row r="781" spans="1:38">
      <c r="A781" s="11" t="str">
        <f t="shared" si="67"/>
        <v>05-901695752012</v>
      </c>
      <c r="B781" t="s">
        <v>406</v>
      </c>
      <c r="C781" t="s">
        <v>407</v>
      </c>
      <c r="D781">
        <v>2012</v>
      </c>
      <c r="E781" t="s">
        <v>63</v>
      </c>
      <c r="F781">
        <v>170416.58</v>
      </c>
      <c r="G781">
        <v>131</v>
      </c>
      <c r="H781" s="11" t="str">
        <f t="shared" si="66"/>
        <v>count</v>
      </c>
      <c r="I781" s="197"/>
      <c r="J781" s="197"/>
      <c r="K781" s="197"/>
      <c r="L781" s="197"/>
      <c r="M781" s="197"/>
      <c r="N781" s="197"/>
      <c r="O781" s="197"/>
      <c r="P781" s="197"/>
      <c r="Q781" s="197"/>
      <c r="R781" s="197"/>
      <c r="S781" s="197"/>
      <c r="T781" s="197"/>
      <c r="U781" s="197"/>
      <c r="V781" s="197"/>
      <c r="W781" s="197"/>
      <c r="X781" s="197"/>
      <c r="Y781" s="197"/>
      <c r="Z781" s="197"/>
      <c r="AA781" s="197"/>
      <c r="AB781" s="197"/>
      <c r="AC781" s="197"/>
      <c r="AD781" s="197"/>
      <c r="AE781" s="197"/>
      <c r="AF781" s="197"/>
      <c r="AG781" s="197"/>
      <c r="AH781" s="197"/>
      <c r="AI781" s="197"/>
      <c r="AJ781" s="197"/>
      <c r="AK781" s="197"/>
      <c r="AL781" s="197"/>
    </row>
    <row r="782" spans="1:38">
      <c r="A782" s="11" t="str">
        <f t="shared" si="67"/>
        <v>05-901695752012</v>
      </c>
      <c r="B782" t="s">
        <v>406</v>
      </c>
      <c r="C782" t="s">
        <v>407</v>
      </c>
      <c r="D782">
        <v>2012</v>
      </c>
      <c r="E782" t="s">
        <v>69</v>
      </c>
      <c r="F782">
        <v>48934.45</v>
      </c>
      <c r="G782">
        <v>52</v>
      </c>
      <c r="H782" s="11" t="str">
        <f t="shared" si="66"/>
        <v>count</v>
      </c>
      <c r="I782" s="197"/>
      <c r="J782" s="197"/>
      <c r="K782" s="197"/>
      <c r="L782" s="197"/>
      <c r="M782" s="197"/>
      <c r="N782" s="197"/>
      <c r="O782" s="197"/>
      <c r="P782" s="197"/>
      <c r="Q782" s="197"/>
      <c r="R782" s="197"/>
      <c r="S782" s="197"/>
      <c r="T782" s="197"/>
      <c r="U782" s="197"/>
      <c r="V782" s="197"/>
      <c r="W782" s="197"/>
      <c r="X782" s="197"/>
      <c r="Y782" s="197"/>
      <c r="Z782" s="197"/>
      <c r="AA782" s="197"/>
      <c r="AB782" s="197"/>
      <c r="AC782" s="197"/>
      <c r="AD782" s="197"/>
      <c r="AE782" s="197"/>
      <c r="AF782" s="197"/>
      <c r="AG782" s="197"/>
      <c r="AH782" s="197"/>
      <c r="AI782" s="197"/>
      <c r="AJ782" s="197"/>
      <c r="AK782" s="197"/>
      <c r="AL782" s="197"/>
    </row>
    <row r="783" spans="1:38">
      <c r="A783" s="11" t="str">
        <f t="shared" si="67"/>
        <v>05-909088662012</v>
      </c>
      <c r="B783" t="s">
        <v>410</v>
      </c>
      <c r="C783" t="s">
        <v>411</v>
      </c>
      <c r="D783">
        <v>2012</v>
      </c>
      <c r="E783" t="s">
        <v>63</v>
      </c>
      <c r="F783">
        <v>3887069.85</v>
      </c>
      <c r="G783">
        <v>3758</v>
      </c>
      <c r="H783" s="11" t="str">
        <f t="shared" si="66"/>
        <v>volume</v>
      </c>
      <c r="I783" s="197"/>
      <c r="J783" s="197"/>
      <c r="K783" s="197"/>
      <c r="L783" s="197"/>
      <c r="M783" s="197"/>
      <c r="N783" s="197"/>
      <c r="O783" s="197"/>
      <c r="P783" s="197"/>
      <c r="Q783" s="197"/>
      <c r="R783" s="197"/>
      <c r="S783" s="197"/>
      <c r="T783" s="197"/>
      <c r="U783" s="197"/>
      <c r="V783" s="197"/>
      <c r="W783" s="197"/>
      <c r="X783" s="197"/>
      <c r="Y783" s="197"/>
      <c r="Z783" s="197"/>
      <c r="AA783" s="197"/>
      <c r="AB783" s="197"/>
      <c r="AC783" s="197"/>
      <c r="AD783" s="197"/>
      <c r="AE783" s="197"/>
      <c r="AF783" s="197"/>
      <c r="AG783" s="197"/>
      <c r="AH783" s="197"/>
      <c r="AI783" s="197"/>
      <c r="AJ783" s="197"/>
      <c r="AK783" s="197"/>
      <c r="AL783" s="197"/>
    </row>
    <row r="784" spans="1:38">
      <c r="A784" s="11" t="str">
        <f t="shared" si="67"/>
        <v>05-909088662012</v>
      </c>
      <c r="B784" t="s">
        <v>410</v>
      </c>
      <c r="C784" t="s">
        <v>411</v>
      </c>
      <c r="D784">
        <v>2012</v>
      </c>
      <c r="E784" t="s">
        <v>412</v>
      </c>
      <c r="F784">
        <v>58716.47</v>
      </c>
      <c r="G784">
        <v>39</v>
      </c>
      <c r="H784" s="11" t="str">
        <f t="shared" si="66"/>
        <v>count</v>
      </c>
      <c r="I784" s="197"/>
      <c r="J784" s="197"/>
      <c r="K784" s="197"/>
      <c r="L784" s="197"/>
      <c r="M784" s="197"/>
      <c r="N784" s="197"/>
      <c r="O784" s="197"/>
      <c r="P784" s="197"/>
      <c r="Q784" s="197"/>
      <c r="R784" s="197"/>
      <c r="S784" s="197"/>
      <c r="T784" s="197"/>
      <c r="U784" s="197"/>
      <c r="V784" s="197"/>
      <c r="W784" s="197"/>
      <c r="X784" s="197"/>
      <c r="Y784" s="197"/>
      <c r="Z784" s="197"/>
      <c r="AA784" s="197"/>
      <c r="AB784" s="197"/>
      <c r="AC784" s="197"/>
      <c r="AD784" s="197"/>
      <c r="AE784" s="197"/>
      <c r="AF784" s="197"/>
      <c r="AG784" s="197"/>
      <c r="AH784" s="197"/>
      <c r="AI784" s="197"/>
      <c r="AJ784" s="197"/>
      <c r="AK784" s="197"/>
      <c r="AL784" s="197"/>
    </row>
    <row r="785" spans="1:38">
      <c r="A785" s="11" t="str">
        <f t="shared" si="67"/>
        <v>05-909088662012</v>
      </c>
      <c r="B785" t="s">
        <v>410</v>
      </c>
      <c r="C785" t="s">
        <v>411</v>
      </c>
      <c r="D785">
        <v>2012</v>
      </c>
      <c r="E785" t="s">
        <v>104</v>
      </c>
      <c r="F785">
        <v>1814057.97</v>
      </c>
      <c r="G785">
        <v>1743</v>
      </c>
      <c r="H785" s="11" t="str">
        <f t="shared" si="66"/>
        <v>count</v>
      </c>
      <c r="I785" s="197"/>
      <c r="J785" s="197"/>
      <c r="K785" s="197"/>
      <c r="L785" s="197"/>
      <c r="M785" s="197"/>
      <c r="N785" s="197"/>
      <c r="O785" s="197"/>
      <c r="P785" s="197"/>
      <c r="Q785" s="197"/>
      <c r="R785" s="197"/>
      <c r="S785" s="197"/>
      <c r="T785" s="197"/>
      <c r="U785" s="197"/>
      <c r="V785" s="197"/>
      <c r="W785" s="197"/>
      <c r="X785" s="197"/>
      <c r="Y785" s="197"/>
      <c r="Z785" s="197"/>
      <c r="AA785" s="197"/>
      <c r="AB785" s="197"/>
      <c r="AC785" s="197"/>
      <c r="AD785" s="197"/>
      <c r="AE785" s="197"/>
      <c r="AF785" s="197"/>
      <c r="AG785" s="197"/>
      <c r="AH785" s="197"/>
      <c r="AI785" s="197"/>
      <c r="AJ785" s="197"/>
      <c r="AK785" s="197"/>
      <c r="AL785" s="197"/>
    </row>
    <row r="786" spans="1:38">
      <c r="A786" s="11" t="str">
        <f t="shared" si="67"/>
        <v>05-909088662011</v>
      </c>
      <c r="B786" t="s">
        <v>410</v>
      </c>
      <c r="C786" t="s">
        <v>411</v>
      </c>
      <c r="D786">
        <v>2011</v>
      </c>
      <c r="E786" t="s">
        <v>68</v>
      </c>
      <c r="F786">
        <v>51623558.210000001</v>
      </c>
      <c r="G786">
        <v>44502</v>
      </c>
      <c r="H786" s="11" t="str">
        <f t="shared" si="66"/>
        <v>count</v>
      </c>
      <c r="I786" s="197"/>
      <c r="J786" s="197"/>
      <c r="K786" s="197"/>
      <c r="L786" s="197"/>
      <c r="M786" s="197"/>
      <c r="N786" s="197"/>
      <c r="O786" s="197"/>
      <c r="P786" s="197"/>
      <c r="Q786" s="197"/>
      <c r="R786" s="197"/>
      <c r="S786" s="197"/>
      <c r="T786" s="197"/>
      <c r="U786" s="197"/>
      <c r="V786" s="197"/>
      <c r="W786" s="197"/>
      <c r="X786" s="197"/>
      <c r="Y786" s="197"/>
      <c r="Z786" s="197"/>
      <c r="AA786" s="197"/>
      <c r="AB786" s="197"/>
      <c r="AC786" s="197"/>
      <c r="AD786" s="197"/>
      <c r="AE786" s="197"/>
      <c r="AF786" s="197"/>
      <c r="AG786" s="197"/>
      <c r="AH786" s="197"/>
      <c r="AI786" s="197"/>
      <c r="AJ786" s="197"/>
      <c r="AK786" s="197"/>
      <c r="AL786" s="197"/>
    </row>
    <row r="787" spans="1:38">
      <c r="A787" s="11" t="str">
        <f t="shared" si="67"/>
        <v>05-909088662012</v>
      </c>
      <c r="B787" t="s">
        <v>410</v>
      </c>
      <c r="C787" t="s">
        <v>411</v>
      </c>
      <c r="D787">
        <v>2012</v>
      </c>
      <c r="E787" t="s">
        <v>1074</v>
      </c>
      <c r="F787">
        <v>155665.34</v>
      </c>
      <c r="G787">
        <v>275</v>
      </c>
      <c r="H787" s="11" t="str">
        <f t="shared" si="66"/>
        <v>count</v>
      </c>
      <c r="I787" s="197"/>
      <c r="J787" s="197"/>
      <c r="K787" s="197"/>
      <c r="L787" s="197"/>
      <c r="M787" s="197"/>
      <c r="N787" s="197"/>
      <c r="O787" s="197"/>
      <c r="P787" s="197"/>
      <c r="Q787" s="197"/>
      <c r="R787" s="197"/>
      <c r="S787" s="197"/>
      <c r="T787" s="197"/>
      <c r="U787" s="197"/>
      <c r="V787" s="197"/>
      <c r="W787" s="197"/>
      <c r="X787" s="197"/>
      <c r="Y787" s="197"/>
      <c r="Z787" s="197"/>
      <c r="AA787" s="197"/>
      <c r="AB787" s="197"/>
      <c r="AC787" s="197"/>
      <c r="AD787" s="197"/>
      <c r="AE787" s="197"/>
      <c r="AF787" s="197"/>
      <c r="AG787" s="197"/>
      <c r="AH787" s="197"/>
      <c r="AI787" s="197"/>
      <c r="AJ787" s="197"/>
      <c r="AK787" s="197"/>
      <c r="AL787" s="197"/>
    </row>
    <row r="788" spans="1:38">
      <c r="A788" s="11" t="str">
        <f t="shared" si="67"/>
        <v>05-909088662012</v>
      </c>
      <c r="B788" t="s">
        <v>410</v>
      </c>
      <c r="C788" t="s">
        <v>411</v>
      </c>
      <c r="D788">
        <v>2012</v>
      </c>
      <c r="E788" t="s">
        <v>106</v>
      </c>
      <c r="F788">
        <v>29429056.460000001</v>
      </c>
      <c r="G788">
        <v>16872</v>
      </c>
      <c r="H788" s="11" t="str">
        <f t="shared" si="66"/>
        <v>count</v>
      </c>
      <c r="I788" s="197"/>
      <c r="J788" s="197"/>
      <c r="K788" s="197"/>
      <c r="L788" s="197"/>
      <c r="M788" s="197"/>
      <c r="N788" s="197"/>
      <c r="O788" s="197"/>
      <c r="P788" s="197"/>
      <c r="Q788" s="197"/>
      <c r="R788" s="197"/>
      <c r="S788" s="197"/>
      <c r="T788" s="197"/>
      <c r="U788" s="197"/>
      <c r="V788" s="197"/>
      <c r="W788" s="197"/>
      <c r="X788" s="197"/>
      <c r="Y788" s="197"/>
      <c r="Z788" s="197"/>
      <c r="AA788" s="197"/>
      <c r="AB788" s="197"/>
      <c r="AC788" s="197"/>
      <c r="AD788" s="197"/>
      <c r="AE788" s="197"/>
      <c r="AF788" s="197"/>
      <c r="AG788" s="197"/>
      <c r="AH788" s="197"/>
      <c r="AI788" s="197"/>
      <c r="AJ788" s="197"/>
      <c r="AK788" s="197"/>
      <c r="AL788" s="197"/>
    </row>
    <row r="789" spans="1:38">
      <c r="A789" s="11" t="str">
        <f t="shared" si="67"/>
        <v>05-909088662013</v>
      </c>
      <c r="B789" t="s">
        <v>410</v>
      </c>
      <c r="C789" t="s">
        <v>411</v>
      </c>
      <c r="D789">
        <v>2013</v>
      </c>
      <c r="E789" t="s">
        <v>69</v>
      </c>
      <c r="F789">
        <v>2772470.88</v>
      </c>
      <c r="G789">
        <v>3506</v>
      </c>
      <c r="H789" s="11" t="str">
        <f t="shared" si="66"/>
        <v>count</v>
      </c>
      <c r="I789" s="197"/>
      <c r="J789" s="197"/>
      <c r="K789" s="197"/>
      <c r="L789" s="197"/>
      <c r="M789" s="197"/>
      <c r="N789" s="197"/>
      <c r="O789" s="197"/>
      <c r="P789" s="197"/>
      <c r="Q789" s="197"/>
      <c r="R789" s="197"/>
      <c r="S789" s="197"/>
      <c r="T789" s="197"/>
      <c r="U789" s="197"/>
      <c r="V789" s="197"/>
      <c r="W789" s="197"/>
      <c r="X789" s="197"/>
      <c r="Y789" s="197"/>
      <c r="Z789" s="197"/>
      <c r="AA789" s="197"/>
      <c r="AB789" s="197"/>
      <c r="AC789" s="197"/>
      <c r="AD789" s="197"/>
      <c r="AE789" s="197"/>
      <c r="AF789" s="197"/>
      <c r="AG789" s="197"/>
      <c r="AH789" s="197"/>
      <c r="AI789" s="197"/>
      <c r="AJ789" s="197"/>
      <c r="AK789" s="197"/>
      <c r="AL789" s="197"/>
    </row>
    <row r="790" spans="1:38">
      <c r="A790" s="11" t="str">
        <f t="shared" si="67"/>
        <v>05-909088662013</v>
      </c>
      <c r="B790" t="s">
        <v>410</v>
      </c>
      <c r="C790" t="s">
        <v>411</v>
      </c>
      <c r="D790">
        <v>2013</v>
      </c>
      <c r="E790" t="s">
        <v>63</v>
      </c>
      <c r="F790">
        <v>3208014.37</v>
      </c>
      <c r="G790">
        <v>2961</v>
      </c>
      <c r="H790" s="11" t="str">
        <f t="shared" si="66"/>
        <v>count</v>
      </c>
      <c r="I790" s="197"/>
      <c r="J790" s="197"/>
      <c r="K790" s="197"/>
      <c r="L790" s="197"/>
      <c r="M790" s="197"/>
      <c r="N790" s="197"/>
      <c r="O790" s="197"/>
      <c r="P790" s="197"/>
      <c r="Q790" s="197"/>
      <c r="R790" s="197"/>
      <c r="S790" s="197"/>
      <c r="T790" s="197"/>
      <c r="U790" s="197"/>
      <c r="V790" s="197"/>
      <c r="W790" s="197"/>
      <c r="X790" s="197"/>
      <c r="Y790" s="197"/>
      <c r="Z790" s="197"/>
      <c r="AA790" s="197"/>
      <c r="AB790" s="197"/>
      <c r="AC790" s="197"/>
      <c r="AD790" s="197"/>
      <c r="AE790" s="197"/>
      <c r="AF790" s="197"/>
      <c r="AG790" s="197"/>
      <c r="AH790" s="197"/>
      <c r="AI790" s="197"/>
      <c r="AJ790" s="197"/>
      <c r="AK790" s="197"/>
      <c r="AL790" s="197"/>
    </row>
    <row r="791" spans="1:38">
      <c r="A791" s="11" t="str">
        <f t="shared" si="67"/>
        <v>05-909088662011</v>
      </c>
      <c r="B791" t="s">
        <v>410</v>
      </c>
      <c r="C791" t="s">
        <v>411</v>
      </c>
      <c r="D791">
        <v>2011</v>
      </c>
      <c r="E791" t="s">
        <v>412</v>
      </c>
      <c r="F791">
        <v>15566.23</v>
      </c>
      <c r="G791">
        <v>13</v>
      </c>
      <c r="H791" s="11" t="str">
        <f t="shared" si="66"/>
        <v>count</v>
      </c>
      <c r="I791" s="197"/>
      <c r="J791" s="197"/>
      <c r="K791" s="197"/>
      <c r="L791" s="197"/>
      <c r="M791" s="197"/>
      <c r="N791" s="197"/>
      <c r="O791" s="197"/>
      <c r="P791" s="197"/>
      <c r="Q791" s="197"/>
      <c r="R791" s="197"/>
      <c r="S791" s="197"/>
      <c r="T791" s="197"/>
      <c r="U791" s="197"/>
      <c r="V791" s="197"/>
      <c r="W791" s="197"/>
      <c r="X791" s="197"/>
      <c r="Y791" s="197"/>
      <c r="Z791" s="197"/>
      <c r="AA791" s="197"/>
      <c r="AB791" s="197"/>
      <c r="AC791" s="197"/>
      <c r="AD791" s="197"/>
      <c r="AE791" s="197"/>
      <c r="AF791" s="197"/>
      <c r="AG791" s="197"/>
      <c r="AH791" s="197"/>
      <c r="AI791" s="197"/>
      <c r="AJ791" s="197"/>
      <c r="AK791" s="197"/>
      <c r="AL791" s="197"/>
    </row>
    <row r="792" spans="1:38">
      <c r="A792" s="11" t="str">
        <f t="shared" si="67"/>
        <v>05-909088662011</v>
      </c>
      <c r="B792" t="s">
        <v>410</v>
      </c>
      <c r="C792" t="s">
        <v>411</v>
      </c>
      <c r="D792">
        <v>2011</v>
      </c>
      <c r="E792" t="s">
        <v>106</v>
      </c>
      <c r="F792">
        <v>9377857.4700000007</v>
      </c>
      <c r="G792">
        <v>5588</v>
      </c>
      <c r="H792" s="11" t="str">
        <f t="shared" si="66"/>
        <v>count</v>
      </c>
      <c r="I792" s="197"/>
      <c r="J792" s="197"/>
      <c r="K792" s="197"/>
      <c r="L792" s="197"/>
      <c r="M792" s="197"/>
      <c r="N792" s="197"/>
      <c r="O792" s="197"/>
      <c r="P792" s="197"/>
      <c r="Q792" s="197"/>
      <c r="R792" s="197"/>
      <c r="S792" s="197"/>
      <c r="T792" s="197"/>
      <c r="U792" s="197"/>
      <c r="V792" s="197"/>
      <c r="W792" s="197"/>
      <c r="X792" s="197"/>
      <c r="Y792" s="197"/>
      <c r="Z792" s="197"/>
      <c r="AA792" s="197"/>
      <c r="AB792" s="197"/>
      <c r="AC792" s="197"/>
      <c r="AD792" s="197"/>
      <c r="AE792" s="197"/>
      <c r="AF792" s="197"/>
      <c r="AG792" s="197"/>
      <c r="AH792" s="197"/>
      <c r="AI792" s="197"/>
      <c r="AJ792" s="197"/>
      <c r="AK792" s="197"/>
      <c r="AL792" s="197"/>
    </row>
    <row r="793" spans="1:38">
      <c r="A793" s="11" t="str">
        <f t="shared" si="67"/>
        <v>05-909088662013</v>
      </c>
      <c r="B793" t="s">
        <v>410</v>
      </c>
      <c r="C793" t="s">
        <v>411</v>
      </c>
      <c r="D793">
        <v>2013</v>
      </c>
      <c r="E793" t="s">
        <v>104</v>
      </c>
      <c r="F793">
        <v>1624450.15</v>
      </c>
      <c r="G793">
        <v>1333</v>
      </c>
      <c r="H793" s="11" t="str">
        <f t="shared" si="66"/>
        <v>count</v>
      </c>
      <c r="I793" s="197"/>
      <c r="J793" s="197"/>
      <c r="K793" s="197"/>
      <c r="L793" s="197"/>
      <c r="M793" s="197"/>
      <c r="N793" s="197"/>
      <c r="O793" s="197"/>
      <c r="P793" s="197"/>
      <c r="Q793" s="197"/>
      <c r="R793" s="197"/>
      <c r="S793" s="197"/>
      <c r="T793" s="197"/>
      <c r="U793" s="197"/>
      <c r="V793" s="197"/>
      <c r="W793" s="197"/>
      <c r="X793" s="197"/>
      <c r="Y793" s="197"/>
      <c r="Z793" s="197"/>
      <c r="AA793" s="197"/>
      <c r="AB793" s="197"/>
      <c r="AC793" s="197"/>
      <c r="AD793" s="197"/>
      <c r="AE793" s="197"/>
      <c r="AF793" s="197"/>
      <c r="AG793" s="197"/>
      <c r="AH793" s="197"/>
      <c r="AI793" s="197"/>
      <c r="AJ793" s="197"/>
      <c r="AK793" s="197"/>
      <c r="AL793" s="197"/>
    </row>
    <row r="794" spans="1:38">
      <c r="A794" s="11" t="str">
        <f t="shared" si="67"/>
        <v>05-909088662012</v>
      </c>
      <c r="B794" t="s">
        <v>410</v>
      </c>
      <c r="C794" t="s">
        <v>411</v>
      </c>
      <c r="D794">
        <v>2012</v>
      </c>
      <c r="E794" t="s">
        <v>69</v>
      </c>
      <c r="F794">
        <v>1885434.35</v>
      </c>
      <c r="G794">
        <v>2385</v>
      </c>
      <c r="H794" s="11" t="str">
        <f t="shared" si="66"/>
        <v>count</v>
      </c>
      <c r="I794" s="197"/>
      <c r="J794" s="197"/>
      <c r="K794" s="197"/>
      <c r="L794" s="197"/>
      <c r="M794" s="197"/>
      <c r="N794" s="197"/>
      <c r="O794" s="197"/>
      <c r="P794" s="197"/>
      <c r="Q794" s="197"/>
      <c r="R794" s="197"/>
      <c r="S794" s="197"/>
      <c r="T794" s="197"/>
      <c r="U794" s="197"/>
      <c r="V794" s="197"/>
      <c r="W794" s="197"/>
      <c r="X794" s="197"/>
      <c r="Y794" s="197"/>
      <c r="Z794" s="197"/>
      <c r="AA794" s="197"/>
      <c r="AB794" s="197"/>
      <c r="AC794" s="197"/>
      <c r="AD794" s="197"/>
      <c r="AE794" s="197"/>
      <c r="AF794" s="197"/>
      <c r="AG794" s="197"/>
      <c r="AH794" s="197"/>
      <c r="AI794" s="197"/>
      <c r="AJ794" s="197"/>
      <c r="AK794" s="197"/>
      <c r="AL794" s="197"/>
    </row>
    <row r="795" spans="1:38">
      <c r="A795" s="11" t="str">
        <f t="shared" si="67"/>
        <v>05-909088662012</v>
      </c>
      <c r="B795" t="s">
        <v>410</v>
      </c>
      <c r="C795" t="s">
        <v>411</v>
      </c>
      <c r="D795">
        <v>2012</v>
      </c>
      <c r="E795" t="s">
        <v>68</v>
      </c>
      <c r="F795">
        <v>167956391.38999999</v>
      </c>
      <c r="G795">
        <v>138822</v>
      </c>
      <c r="H795" s="11" t="str">
        <f t="shared" si="66"/>
        <v>count</v>
      </c>
      <c r="I795" s="197"/>
      <c r="J795" s="197"/>
      <c r="K795" s="197"/>
      <c r="L795" s="197"/>
      <c r="M795" s="197"/>
      <c r="N795" s="197"/>
      <c r="O795" s="197"/>
      <c r="P795" s="197"/>
      <c r="Q795" s="197"/>
      <c r="R795" s="197"/>
      <c r="S795" s="197"/>
      <c r="T795" s="197"/>
      <c r="U795" s="197"/>
      <c r="V795" s="197"/>
      <c r="W795" s="197"/>
      <c r="X795" s="197"/>
      <c r="Y795" s="197"/>
      <c r="Z795" s="197"/>
      <c r="AA795" s="197"/>
      <c r="AB795" s="197"/>
      <c r="AC795" s="197"/>
      <c r="AD795" s="197"/>
      <c r="AE795" s="197"/>
      <c r="AF795" s="197"/>
      <c r="AG795" s="197"/>
      <c r="AH795" s="197"/>
      <c r="AI795" s="197"/>
      <c r="AJ795" s="197"/>
      <c r="AK795" s="197"/>
      <c r="AL795" s="197"/>
    </row>
    <row r="796" spans="1:38">
      <c r="A796" s="11" t="str">
        <f t="shared" si="67"/>
        <v>05-909088662012</v>
      </c>
      <c r="B796" t="s">
        <v>410</v>
      </c>
      <c r="C796" t="s">
        <v>411</v>
      </c>
      <c r="D796">
        <v>2012</v>
      </c>
      <c r="E796" t="s">
        <v>1076</v>
      </c>
      <c r="F796">
        <v>8021.31</v>
      </c>
      <c r="G796">
        <v>17</v>
      </c>
      <c r="H796" s="11" t="str">
        <f t="shared" si="66"/>
        <v>count</v>
      </c>
      <c r="I796" s="197"/>
      <c r="J796" s="197"/>
      <c r="K796" s="197"/>
      <c r="L796" s="197"/>
      <c r="M796" s="197"/>
      <c r="N796" s="197"/>
      <c r="O796" s="197"/>
      <c r="P796" s="197"/>
      <c r="Q796" s="197"/>
      <c r="R796" s="197"/>
      <c r="S796" s="197"/>
      <c r="T796" s="197"/>
      <c r="U796" s="197"/>
      <c r="V796" s="197"/>
      <c r="W796" s="197"/>
      <c r="X796" s="197"/>
      <c r="Y796" s="197"/>
      <c r="Z796" s="197"/>
      <c r="AA796" s="197"/>
      <c r="AB796" s="197"/>
      <c r="AC796" s="197"/>
      <c r="AD796" s="197"/>
      <c r="AE796" s="197"/>
      <c r="AF796" s="197"/>
      <c r="AG796" s="197"/>
      <c r="AH796" s="197"/>
      <c r="AI796" s="197"/>
      <c r="AJ796" s="197"/>
      <c r="AK796" s="197"/>
      <c r="AL796" s="197"/>
    </row>
    <row r="797" spans="1:38">
      <c r="A797" s="11" t="str">
        <f t="shared" si="67"/>
        <v>05-909088662013</v>
      </c>
      <c r="B797" t="s">
        <v>410</v>
      </c>
      <c r="C797" t="s">
        <v>411</v>
      </c>
      <c r="D797">
        <v>2013</v>
      </c>
      <c r="E797" t="s">
        <v>412</v>
      </c>
      <c r="F797">
        <v>22690.37</v>
      </c>
      <c r="G797">
        <v>16</v>
      </c>
      <c r="H797" s="11" t="str">
        <f t="shared" si="66"/>
        <v>count</v>
      </c>
      <c r="I797" s="197"/>
      <c r="J797" s="197"/>
      <c r="K797" s="197"/>
      <c r="L797" s="197"/>
      <c r="M797" s="197"/>
      <c r="N797" s="197"/>
      <c r="O797" s="197"/>
      <c r="P797" s="197"/>
      <c r="Q797" s="197"/>
      <c r="R797" s="197"/>
      <c r="S797" s="197"/>
      <c r="T797" s="197"/>
      <c r="U797" s="197"/>
      <c r="V797" s="197"/>
      <c r="W797" s="197"/>
      <c r="X797" s="197"/>
      <c r="Y797" s="197"/>
      <c r="Z797" s="197"/>
      <c r="AA797" s="197"/>
      <c r="AB797" s="197"/>
      <c r="AC797" s="197"/>
      <c r="AD797" s="197"/>
      <c r="AE797" s="197"/>
      <c r="AF797" s="197"/>
      <c r="AG797" s="197"/>
      <c r="AH797" s="197"/>
      <c r="AI797" s="197"/>
      <c r="AJ797" s="197"/>
      <c r="AK797" s="197"/>
      <c r="AL797" s="197"/>
    </row>
    <row r="798" spans="1:38">
      <c r="A798" s="11" t="str">
        <f t="shared" si="67"/>
        <v>05-909088662012</v>
      </c>
      <c r="B798" t="s">
        <v>410</v>
      </c>
      <c r="C798" t="s">
        <v>411</v>
      </c>
      <c r="D798">
        <v>2012</v>
      </c>
      <c r="E798" t="s">
        <v>133</v>
      </c>
      <c r="F798">
        <v>19730.939999999999</v>
      </c>
      <c r="G798">
        <v>20</v>
      </c>
      <c r="H798" s="11" t="str">
        <f t="shared" si="66"/>
        <v>count</v>
      </c>
      <c r="I798" s="197"/>
      <c r="J798" s="197"/>
      <c r="K798" s="197"/>
      <c r="L798" s="197"/>
      <c r="M798" s="197"/>
      <c r="N798" s="197"/>
      <c r="O798" s="197"/>
      <c r="P798" s="197"/>
      <c r="Q798" s="197"/>
      <c r="R798" s="197"/>
      <c r="S798" s="197"/>
      <c r="T798" s="197"/>
      <c r="U798" s="197"/>
      <c r="V798" s="197"/>
      <c r="W798" s="197"/>
      <c r="X798" s="197"/>
      <c r="Y798" s="197"/>
      <c r="Z798" s="197"/>
      <c r="AA798" s="197"/>
      <c r="AB798" s="197"/>
      <c r="AC798" s="197"/>
      <c r="AD798" s="197"/>
      <c r="AE798" s="197"/>
      <c r="AF798" s="197"/>
      <c r="AG798" s="197"/>
      <c r="AH798" s="197"/>
      <c r="AI798" s="197"/>
      <c r="AJ798" s="197"/>
      <c r="AK798" s="197"/>
      <c r="AL798" s="197"/>
    </row>
    <row r="799" spans="1:38">
      <c r="A799" s="11" t="str">
        <f t="shared" si="67"/>
        <v>05-909088662012</v>
      </c>
      <c r="B799" t="s">
        <v>410</v>
      </c>
      <c r="C799" t="s">
        <v>411</v>
      </c>
      <c r="D799">
        <v>2012</v>
      </c>
      <c r="E799" t="s">
        <v>105</v>
      </c>
      <c r="F799">
        <v>134277.82999999999</v>
      </c>
      <c r="G799">
        <v>106</v>
      </c>
      <c r="H799" s="11" t="str">
        <f t="shared" si="66"/>
        <v>count</v>
      </c>
      <c r="I799" s="197"/>
      <c r="J799" s="197"/>
      <c r="K799" s="197"/>
      <c r="L799" s="197"/>
      <c r="M799" s="197"/>
      <c r="N799" s="197"/>
      <c r="O799" s="197"/>
      <c r="P799" s="197"/>
      <c r="Q799" s="197"/>
      <c r="R799" s="197"/>
      <c r="S799" s="197"/>
      <c r="T799" s="197"/>
      <c r="U799" s="197"/>
      <c r="V799" s="197"/>
      <c r="W799" s="197"/>
      <c r="X799" s="197"/>
      <c r="Y799" s="197"/>
      <c r="Z799" s="197"/>
      <c r="AA799" s="197"/>
      <c r="AB799" s="197"/>
      <c r="AC799" s="197"/>
      <c r="AD799" s="197"/>
      <c r="AE799" s="197"/>
      <c r="AF799" s="197"/>
      <c r="AG799" s="197"/>
      <c r="AH799" s="197"/>
      <c r="AI799" s="197"/>
      <c r="AJ799" s="197"/>
      <c r="AK799" s="197"/>
      <c r="AL799" s="197"/>
    </row>
    <row r="800" spans="1:38">
      <c r="A800" s="11" t="str">
        <f t="shared" si="67"/>
        <v>05-909088662012</v>
      </c>
      <c r="B800" t="s">
        <v>410</v>
      </c>
      <c r="C800" t="s">
        <v>411</v>
      </c>
      <c r="D800">
        <v>2012</v>
      </c>
      <c r="E800" t="s">
        <v>1075</v>
      </c>
      <c r="F800">
        <v>57688.76</v>
      </c>
      <c r="G800">
        <v>81</v>
      </c>
      <c r="H800" s="11" t="str">
        <f t="shared" si="66"/>
        <v>count</v>
      </c>
      <c r="I800" s="197"/>
      <c r="J800" s="197"/>
      <c r="K800" s="197"/>
      <c r="L800" s="197"/>
      <c r="M800" s="197"/>
      <c r="N800" s="197"/>
      <c r="O800" s="197"/>
      <c r="P800" s="197"/>
      <c r="Q800" s="197"/>
      <c r="R800" s="197"/>
      <c r="S800" s="197"/>
      <c r="T800" s="197"/>
      <c r="U800" s="197"/>
      <c r="V800" s="197"/>
      <c r="W800" s="197"/>
      <c r="X800" s="197"/>
      <c r="Y800" s="197"/>
      <c r="Z800" s="197"/>
      <c r="AA800" s="197"/>
      <c r="AB800" s="197"/>
      <c r="AC800" s="197"/>
      <c r="AD800" s="197"/>
      <c r="AE800" s="197"/>
      <c r="AF800" s="197"/>
      <c r="AG800" s="197"/>
      <c r="AH800" s="197"/>
      <c r="AI800" s="197"/>
      <c r="AJ800" s="197"/>
      <c r="AK800" s="197"/>
      <c r="AL800" s="197"/>
    </row>
    <row r="801" spans="1:38">
      <c r="A801" s="11" t="str">
        <f t="shared" si="67"/>
        <v>05-909088662011</v>
      </c>
      <c r="B801" t="s">
        <v>410</v>
      </c>
      <c r="C801" t="s">
        <v>411</v>
      </c>
      <c r="D801">
        <v>2011</v>
      </c>
      <c r="E801" t="s">
        <v>1074</v>
      </c>
      <c r="F801">
        <v>97002.81</v>
      </c>
      <c r="G801">
        <v>166</v>
      </c>
      <c r="H801" s="11" t="str">
        <f t="shared" si="66"/>
        <v>count</v>
      </c>
      <c r="I801" s="197"/>
      <c r="J801" s="197"/>
      <c r="K801" s="197"/>
      <c r="L801" s="197"/>
      <c r="M801" s="197"/>
      <c r="N801" s="197"/>
      <c r="O801" s="197"/>
      <c r="P801" s="197"/>
      <c r="Q801" s="197"/>
      <c r="R801" s="197"/>
      <c r="S801" s="197"/>
      <c r="T801" s="197"/>
      <c r="U801" s="197"/>
      <c r="V801" s="197"/>
      <c r="W801" s="197"/>
      <c r="X801" s="197"/>
      <c r="Y801" s="197"/>
      <c r="Z801" s="197"/>
      <c r="AA801" s="197"/>
      <c r="AB801" s="197"/>
      <c r="AC801" s="197"/>
      <c r="AD801" s="197"/>
      <c r="AE801" s="197"/>
      <c r="AF801" s="197"/>
      <c r="AG801" s="197"/>
      <c r="AH801" s="197"/>
      <c r="AI801" s="197"/>
      <c r="AJ801" s="197"/>
      <c r="AK801" s="197"/>
      <c r="AL801" s="197"/>
    </row>
    <row r="802" spans="1:38">
      <c r="A802" s="11" t="str">
        <f t="shared" si="67"/>
        <v>05-909088662013</v>
      </c>
      <c r="B802" t="s">
        <v>410</v>
      </c>
      <c r="C802" t="s">
        <v>411</v>
      </c>
      <c r="D802">
        <v>2013</v>
      </c>
      <c r="E802" t="s">
        <v>68</v>
      </c>
      <c r="F802">
        <v>161415801.38</v>
      </c>
      <c r="G802">
        <v>123722</v>
      </c>
      <c r="H802" s="11" t="str">
        <f t="shared" si="66"/>
        <v>count</v>
      </c>
      <c r="I802" s="197"/>
      <c r="J802" s="197"/>
      <c r="K802" s="197"/>
      <c r="L802" s="197"/>
      <c r="M802" s="197"/>
      <c r="N802" s="197"/>
      <c r="O802" s="197"/>
      <c r="P802" s="197"/>
      <c r="Q802" s="197"/>
      <c r="R802" s="197"/>
      <c r="S802" s="197"/>
      <c r="T802" s="197"/>
      <c r="U802" s="197"/>
      <c r="V802" s="197"/>
      <c r="W802" s="197"/>
      <c r="X802" s="197"/>
      <c r="Y802" s="197"/>
      <c r="Z802" s="197"/>
      <c r="AA802" s="197"/>
      <c r="AB802" s="197"/>
      <c r="AC802" s="197"/>
      <c r="AD802" s="197"/>
      <c r="AE802" s="197"/>
      <c r="AF802" s="197"/>
      <c r="AG802" s="197"/>
      <c r="AH802" s="197"/>
      <c r="AI802" s="197"/>
      <c r="AJ802" s="197"/>
      <c r="AK802" s="197"/>
      <c r="AL802" s="197"/>
    </row>
    <row r="803" spans="1:38">
      <c r="A803" s="11" t="str">
        <f t="shared" si="67"/>
        <v>05-909088662011</v>
      </c>
      <c r="B803" t="s">
        <v>410</v>
      </c>
      <c r="C803" t="s">
        <v>411</v>
      </c>
      <c r="D803">
        <v>2011</v>
      </c>
      <c r="E803" t="s">
        <v>63</v>
      </c>
      <c r="F803">
        <v>1517036.78</v>
      </c>
      <c r="G803">
        <v>1642</v>
      </c>
      <c r="H803" s="11" t="str">
        <f t="shared" si="66"/>
        <v>count</v>
      </c>
      <c r="I803" s="197"/>
      <c r="J803" s="197"/>
      <c r="K803" s="197"/>
      <c r="L803" s="197"/>
      <c r="M803" s="197"/>
      <c r="N803" s="197"/>
      <c r="O803" s="197"/>
      <c r="P803" s="197"/>
      <c r="Q803" s="197"/>
      <c r="R803" s="197"/>
      <c r="S803" s="197"/>
      <c r="T803" s="197"/>
      <c r="U803" s="197"/>
      <c r="V803" s="197"/>
      <c r="W803" s="197"/>
      <c r="X803" s="197"/>
      <c r="Y803" s="197"/>
      <c r="Z803" s="197"/>
      <c r="AA803" s="197"/>
      <c r="AB803" s="197"/>
      <c r="AC803" s="197"/>
      <c r="AD803" s="197"/>
      <c r="AE803" s="197"/>
      <c r="AF803" s="197"/>
      <c r="AG803" s="197"/>
      <c r="AH803" s="197"/>
      <c r="AI803" s="197"/>
      <c r="AJ803" s="197"/>
      <c r="AK803" s="197"/>
      <c r="AL803" s="197"/>
    </row>
    <row r="804" spans="1:38">
      <c r="A804" s="11" t="str">
        <f t="shared" si="67"/>
        <v>05-909088662013</v>
      </c>
      <c r="B804" t="s">
        <v>410</v>
      </c>
      <c r="C804" t="s">
        <v>411</v>
      </c>
      <c r="D804">
        <v>2013</v>
      </c>
      <c r="E804" t="s">
        <v>105</v>
      </c>
      <c r="F804">
        <v>106024.21</v>
      </c>
      <c r="G804">
        <v>107</v>
      </c>
      <c r="H804" s="11" t="str">
        <f t="shared" si="66"/>
        <v>count</v>
      </c>
      <c r="I804" s="197"/>
      <c r="J804" s="197"/>
      <c r="K804" s="197"/>
      <c r="L804" s="197"/>
      <c r="M804" s="197"/>
      <c r="N804" s="197"/>
      <c r="O804" s="197"/>
      <c r="P804" s="197"/>
      <c r="Q804" s="197"/>
      <c r="R804" s="197"/>
      <c r="S804" s="197"/>
      <c r="T804" s="197"/>
      <c r="U804" s="197"/>
      <c r="V804" s="197"/>
      <c r="W804" s="197"/>
      <c r="X804" s="197"/>
      <c r="Y804" s="197"/>
      <c r="Z804" s="197"/>
      <c r="AA804" s="197"/>
      <c r="AB804" s="197"/>
      <c r="AC804" s="197"/>
      <c r="AD804" s="197"/>
      <c r="AE804" s="197"/>
      <c r="AF804" s="197"/>
      <c r="AG804" s="197"/>
      <c r="AH804" s="197"/>
      <c r="AI804" s="197"/>
      <c r="AJ804" s="197"/>
      <c r="AK804" s="197"/>
      <c r="AL804" s="197"/>
    </row>
    <row r="805" spans="1:38">
      <c r="A805" s="11" t="str">
        <f t="shared" si="67"/>
        <v>05-909088662011</v>
      </c>
      <c r="B805" t="s">
        <v>410</v>
      </c>
      <c r="C805" t="s">
        <v>411</v>
      </c>
      <c r="D805">
        <v>2011</v>
      </c>
      <c r="E805" t="s">
        <v>104</v>
      </c>
      <c r="F805">
        <v>506455.47</v>
      </c>
      <c r="G805">
        <v>484</v>
      </c>
      <c r="H805" s="11" t="str">
        <f t="shared" si="66"/>
        <v>count</v>
      </c>
      <c r="I805" s="197"/>
      <c r="J805" s="197"/>
      <c r="K805" s="197"/>
      <c r="L805" s="197"/>
      <c r="M805" s="197"/>
      <c r="N805" s="197"/>
      <c r="O805" s="197"/>
      <c r="P805" s="197"/>
      <c r="Q805" s="197"/>
      <c r="R805" s="197"/>
      <c r="S805" s="197"/>
      <c r="T805" s="197"/>
      <c r="U805" s="197"/>
      <c r="V805" s="197"/>
      <c r="W805" s="197"/>
      <c r="X805" s="197"/>
      <c r="Y805" s="197"/>
      <c r="Z805" s="197"/>
      <c r="AA805" s="197"/>
      <c r="AB805" s="197"/>
      <c r="AC805" s="197"/>
      <c r="AD805" s="197"/>
      <c r="AE805" s="197"/>
      <c r="AF805" s="197"/>
      <c r="AG805" s="197"/>
      <c r="AH805" s="197"/>
      <c r="AI805" s="197"/>
      <c r="AJ805" s="197"/>
      <c r="AK805" s="197"/>
      <c r="AL805" s="197"/>
    </row>
    <row r="806" spans="1:38">
      <c r="A806" s="11" t="str">
        <f t="shared" si="67"/>
        <v>05-909088662013</v>
      </c>
      <c r="B806" t="s">
        <v>410</v>
      </c>
      <c r="C806" t="s">
        <v>411</v>
      </c>
      <c r="D806">
        <v>2013</v>
      </c>
      <c r="E806" t="s">
        <v>106</v>
      </c>
      <c r="F806">
        <v>29608450.18</v>
      </c>
      <c r="G806">
        <v>16651</v>
      </c>
      <c r="H806" s="11" t="str">
        <f t="shared" si="66"/>
        <v>count</v>
      </c>
      <c r="I806" s="197"/>
      <c r="J806" s="197"/>
      <c r="K806" s="197"/>
      <c r="L806" s="197"/>
      <c r="M806" s="197"/>
      <c r="N806" s="197"/>
      <c r="O806" s="197"/>
      <c r="P806" s="197"/>
      <c r="Q806" s="197"/>
      <c r="R806" s="197"/>
      <c r="S806" s="197"/>
      <c r="T806" s="197"/>
      <c r="U806" s="197"/>
      <c r="V806" s="197"/>
      <c r="W806" s="197"/>
      <c r="X806" s="197"/>
      <c r="Y806" s="197"/>
      <c r="Z806" s="197"/>
      <c r="AA806" s="197"/>
      <c r="AB806" s="197"/>
      <c r="AC806" s="197"/>
      <c r="AD806" s="197"/>
      <c r="AE806" s="197"/>
      <c r="AF806" s="197"/>
      <c r="AG806" s="197"/>
      <c r="AH806" s="197"/>
      <c r="AI806" s="197"/>
      <c r="AJ806" s="197"/>
      <c r="AK806" s="197"/>
      <c r="AL806" s="197"/>
    </row>
    <row r="807" spans="1:38">
      <c r="A807" s="11" t="str">
        <f t="shared" si="67"/>
        <v>05-909088662011</v>
      </c>
      <c r="B807" t="s">
        <v>410</v>
      </c>
      <c r="C807" t="s">
        <v>411</v>
      </c>
      <c r="D807">
        <v>2011</v>
      </c>
      <c r="E807" t="s">
        <v>133</v>
      </c>
      <c r="F807">
        <v>25814.33</v>
      </c>
      <c r="G807">
        <v>24</v>
      </c>
      <c r="H807" s="11" t="str">
        <f t="shared" si="66"/>
        <v>count</v>
      </c>
      <c r="I807" s="197"/>
      <c r="J807" s="197"/>
      <c r="K807" s="197"/>
      <c r="L807" s="197"/>
      <c r="M807" s="197"/>
      <c r="N807" s="197"/>
      <c r="O807" s="197"/>
      <c r="P807" s="197"/>
      <c r="Q807" s="197"/>
      <c r="R807" s="197"/>
      <c r="S807" s="197"/>
      <c r="T807" s="197"/>
      <c r="U807" s="197"/>
      <c r="V807" s="197"/>
      <c r="W807" s="197"/>
      <c r="X807" s="197"/>
      <c r="Y807" s="197"/>
      <c r="Z807" s="197"/>
      <c r="AA807" s="197"/>
      <c r="AB807" s="197"/>
      <c r="AC807" s="197"/>
      <c r="AD807" s="197"/>
      <c r="AE807" s="197"/>
      <c r="AF807" s="197"/>
      <c r="AG807" s="197"/>
      <c r="AH807" s="197"/>
      <c r="AI807" s="197"/>
      <c r="AJ807" s="197"/>
      <c r="AK807" s="197"/>
      <c r="AL807" s="197"/>
    </row>
    <row r="808" spans="1:38">
      <c r="A808" s="11" t="str">
        <f t="shared" si="67"/>
        <v>05-909136462012</v>
      </c>
      <c r="B808" t="s">
        <v>413</v>
      </c>
      <c r="C808" t="s">
        <v>414</v>
      </c>
      <c r="D808">
        <v>2012</v>
      </c>
      <c r="E808" t="s">
        <v>69</v>
      </c>
      <c r="F808">
        <v>81857.539999999994</v>
      </c>
      <c r="G808">
        <v>394</v>
      </c>
      <c r="H808" s="11" t="str">
        <f t="shared" si="66"/>
        <v>volume</v>
      </c>
      <c r="I808" s="197"/>
      <c r="J808" s="197"/>
      <c r="K808" s="197"/>
      <c r="L808" s="197"/>
      <c r="M808" s="197"/>
      <c r="N808" s="197"/>
      <c r="O808" s="197"/>
      <c r="P808" s="197"/>
      <c r="Q808" s="197"/>
      <c r="R808" s="197"/>
      <c r="S808" s="197"/>
      <c r="T808" s="197"/>
      <c r="U808" s="197"/>
      <c r="V808" s="197"/>
      <c r="W808" s="197"/>
      <c r="X808" s="197"/>
      <c r="Y808" s="197"/>
      <c r="Z808" s="197"/>
      <c r="AA808" s="197"/>
      <c r="AB808" s="197"/>
      <c r="AC808" s="197"/>
      <c r="AD808" s="197"/>
      <c r="AE808" s="197"/>
      <c r="AF808" s="197"/>
      <c r="AG808" s="197"/>
      <c r="AH808" s="197"/>
      <c r="AI808" s="197"/>
      <c r="AJ808" s="197"/>
      <c r="AK808" s="197"/>
      <c r="AL808" s="197"/>
    </row>
    <row r="809" spans="1:38">
      <c r="A809" s="11" t="str">
        <f t="shared" si="67"/>
        <v>05-909136462012</v>
      </c>
      <c r="B809" t="s">
        <v>413</v>
      </c>
      <c r="C809" t="s">
        <v>414</v>
      </c>
      <c r="D809">
        <v>2012</v>
      </c>
      <c r="E809" t="s">
        <v>105</v>
      </c>
      <c r="F809">
        <v>22112.560000000001</v>
      </c>
      <c r="G809">
        <v>85</v>
      </c>
      <c r="H809" s="11" t="str">
        <f t="shared" si="66"/>
        <v>count</v>
      </c>
      <c r="I809" s="197"/>
      <c r="J809" s="197"/>
      <c r="K809" s="197"/>
      <c r="L809" s="197"/>
      <c r="M809" s="197"/>
      <c r="N809" s="197"/>
      <c r="O809" s="197"/>
      <c r="P809" s="197"/>
      <c r="Q809" s="197"/>
      <c r="R809" s="197"/>
      <c r="S809" s="197"/>
      <c r="T809" s="197"/>
      <c r="U809" s="197"/>
      <c r="V809" s="197"/>
      <c r="W809" s="197"/>
      <c r="X809" s="197"/>
      <c r="Y809" s="197"/>
      <c r="Z809" s="197"/>
      <c r="AA809" s="197"/>
      <c r="AB809" s="197"/>
      <c r="AC809" s="197"/>
      <c r="AD809" s="197"/>
      <c r="AE809" s="197"/>
      <c r="AF809" s="197"/>
      <c r="AG809" s="197"/>
      <c r="AH809" s="197"/>
      <c r="AI809" s="197"/>
      <c r="AJ809" s="197"/>
      <c r="AK809" s="197"/>
      <c r="AL809" s="197"/>
    </row>
    <row r="810" spans="1:38">
      <c r="A810" s="11" t="str">
        <f t="shared" si="67"/>
        <v>05-909136462012</v>
      </c>
      <c r="B810" t="s">
        <v>413</v>
      </c>
      <c r="C810" t="s">
        <v>414</v>
      </c>
      <c r="D810">
        <v>2012</v>
      </c>
      <c r="E810" t="s">
        <v>133</v>
      </c>
      <c r="F810">
        <v>162690.62</v>
      </c>
      <c r="G810">
        <v>618</v>
      </c>
      <c r="H810" s="11" t="str">
        <f t="shared" si="66"/>
        <v>count</v>
      </c>
      <c r="I810" s="197"/>
      <c r="J810" s="197"/>
      <c r="K810" s="197"/>
      <c r="L810" s="197"/>
      <c r="M810" s="197"/>
      <c r="N810" s="197"/>
      <c r="O810" s="197"/>
      <c r="P810" s="197"/>
      <c r="Q810" s="197"/>
      <c r="R810" s="197"/>
      <c r="S810" s="197"/>
      <c r="T810" s="197"/>
      <c r="U810" s="197"/>
      <c r="V810" s="197"/>
      <c r="W810" s="197"/>
      <c r="X810" s="197"/>
      <c r="Y810" s="197"/>
      <c r="Z810" s="197"/>
      <c r="AA810" s="197"/>
      <c r="AB810" s="197"/>
      <c r="AC810" s="197"/>
      <c r="AD810" s="197"/>
      <c r="AE810" s="197"/>
      <c r="AF810" s="197"/>
      <c r="AG810" s="197"/>
      <c r="AH810" s="197"/>
      <c r="AI810" s="197"/>
      <c r="AJ810" s="197"/>
      <c r="AK810" s="197"/>
      <c r="AL810" s="197"/>
    </row>
    <row r="811" spans="1:38">
      <c r="A811" s="11" t="str">
        <f t="shared" si="67"/>
        <v>05-909136462013</v>
      </c>
      <c r="B811" t="s">
        <v>413</v>
      </c>
      <c r="C811" t="s">
        <v>414</v>
      </c>
      <c r="D811">
        <v>2013</v>
      </c>
      <c r="E811" t="s">
        <v>63</v>
      </c>
      <c r="F811">
        <v>634818.03</v>
      </c>
      <c r="G811">
        <v>2695</v>
      </c>
      <c r="H811" s="11" t="str">
        <f t="shared" si="66"/>
        <v>count</v>
      </c>
      <c r="I811" s="197"/>
      <c r="J811" s="197"/>
      <c r="K811" s="197"/>
      <c r="L811" s="197"/>
      <c r="M811" s="197"/>
      <c r="N811" s="197"/>
      <c r="O811" s="197"/>
      <c r="P811" s="197"/>
      <c r="Q811" s="197"/>
      <c r="R811" s="197"/>
      <c r="S811" s="197"/>
      <c r="T811" s="197"/>
      <c r="U811" s="197"/>
      <c r="V811" s="197"/>
      <c r="W811" s="197"/>
      <c r="X811" s="197"/>
      <c r="Y811" s="197"/>
      <c r="Z811" s="197"/>
      <c r="AA811" s="197"/>
      <c r="AB811" s="197"/>
      <c r="AC811" s="197"/>
      <c r="AD811" s="197"/>
      <c r="AE811" s="197"/>
      <c r="AF811" s="197"/>
      <c r="AG811" s="197"/>
      <c r="AH811" s="197"/>
      <c r="AI811" s="197"/>
      <c r="AJ811" s="197"/>
      <c r="AK811" s="197"/>
      <c r="AL811" s="197"/>
    </row>
    <row r="812" spans="1:38">
      <c r="A812" s="11" t="str">
        <f t="shared" si="67"/>
        <v>05-909136462013</v>
      </c>
      <c r="B812" t="s">
        <v>413</v>
      </c>
      <c r="C812" t="s">
        <v>414</v>
      </c>
      <c r="D812">
        <v>2013</v>
      </c>
      <c r="E812" t="s">
        <v>104</v>
      </c>
      <c r="F812">
        <v>385325.74</v>
      </c>
      <c r="G812">
        <v>2238</v>
      </c>
      <c r="H812" s="11" t="str">
        <f t="shared" si="66"/>
        <v>count</v>
      </c>
      <c r="I812" s="197"/>
      <c r="J812" s="197"/>
      <c r="K812" s="197"/>
      <c r="L812" s="197"/>
      <c r="M812" s="197"/>
      <c r="N812" s="197"/>
      <c r="O812" s="197"/>
      <c r="P812" s="197"/>
      <c r="Q812" s="197"/>
      <c r="R812" s="197"/>
      <c r="S812" s="197"/>
      <c r="T812" s="197"/>
      <c r="U812" s="197"/>
      <c r="V812" s="197"/>
      <c r="W812" s="197"/>
      <c r="X812" s="197"/>
      <c r="Y812" s="197"/>
      <c r="Z812" s="197"/>
      <c r="AA812" s="197"/>
      <c r="AB812" s="197"/>
      <c r="AC812" s="197"/>
      <c r="AD812" s="197"/>
      <c r="AE812" s="197"/>
      <c r="AF812" s="197"/>
      <c r="AG812" s="197"/>
      <c r="AH812" s="197"/>
      <c r="AI812" s="197"/>
      <c r="AJ812" s="197"/>
      <c r="AK812" s="197"/>
      <c r="AL812" s="197"/>
    </row>
    <row r="813" spans="1:38">
      <c r="A813" s="11" t="str">
        <f t="shared" si="67"/>
        <v>05-909136462012</v>
      </c>
      <c r="B813" t="s">
        <v>413</v>
      </c>
      <c r="C813" t="s">
        <v>414</v>
      </c>
      <c r="D813">
        <v>2012</v>
      </c>
      <c r="E813" t="s">
        <v>63</v>
      </c>
      <c r="F813">
        <v>545688.27</v>
      </c>
      <c r="G813">
        <v>2319</v>
      </c>
      <c r="H813" s="11" t="str">
        <f t="shared" si="66"/>
        <v>count</v>
      </c>
      <c r="I813" s="197"/>
      <c r="J813" s="197"/>
      <c r="K813" s="197"/>
      <c r="L813" s="197"/>
      <c r="M813" s="197"/>
      <c r="N813" s="197"/>
      <c r="O813" s="197"/>
      <c r="P813" s="197"/>
      <c r="Q813" s="197"/>
      <c r="R813" s="197"/>
      <c r="S813" s="197"/>
      <c r="T813" s="197"/>
      <c r="U813" s="197"/>
      <c r="V813" s="197"/>
      <c r="W813" s="197"/>
      <c r="X813" s="197"/>
      <c r="Y813" s="197"/>
      <c r="Z813" s="197"/>
      <c r="AA813" s="197"/>
      <c r="AB813" s="197"/>
      <c r="AC813" s="197"/>
      <c r="AD813" s="197"/>
      <c r="AE813" s="197"/>
      <c r="AF813" s="197"/>
      <c r="AG813" s="197"/>
      <c r="AH813" s="197"/>
      <c r="AI813" s="197"/>
      <c r="AJ813" s="197"/>
      <c r="AK813" s="197"/>
      <c r="AL813" s="197"/>
    </row>
    <row r="814" spans="1:38">
      <c r="A814" s="11" t="str">
        <f t="shared" si="67"/>
        <v>05-909136462013</v>
      </c>
      <c r="B814" t="s">
        <v>413</v>
      </c>
      <c r="C814" t="s">
        <v>414</v>
      </c>
      <c r="D814">
        <v>2013</v>
      </c>
      <c r="E814" t="s">
        <v>133</v>
      </c>
      <c r="F814">
        <v>192149.11</v>
      </c>
      <c r="G814">
        <v>698</v>
      </c>
      <c r="H814" s="11" t="str">
        <f t="shared" si="66"/>
        <v>count</v>
      </c>
      <c r="I814" s="197"/>
      <c r="J814" s="197"/>
      <c r="K814" s="197"/>
      <c r="L814" s="197"/>
      <c r="M814" s="197"/>
      <c r="N814" s="197"/>
      <c r="O814" s="197"/>
      <c r="P814" s="197"/>
      <c r="Q814" s="197"/>
      <c r="R814" s="197"/>
      <c r="S814" s="197"/>
      <c r="T814" s="197"/>
      <c r="U814" s="197"/>
      <c r="V814" s="197"/>
      <c r="W814" s="197"/>
      <c r="X814" s="197"/>
      <c r="Y814" s="197"/>
      <c r="Z814" s="197"/>
      <c r="AA814" s="197"/>
      <c r="AB814" s="197"/>
      <c r="AC814" s="197"/>
      <c r="AD814" s="197"/>
      <c r="AE814" s="197"/>
      <c r="AF814" s="197"/>
      <c r="AG814" s="197"/>
      <c r="AH814" s="197"/>
      <c r="AI814" s="197"/>
      <c r="AJ814" s="197"/>
      <c r="AK814" s="197"/>
      <c r="AL814" s="197"/>
    </row>
    <row r="815" spans="1:38">
      <c r="A815" s="11" t="str">
        <f t="shared" si="67"/>
        <v>05-909136462013</v>
      </c>
      <c r="B815" t="s">
        <v>413</v>
      </c>
      <c r="C815" t="s">
        <v>414</v>
      </c>
      <c r="D815">
        <v>2013</v>
      </c>
      <c r="E815" t="s">
        <v>105</v>
      </c>
      <c r="F815">
        <v>24910.9</v>
      </c>
      <c r="G815">
        <v>94</v>
      </c>
      <c r="H815" s="11" t="str">
        <f t="shared" si="66"/>
        <v>count</v>
      </c>
      <c r="I815" s="197"/>
      <c r="J815" s="197"/>
      <c r="K815" s="197"/>
      <c r="L815" s="197"/>
      <c r="M815" s="197"/>
      <c r="N815" s="197"/>
      <c r="O815" s="197"/>
      <c r="P815" s="197"/>
      <c r="Q815" s="197"/>
      <c r="R815" s="197"/>
      <c r="S815" s="197"/>
      <c r="T815" s="197"/>
      <c r="U815" s="197"/>
      <c r="V815" s="197"/>
      <c r="W815" s="197"/>
      <c r="X815" s="197"/>
      <c r="Y815" s="197"/>
      <c r="Z815" s="197"/>
      <c r="AA815" s="197"/>
      <c r="AB815" s="197"/>
      <c r="AC815" s="197"/>
      <c r="AD815" s="197"/>
      <c r="AE815" s="197"/>
      <c r="AF815" s="197"/>
      <c r="AG815" s="197"/>
      <c r="AH815" s="197"/>
      <c r="AI815" s="197"/>
      <c r="AJ815" s="197"/>
      <c r="AK815" s="197"/>
      <c r="AL815" s="197"/>
    </row>
    <row r="816" spans="1:38">
      <c r="A816" s="11" t="str">
        <f t="shared" si="67"/>
        <v>05-909136462013</v>
      </c>
      <c r="B816" t="s">
        <v>413</v>
      </c>
      <c r="C816" t="s">
        <v>414</v>
      </c>
      <c r="D816">
        <v>2013</v>
      </c>
      <c r="E816" t="s">
        <v>69</v>
      </c>
      <c r="F816">
        <v>23256.18</v>
      </c>
      <c r="G816">
        <v>145</v>
      </c>
      <c r="H816" s="11" t="str">
        <f t="shared" si="66"/>
        <v>count</v>
      </c>
      <c r="I816" s="197"/>
      <c r="J816" s="197"/>
      <c r="K816" s="197"/>
      <c r="L816" s="197"/>
      <c r="M816" s="197"/>
      <c r="N816" s="197"/>
      <c r="O816" s="197"/>
      <c r="P816" s="197"/>
      <c r="Q816" s="197"/>
      <c r="R816" s="197"/>
      <c r="S816" s="197"/>
      <c r="T816" s="197"/>
      <c r="U816" s="197"/>
      <c r="V816" s="197"/>
      <c r="W816" s="197"/>
      <c r="X816" s="197"/>
      <c r="Y816" s="197"/>
      <c r="Z816" s="197"/>
      <c r="AA816" s="197"/>
      <c r="AB816" s="197"/>
      <c r="AC816" s="197"/>
      <c r="AD816" s="197"/>
      <c r="AE816" s="197"/>
      <c r="AF816" s="197"/>
      <c r="AG816" s="197"/>
      <c r="AH816" s="197"/>
      <c r="AI816" s="197"/>
      <c r="AJ816" s="197"/>
      <c r="AK816" s="197"/>
      <c r="AL816" s="197"/>
    </row>
    <row r="817" spans="1:38">
      <c r="A817" s="11" t="str">
        <f t="shared" si="67"/>
        <v>05-909136462012</v>
      </c>
      <c r="B817" t="s">
        <v>413</v>
      </c>
      <c r="C817" t="s">
        <v>414</v>
      </c>
      <c r="D817">
        <v>2012</v>
      </c>
      <c r="E817" t="s">
        <v>104</v>
      </c>
      <c r="F817">
        <v>368421.54</v>
      </c>
      <c r="G817">
        <v>2087</v>
      </c>
      <c r="H817" s="11" t="str">
        <f t="shared" si="66"/>
        <v>count</v>
      </c>
      <c r="I817" s="197"/>
      <c r="J817" s="197"/>
      <c r="K817" s="197"/>
      <c r="L817" s="197"/>
      <c r="M817" s="197"/>
      <c r="N817" s="197"/>
      <c r="O817" s="197"/>
      <c r="P817" s="197"/>
      <c r="Q817" s="197"/>
      <c r="R817" s="197"/>
      <c r="S817" s="197"/>
      <c r="T817" s="197"/>
      <c r="U817" s="197"/>
      <c r="V817" s="197"/>
      <c r="W817" s="197"/>
      <c r="X817" s="197"/>
      <c r="Y817" s="197"/>
      <c r="Z817" s="197"/>
      <c r="AA817" s="197"/>
      <c r="AB817" s="197"/>
      <c r="AC817" s="197"/>
      <c r="AD817" s="197"/>
      <c r="AE817" s="197"/>
      <c r="AF817" s="197"/>
      <c r="AG817" s="197"/>
      <c r="AH817" s="197"/>
      <c r="AI817" s="197"/>
      <c r="AJ817" s="197"/>
      <c r="AK817" s="197"/>
      <c r="AL817" s="197"/>
    </row>
    <row r="818" spans="1:38">
      <c r="A818" s="11" t="str">
        <f t="shared" si="67"/>
        <v>05-925716442013</v>
      </c>
      <c r="B818" t="s">
        <v>422</v>
      </c>
      <c r="C818" t="s">
        <v>423</v>
      </c>
      <c r="D818">
        <v>2013</v>
      </c>
      <c r="E818" t="s">
        <v>69</v>
      </c>
      <c r="F818">
        <v>1863956.23</v>
      </c>
      <c r="G818">
        <v>2888</v>
      </c>
      <c r="H818" s="11" t="str">
        <f t="shared" si="66"/>
        <v>volume</v>
      </c>
      <c r="I818" s="197"/>
      <c r="J818" s="197"/>
      <c r="K818" s="197"/>
      <c r="L818" s="197"/>
      <c r="M818" s="197"/>
      <c r="N818" s="197"/>
      <c r="O818" s="197"/>
      <c r="P818" s="197"/>
      <c r="Q818" s="197"/>
      <c r="R818" s="197"/>
      <c r="S818" s="197"/>
      <c r="T818" s="197"/>
      <c r="U818" s="197"/>
      <c r="V818" s="197"/>
      <c r="W818" s="197"/>
      <c r="X818" s="197"/>
      <c r="Y818" s="197"/>
      <c r="Z818" s="197"/>
      <c r="AA818" s="197"/>
      <c r="AB818" s="197"/>
      <c r="AC818" s="197"/>
      <c r="AD818" s="197"/>
      <c r="AE818" s="197"/>
      <c r="AF818" s="197"/>
      <c r="AG818" s="197"/>
      <c r="AH818" s="197"/>
      <c r="AI818" s="197"/>
      <c r="AJ818" s="197"/>
      <c r="AK818" s="197"/>
      <c r="AL818" s="197"/>
    </row>
    <row r="819" spans="1:38">
      <c r="A819" s="11" t="str">
        <f t="shared" si="67"/>
        <v>05-925716442013</v>
      </c>
      <c r="B819" t="s">
        <v>422</v>
      </c>
      <c r="C819" t="s">
        <v>423</v>
      </c>
      <c r="D819">
        <v>2013</v>
      </c>
      <c r="E819" t="s">
        <v>133</v>
      </c>
      <c r="F819">
        <v>1042720.06</v>
      </c>
      <c r="G819">
        <v>1307</v>
      </c>
      <c r="H819" s="11" t="str">
        <f t="shared" si="66"/>
        <v>count</v>
      </c>
      <c r="I819" s="197"/>
      <c r="J819" s="197"/>
      <c r="K819" s="197"/>
      <c r="L819" s="197"/>
      <c r="M819" s="197"/>
      <c r="N819" s="197"/>
      <c r="O819" s="197"/>
      <c r="P819" s="197"/>
      <c r="Q819" s="197"/>
      <c r="R819" s="197"/>
      <c r="S819" s="197"/>
      <c r="T819" s="197"/>
      <c r="U819" s="197"/>
      <c r="V819" s="197"/>
      <c r="W819" s="197"/>
      <c r="X819" s="197"/>
      <c r="Y819" s="197"/>
      <c r="Z819" s="197"/>
      <c r="AA819" s="197"/>
      <c r="AB819" s="197"/>
      <c r="AC819" s="197"/>
      <c r="AD819" s="197"/>
      <c r="AE819" s="197"/>
      <c r="AF819" s="197"/>
      <c r="AG819" s="197"/>
      <c r="AH819" s="197"/>
      <c r="AI819" s="197"/>
      <c r="AJ819" s="197"/>
      <c r="AK819" s="197"/>
      <c r="AL819" s="197"/>
    </row>
    <row r="820" spans="1:38">
      <c r="A820" s="11" t="str">
        <f t="shared" si="67"/>
        <v>05-925716442012</v>
      </c>
      <c r="B820" t="s">
        <v>422</v>
      </c>
      <c r="C820" t="s">
        <v>423</v>
      </c>
      <c r="D820">
        <v>2012</v>
      </c>
      <c r="E820" t="s">
        <v>69</v>
      </c>
      <c r="F820">
        <v>1256774.8899999999</v>
      </c>
      <c r="G820">
        <v>2018</v>
      </c>
      <c r="H820" s="11" t="str">
        <f t="shared" si="66"/>
        <v>count</v>
      </c>
      <c r="I820" s="197"/>
      <c r="J820" s="197"/>
      <c r="K820" s="197"/>
      <c r="L820" s="197"/>
      <c r="M820" s="197"/>
      <c r="N820" s="197"/>
      <c r="O820" s="197"/>
      <c r="P820" s="197"/>
      <c r="Q820" s="197"/>
      <c r="R820" s="197"/>
      <c r="S820" s="197"/>
      <c r="T820" s="197"/>
      <c r="U820" s="197"/>
      <c r="V820" s="197"/>
      <c r="W820" s="197"/>
      <c r="X820" s="197"/>
      <c r="Y820" s="197"/>
      <c r="Z820" s="197"/>
      <c r="AA820" s="197"/>
      <c r="AB820" s="197"/>
      <c r="AC820" s="197"/>
      <c r="AD820" s="197"/>
      <c r="AE820" s="197"/>
      <c r="AF820" s="197"/>
      <c r="AG820" s="197"/>
      <c r="AH820" s="197"/>
      <c r="AI820" s="197"/>
      <c r="AJ820" s="197"/>
      <c r="AK820" s="197"/>
      <c r="AL820" s="197"/>
    </row>
    <row r="821" spans="1:38">
      <c r="A821" s="11" t="str">
        <f t="shared" si="67"/>
        <v>05-925716442013</v>
      </c>
      <c r="B821" t="s">
        <v>422</v>
      </c>
      <c r="C821" t="s">
        <v>423</v>
      </c>
      <c r="D821">
        <v>2013</v>
      </c>
      <c r="E821" t="s">
        <v>104</v>
      </c>
      <c r="F821">
        <v>1886917.54</v>
      </c>
      <c r="G821">
        <v>2428</v>
      </c>
      <c r="H821" s="11" t="str">
        <f t="shared" si="66"/>
        <v>count</v>
      </c>
      <c r="I821" s="197"/>
      <c r="J821" s="197"/>
      <c r="K821" s="197"/>
      <c r="L821" s="197"/>
      <c r="M821" s="197"/>
      <c r="N821" s="197"/>
      <c r="O821" s="197"/>
      <c r="P821" s="197"/>
      <c r="Q821" s="197"/>
      <c r="R821" s="197"/>
      <c r="S821" s="197"/>
      <c r="T821" s="197"/>
      <c r="U821" s="197"/>
      <c r="V821" s="197"/>
      <c r="W821" s="197"/>
      <c r="X821" s="197"/>
      <c r="Y821" s="197"/>
      <c r="Z821" s="197"/>
      <c r="AA821" s="197"/>
      <c r="AB821" s="197"/>
      <c r="AC821" s="197"/>
      <c r="AD821" s="197"/>
      <c r="AE821" s="197"/>
      <c r="AF821" s="197"/>
      <c r="AG821" s="197"/>
      <c r="AH821" s="197"/>
      <c r="AI821" s="197"/>
      <c r="AJ821" s="197"/>
      <c r="AK821" s="197"/>
      <c r="AL821" s="197"/>
    </row>
    <row r="822" spans="1:38">
      <c r="A822" s="11" t="str">
        <f t="shared" si="67"/>
        <v>05-925716442012</v>
      </c>
      <c r="B822" t="s">
        <v>422</v>
      </c>
      <c r="C822" t="s">
        <v>423</v>
      </c>
      <c r="D822">
        <v>2012</v>
      </c>
      <c r="E822" t="s">
        <v>133</v>
      </c>
      <c r="F822">
        <v>975736.63</v>
      </c>
      <c r="G822">
        <v>1207</v>
      </c>
      <c r="H822" s="11" t="str">
        <f t="shared" si="66"/>
        <v>count</v>
      </c>
      <c r="I822" s="197"/>
      <c r="J822" s="197"/>
      <c r="K822" s="197"/>
      <c r="L822" s="197"/>
      <c r="M822" s="197"/>
      <c r="N822" s="197"/>
      <c r="O822" s="197"/>
      <c r="P822" s="197"/>
      <c r="Q822" s="197"/>
      <c r="R822" s="197"/>
      <c r="S822" s="197"/>
      <c r="T822" s="197"/>
      <c r="U822" s="197"/>
      <c r="V822" s="197"/>
      <c r="W822" s="197"/>
      <c r="X822" s="197"/>
      <c r="Y822" s="197"/>
      <c r="Z822" s="197"/>
      <c r="AA822" s="197"/>
      <c r="AB822" s="197"/>
      <c r="AC822" s="197"/>
      <c r="AD822" s="197"/>
      <c r="AE822" s="197"/>
      <c r="AF822" s="197"/>
      <c r="AG822" s="197"/>
      <c r="AH822" s="197"/>
      <c r="AI822" s="197"/>
      <c r="AJ822" s="197"/>
      <c r="AK822" s="197"/>
      <c r="AL822" s="197"/>
    </row>
    <row r="823" spans="1:38">
      <c r="A823" s="11" t="str">
        <f t="shared" si="67"/>
        <v>05-925716442013</v>
      </c>
      <c r="B823" t="s">
        <v>422</v>
      </c>
      <c r="C823" t="s">
        <v>423</v>
      </c>
      <c r="D823">
        <v>2013</v>
      </c>
      <c r="E823" t="s">
        <v>63</v>
      </c>
      <c r="F823">
        <v>3279922.48</v>
      </c>
      <c r="G823">
        <v>4090</v>
      </c>
      <c r="H823" s="11" t="str">
        <f t="shared" si="66"/>
        <v>count</v>
      </c>
      <c r="I823" s="197"/>
      <c r="J823" s="197"/>
      <c r="K823" s="197"/>
      <c r="L823" s="197"/>
      <c r="M823" s="197"/>
      <c r="N823" s="197"/>
      <c r="O823" s="197"/>
      <c r="P823" s="197"/>
      <c r="Q823" s="197"/>
      <c r="R823" s="197"/>
      <c r="S823" s="197"/>
      <c r="T823" s="197"/>
      <c r="U823" s="197"/>
      <c r="V823" s="197"/>
      <c r="W823" s="197"/>
      <c r="X823" s="197"/>
      <c r="Y823" s="197"/>
      <c r="Z823" s="197"/>
      <c r="AA823" s="197"/>
      <c r="AB823" s="197"/>
      <c r="AC823" s="197"/>
      <c r="AD823" s="197"/>
      <c r="AE823" s="197"/>
      <c r="AF823" s="197"/>
      <c r="AG823" s="197"/>
      <c r="AH823" s="197"/>
      <c r="AI823" s="197"/>
      <c r="AJ823" s="197"/>
      <c r="AK823" s="197"/>
      <c r="AL823" s="197"/>
    </row>
    <row r="824" spans="1:38">
      <c r="A824" s="11" t="str">
        <f t="shared" si="67"/>
        <v>05-925716442012</v>
      </c>
      <c r="B824" t="s">
        <v>422</v>
      </c>
      <c r="C824" t="s">
        <v>423</v>
      </c>
      <c r="D824">
        <v>2012</v>
      </c>
      <c r="E824" t="s">
        <v>105</v>
      </c>
      <c r="F824">
        <v>545618.42000000004</v>
      </c>
      <c r="G824">
        <v>703</v>
      </c>
      <c r="H824" s="11" t="str">
        <f t="shared" si="66"/>
        <v>count</v>
      </c>
      <c r="I824" s="197"/>
      <c r="J824" s="197"/>
      <c r="K824" s="197"/>
      <c r="L824" s="197"/>
      <c r="M824" s="197"/>
      <c r="N824" s="197"/>
      <c r="O824" s="197"/>
      <c r="P824" s="197"/>
      <c r="Q824" s="197"/>
      <c r="R824" s="197"/>
      <c r="S824" s="197"/>
      <c r="T824" s="197"/>
      <c r="U824" s="197"/>
      <c r="V824" s="197"/>
      <c r="W824" s="197"/>
      <c r="X824" s="197"/>
      <c r="Y824" s="197"/>
      <c r="Z824" s="197"/>
      <c r="AA824" s="197"/>
      <c r="AB824" s="197"/>
      <c r="AC824" s="197"/>
      <c r="AD824" s="197"/>
      <c r="AE824" s="197"/>
      <c r="AF824" s="197"/>
      <c r="AG824" s="197"/>
      <c r="AH824" s="197"/>
      <c r="AI824" s="197"/>
      <c r="AJ824" s="197"/>
      <c r="AK824" s="197"/>
      <c r="AL824" s="197"/>
    </row>
    <row r="825" spans="1:38">
      <c r="A825" s="11" t="str">
        <f t="shared" si="67"/>
        <v>05-925716442012</v>
      </c>
      <c r="B825" t="s">
        <v>422</v>
      </c>
      <c r="C825" t="s">
        <v>423</v>
      </c>
      <c r="D825">
        <v>2012</v>
      </c>
      <c r="E825" t="s">
        <v>63</v>
      </c>
      <c r="F825">
        <v>2476282.17</v>
      </c>
      <c r="G825">
        <v>3346</v>
      </c>
      <c r="H825" s="11" t="str">
        <f t="shared" si="66"/>
        <v>count</v>
      </c>
      <c r="I825" s="197"/>
      <c r="J825" s="197"/>
      <c r="K825" s="197"/>
      <c r="L825" s="197"/>
      <c r="M825" s="197"/>
      <c r="N825" s="197"/>
      <c r="O825" s="197"/>
      <c r="P825" s="197"/>
      <c r="Q825" s="197"/>
      <c r="R825" s="197"/>
      <c r="S825" s="197"/>
      <c r="T825" s="197"/>
      <c r="U825" s="197"/>
      <c r="V825" s="197"/>
      <c r="W825" s="197"/>
      <c r="X825" s="197"/>
      <c r="Y825" s="197"/>
      <c r="Z825" s="197"/>
      <c r="AA825" s="197"/>
      <c r="AB825" s="197"/>
      <c r="AC825" s="197"/>
      <c r="AD825" s="197"/>
      <c r="AE825" s="197"/>
      <c r="AF825" s="197"/>
      <c r="AG825" s="197"/>
      <c r="AH825" s="197"/>
      <c r="AI825" s="197"/>
      <c r="AJ825" s="197"/>
      <c r="AK825" s="197"/>
      <c r="AL825" s="197"/>
    </row>
    <row r="826" spans="1:38">
      <c r="A826" s="11" t="str">
        <f t="shared" si="67"/>
        <v>05-925716442012</v>
      </c>
      <c r="B826" t="s">
        <v>422</v>
      </c>
      <c r="C826" t="s">
        <v>423</v>
      </c>
      <c r="D826">
        <v>2012</v>
      </c>
      <c r="E826" t="s">
        <v>104</v>
      </c>
      <c r="F826">
        <v>1728071.12</v>
      </c>
      <c r="G826">
        <v>2359</v>
      </c>
      <c r="H826" s="11" t="str">
        <f t="shared" si="66"/>
        <v>count</v>
      </c>
      <c r="I826" s="197"/>
      <c r="J826" s="197"/>
      <c r="K826" s="197"/>
      <c r="L826" s="197"/>
      <c r="M826" s="197"/>
      <c r="N826" s="197"/>
      <c r="O826" s="197"/>
      <c r="P826" s="197"/>
      <c r="Q826" s="197"/>
      <c r="R826" s="197"/>
      <c r="S826" s="197"/>
      <c r="T826" s="197"/>
      <c r="U826" s="197"/>
      <c r="V826" s="197"/>
      <c r="W826" s="197"/>
      <c r="X826" s="197"/>
      <c r="Y826" s="197"/>
      <c r="Z826" s="197"/>
      <c r="AA826" s="197"/>
      <c r="AB826" s="197"/>
      <c r="AC826" s="197"/>
      <c r="AD826" s="197"/>
      <c r="AE826" s="197"/>
      <c r="AF826" s="197"/>
      <c r="AG826" s="197"/>
      <c r="AH826" s="197"/>
      <c r="AI826" s="197"/>
      <c r="AJ826" s="197"/>
      <c r="AK826" s="197"/>
      <c r="AL826" s="197"/>
    </row>
    <row r="827" spans="1:38">
      <c r="A827" s="11" t="str">
        <f t="shared" si="67"/>
        <v>05-925716442013</v>
      </c>
      <c r="B827" t="s">
        <v>422</v>
      </c>
      <c r="C827" t="s">
        <v>423</v>
      </c>
      <c r="D827">
        <v>2013</v>
      </c>
      <c r="E827" t="s">
        <v>105</v>
      </c>
      <c r="F827">
        <v>668850.36</v>
      </c>
      <c r="G827">
        <v>838</v>
      </c>
      <c r="H827" s="11" t="str">
        <f t="shared" si="66"/>
        <v>count</v>
      </c>
      <c r="I827" s="197"/>
      <c r="J827" s="197"/>
      <c r="K827" s="197"/>
      <c r="L827" s="197"/>
      <c r="M827" s="197"/>
      <c r="N827" s="197"/>
      <c r="O827" s="197"/>
      <c r="P827" s="197"/>
      <c r="Q827" s="197"/>
      <c r="R827" s="197"/>
      <c r="S827" s="197"/>
      <c r="T827" s="197"/>
      <c r="U827" s="197"/>
      <c r="V827" s="197"/>
      <c r="W827" s="197"/>
      <c r="X827" s="197"/>
      <c r="Y827" s="197"/>
      <c r="Z827" s="197"/>
      <c r="AA827" s="197"/>
      <c r="AB827" s="197"/>
      <c r="AC827" s="197"/>
      <c r="AD827" s="197"/>
      <c r="AE827" s="197"/>
      <c r="AF827" s="197"/>
      <c r="AG827" s="197"/>
      <c r="AH827" s="197"/>
      <c r="AI827" s="197"/>
      <c r="AJ827" s="197"/>
      <c r="AK827" s="197"/>
      <c r="AL827" s="197"/>
    </row>
    <row r="828" spans="1:38">
      <c r="A828" s="11" t="str">
        <f t="shared" si="67"/>
        <v>05-927399692013</v>
      </c>
      <c r="B828" t="s">
        <v>425</v>
      </c>
      <c r="C828" t="s">
        <v>426</v>
      </c>
      <c r="D828">
        <v>2013</v>
      </c>
      <c r="E828" t="s">
        <v>105</v>
      </c>
      <c r="F828">
        <v>1100528.1399999999</v>
      </c>
      <c r="G828">
        <v>813</v>
      </c>
      <c r="H828" s="11" t="str">
        <f t="shared" si="66"/>
        <v>volume</v>
      </c>
      <c r="I828" s="197"/>
      <c r="J828" s="197"/>
      <c r="K828" s="197"/>
      <c r="L828" s="197"/>
      <c r="M828" s="197"/>
      <c r="N828" s="197"/>
      <c r="O828" s="197"/>
      <c r="P828" s="197"/>
      <c r="Q828" s="197"/>
      <c r="R828" s="197"/>
      <c r="S828" s="197"/>
      <c r="T828" s="197"/>
      <c r="U828" s="197"/>
      <c r="V828" s="197"/>
      <c r="W828" s="197"/>
      <c r="X828" s="197"/>
      <c r="Y828" s="197"/>
      <c r="Z828" s="197"/>
      <c r="AA828" s="197"/>
      <c r="AB828" s="197"/>
      <c r="AC828" s="197"/>
      <c r="AD828" s="197"/>
      <c r="AE828" s="197"/>
      <c r="AF828" s="197"/>
      <c r="AG828" s="197"/>
      <c r="AH828" s="197"/>
      <c r="AI828" s="197"/>
      <c r="AJ828" s="197"/>
      <c r="AK828" s="197"/>
      <c r="AL828" s="197"/>
    </row>
    <row r="829" spans="1:38">
      <c r="A829" s="11" t="str">
        <f t="shared" si="67"/>
        <v>05-927399692012</v>
      </c>
      <c r="B829" t="s">
        <v>425</v>
      </c>
      <c r="C829" t="s">
        <v>426</v>
      </c>
      <c r="D829">
        <v>2012</v>
      </c>
      <c r="E829" t="s">
        <v>104</v>
      </c>
      <c r="F829">
        <v>3770418.37</v>
      </c>
      <c r="G829">
        <v>2900</v>
      </c>
      <c r="H829" s="11" t="str">
        <f t="shared" si="66"/>
        <v>count</v>
      </c>
      <c r="I829" s="197"/>
      <c r="J829" s="197"/>
      <c r="K829" s="197"/>
      <c r="L829" s="197"/>
      <c r="M829" s="197"/>
      <c r="N829" s="197"/>
      <c r="O829" s="197"/>
      <c r="P829" s="197"/>
      <c r="Q829" s="197"/>
      <c r="R829" s="197"/>
      <c r="S829" s="197"/>
      <c r="T829" s="197"/>
      <c r="U829" s="197"/>
      <c r="V829" s="197"/>
      <c r="W829" s="197"/>
      <c r="X829" s="197"/>
      <c r="Y829" s="197"/>
      <c r="Z829" s="197"/>
      <c r="AA829" s="197"/>
      <c r="AB829" s="197"/>
      <c r="AC829" s="197"/>
      <c r="AD829" s="197"/>
      <c r="AE829" s="197"/>
      <c r="AF829" s="197"/>
      <c r="AG829" s="197"/>
      <c r="AH829" s="197"/>
      <c r="AI829" s="197"/>
      <c r="AJ829" s="197"/>
      <c r="AK829" s="197"/>
      <c r="AL829" s="197"/>
    </row>
    <row r="830" spans="1:38">
      <c r="A830" s="11" t="str">
        <f t="shared" si="67"/>
        <v>05-927399692012</v>
      </c>
      <c r="B830" t="s">
        <v>425</v>
      </c>
      <c r="C830" t="s">
        <v>426</v>
      </c>
      <c r="D830">
        <v>2012</v>
      </c>
      <c r="E830" t="s">
        <v>63</v>
      </c>
      <c r="F830">
        <v>5936581.4000000004</v>
      </c>
      <c r="G830">
        <v>4451</v>
      </c>
      <c r="H830" s="11" t="str">
        <f t="shared" si="66"/>
        <v>count</v>
      </c>
      <c r="I830" s="197"/>
      <c r="J830" s="197"/>
      <c r="K830" s="197"/>
      <c r="L830" s="197"/>
      <c r="M830" s="197"/>
      <c r="N830" s="197"/>
      <c r="O830" s="197"/>
      <c r="P830" s="197"/>
      <c r="Q830" s="197"/>
      <c r="R830" s="197"/>
      <c r="S830" s="197"/>
      <c r="T830" s="197"/>
      <c r="U830" s="197"/>
      <c r="V830" s="197"/>
      <c r="W830" s="197"/>
      <c r="X830" s="197"/>
      <c r="Y830" s="197"/>
      <c r="Z830" s="197"/>
      <c r="AA830" s="197"/>
      <c r="AB830" s="197"/>
      <c r="AC830" s="197"/>
      <c r="AD830" s="197"/>
      <c r="AE830" s="197"/>
      <c r="AF830" s="197"/>
      <c r="AG830" s="197"/>
      <c r="AH830" s="197"/>
      <c r="AI830" s="197"/>
      <c r="AJ830" s="197"/>
      <c r="AK830" s="197"/>
      <c r="AL830" s="197"/>
    </row>
    <row r="831" spans="1:38">
      <c r="A831" s="11" t="str">
        <f t="shared" si="67"/>
        <v>05-927399692013</v>
      </c>
      <c r="B831" t="s">
        <v>425</v>
      </c>
      <c r="C831" t="s">
        <v>426</v>
      </c>
      <c r="D831">
        <v>2013</v>
      </c>
      <c r="E831" t="s">
        <v>69</v>
      </c>
      <c r="F831">
        <v>2466274.23</v>
      </c>
      <c r="G831">
        <v>2484</v>
      </c>
      <c r="H831" s="11" t="str">
        <f t="shared" si="66"/>
        <v>count</v>
      </c>
      <c r="I831" s="197"/>
      <c r="J831" s="197"/>
      <c r="K831" s="197"/>
      <c r="L831" s="197"/>
      <c r="M831" s="197"/>
      <c r="N831" s="197"/>
      <c r="O831" s="197"/>
      <c r="P831" s="197"/>
      <c r="Q831" s="197"/>
      <c r="R831" s="197"/>
      <c r="S831" s="197"/>
      <c r="T831" s="197"/>
      <c r="U831" s="197"/>
      <c r="V831" s="197"/>
      <c r="W831" s="197"/>
      <c r="X831" s="197"/>
      <c r="Y831" s="197"/>
      <c r="Z831" s="197"/>
      <c r="AA831" s="197"/>
      <c r="AB831" s="197"/>
      <c r="AC831" s="197"/>
      <c r="AD831" s="197"/>
      <c r="AE831" s="197"/>
      <c r="AF831" s="197"/>
      <c r="AG831" s="197"/>
      <c r="AH831" s="197"/>
      <c r="AI831" s="197"/>
      <c r="AJ831" s="197"/>
      <c r="AK831" s="197"/>
      <c r="AL831" s="197"/>
    </row>
    <row r="832" spans="1:38">
      <c r="A832" s="11" t="str">
        <f t="shared" si="67"/>
        <v>05-927399692012</v>
      </c>
      <c r="B832" t="s">
        <v>425</v>
      </c>
      <c r="C832" t="s">
        <v>426</v>
      </c>
      <c r="D832">
        <v>2012</v>
      </c>
      <c r="E832" t="s">
        <v>106</v>
      </c>
      <c r="F832">
        <v>7725.44</v>
      </c>
      <c r="G832">
        <v>8</v>
      </c>
      <c r="H832" s="11" t="str">
        <f t="shared" si="66"/>
        <v>count</v>
      </c>
      <c r="I832" s="197"/>
      <c r="J832" s="197"/>
      <c r="K832" s="197"/>
      <c r="L832" s="197"/>
      <c r="M832" s="197"/>
      <c r="N832" s="197"/>
      <c r="O832" s="197"/>
      <c r="P832" s="197"/>
      <c r="Q832" s="197"/>
      <c r="R832" s="197"/>
      <c r="S832" s="197"/>
      <c r="T832" s="197"/>
      <c r="U832" s="197"/>
      <c r="V832" s="197"/>
      <c r="W832" s="197"/>
      <c r="X832" s="197"/>
      <c r="Y832" s="197"/>
      <c r="Z832" s="197"/>
      <c r="AA832" s="197"/>
      <c r="AB832" s="197"/>
      <c r="AC832" s="197"/>
      <c r="AD832" s="197"/>
      <c r="AE832" s="197"/>
      <c r="AF832" s="197"/>
      <c r="AG832" s="197"/>
      <c r="AH832" s="197"/>
      <c r="AI832" s="197"/>
      <c r="AJ832" s="197"/>
      <c r="AK832" s="197"/>
      <c r="AL832" s="197"/>
    </row>
    <row r="833" spans="1:38">
      <c r="A833" s="11" t="str">
        <f t="shared" si="67"/>
        <v>05-927399692013</v>
      </c>
      <c r="B833" t="s">
        <v>425</v>
      </c>
      <c r="C833" t="s">
        <v>426</v>
      </c>
      <c r="D833">
        <v>2013</v>
      </c>
      <c r="E833" t="s">
        <v>63</v>
      </c>
      <c r="F833">
        <v>6777308.0099999998</v>
      </c>
      <c r="G833">
        <v>5154</v>
      </c>
      <c r="H833" s="11" t="str">
        <f t="shared" si="66"/>
        <v>count</v>
      </c>
      <c r="I833" s="197"/>
      <c r="J833" s="197"/>
      <c r="K833" s="197"/>
      <c r="L833" s="197"/>
      <c r="M833" s="197"/>
      <c r="N833" s="197"/>
      <c r="O833" s="197"/>
      <c r="P833" s="197"/>
      <c r="Q833" s="197"/>
      <c r="R833" s="197"/>
      <c r="S833" s="197"/>
      <c r="T833" s="197"/>
      <c r="U833" s="197"/>
      <c r="V833" s="197"/>
      <c r="W833" s="197"/>
      <c r="X833" s="197"/>
      <c r="Y833" s="197"/>
      <c r="Z833" s="197"/>
      <c r="AA833" s="197"/>
      <c r="AB833" s="197"/>
      <c r="AC833" s="197"/>
      <c r="AD833" s="197"/>
      <c r="AE833" s="197"/>
      <c r="AF833" s="197"/>
      <c r="AG833" s="197"/>
      <c r="AH833" s="197"/>
      <c r="AI833" s="197"/>
      <c r="AJ833" s="197"/>
      <c r="AK833" s="197"/>
      <c r="AL833" s="197"/>
    </row>
    <row r="834" spans="1:38">
      <c r="A834" s="11" t="str">
        <f t="shared" si="67"/>
        <v>05-927399692012</v>
      </c>
      <c r="B834" t="s">
        <v>425</v>
      </c>
      <c r="C834" t="s">
        <v>426</v>
      </c>
      <c r="D834">
        <v>2012</v>
      </c>
      <c r="E834" t="s">
        <v>69</v>
      </c>
      <c r="F834">
        <v>1905125.82</v>
      </c>
      <c r="G834">
        <v>1939</v>
      </c>
      <c r="H834" s="11" t="str">
        <f t="shared" ref="H834:H897" si="68">IF(B834=B833,"count","volume")</f>
        <v>count</v>
      </c>
      <c r="I834" s="197"/>
      <c r="J834" s="197"/>
      <c r="K834" s="197"/>
      <c r="L834" s="197"/>
      <c r="M834" s="197"/>
      <c r="N834" s="197"/>
      <c r="O834" s="197"/>
      <c r="P834" s="197"/>
      <c r="Q834" s="197"/>
      <c r="R834" s="197"/>
      <c r="S834" s="197"/>
      <c r="T834" s="197"/>
      <c r="U834" s="197"/>
      <c r="V834" s="197"/>
      <c r="W834" s="197"/>
      <c r="X834" s="197"/>
      <c r="Y834" s="197"/>
      <c r="Z834" s="197"/>
      <c r="AA834" s="197"/>
      <c r="AB834" s="197"/>
      <c r="AC834" s="197"/>
      <c r="AD834" s="197"/>
      <c r="AE834" s="197"/>
      <c r="AF834" s="197"/>
      <c r="AG834" s="197"/>
      <c r="AH834" s="197"/>
      <c r="AI834" s="197"/>
      <c r="AJ834" s="197"/>
      <c r="AK834" s="197"/>
      <c r="AL834" s="197"/>
    </row>
    <row r="835" spans="1:38">
      <c r="A835" s="11" t="str">
        <f t="shared" ref="A835:A898" si="69">B835&amp;D835</f>
        <v>05-927399692013</v>
      </c>
      <c r="B835" t="s">
        <v>425</v>
      </c>
      <c r="C835" t="s">
        <v>426</v>
      </c>
      <c r="D835">
        <v>2013</v>
      </c>
      <c r="E835" t="s">
        <v>104</v>
      </c>
      <c r="F835">
        <v>3783909.04</v>
      </c>
      <c r="G835">
        <v>2872</v>
      </c>
      <c r="H835" s="11" t="str">
        <f t="shared" si="68"/>
        <v>count</v>
      </c>
      <c r="I835" s="197"/>
      <c r="J835" s="197"/>
      <c r="K835" s="197"/>
      <c r="L835" s="197"/>
      <c r="M835" s="197"/>
      <c r="N835" s="197"/>
      <c r="O835" s="197"/>
      <c r="P835" s="197"/>
      <c r="Q835" s="197"/>
      <c r="R835" s="197"/>
      <c r="S835" s="197"/>
      <c r="T835" s="197"/>
      <c r="U835" s="197"/>
      <c r="V835" s="197"/>
      <c r="W835" s="197"/>
      <c r="X835" s="197"/>
      <c r="Y835" s="197"/>
      <c r="Z835" s="197"/>
      <c r="AA835" s="197"/>
      <c r="AB835" s="197"/>
      <c r="AC835" s="197"/>
      <c r="AD835" s="197"/>
      <c r="AE835" s="197"/>
      <c r="AF835" s="197"/>
      <c r="AG835" s="197"/>
      <c r="AH835" s="197"/>
      <c r="AI835" s="197"/>
      <c r="AJ835" s="197"/>
      <c r="AK835" s="197"/>
      <c r="AL835" s="197"/>
    </row>
    <row r="836" spans="1:38">
      <c r="A836" s="11" t="str">
        <f t="shared" si="69"/>
        <v>05-927399692012</v>
      </c>
      <c r="B836" t="s">
        <v>425</v>
      </c>
      <c r="C836" t="s">
        <v>426</v>
      </c>
      <c r="D836">
        <v>2012</v>
      </c>
      <c r="E836" t="s">
        <v>105</v>
      </c>
      <c r="F836">
        <v>693104.04</v>
      </c>
      <c r="G836">
        <v>537</v>
      </c>
      <c r="H836" s="11" t="str">
        <f t="shared" si="68"/>
        <v>count</v>
      </c>
      <c r="I836" s="197"/>
      <c r="J836" s="197"/>
      <c r="K836" s="197"/>
      <c r="L836" s="197"/>
      <c r="M836" s="197"/>
      <c r="N836" s="197"/>
      <c r="O836" s="197"/>
      <c r="P836" s="197"/>
      <c r="Q836" s="197"/>
      <c r="R836" s="197"/>
      <c r="S836" s="197"/>
      <c r="T836" s="197"/>
      <c r="U836" s="197"/>
      <c r="V836" s="197"/>
      <c r="W836" s="197"/>
      <c r="X836" s="197"/>
      <c r="Y836" s="197"/>
      <c r="Z836" s="197"/>
      <c r="AA836" s="197"/>
      <c r="AB836" s="197"/>
      <c r="AC836" s="197"/>
      <c r="AD836" s="197"/>
      <c r="AE836" s="197"/>
      <c r="AF836" s="197"/>
      <c r="AG836" s="197"/>
      <c r="AH836" s="197"/>
      <c r="AI836" s="197"/>
      <c r="AJ836" s="197"/>
      <c r="AK836" s="197"/>
      <c r="AL836" s="197"/>
    </row>
    <row r="837" spans="1:38">
      <c r="A837" s="11" t="str">
        <f t="shared" si="69"/>
        <v>05-927420642012</v>
      </c>
      <c r="B837" t="s">
        <v>427</v>
      </c>
      <c r="C837" t="s">
        <v>428</v>
      </c>
      <c r="D837">
        <v>2012</v>
      </c>
      <c r="E837" t="s">
        <v>133</v>
      </c>
      <c r="F837">
        <v>462.91</v>
      </c>
      <c r="G837">
        <v>7</v>
      </c>
      <c r="H837" s="11" t="str">
        <f t="shared" si="68"/>
        <v>volume</v>
      </c>
      <c r="I837" s="197"/>
      <c r="J837" s="197"/>
      <c r="K837" s="197"/>
      <c r="L837" s="197"/>
      <c r="M837" s="197"/>
      <c r="N837" s="197"/>
      <c r="O837" s="197"/>
      <c r="P837" s="197"/>
      <c r="Q837" s="197"/>
      <c r="R837" s="197"/>
      <c r="S837" s="197"/>
      <c r="T837" s="197"/>
      <c r="U837" s="197"/>
      <c r="V837" s="197"/>
      <c r="W837" s="197"/>
      <c r="X837" s="197"/>
      <c r="Y837" s="197"/>
      <c r="Z837" s="197"/>
      <c r="AA837" s="197"/>
      <c r="AB837" s="197"/>
      <c r="AC837" s="197"/>
      <c r="AD837" s="197"/>
      <c r="AE837" s="197"/>
      <c r="AF837" s="197"/>
      <c r="AG837" s="197"/>
      <c r="AH837" s="197"/>
      <c r="AI837" s="197"/>
      <c r="AJ837" s="197"/>
      <c r="AK837" s="197"/>
      <c r="AL837" s="197"/>
    </row>
    <row r="838" spans="1:38">
      <c r="A838" s="11" t="str">
        <f t="shared" si="69"/>
        <v>05-927420642013</v>
      </c>
      <c r="B838" t="s">
        <v>427</v>
      </c>
      <c r="C838" t="s">
        <v>428</v>
      </c>
      <c r="D838">
        <v>2013</v>
      </c>
      <c r="E838" t="s">
        <v>104</v>
      </c>
      <c r="F838">
        <v>34303.599999999999</v>
      </c>
      <c r="G838">
        <v>227</v>
      </c>
      <c r="H838" s="11" t="str">
        <f t="shared" si="68"/>
        <v>count</v>
      </c>
      <c r="I838" s="197"/>
      <c r="J838" s="197"/>
      <c r="K838" s="197"/>
      <c r="L838" s="197"/>
      <c r="M838" s="197"/>
      <c r="N838" s="197"/>
      <c r="O838" s="197"/>
      <c r="P838" s="197"/>
      <c r="Q838" s="197"/>
      <c r="R838" s="197"/>
      <c r="S838" s="197"/>
      <c r="T838" s="197"/>
      <c r="U838" s="197"/>
      <c r="V838" s="197"/>
      <c r="W838" s="197"/>
      <c r="X838" s="197"/>
      <c r="Y838" s="197"/>
      <c r="Z838" s="197"/>
      <c r="AA838" s="197"/>
      <c r="AB838" s="197"/>
      <c r="AC838" s="197"/>
      <c r="AD838" s="197"/>
      <c r="AE838" s="197"/>
      <c r="AF838" s="197"/>
      <c r="AG838" s="197"/>
      <c r="AH838" s="197"/>
      <c r="AI838" s="197"/>
      <c r="AJ838" s="197"/>
      <c r="AK838" s="197"/>
      <c r="AL838" s="197"/>
    </row>
    <row r="839" spans="1:38">
      <c r="A839" s="11" t="str">
        <f t="shared" si="69"/>
        <v>05-927420642012</v>
      </c>
      <c r="B839" t="s">
        <v>427</v>
      </c>
      <c r="C839" t="s">
        <v>428</v>
      </c>
      <c r="D839">
        <v>2012</v>
      </c>
      <c r="E839" t="s">
        <v>69</v>
      </c>
      <c r="F839">
        <v>526.66</v>
      </c>
      <c r="G839">
        <v>7</v>
      </c>
      <c r="H839" s="11" t="str">
        <f t="shared" si="68"/>
        <v>count</v>
      </c>
      <c r="I839" s="197"/>
      <c r="J839" s="197"/>
      <c r="K839" s="197"/>
      <c r="L839" s="197"/>
      <c r="M839" s="197"/>
      <c r="N839" s="197"/>
      <c r="O839" s="197"/>
      <c r="P839" s="197"/>
      <c r="Q839" s="197"/>
      <c r="R839" s="197"/>
      <c r="S839" s="197"/>
      <c r="T839" s="197"/>
      <c r="U839" s="197"/>
      <c r="V839" s="197"/>
      <c r="W839" s="197"/>
      <c r="X839" s="197"/>
      <c r="Y839" s="197"/>
      <c r="Z839" s="197"/>
      <c r="AA839" s="197"/>
      <c r="AB839" s="197"/>
      <c r="AC839" s="197"/>
      <c r="AD839" s="197"/>
      <c r="AE839" s="197"/>
      <c r="AF839" s="197"/>
      <c r="AG839" s="197"/>
      <c r="AH839" s="197"/>
      <c r="AI839" s="197"/>
      <c r="AJ839" s="197"/>
      <c r="AK839" s="197"/>
      <c r="AL839" s="197"/>
    </row>
    <row r="840" spans="1:38">
      <c r="A840" s="11" t="str">
        <f t="shared" si="69"/>
        <v>05-927420642013</v>
      </c>
      <c r="B840" t="s">
        <v>427</v>
      </c>
      <c r="C840" t="s">
        <v>428</v>
      </c>
      <c r="D840">
        <v>2013</v>
      </c>
      <c r="E840" t="s">
        <v>63</v>
      </c>
      <c r="F840">
        <v>43838.400000000001</v>
      </c>
      <c r="G840">
        <v>356</v>
      </c>
      <c r="H840" s="11" t="str">
        <f t="shared" si="68"/>
        <v>count</v>
      </c>
      <c r="I840" s="197"/>
      <c r="J840" s="197"/>
      <c r="K840" s="197"/>
      <c r="L840" s="197"/>
      <c r="M840" s="197"/>
      <c r="N840" s="197"/>
      <c r="O840" s="197"/>
      <c r="P840" s="197"/>
      <c r="Q840" s="197"/>
      <c r="R840" s="197"/>
      <c r="S840" s="197"/>
      <c r="T840" s="197"/>
      <c r="U840" s="197"/>
      <c r="V840" s="197"/>
      <c r="W840" s="197"/>
      <c r="X840" s="197"/>
      <c r="Y840" s="197"/>
      <c r="Z840" s="197"/>
      <c r="AA840" s="197"/>
      <c r="AB840" s="197"/>
      <c r="AC840" s="197"/>
      <c r="AD840" s="197"/>
      <c r="AE840" s="197"/>
      <c r="AF840" s="197"/>
      <c r="AG840" s="197"/>
      <c r="AH840" s="197"/>
      <c r="AI840" s="197"/>
      <c r="AJ840" s="197"/>
      <c r="AK840" s="197"/>
      <c r="AL840" s="197"/>
    </row>
    <row r="841" spans="1:38">
      <c r="A841" s="11" t="str">
        <f t="shared" si="69"/>
        <v>05-927420642013</v>
      </c>
      <c r="B841" t="s">
        <v>427</v>
      </c>
      <c r="C841" t="s">
        <v>428</v>
      </c>
      <c r="D841">
        <v>2013</v>
      </c>
      <c r="E841" t="s">
        <v>133</v>
      </c>
      <c r="F841">
        <v>22718.36</v>
      </c>
      <c r="G841">
        <v>171</v>
      </c>
      <c r="H841" s="11" t="str">
        <f t="shared" si="68"/>
        <v>count</v>
      </c>
      <c r="I841" s="197"/>
      <c r="J841" s="197"/>
      <c r="K841" s="197"/>
      <c r="L841" s="197"/>
      <c r="M841" s="197"/>
      <c r="N841" s="197"/>
      <c r="O841" s="197"/>
      <c r="P841" s="197"/>
      <c r="Q841" s="197"/>
      <c r="R841" s="197"/>
      <c r="S841" s="197"/>
      <c r="T841" s="197"/>
      <c r="U841" s="197"/>
      <c r="V841" s="197"/>
      <c r="W841" s="197"/>
      <c r="X841" s="197"/>
      <c r="Y841" s="197"/>
      <c r="Z841" s="197"/>
      <c r="AA841" s="197"/>
      <c r="AB841" s="197"/>
      <c r="AC841" s="197"/>
      <c r="AD841" s="197"/>
      <c r="AE841" s="197"/>
      <c r="AF841" s="197"/>
      <c r="AG841" s="197"/>
      <c r="AH841" s="197"/>
      <c r="AI841" s="197"/>
      <c r="AJ841" s="197"/>
      <c r="AK841" s="197"/>
      <c r="AL841" s="197"/>
    </row>
    <row r="842" spans="1:38">
      <c r="A842" s="11" t="str">
        <f t="shared" si="69"/>
        <v>05-927420642013</v>
      </c>
      <c r="B842" t="s">
        <v>427</v>
      </c>
      <c r="C842" t="s">
        <v>428</v>
      </c>
      <c r="D842">
        <v>2013</v>
      </c>
      <c r="E842" t="s">
        <v>69</v>
      </c>
      <c r="F842">
        <v>23042.52</v>
      </c>
      <c r="G842">
        <v>239</v>
      </c>
      <c r="H842" s="11" t="str">
        <f t="shared" si="68"/>
        <v>count</v>
      </c>
      <c r="I842" s="197"/>
      <c r="J842" s="197"/>
      <c r="K842" s="197"/>
      <c r="L842" s="197"/>
      <c r="M842" s="197"/>
      <c r="N842" s="197"/>
      <c r="O842" s="197"/>
      <c r="P842" s="197"/>
      <c r="Q842" s="197"/>
      <c r="R842" s="197"/>
      <c r="S842" s="197"/>
      <c r="T842" s="197"/>
      <c r="U842" s="197"/>
      <c r="V842" s="197"/>
      <c r="W842" s="197"/>
      <c r="X842" s="197"/>
      <c r="Y842" s="197"/>
      <c r="Z842" s="197"/>
      <c r="AA842" s="197"/>
      <c r="AB842" s="197"/>
      <c r="AC842" s="197"/>
      <c r="AD842" s="197"/>
      <c r="AE842" s="197"/>
      <c r="AF842" s="197"/>
      <c r="AG842" s="197"/>
      <c r="AH842" s="197"/>
      <c r="AI842" s="197"/>
      <c r="AJ842" s="197"/>
      <c r="AK842" s="197"/>
      <c r="AL842" s="197"/>
    </row>
    <row r="843" spans="1:38">
      <c r="A843" s="11" t="str">
        <f t="shared" si="69"/>
        <v>05-927420642012</v>
      </c>
      <c r="B843" t="s">
        <v>427</v>
      </c>
      <c r="C843" t="s">
        <v>428</v>
      </c>
      <c r="D843">
        <v>2012</v>
      </c>
      <c r="E843" t="s">
        <v>63</v>
      </c>
      <c r="F843">
        <v>1271.33</v>
      </c>
      <c r="G843">
        <v>12</v>
      </c>
      <c r="H843" s="11" t="str">
        <f t="shared" si="68"/>
        <v>count</v>
      </c>
      <c r="I843" s="197"/>
      <c r="J843" s="197"/>
      <c r="K843" s="197"/>
      <c r="L843" s="197"/>
      <c r="M843" s="197"/>
      <c r="N843" s="197"/>
      <c r="O843" s="197"/>
      <c r="P843" s="197"/>
      <c r="Q843" s="197"/>
      <c r="R843" s="197"/>
      <c r="S843" s="197"/>
      <c r="T843" s="197"/>
      <c r="U843" s="197"/>
      <c r="V843" s="197"/>
      <c r="W843" s="197"/>
      <c r="X843" s="197"/>
      <c r="Y843" s="197"/>
      <c r="Z843" s="197"/>
      <c r="AA843" s="197"/>
      <c r="AB843" s="197"/>
      <c r="AC843" s="197"/>
      <c r="AD843" s="197"/>
      <c r="AE843" s="197"/>
      <c r="AF843" s="197"/>
      <c r="AG843" s="197"/>
      <c r="AH843" s="197"/>
      <c r="AI843" s="197"/>
      <c r="AJ843" s="197"/>
      <c r="AK843" s="197"/>
      <c r="AL843" s="197"/>
    </row>
    <row r="844" spans="1:38">
      <c r="A844" s="11" t="str">
        <f t="shared" si="69"/>
        <v>05-927420642012</v>
      </c>
      <c r="B844" t="s">
        <v>427</v>
      </c>
      <c r="C844" t="s">
        <v>428</v>
      </c>
      <c r="D844">
        <v>2012</v>
      </c>
      <c r="E844" t="s">
        <v>104</v>
      </c>
      <c r="F844">
        <v>5511.22</v>
      </c>
      <c r="G844">
        <v>22</v>
      </c>
      <c r="H844" s="11" t="str">
        <f t="shared" si="68"/>
        <v>count</v>
      </c>
      <c r="I844" s="197"/>
      <c r="J844" s="197"/>
      <c r="K844" s="197"/>
      <c r="L844" s="197"/>
      <c r="M844" s="197"/>
      <c r="N844" s="197"/>
      <c r="O844" s="197"/>
      <c r="P844" s="197"/>
      <c r="Q844" s="197"/>
      <c r="R844" s="197"/>
      <c r="S844" s="197"/>
      <c r="T844" s="197"/>
      <c r="U844" s="197"/>
      <c r="V844" s="197"/>
      <c r="W844" s="197"/>
      <c r="X844" s="197"/>
      <c r="Y844" s="197"/>
      <c r="Z844" s="197"/>
      <c r="AA844" s="197"/>
      <c r="AB844" s="197"/>
      <c r="AC844" s="197"/>
      <c r="AD844" s="197"/>
      <c r="AE844" s="197"/>
      <c r="AF844" s="197"/>
      <c r="AG844" s="197"/>
      <c r="AH844" s="197"/>
      <c r="AI844" s="197"/>
      <c r="AJ844" s="197"/>
      <c r="AK844" s="197"/>
      <c r="AL844" s="197"/>
    </row>
    <row r="845" spans="1:38">
      <c r="A845" s="11" t="str">
        <f t="shared" si="69"/>
        <v>05-927420642013</v>
      </c>
      <c r="B845" t="s">
        <v>427</v>
      </c>
      <c r="C845" t="s">
        <v>428</v>
      </c>
      <c r="D845">
        <v>2013</v>
      </c>
      <c r="E845" t="s">
        <v>105</v>
      </c>
      <c r="F845">
        <v>2404.0700000000002</v>
      </c>
      <c r="G845">
        <v>24</v>
      </c>
      <c r="H845" s="11" t="str">
        <f t="shared" si="68"/>
        <v>count</v>
      </c>
      <c r="I845" s="197"/>
      <c r="J845" s="197"/>
      <c r="K845" s="197"/>
      <c r="L845" s="197"/>
      <c r="M845" s="197"/>
      <c r="N845" s="197"/>
      <c r="O845" s="197"/>
      <c r="P845" s="197"/>
      <c r="Q845" s="197"/>
      <c r="R845" s="197"/>
      <c r="S845" s="197"/>
      <c r="T845" s="197"/>
      <c r="U845" s="197"/>
      <c r="V845" s="197"/>
      <c r="W845" s="197"/>
      <c r="X845" s="197"/>
      <c r="Y845" s="197"/>
      <c r="Z845" s="197"/>
      <c r="AA845" s="197"/>
      <c r="AB845" s="197"/>
      <c r="AC845" s="197"/>
      <c r="AD845" s="197"/>
      <c r="AE845" s="197"/>
      <c r="AF845" s="197"/>
      <c r="AG845" s="197"/>
      <c r="AH845" s="197"/>
      <c r="AI845" s="197"/>
      <c r="AJ845" s="197"/>
      <c r="AK845" s="197"/>
      <c r="AL845" s="197"/>
    </row>
    <row r="846" spans="1:38">
      <c r="A846" s="11" t="str">
        <f t="shared" si="69"/>
        <v>05-939659692012</v>
      </c>
      <c r="B846" t="s">
        <v>429</v>
      </c>
      <c r="C846" t="s">
        <v>430</v>
      </c>
      <c r="D846">
        <v>2012</v>
      </c>
      <c r="E846" t="s">
        <v>105</v>
      </c>
      <c r="F846">
        <v>170404.87</v>
      </c>
      <c r="G846">
        <v>108</v>
      </c>
      <c r="H846" s="11" t="str">
        <f t="shared" si="68"/>
        <v>volume</v>
      </c>
      <c r="I846" s="197"/>
      <c r="J846" s="197"/>
      <c r="K846" s="197"/>
      <c r="L846" s="197"/>
      <c r="M846" s="197"/>
      <c r="N846" s="197"/>
      <c r="O846" s="197"/>
      <c r="P846" s="197"/>
      <c r="Q846" s="197"/>
      <c r="R846" s="197"/>
      <c r="S846" s="197"/>
      <c r="T846" s="197"/>
      <c r="U846" s="197"/>
      <c r="V846" s="197"/>
      <c r="W846" s="197"/>
      <c r="X846" s="197"/>
      <c r="Y846" s="197"/>
      <c r="Z846" s="197"/>
      <c r="AA846" s="197"/>
      <c r="AB846" s="197"/>
      <c r="AC846" s="197"/>
      <c r="AD846" s="197"/>
      <c r="AE846" s="197"/>
      <c r="AF846" s="197"/>
      <c r="AG846" s="197"/>
      <c r="AH846" s="197"/>
      <c r="AI846" s="197"/>
      <c r="AJ846" s="197"/>
      <c r="AK846" s="197"/>
      <c r="AL846" s="197"/>
    </row>
    <row r="847" spans="1:38">
      <c r="A847" s="11" t="str">
        <f t="shared" si="69"/>
        <v>05-939659692013</v>
      </c>
      <c r="B847" t="s">
        <v>429</v>
      </c>
      <c r="C847" t="s">
        <v>430</v>
      </c>
      <c r="D847">
        <v>2013</v>
      </c>
      <c r="E847" t="s">
        <v>69</v>
      </c>
      <c r="F847">
        <v>409682.68</v>
      </c>
      <c r="G847">
        <v>362</v>
      </c>
      <c r="H847" s="11" t="str">
        <f t="shared" si="68"/>
        <v>count</v>
      </c>
      <c r="I847" s="197"/>
      <c r="J847" s="197"/>
      <c r="K847" s="197"/>
      <c r="L847" s="197"/>
      <c r="M847" s="197"/>
      <c r="N847" s="197"/>
      <c r="O847" s="197"/>
      <c r="P847" s="197"/>
      <c r="Q847" s="197"/>
      <c r="R847" s="197"/>
      <c r="S847" s="197"/>
      <c r="T847" s="197"/>
      <c r="U847" s="197"/>
      <c r="V847" s="197"/>
      <c r="W847" s="197"/>
      <c r="X847" s="197"/>
      <c r="Y847" s="197"/>
      <c r="Z847" s="197"/>
      <c r="AA847" s="197"/>
      <c r="AB847" s="197"/>
      <c r="AC847" s="197"/>
      <c r="AD847" s="197"/>
      <c r="AE847" s="197"/>
      <c r="AF847" s="197"/>
      <c r="AG847" s="197"/>
      <c r="AH847" s="197"/>
      <c r="AI847" s="197"/>
      <c r="AJ847" s="197"/>
      <c r="AK847" s="197"/>
      <c r="AL847" s="197"/>
    </row>
    <row r="848" spans="1:38">
      <c r="A848" s="11" t="str">
        <f t="shared" si="69"/>
        <v>05-939659692013</v>
      </c>
      <c r="B848" t="s">
        <v>429</v>
      </c>
      <c r="C848" t="s">
        <v>430</v>
      </c>
      <c r="D848">
        <v>2013</v>
      </c>
      <c r="E848" t="s">
        <v>104</v>
      </c>
      <c r="F848">
        <v>630232.80000000005</v>
      </c>
      <c r="G848">
        <v>431</v>
      </c>
      <c r="H848" s="11" t="str">
        <f t="shared" si="68"/>
        <v>count</v>
      </c>
      <c r="I848" s="197"/>
      <c r="J848" s="197"/>
      <c r="K848" s="197"/>
      <c r="L848" s="197"/>
      <c r="M848" s="197"/>
      <c r="N848" s="197"/>
      <c r="O848" s="197"/>
      <c r="P848" s="197"/>
      <c r="Q848" s="197"/>
      <c r="R848" s="197"/>
      <c r="S848" s="197"/>
      <c r="T848" s="197"/>
      <c r="U848" s="197"/>
      <c r="V848" s="197"/>
      <c r="W848" s="197"/>
      <c r="X848" s="197"/>
      <c r="Y848" s="197"/>
      <c r="Z848" s="197"/>
      <c r="AA848" s="197"/>
      <c r="AB848" s="197"/>
      <c r="AC848" s="197"/>
      <c r="AD848" s="197"/>
      <c r="AE848" s="197"/>
      <c r="AF848" s="197"/>
      <c r="AG848" s="197"/>
      <c r="AH848" s="197"/>
      <c r="AI848" s="197"/>
      <c r="AJ848" s="197"/>
      <c r="AK848" s="197"/>
      <c r="AL848" s="197"/>
    </row>
    <row r="849" spans="1:38">
      <c r="A849" s="11" t="str">
        <f t="shared" si="69"/>
        <v>05-939659692013</v>
      </c>
      <c r="B849" t="s">
        <v>429</v>
      </c>
      <c r="C849" t="s">
        <v>430</v>
      </c>
      <c r="D849">
        <v>2013</v>
      </c>
      <c r="E849" t="s">
        <v>133</v>
      </c>
      <c r="F849">
        <v>553881.65</v>
      </c>
      <c r="G849">
        <v>359</v>
      </c>
      <c r="H849" s="11" t="str">
        <f t="shared" si="68"/>
        <v>count</v>
      </c>
      <c r="I849" s="197"/>
      <c r="J849" s="197"/>
      <c r="K849" s="197"/>
      <c r="L849" s="197"/>
      <c r="M849" s="197"/>
      <c r="N849" s="197"/>
      <c r="O849" s="197"/>
      <c r="P849" s="197"/>
      <c r="Q849" s="197"/>
      <c r="R849" s="197"/>
      <c r="S849" s="197"/>
      <c r="T849" s="197"/>
      <c r="U849" s="197"/>
      <c r="V849" s="197"/>
      <c r="W849" s="197"/>
      <c r="X849" s="197"/>
      <c r="Y849" s="197"/>
      <c r="Z849" s="197"/>
      <c r="AA849" s="197"/>
      <c r="AB849" s="197"/>
      <c r="AC849" s="197"/>
      <c r="AD849" s="197"/>
      <c r="AE849" s="197"/>
      <c r="AF849" s="197"/>
      <c r="AG849" s="197"/>
      <c r="AH849" s="197"/>
      <c r="AI849" s="197"/>
      <c r="AJ849" s="197"/>
      <c r="AK849" s="197"/>
      <c r="AL849" s="197"/>
    </row>
    <row r="850" spans="1:38">
      <c r="A850" s="11" t="str">
        <f t="shared" si="69"/>
        <v>05-939659692012</v>
      </c>
      <c r="B850" t="s">
        <v>429</v>
      </c>
      <c r="C850" t="s">
        <v>430</v>
      </c>
      <c r="D850">
        <v>2012</v>
      </c>
      <c r="E850" t="s">
        <v>69</v>
      </c>
      <c r="F850">
        <v>337161.2</v>
      </c>
      <c r="G850">
        <v>323</v>
      </c>
      <c r="H850" s="11" t="str">
        <f t="shared" si="68"/>
        <v>count</v>
      </c>
      <c r="I850" s="197"/>
      <c r="J850" s="197"/>
      <c r="K850" s="197"/>
      <c r="L850" s="197"/>
      <c r="M850" s="197"/>
      <c r="N850" s="197"/>
      <c r="O850" s="197"/>
      <c r="P850" s="197"/>
      <c r="Q850" s="197"/>
      <c r="R850" s="197"/>
      <c r="S850" s="197"/>
      <c r="T850" s="197"/>
      <c r="U850" s="197"/>
      <c r="V850" s="197"/>
      <c r="W850" s="197"/>
      <c r="X850" s="197"/>
      <c r="Y850" s="197"/>
      <c r="Z850" s="197"/>
      <c r="AA850" s="197"/>
      <c r="AB850" s="197"/>
      <c r="AC850" s="197"/>
      <c r="AD850" s="197"/>
      <c r="AE850" s="197"/>
      <c r="AF850" s="197"/>
      <c r="AG850" s="197"/>
      <c r="AH850" s="197"/>
      <c r="AI850" s="197"/>
      <c r="AJ850" s="197"/>
      <c r="AK850" s="197"/>
      <c r="AL850" s="197"/>
    </row>
    <row r="851" spans="1:38">
      <c r="A851" s="11" t="str">
        <f t="shared" si="69"/>
        <v>05-939659692012</v>
      </c>
      <c r="B851" t="s">
        <v>429</v>
      </c>
      <c r="C851" t="s">
        <v>430</v>
      </c>
      <c r="D851">
        <v>2012</v>
      </c>
      <c r="E851" t="s">
        <v>133</v>
      </c>
      <c r="F851">
        <v>533388.6</v>
      </c>
      <c r="G851">
        <v>361</v>
      </c>
      <c r="H851" s="11" t="str">
        <f t="shared" si="68"/>
        <v>count</v>
      </c>
      <c r="I851" s="197"/>
      <c r="J851" s="197"/>
      <c r="K851" s="197"/>
      <c r="L851" s="197"/>
      <c r="M851" s="197"/>
      <c r="N851" s="197"/>
      <c r="O851" s="197"/>
      <c r="P851" s="197"/>
      <c r="Q851" s="197"/>
      <c r="R851" s="197"/>
      <c r="S851" s="197"/>
      <c r="T851" s="197"/>
      <c r="U851" s="197"/>
      <c r="V851" s="197"/>
      <c r="W851" s="197"/>
      <c r="X851" s="197"/>
      <c r="Y851" s="197"/>
      <c r="Z851" s="197"/>
      <c r="AA851" s="197"/>
      <c r="AB851" s="197"/>
      <c r="AC851" s="197"/>
      <c r="AD851" s="197"/>
      <c r="AE851" s="197"/>
      <c r="AF851" s="197"/>
      <c r="AG851" s="197"/>
      <c r="AH851" s="197"/>
      <c r="AI851" s="197"/>
      <c r="AJ851" s="197"/>
      <c r="AK851" s="197"/>
      <c r="AL851" s="197"/>
    </row>
    <row r="852" spans="1:38">
      <c r="A852" s="11" t="str">
        <f t="shared" si="69"/>
        <v>05-939659692012</v>
      </c>
      <c r="B852" t="s">
        <v>429</v>
      </c>
      <c r="C852" t="s">
        <v>430</v>
      </c>
      <c r="D852">
        <v>2012</v>
      </c>
      <c r="E852" t="s">
        <v>104</v>
      </c>
      <c r="F852">
        <v>502664.24</v>
      </c>
      <c r="G852">
        <v>427</v>
      </c>
      <c r="H852" s="11" t="str">
        <f t="shared" si="68"/>
        <v>count</v>
      </c>
      <c r="I852" s="197"/>
      <c r="J852" s="197"/>
      <c r="K852" s="197"/>
      <c r="L852" s="197"/>
      <c r="M852" s="197"/>
      <c r="N852" s="197"/>
      <c r="O852" s="197"/>
      <c r="P852" s="197"/>
      <c r="Q852" s="197"/>
      <c r="R852" s="197"/>
      <c r="S852" s="197"/>
      <c r="T852" s="197"/>
      <c r="U852" s="197"/>
      <c r="V852" s="197"/>
      <c r="W852" s="197"/>
      <c r="X852" s="197"/>
      <c r="Y852" s="197"/>
      <c r="Z852" s="197"/>
      <c r="AA852" s="197"/>
      <c r="AB852" s="197"/>
      <c r="AC852" s="197"/>
      <c r="AD852" s="197"/>
      <c r="AE852" s="197"/>
      <c r="AF852" s="197"/>
      <c r="AG852" s="197"/>
      <c r="AH852" s="197"/>
      <c r="AI852" s="197"/>
      <c r="AJ852" s="197"/>
      <c r="AK852" s="197"/>
      <c r="AL852" s="197"/>
    </row>
    <row r="853" spans="1:38">
      <c r="A853" s="11" t="str">
        <f t="shared" si="69"/>
        <v>05-939659692012</v>
      </c>
      <c r="B853" t="s">
        <v>429</v>
      </c>
      <c r="C853" t="s">
        <v>430</v>
      </c>
      <c r="D853">
        <v>2012</v>
      </c>
      <c r="E853" t="s">
        <v>63</v>
      </c>
      <c r="F853">
        <v>943902.04</v>
      </c>
      <c r="G853">
        <v>738</v>
      </c>
      <c r="H853" s="11" t="str">
        <f t="shared" si="68"/>
        <v>count</v>
      </c>
      <c r="I853" s="197"/>
      <c r="J853" s="197"/>
      <c r="K853" s="197"/>
      <c r="L853" s="197"/>
      <c r="M853" s="197"/>
      <c r="N853" s="197"/>
      <c r="O853" s="197"/>
      <c r="P853" s="197"/>
      <c r="Q853" s="197"/>
      <c r="R853" s="197"/>
      <c r="S853" s="197"/>
      <c r="T853" s="197"/>
      <c r="U853" s="197"/>
      <c r="V853" s="197"/>
      <c r="W853" s="197"/>
      <c r="X853" s="197"/>
      <c r="Y853" s="197"/>
      <c r="Z853" s="197"/>
      <c r="AA853" s="197"/>
      <c r="AB853" s="197"/>
      <c r="AC853" s="197"/>
      <c r="AD853" s="197"/>
      <c r="AE853" s="197"/>
      <c r="AF853" s="197"/>
      <c r="AG853" s="197"/>
      <c r="AH853" s="197"/>
      <c r="AI853" s="197"/>
      <c r="AJ853" s="197"/>
      <c r="AK853" s="197"/>
      <c r="AL853" s="197"/>
    </row>
    <row r="854" spans="1:38">
      <c r="A854" s="11" t="str">
        <f t="shared" si="69"/>
        <v>05-939659692013</v>
      </c>
      <c r="B854" t="s">
        <v>429</v>
      </c>
      <c r="C854" t="s">
        <v>430</v>
      </c>
      <c r="D854">
        <v>2013</v>
      </c>
      <c r="E854" t="s">
        <v>105</v>
      </c>
      <c r="F854">
        <v>192244.52</v>
      </c>
      <c r="G854">
        <v>121</v>
      </c>
      <c r="H854" s="11" t="str">
        <f t="shared" si="68"/>
        <v>count</v>
      </c>
      <c r="I854" s="197"/>
      <c r="J854" s="197"/>
      <c r="K854" s="197"/>
      <c r="L854" s="197"/>
      <c r="M854" s="197"/>
      <c r="N854" s="197"/>
      <c r="O854" s="197"/>
      <c r="P854" s="197"/>
      <c r="Q854" s="197"/>
      <c r="R854" s="197"/>
      <c r="S854" s="197"/>
      <c r="T854" s="197"/>
      <c r="U854" s="197"/>
      <c r="V854" s="197"/>
      <c r="W854" s="197"/>
      <c r="X854" s="197"/>
      <c r="Y854" s="197"/>
      <c r="Z854" s="197"/>
      <c r="AA854" s="197"/>
      <c r="AB854" s="197"/>
      <c r="AC854" s="197"/>
      <c r="AD854" s="197"/>
      <c r="AE854" s="197"/>
      <c r="AF854" s="197"/>
      <c r="AG854" s="197"/>
      <c r="AH854" s="197"/>
      <c r="AI854" s="197"/>
      <c r="AJ854" s="197"/>
      <c r="AK854" s="197"/>
      <c r="AL854" s="197"/>
    </row>
    <row r="855" spans="1:38">
      <c r="A855" s="11" t="str">
        <f t="shared" si="69"/>
        <v>05-939659692013</v>
      </c>
      <c r="B855" t="s">
        <v>429</v>
      </c>
      <c r="C855" t="s">
        <v>430</v>
      </c>
      <c r="D855">
        <v>2013</v>
      </c>
      <c r="E855" t="s">
        <v>63</v>
      </c>
      <c r="F855">
        <v>1064859.71</v>
      </c>
      <c r="G855">
        <v>766</v>
      </c>
      <c r="H855" s="11" t="str">
        <f t="shared" si="68"/>
        <v>count</v>
      </c>
      <c r="I855" s="197"/>
      <c r="J855" s="197"/>
      <c r="K855" s="197"/>
      <c r="L855" s="197"/>
      <c r="M855" s="197"/>
      <c r="N855" s="197"/>
      <c r="O855" s="197"/>
      <c r="P855" s="197"/>
      <c r="Q855" s="197"/>
      <c r="R855" s="197"/>
      <c r="S855" s="197"/>
      <c r="T855" s="197"/>
      <c r="U855" s="197"/>
      <c r="V855" s="197"/>
      <c r="W855" s="197"/>
      <c r="X855" s="197"/>
      <c r="Y855" s="197"/>
      <c r="Z855" s="197"/>
      <c r="AA855" s="197"/>
      <c r="AB855" s="197"/>
      <c r="AC855" s="197"/>
      <c r="AD855" s="197"/>
      <c r="AE855" s="197"/>
      <c r="AF855" s="197"/>
      <c r="AG855" s="197"/>
      <c r="AH855" s="197"/>
      <c r="AI855" s="197"/>
      <c r="AJ855" s="197"/>
      <c r="AK855" s="197"/>
      <c r="AL855" s="197"/>
    </row>
    <row r="856" spans="1:38">
      <c r="A856" s="11" t="str">
        <f t="shared" si="69"/>
        <v>05-941248392013</v>
      </c>
      <c r="B856" t="s">
        <v>431</v>
      </c>
      <c r="C856" t="s">
        <v>432</v>
      </c>
      <c r="D856">
        <v>2013</v>
      </c>
      <c r="E856" t="s">
        <v>63</v>
      </c>
      <c r="F856">
        <v>198072.48</v>
      </c>
      <c r="G856">
        <v>331</v>
      </c>
      <c r="H856" s="11" t="str">
        <f t="shared" si="68"/>
        <v>volume</v>
      </c>
      <c r="I856" s="197"/>
      <c r="J856" s="197"/>
      <c r="K856" s="197"/>
      <c r="L856" s="197"/>
      <c r="M856" s="197"/>
      <c r="N856" s="197"/>
      <c r="O856" s="197"/>
      <c r="P856" s="197"/>
      <c r="Q856" s="197"/>
      <c r="R856" s="197"/>
      <c r="S856" s="197"/>
      <c r="T856" s="197"/>
      <c r="U856" s="197"/>
      <c r="V856" s="197"/>
      <c r="W856" s="197"/>
      <c r="X856" s="197"/>
      <c r="Y856" s="197"/>
      <c r="Z856" s="197"/>
      <c r="AA856" s="197"/>
      <c r="AB856" s="197"/>
      <c r="AC856" s="197"/>
      <c r="AD856" s="197"/>
      <c r="AE856" s="197"/>
      <c r="AF856" s="197"/>
      <c r="AG856" s="197"/>
      <c r="AH856" s="197"/>
      <c r="AI856" s="197"/>
      <c r="AJ856" s="197"/>
      <c r="AK856" s="197"/>
      <c r="AL856" s="197"/>
    </row>
    <row r="857" spans="1:38">
      <c r="A857" s="11" t="str">
        <f t="shared" si="69"/>
        <v>05-941248392013</v>
      </c>
      <c r="B857" t="s">
        <v>431</v>
      </c>
      <c r="C857" t="s">
        <v>432</v>
      </c>
      <c r="D857">
        <v>2013</v>
      </c>
      <c r="E857" t="s">
        <v>104</v>
      </c>
      <c r="F857">
        <v>80074.3</v>
      </c>
      <c r="G857">
        <v>141</v>
      </c>
      <c r="H857" s="11" t="str">
        <f t="shared" si="68"/>
        <v>count</v>
      </c>
      <c r="I857" s="197"/>
      <c r="J857" s="197"/>
      <c r="K857" s="197"/>
      <c r="L857" s="197"/>
      <c r="M857" s="197"/>
      <c r="N857" s="197"/>
      <c r="O857" s="197"/>
      <c r="P857" s="197"/>
      <c r="Q857" s="197"/>
      <c r="R857" s="197"/>
      <c r="S857" s="197"/>
      <c r="T857" s="197"/>
      <c r="U857" s="197"/>
      <c r="V857" s="197"/>
      <c r="W857" s="197"/>
      <c r="X857" s="197"/>
      <c r="Y857" s="197"/>
      <c r="Z857" s="197"/>
      <c r="AA857" s="197"/>
      <c r="AB857" s="197"/>
      <c r="AC857" s="197"/>
      <c r="AD857" s="197"/>
      <c r="AE857" s="197"/>
      <c r="AF857" s="197"/>
      <c r="AG857" s="197"/>
      <c r="AH857" s="197"/>
      <c r="AI857" s="197"/>
      <c r="AJ857" s="197"/>
      <c r="AK857" s="197"/>
      <c r="AL857" s="197"/>
    </row>
    <row r="858" spans="1:38">
      <c r="A858" s="11" t="str">
        <f t="shared" si="69"/>
        <v>05-941248392012</v>
      </c>
      <c r="B858" t="s">
        <v>431</v>
      </c>
      <c r="C858" t="s">
        <v>432</v>
      </c>
      <c r="D858">
        <v>2012</v>
      </c>
      <c r="E858" t="s">
        <v>105</v>
      </c>
      <c r="F858">
        <v>28593.33</v>
      </c>
      <c r="G858">
        <v>47</v>
      </c>
      <c r="H858" s="11" t="str">
        <f t="shared" si="68"/>
        <v>count</v>
      </c>
      <c r="I858" s="197"/>
      <c r="J858" s="197"/>
      <c r="K858" s="197"/>
      <c r="L858" s="197"/>
      <c r="M858" s="197"/>
      <c r="N858" s="197"/>
      <c r="O858" s="197"/>
      <c r="P858" s="197"/>
      <c r="Q858" s="197"/>
      <c r="R858" s="197"/>
      <c r="S858" s="197"/>
      <c r="T858" s="197"/>
      <c r="U858" s="197"/>
      <c r="V858" s="197"/>
      <c r="W858" s="197"/>
      <c r="X858" s="197"/>
      <c r="Y858" s="197"/>
      <c r="Z858" s="197"/>
      <c r="AA858" s="197"/>
      <c r="AB858" s="197"/>
      <c r="AC858" s="197"/>
      <c r="AD858" s="197"/>
      <c r="AE858" s="197"/>
      <c r="AF858" s="197"/>
      <c r="AG858" s="197"/>
      <c r="AH858" s="197"/>
      <c r="AI858" s="197"/>
      <c r="AJ858" s="197"/>
      <c r="AK858" s="197"/>
      <c r="AL858" s="197"/>
    </row>
    <row r="859" spans="1:38">
      <c r="A859" s="11" t="str">
        <f t="shared" si="69"/>
        <v>05-941248392013</v>
      </c>
      <c r="B859" t="s">
        <v>431</v>
      </c>
      <c r="C859" t="s">
        <v>432</v>
      </c>
      <c r="D859">
        <v>2013</v>
      </c>
      <c r="E859" t="s">
        <v>105</v>
      </c>
      <c r="F859">
        <v>50888.5</v>
      </c>
      <c r="G859">
        <v>87</v>
      </c>
      <c r="H859" s="11" t="str">
        <f t="shared" si="68"/>
        <v>count</v>
      </c>
      <c r="I859" s="197"/>
      <c r="J859" s="197"/>
      <c r="K859" s="197"/>
      <c r="L859" s="197"/>
      <c r="M859" s="197"/>
      <c r="N859" s="197"/>
      <c r="O859" s="197"/>
      <c r="P859" s="197"/>
      <c r="Q859" s="197"/>
      <c r="R859" s="197"/>
      <c r="S859" s="197"/>
      <c r="T859" s="197"/>
      <c r="U859" s="197"/>
      <c r="V859" s="197"/>
      <c r="W859" s="197"/>
      <c r="X859" s="197"/>
      <c r="Y859" s="197"/>
      <c r="Z859" s="197"/>
      <c r="AA859" s="197"/>
      <c r="AB859" s="197"/>
      <c r="AC859" s="197"/>
      <c r="AD859" s="197"/>
      <c r="AE859" s="197"/>
      <c r="AF859" s="197"/>
      <c r="AG859" s="197"/>
      <c r="AH859" s="197"/>
      <c r="AI859" s="197"/>
      <c r="AJ859" s="197"/>
      <c r="AK859" s="197"/>
      <c r="AL859" s="197"/>
    </row>
    <row r="860" spans="1:38">
      <c r="A860" s="11" t="str">
        <f t="shared" si="69"/>
        <v>05-941248392013</v>
      </c>
      <c r="B860" t="s">
        <v>431</v>
      </c>
      <c r="C860" t="s">
        <v>432</v>
      </c>
      <c r="D860">
        <v>2013</v>
      </c>
      <c r="E860" t="s">
        <v>69</v>
      </c>
      <c r="F860">
        <v>113064.41</v>
      </c>
      <c r="G860">
        <v>194</v>
      </c>
      <c r="H860" s="11" t="str">
        <f t="shared" si="68"/>
        <v>count</v>
      </c>
      <c r="I860" s="197"/>
      <c r="J860" s="197"/>
      <c r="K860" s="197"/>
      <c r="L860" s="197"/>
      <c r="M860" s="197"/>
      <c r="N860" s="197"/>
      <c r="O860" s="197"/>
      <c r="P860" s="197"/>
      <c r="Q860" s="197"/>
      <c r="R860" s="197"/>
      <c r="S860" s="197"/>
      <c r="T860" s="197"/>
      <c r="U860" s="197"/>
      <c r="V860" s="197"/>
      <c r="W860" s="197"/>
      <c r="X860" s="197"/>
      <c r="Y860" s="197"/>
      <c r="Z860" s="197"/>
      <c r="AA860" s="197"/>
      <c r="AB860" s="197"/>
      <c r="AC860" s="197"/>
      <c r="AD860" s="197"/>
      <c r="AE860" s="197"/>
      <c r="AF860" s="197"/>
      <c r="AG860" s="197"/>
      <c r="AH860" s="197"/>
      <c r="AI860" s="197"/>
      <c r="AJ860" s="197"/>
      <c r="AK860" s="197"/>
      <c r="AL860" s="197"/>
    </row>
    <row r="861" spans="1:38">
      <c r="A861" s="11" t="str">
        <f t="shared" si="69"/>
        <v>05-941248392013</v>
      </c>
      <c r="B861" t="s">
        <v>431</v>
      </c>
      <c r="C861" t="s">
        <v>432</v>
      </c>
      <c r="D861">
        <v>2013</v>
      </c>
      <c r="E861" t="s">
        <v>133</v>
      </c>
      <c r="F861">
        <v>47903.8</v>
      </c>
      <c r="G861">
        <v>80</v>
      </c>
      <c r="H861" s="11" t="str">
        <f t="shared" si="68"/>
        <v>count</v>
      </c>
      <c r="I861" s="197"/>
      <c r="J861" s="197"/>
      <c r="K861" s="197"/>
      <c r="L861" s="197"/>
      <c r="M861" s="197"/>
      <c r="N861" s="197"/>
      <c r="O861" s="197"/>
      <c r="P861" s="197"/>
      <c r="Q861" s="197"/>
      <c r="R861" s="197"/>
      <c r="S861" s="197"/>
      <c r="T861" s="197"/>
      <c r="U861" s="197"/>
      <c r="V861" s="197"/>
      <c r="W861" s="197"/>
      <c r="X861" s="197"/>
      <c r="Y861" s="197"/>
      <c r="Z861" s="197"/>
      <c r="AA861" s="197"/>
      <c r="AB861" s="197"/>
      <c r="AC861" s="197"/>
      <c r="AD861" s="197"/>
      <c r="AE861" s="197"/>
      <c r="AF861" s="197"/>
      <c r="AG861" s="197"/>
      <c r="AH861" s="197"/>
      <c r="AI861" s="197"/>
      <c r="AJ861" s="197"/>
      <c r="AK861" s="197"/>
      <c r="AL861" s="197"/>
    </row>
    <row r="862" spans="1:38">
      <c r="A862" s="11" t="str">
        <f t="shared" si="69"/>
        <v>05-941248392012</v>
      </c>
      <c r="B862" t="s">
        <v>431</v>
      </c>
      <c r="C862" t="s">
        <v>432</v>
      </c>
      <c r="D862">
        <v>2012</v>
      </c>
      <c r="E862" t="s">
        <v>104</v>
      </c>
      <c r="F862">
        <v>89234.65</v>
      </c>
      <c r="G862">
        <v>151</v>
      </c>
      <c r="H862" s="11" t="str">
        <f t="shared" si="68"/>
        <v>count</v>
      </c>
      <c r="I862" s="197"/>
      <c r="J862" s="197"/>
      <c r="K862" s="197"/>
      <c r="L862" s="197"/>
      <c r="M862" s="197"/>
      <c r="N862" s="197"/>
      <c r="O862" s="197"/>
      <c r="P862" s="197"/>
      <c r="Q862" s="197"/>
      <c r="R862" s="197"/>
      <c r="S862" s="197"/>
      <c r="T862" s="197"/>
      <c r="U862" s="197"/>
      <c r="V862" s="197"/>
      <c r="W862" s="197"/>
      <c r="X862" s="197"/>
      <c r="Y862" s="197"/>
      <c r="Z862" s="197"/>
      <c r="AA862" s="197"/>
      <c r="AB862" s="197"/>
      <c r="AC862" s="197"/>
      <c r="AD862" s="197"/>
      <c r="AE862" s="197"/>
      <c r="AF862" s="197"/>
      <c r="AG862" s="197"/>
      <c r="AH862" s="197"/>
      <c r="AI862" s="197"/>
      <c r="AJ862" s="197"/>
      <c r="AK862" s="197"/>
      <c r="AL862" s="197"/>
    </row>
    <row r="863" spans="1:38">
      <c r="A863" s="11" t="str">
        <f t="shared" si="69"/>
        <v>05-941248392012</v>
      </c>
      <c r="B863" t="s">
        <v>431</v>
      </c>
      <c r="C863" t="s">
        <v>432</v>
      </c>
      <c r="D863">
        <v>2012</v>
      </c>
      <c r="E863" t="s">
        <v>63</v>
      </c>
      <c r="F863">
        <v>134733.15</v>
      </c>
      <c r="G863">
        <v>209</v>
      </c>
      <c r="H863" s="11" t="str">
        <f t="shared" si="68"/>
        <v>count</v>
      </c>
      <c r="I863" s="197"/>
      <c r="J863" s="197"/>
      <c r="K863" s="197"/>
      <c r="L863" s="197"/>
      <c r="M863" s="197"/>
      <c r="N863" s="197"/>
      <c r="O863" s="197"/>
      <c r="P863" s="197"/>
      <c r="Q863" s="197"/>
      <c r="R863" s="197"/>
      <c r="S863" s="197"/>
      <c r="T863" s="197"/>
      <c r="U863" s="197"/>
      <c r="V863" s="197"/>
      <c r="W863" s="197"/>
      <c r="X863" s="197"/>
      <c r="Y863" s="197"/>
      <c r="Z863" s="197"/>
      <c r="AA863" s="197"/>
      <c r="AB863" s="197"/>
      <c r="AC863" s="197"/>
      <c r="AD863" s="197"/>
      <c r="AE863" s="197"/>
      <c r="AF863" s="197"/>
      <c r="AG863" s="197"/>
      <c r="AH863" s="197"/>
      <c r="AI863" s="197"/>
      <c r="AJ863" s="197"/>
      <c r="AK863" s="197"/>
      <c r="AL863" s="197"/>
    </row>
    <row r="864" spans="1:38">
      <c r="A864" s="11" t="str">
        <f t="shared" si="69"/>
        <v>05-941248392012</v>
      </c>
      <c r="B864" t="s">
        <v>431</v>
      </c>
      <c r="C864" t="s">
        <v>432</v>
      </c>
      <c r="D864">
        <v>2012</v>
      </c>
      <c r="E864" t="s">
        <v>69</v>
      </c>
      <c r="F864">
        <v>71502.41</v>
      </c>
      <c r="G864">
        <v>132</v>
      </c>
      <c r="H864" s="11" t="str">
        <f t="shared" si="68"/>
        <v>count</v>
      </c>
      <c r="I864" s="197"/>
      <c r="J864" s="197"/>
      <c r="K864" s="197"/>
      <c r="L864" s="197"/>
      <c r="M864" s="197"/>
      <c r="N864" s="197"/>
      <c r="O864" s="197"/>
      <c r="P864" s="197"/>
      <c r="Q864" s="197"/>
      <c r="R864" s="197"/>
      <c r="S864" s="197"/>
      <c r="T864" s="197"/>
      <c r="U864" s="197"/>
      <c r="V864" s="197"/>
      <c r="W864" s="197"/>
      <c r="X864" s="197"/>
      <c r="Y864" s="197"/>
      <c r="Z864" s="197"/>
      <c r="AA864" s="197"/>
      <c r="AB864" s="197"/>
      <c r="AC864" s="197"/>
      <c r="AD864" s="197"/>
      <c r="AE864" s="197"/>
      <c r="AF864" s="197"/>
      <c r="AG864" s="197"/>
      <c r="AH864" s="197"/>
      <c r="AI864" s="197"/>
      <c r="AJ864" s="197"/>
      <c r="AK864" s="197"/>
      <c r="AL864" s="197"/>
    </row>
    <row r="865" spans="1:38">
      <c r="A865" s="11" t="str">
        <f t="shared" si="69"/>
        <v>05-941248392012</v>
      </c>
      <c r="B865" t="s">
        <v>431</v>
      </c>
      <c r="C865" t="s">
        <v>432</v>
      </c>
      <c r="D865">
        <v>2012</v>
      </c>
      <c r="E865" t="s">
        <v>133</v>
      </c>
      <c r="F865">
        <v>49128.74</v>
      </c>
      <c r="G865">
        <v>70</v>
      </c>
      <c r="H865" s="11" t="str">
        <f t="shared" si="68"/>
        <v>count</v>
      </c>
      <c r="I865" s="197"/>
      <c r="J865" s="197"/>
      <c r="K865" s="197"/>
      <c r="L865" s="197"/>
      <c r="M865" s="197"/>
      <c r="N865" s="197"/>
      <c r="O865" s="197"/>
      <c r="P865" s="197"/>
      <c r="Q865" s="197"/>
      <c r="R865" s="197"/>
      <c r="S865" s="197"/>
      <c r="T865" s="197"/>
      <c r="U865" s="197"/>
      <c r="V865" s="197"/>
      <c r="W865" s="197"/>
      <c r="X865" s="197"/>
      <c r="Y865" s="197"/>
      <c r="Z865" s="197"/>
      <c r="AA865" s="197"/>
      <c r="AB865" s="197"/>
      <c r="AC865" s="197"/>
      <c r="AD865" s="197"/>
      <c r="AE865" s="197"/>
      <c r="AF865" s="197"/>
      <c r="AG865" s="197"/>
      <c r="AH865" s="197"/>
      <c r="AI865" s="197"/>
      <c r="AJ865" s="197"/>
      <c r="AK865" s="197"/>
      <c r="AL865" s="197"/>
    </row>
    <row r="866" spans="1:38">
      <c r="A866" s="11" t="str">
        <f t="shared" si="69"/>
        <v>05-941518132013</v>
      </c>
      <c r="B866" t="s">
        <v>433</v>
      </c>
      <c r="C866" t="s">
        <v>434</v>
      </c>
      <c r="D866">
        <v>2013</v>
      </c>
      <c r="E866" t="s">
        <v>63</v>
      </c>
      <c r="F866">
        <v>2146140.5499999998</v>
      </c>
      <c r="G866">
        <v>1444</v>
      </c>
      <c r="H866" s="11" t="str">
        <f t="shared" si="68"/>
        <v>volume</v>
      </c>
      <c r="I866" s="197"/>
      <c r="J866" s="197"/>
      <c r="K866" s="197"/>
      <c r="L866" s="197"/>
      <c r="M866" s="197"/>
      <c r="N866" s="197"/>
      <c r="O866" s="197"/>
      <c r="P866" s="197"/>
      <c r="Q866" s="197"/>
      <c r="R866" s="197"/>
      <c r="S866" s="197"/>
      <c r="T866" s="197"/>
      <c r="U866" s="197"/>
      <c r="V866" s="197"/>
      <c r="W866" s="197"/>
      <c r="X866" s="197"/>
      <c r="Y866" s="197"/>
      <c r="Z866" s="197"/>
      <c r="AA866" s="197"/>
      <c r="AB866" s="197"/>
      <c r="AC866" s="197"/>
      <c r="AD866" s="197"/>
      <c r="AE866" s="197"/>
      <c r="AF866" s="197"/>
      <c r="AG866" s="197"/>
      <c r="AH866" s="197"/>
      <c r="AI866" s="197"/>
      <c r="AJ866" s="197"/>
      <c r="AK866" s="197"/>
      <c r="AL866" s="197"/>
    </row>
    <row r="867" spans="1:38">
      <c r="A867" s="11" t="str">
        <f t="shared" si="69"/>
        <v>05-941518132012</v>
      </c>
      <c r="B867" t="s">
        <v>433</v>
      </c>
      <c r="C867" t="s">
        <v>434</v>
      </c>
      <c r="D867">
        <v>2012</v>
      </c>
      <c r="E867" t="s">
        <v>69</v>
      </c>
      <c r="F867">
        <v>668858.97</v>
      </c>
      <c r="G867">
        <v>665</v>
      </c>
      <c r="H867" s="11" t="str">
        <f t="shared" si="68"/>
        <v>count</v>
      </c>
      <c r="I867" s="197"/>
      <c r="J867" s="197"/>
      <c r="K867" s="197"/>
      <c r="L867" s="197"/>
      <c r="M867" s="197"/>
      <c r="N867" s="197"/>
      <c r="O867" s="197"/>
      <c r="P867" s="197"/>
      <c r="Q867" s="197"/>
      <c r="R867" s="197"/>
      <c r="S867" s="197"/>
      <c r="T867" s="197"/>
      <c r="U867" s="197"/>
      <c r="V867" s="197"/>
      <c r="W867" s="197"/>
      <c r="X867" s="197"/>
      <c r="Y867" s="197"/>
      <c r="Z867" s="197"/>
      <c r="AA867" s="197"/>
      <c r="AB867" s="197"/>
      <c r="AC867" s="197"/>
      <c r="AD867" s="197"/>
      <c r="AE867" s="197"/>
      <c r="AF867" s="197"/>
      <c r="AG867" s="197"/>
      <c r="AH867" s="197"/>
      <c r="AI867" s="197"/>
      <c r="AJ867" s="197"/>
      <c r="AK867" s="197"/>
      <c r="AL867" s="197"/>
    </row>
    <row r="868" spans="1:38">
      <c r="A868" s="11" t="str">
        <f t="shared" si="69"/>
        <v>05-941518132013</v>
      </c>
      <c r="B868" t="s">
        <v>433</v>
      </c>
      <c r="C868" t="s">
        <v>434</v>
      </c>
      <c r="D868">
        <v>2013</v>
      </c>
      <c r="E868" t="s">
        <v>104</v>
      </c>
      <c r="F868">
        <v>1122619.73</v>
      </c>
      <c r="G868">
        <v>837</v>
      </c>
      <c r="H868" s="11" t="str">
        <f t="shared" si="68"/>
        <v>count</v>
      </c>
      <c r="I868" s="197"/>
      <c r="J868" s="197"/>
      <c r="K868" s="197"/>
      <c r="L868" s="197"/>
      <c r="M868" s="197"/>
      <c r="N868" s="197"/>
      <c r="O868" s="197"/>
      <c r="P868" s="197"/>
      <c r="Q868" s="197"/>
      <c r="R868" s="197"/>
      <c r="S868" s="197"/>
      <c r="T868" s="197"/>
      <c r="U868" s="197"/>
      <c r="V868" s="197"/>
      <c r="W868" s="197"/>
      <c r="X868" s="197"/>
      <c r="Y868" s="197"/>
      <c r="Z868" s="197"/>
      <c r="AA868" s="197"/>
      <c r="AB868" s="197"/>
      <c r="AC868" s="197"/>
      <c r="AD868" s="197"/>
      <c r="AE868" s="197"/>
      <c r="AF868" s="197"/>
      <c r="AG868" s="197"/>
      <c r="AH868" s="197"/>
      <c r="AI868" s="197"/>
      <c r="AJ868" s="197"/>
      <c r="AK868" s="197"/>
      <c r="AL868" s="197"/>
    </row>
    <row r="869" spans="1:38">
      <c r="A869" s="11" t="str">
        <f t="shared" si="69"/>
        <v>05-941518132012</v>
      </c>
      <c r="B869" t="s">
        <v>433</v>
      </c>
      <c r="C869" t="s">
        <v>434</v>
      </c>
      <c r="D869">
        <v>2012</v>
      </c>
      <c r="E869" t="s">
        <v>63</v>
      </c>
      <c r="F869">
        <v>1366782.44</v>
      </c>
      <c r="G869">
        <v>988</v>
      </c>
      <c r="H869" s="11" t="str">
        <f t="shared" si="68"/>
        <v>count</v>
      </c>
      <c r="I869" s="197"/>
      <c r="J869" s="197"/>
      <c r="K869" s="197"/>
      <c r="L869" s="197"/>
      <c r="M869" s="197"/>
      <c r="N869" s="197"/>
      <c r="O869" s="197"/>
      <c r="P869" s="197"/>
      <c r="Q869" s="197"/>
      <c r="R869" s="197"/>
      <c r="S869" s="197"/>
      <c r="T869" s="197"/>
      <c r="U869" s="197"/>
      <c r="V869" s="197"/>
      <c r="W869" s="197"/>
      <c r="X869" s="197"/>
      <c r="Y869" s="197"/>
      <c r="Z869" s="197"/>
      <c r="AA869" s="197"/>
      <c r="AB869" s="197"/>
      <c r="AC869" s="197"/>
      <c r="AD869" s="197"/>
      <c r="AE869" s="197"/>
      <c r="AF869" s="197"/>
      <c r="AG869" s="197"/>
      <c r="AH869" s="197"/>
      <c r="AI869" s="197"/>
      <c r="AJ869" s="197"/>
      <c r="AK869" s="197"/>
      <c r="AL869" s="197"/>
    </row>
    <row r="870" spans="1:38">
      <c r="A870" s="11" t="str">
        <f t="shared" si="69"/>
        <v>05-941518132013</v>
      </c>
      <c r="B870" t="s">
        <v>433</v>
      </c>
      <c r="C870" t="s">
        <v>434</v>
      </c>
      <c r="D870">
        <v>2013</v>
      </c>
      <c r="E870" t="s">
        <v>69</v>
      </c>
      <c r="F870">
        <v>1102987.5900000001</v>
      </c>
      <c r="G870">
        <v>1197</v>
      </c>
      <c r="H870" s="11" t="str">
        <f t="shared" si="68"/>
        <v>count</v>
      </c>
      <c r="I870" s="197"/>
      <c r="J870" s="197"/>
      <c r="K870" s="197"/>
      <c r="L870" s="197"/>
      <c r="M870" s="197"/>
      <c r="N870" s="197"/>
      <c r="O870" s="197"/>
      <c r="P870" s="197"/>
      <c r="Q870" s="197"/>
      <c r="R870" s="197"/>
      <c r="S870" s="197"/>
      <c r="T870" s="197"/>
      <c r="U870" s="197"/>
      <c r="V870" s="197"/>
      <c r="W870" s="197"/>
      <c r="X870" s="197"/>
      <c r="Y870" s="197"/>
      <c r="Z870" s="197"/>
      <c r="AA870" s="197"/>
      <c r="AB870" s="197"/>
      <c r="AC870" s="197"/>
      <c r="AD870" s="197"/>
      <c r="AE870" s="197"/>
      <c r="AF870" s="197"/>
      <c r="AG870" s="197"/>
      <c r="AH870" s="197"/>
      <c r="AI870" s="197"/>
      <c r="AJ870" s="197"/>
      <c r="AK870" s="197"/>
      <c r="AL870" s="197"/>
    </row>
    <row r="871" spans="1:38">
      <c r="A871" s="11" t="str">
        <f t="shared" si="69"/>
        <v>05-941518132012</v>
      </c>
      <c r="B871" t="s">
        <v>433</v>
      </c>
      <c r="C871" t="s">
        <v>434</v>
      </c>
      <c r="D871">
        <v>2012</v>
      </c>
      <c r="E871" t="s">
        <v>104</v>
      </c>
      <c r="F871">
        <v>831288.41</v>
      </c>
      <c r="G871">
        <v>619</v>
      </c>
      <c r="H871" s="11" t="str">
        <f t="shared" si="68"/>
        <v>count</v>
      </c>
      <c r="I871" s="197"/>
      <c r="J871" s="197"/>
      <c r="K871" s="197"/>
      <c r="L871" s="197"/>
      <c r="M871" s="197"/>
      <c r="N871" s="197"/>
      <c r="O871" s="197"/>
      <c r="P871" s="197"/>
      <c r="Q871" s="197"/>
      <c r="R871" s="197"/>
      <c r="S871" s="197"/>
      <c r="T871" s="197"/>
      <c r="U871" s="197"/>
      <c r="V871" s="197"/>
      <c r="W871" s="197"/>
      <c r="X871" s="197"/>
      <c r="Y871" s="197"/>
      <c r="Z871" s="197"/>
      <c r="AA871" s="197"/>
      <c r="AB871" s="197"/>
      <c r="AC871" s="197"/>
      <c r="AD871" s="197"/>
      <c r="AE871" s="197"/>
      <c r="AF871" s="197"/>
      <c r="AG871" s="197"/>
      <c r="AH871" s="197"/>
      <c r="AI871" s="197"/>
      <c r="AJ871" s="197"/>
      <c r="AK871" s="197"/>
      <c r="AL871" s="197"/>
    </row>
    <row r="872" spans="1:38">
      <c r="A872" s="11" t="str">
        <f t="shared" si="69"/>
        <v>05-941518132013</v>
      </c>
      <c r="B872" t="s">
        <v>433</v>
      </c>
      <c r="C872" t="s">
        <v>434</v>
      </c>
      <c r="D872">
        <v>2013</v>
      </c>
      <c r="E872" t="s">
        <v>105</v>
      </c>
      <c r="F872">
        <v>408427.58</v>
      </c>
      <c r="G872">
        <v>268</v>
      </c>
      <c r="H872" s="11" t="str">
        <f t="shared" si="68"/>
        <v>count</v>
      </c>
      <c r="I872" s="197"/>
      <c r="J872" s="197"/>
      <c r="K872" s="197"/>
      <c r="L872" s="197"/>
      <c r="M872" s="197"/>
      <c r="N872" s="197"/>
      <c r="O872" s="197"/>
      <c r="P872" s="197"/>
      <c r="Q872" s="197"/>
      <c r="R872" s="197"/>
      <c r="S872" s="197"/>
      <c r="T872" s="197"/>
      <c r="U872" s="197"/>
      <c r="V872" s="197"/>
      <c r="W872" s="197"/>
      <c r="X872" s="197"/>
      <c r="Y872" s="197"/>
      <c r="Z872" s="197"/>
      <c r="AA872" s="197"/>
      <c r="AB872" s="197"/>
      <c r="AC872" s="197"/>
      <c r="AD872" s="197"/>
      <c r="AE872" s="197"/>
      <c r="AF872" s="197"/>
      <c r="AG872" s="197"/>
      <c r="AH872" s="197"/>
      <c r="AI872" s="197"/>
      <c r="AJ872" s="197"/>
      <c r="AK872" s="197"/>
      <c r="AL872" s="197"/>
    </row>
    <row r="873" spans="1:38">
      <c r="A873" s="11" t="str">
        <f t="shared" si="69"/>
        <v>05-941518132012</v>
      </c>
      <c r="B873" t="s">
        <v>433</v>
      </c>
      <c r="C873" t="s">
        <v>434</v>
      </c>
      <c r="D873">
        <v>2012</v>
      </c>
      <c r="E873" t="s">
        <v>106</v>
      </c>
      <c r="F873">
        <v>341706.85</v>
      </c>
      <c r="G873">
        <v>291</v>
      </c>
      <c r="H873" s="11" t="str">
        <f t="shared" si="68"/>
        <v>count</v>
      </c>
      <c r="I873" s="197"/>
      <c r="J873" s="197"/>
      <c r="K873" s="197"/>
      <c r="L873" s="197"/>
      <c r="M873" s="197"/>
      <c r="N873" s="197"/>
      <c r="O873" s="197"/>
      <c r="P873" s="197"/>
      <c r="Q873" s="197"/>
      <c r="R873" s="197"/>
      <c r="S873" s="197"/>
      <c r="T873" s="197"/>
      <c r="U873" s="197"/>
      <c r="V873" s="197"/>
      <c r="W873" s="197"/>
      <c r="X873" s="197"/>
      <c r="Y873" s="197"/>
      <c r="Z873" s="197"/>
      <c r="AA873" s="197"/>
      <c r="AB873" s="197"/>
      <c r="AC873" s="197"/>
      <c r="AD873" s="197"/>
      <c r="AE873" s="197"/>
      <c r="AF873" s="197"/>
      <c r="AG873" s="197"/>
      <c r="AH873" s="197"/>
      <c r="AI873" s="197"/>
      <c r="AJ873" s="197"/>
      <c r="AK873" s="197"/>
      <c r="AL873" s="197"/>
    </row>
    <row r="874" spans="1:38">
      <c r="A874" s="11" t="str">
        <f t="shared" si="69"/>
        <v>05-941518132013</v>
      </c>
      <c r="B874" t="s">
        <v>433</v>
      </c>
      <c r="C874" t="s">
        <v>434</v>
      </c>
      <c r="D874">
        <v>2013</v>
      </c>
      <c r="E874" t="s">
        <v>106</v>
      </c>
      <c r="F874">
        <v>351710.95</v>
      </c>
      <c r="G874">
        <v>206</v>
      </c>
      <c r="H874" s="11" t="str">
        <f t="shared" si="68"/>
        <v>count</v>
      </c>
      <c r="I874" s="197"/>
      <c r="J874" s="197"/>
      <c r="K874" s="197"/>
      <c r="L874" s="197"/>
      <c r="M874" s="197"/>
      <c r="N874" s="197"/>
      <c r="O874" s="197"/>
      <c r="P874" s="197"/>
      <c r="Q874" s="197"/>
      <c r="R874" s="197"/>
      <c r="S874" s="197"/>
      <c r="T874" s="197"/>
      <c r="U874" s="197"/>
      <c r="V874" s="197"/>
      <c r="W874" s="197"/>
      <c r="X874" s="197"/>
      <c r="Y874" s="197"/>
      <c r="Z874" s="197"/>
      <c r="AA874" s="197"/>
      <c r="AB874" s="197"/>
      <c r="AC874" s="197"/>
      <c r="AD874" s="197"/>
      <c r="AE874" s="197"/>
      <c r="AF874" s="197"/>
      <c r="AG874" s="197"/>
      <c r="AH874" s="197"/>
      <c r="AI874" s="197"/>
      <c r="AJ874" s="197"/>
      <c r="AK874" s="197"/>
      <c r="AL874" s="197"/>
    </row>
    <row r="875" spans="1:38">
      <c r="A875" s="11" t="str">
        <f t="shared" si="69"/>
        <v>05-941518132012</v>
      </c>
      <c r="B875" t="s">
        <v>433</v>
      </c>
      <c r="C875" t="s">
        <v>434</v>
      </c>
      <c r="D875">
        <v>2012</v>
      </c>
      <c r="E875" t="s">
        <v>105</v>
      </c>
      <c r="F875">
        <v>261439.51</v>
      </c>
      <c r="G875">
        <v>194</v>
      </c>
      <c r="H875" s="11" t="str">
        <f t="shared" si="68"/>
        <v>count</v>
      </c>
      <c r="I875" s="197"/>
      <c r="J875" s="197"/>
      <c r="K875" s="197"/>
      <c r="L875" s="197"/>
      <c r="M875" s="197"/>
      <c r="N875" s="197"/>
      <c r="O875" s="197"/>
      <c r="P875" s="197"/>
      <c r="Q875" s="197"/>
      <c r="R875" s="197"/>
      <c r="S875" s="197"/>
      <c r="T875" s="197"/>
      <c r="U875" s="197"/>
      <c r="V875" s="197"/>
      <c r="W875" s="197"/>
      <c r="X875" s="197"/>
      <c r="Y875" s="197"/>
      <c r="Z875" s="197"/>
      <c r="AA875" s="197"/>
      <c r="AB875" s="197"/>
      <c r="AC875" s="197"/>
      <c r="AD875" s="197"/>
      <c r="AE875" s="197"/>
      <c r="AF875" s="197"/>
      <c r="AG875" s="197"/>
      <c r="AH875" s="197"/>
      <c r="AI875" s="197"/>
      <c r="AJ875" s="197"/>
      <c r="AK875" s="197"/>
      <c r="AL875" s="197"/>
    </row>
    <row r="876" spans="1:38">
      <c r="A876" s="11" t="str">
        <f t="shared" si="69"/>
        <v>05-964623282012</v>
      </c>
      <c r="B876" t="s">
        <v>448</v>
      </c>
      <c r="C876" t="s">
        <v>449</v>
      </c>
      <c r="D876">
        <v>2012</v>
      </c>
      <c r="E876" t="s">
        <v>104</v>
      </c>
      <c r="F876">
        <v>5372.84</v>
      </c>
      <c r="G876">
        <v>25</v>
      </c>
      <c r="H876" s="11" t="str">
        <f t="shared" si="68"/>
        <v>volume</v>
      </c>
      <c r="I876" s="197"/>
      <c r="J876" s="197"/>
      <c r="K876" s="197"/>
      <c r="L876" s="197"/>
      <c r="M876" s="197"/>
      <c r="N876" s="197"/>
      <c r="O876" s="197"/>
      <c r="P876" s="197"/>
      <c r="Q876" s="197"/>
      <c r="R876" s="197"/>
      <c r="S876" s="197"/>
      <c r="T876" s="197"/>
      <c r="U876" s="197"/>
      <c r="V876" s="197"/>
      <c r="W876" s="197"/>
      <c r="X876" s="197"/>
      <c r="Y876" s="197"/>
      <c r="Z876" s="197"/>
      <c r="AA876" s="197"/>
      <c r="AB876" s="197"/>
      <c r="AC876" s="197"/>
      <c r="AD876" s="197"/>
      <c r="AE876" s="197"/>
      <c r="AF876" s="197"/>
      <c r="AG876" s="197"/>
      <c r="AH876" s="197"/>
      <c r="AI876" s="197"/>
      <c r="AJ876" s="197"/>
      <c r="AK876" s="197"/>
      <c r="AL876" s="197"/>
    </row>
    <row r="877" spans="1:38">
      <c r="A877" s="11" t="str">
        <f t="shared" si="69"/>
        <v>05-964623282012</v>
      </c>
      <c r="B877" t="s">
        <v>448</v>
      </c>
      <c r="C877" t="s">
        <v>449</v>
      </c>
      <c r="D877">
        <v>2012</v>
      </c>
      <c r="E877" t="s">
        <v>63</v>
      </c>
      <c r="F877">
        <v>6092.91</v>
      </c>
      <c r="G877">
        <v>22</v>
      </c>
      <c r="H877" s="11" t="str">
        <f t="shared" si="68"/>
        <v>count</v>
      </c>
      <c r="I877" s="197"/>
      <c r="J877" s="197"/>
      <c r="K877" s="197"/>
      <c r="L877" s="197"/>
      <c r="M877" s="197"/>
      <c r="N877" s="197"/>
      <c r="O877" s="197"/>
      <c r="P877" s="197"/>
      <c r="Q877" s="197"/>
      <c r="R877" s="197"/>
      <c r="S877" s="197"/>
      <c r="T877" s="197"/>
      <c r="U877" s="197"/>
      <c r="V877" s="197"/>
      <c r="W877" s="197"/>
      <c r="X877" s="197"/>
      <c r="Y877" s="197"/>
      <c r="Z877" s="197"/>
      <c r="AA877" s="197"/>
      <c r="AB877" s="197"/>
      <c r="AC877" s="197"/>
      <c r="AD877" s="197"/>
      <c r="AE877" s="197"/>
      <c r="AF877" s="197"/>
      <c r="AG877" s="197"/>
      <c r="AH877" s="197"/>
      <c r="AI877" s="197"/>
      <c r="AJ877" s="197"/>
      <c r="AK877" s="197"/>
      <c r="AL877" s="197"/>
    </row>
    <row r="878" spans="1:38">
      <c r="A878" s="11" t="str">
        <f t="shared" si="69"/>
        <v>05-964623282012</v>
      </c>
      <c r="B878" t="s">
        <v>448</v>
      </c>
      <c r="C878" t="s">
        <v>449</v>
      </c>
      <c r="D878">
        <v>2012</v>
      </c>
      <c r="E878" t="s">
        <v>69</v>
      </c>
      <c r="F878">
        <v>4744.8999999999996</v>
      </c>
      <c r="G878">
        <v>20</v>
      </c>
      <c r="H878" s="11" t="str">
        <f t="shared" si="68"/>
        <v>count</v>
      </c>
      <c r="I878" s="197"/>
      <c r="J878" s="197"/>
      <c r="K878" s="197"/>
      <c r="L878" s="197"/>
      <c r="M878" s="197"/>
      <c r="N878" s="197"/>
      <c r="O878" s="197"/>
      <c r="P878" s="197"/>
      <c r="Q878" s="197"/>
      <c r="R878" s="197"/>
      <c r="S878" s="197"/>
      <c r="T878" s="197"/>
      <c r="U878" s="197"/>
      <c r="V878" s="197"/>
      <c r="W878" s="197"/>
      <c r="X878" s="197"/>
      <c r="Y878" s="197"/>
      <c r="Z878" s="197"/>
      <c r="AA878" s="197"/>
      <c r="AB878" s="197"/>
      <c r="AC878" s="197"/>
      <c r="AD878" s="197"/>
      <c r="AE878" s="197"/>
      <c r="AF878" s="197"/>
      <c r="AG878" s="197"/>
      <c r="AH878" s="197"/>
      <c r="AI878" s="197"/>
      <c r="AJ878" s="197"/>
      <c r="AK878" s="197"/>
      <c r="AL878" s="197"/>
    </row>
    <row r="879" spans="1:38">
      <c r="A879" s="11" t="str">
        <f t="shared" si="69"/>
        <v>05-964623282013</v>
      </c>
      <c r="B879" t="s">
        <v>448</v>
      </c>
      <c r="C879" t="s">
        <v>449</v>
      </c>
      <c r="D879">
        <v>2013</v>
      </c>
      <c r="E879" t="s">
        <v>69</v>
      </c>
      <c r="F879">
        <v>20133.830000000002</v>
      </c>
      <c r="G879">
        <v>76</v>
      </c>
      <c r="H879" s="11" t="str">
        <f t="shared" si="68"/>
        <v>count</v>
      </c>
      <c r="I879" s="197"/>
      <c r="J879" s="197"/>
      <c r="K879" s="197"/>
      <c r="L879" s="197"/>
      <c r="M879" s="197"/>
      <c r="N879" s="197"/>
      <c r="O879" s="197"/>
      <c r="P879" s="197"/>
      <c r="Q879" s="197"/>
      <c r="R879" s="197"/>
      <c r="S879" s="197"/>
      <c r="T879" s="197"/>
      <c r="U879" s="197"/>
      <c r="V879" s="197"/>
      <c r="W879" s="197"/>
      <c r="X879" s="197"/>
      <c r="Y879" s="197"/>
      <c r="Z879" s="197"/>
      <c r="AA879" s="197"/>
      <c r="AB879" s="197"/>
      <c r="AC879" s="197"/>
      <c r="AD879" s="197"/>
      <c r="AE879" s="197"/>
      <c r="AF879" s="197"/>
      <c r="AG879" s="197"/>
      <c r="AH879" s="197"/>
      <c r="AI879" s="197"/>
      <c r="AJ879" s="197"/>
      <c r="AK879" s="197"/>
      <c r="AL879" s="197"/>
    </row>
    <row r="880" spans="1:38">
      <c r="A880" s="11" t="str">
        <f t="shared" si="69"/>
        <v>05-964623282013</v>
      </c>
      <c r="B880" t="s">
        <v>448</v>
      </c>
      <c r="C880" t="s">
        <v>449</v>
      </c>
      <c r="D880">
        <v>2013</v>
      </c>
      <c r="E880" t="s">
        <v>63</v>
      </c>
      <c r="F880">
        <v>26844.76</v>
      </c>
      <c r="G880">
        <v>111</v>
      </c>
      <c r="H880" s="11" t="str">
        <f t="shared" si="68"/>
        <v>count</v>
      </c>
      <c r="I880" s="197"/>
      <c r="J880" s="197"/>
      <c r="K880" s="197"/>
      <c r="L880" s="197"/>
      <c r="M880" s="197"/>
      <c r="N880" s="197"/>
      <c r="O880" s="197"/>
      <c r="P880" s="197"/>
      <c r="Q880" s="197"/>
      <c r="R880" s="197"/>
      <c r="S880" s="197"/>
      <c r="T880" s="197"/>
      <c r="U880" s="197"/>
      <c r="V880" s="197"/>
      <c r="W880" s="197"/>
      <c r="X880" s="197"/>
      <c r="Y880" s="197"/>
      <c r="Z880" s="197"/>
      <c r="AA880" s="197"/>
      <c r="AB880" s="197"/>
      <c r="AC880" s="197"/>
      <c r="AD880" s="197"/>
      <c r="AE880" s="197"/>
      <c r="AF880" s="197"/>
      <c r="AG880" s="197"/>
      <c r="AH880" s="197"/>
      <c r="AI880" s="197"/>
      <c r="AJ880" s="197"/>
      <c r="AK880" s="197"/>
      <c r="AL880" s="197"/>
    </row>
    <row r="881" spans="1:38">
      <c r="A881" s="11" t="str">
        <f t="shared" si="69"/>
        <v>05-964623282012</v>
      </c>
      <c r="B881" t="s">
        <v>448</v>
      </c>
      <c r="C881" t="s">
        <v>449</v>
      </c>
      <c r="D881">
        <v>2012</v>
      </c>
      <c r="E881" t="s">
        <v>164</v>
      </c>
      <c r="F881">
        <v>866.36</v>
      </c>
      <c r="G881">
        <v>3</v>
      </c>
      <c r="H881" s="11" t="str">
        <f t="shared" si="68"/>
        <v>count</v>
      </c>
      <c r="I881" s="197"/>
      <c r="J881" s="197"/>
      <c r="K881" s="197"/>
      <c r="L881" s="197"/>
      <c r="M881" s="197"/>
      <c r="N881" s="197"/>
      <c r="O881" s="197"/>
      <c r="P881" s="197"/>
      <c r="Q881" s="197"/>
      <c r="R881" s="197"/>
      <c r="S881" s="197"/>
      <c r="T881" s="197"/>
      <c r="U881" s="197"/>
      <c r="V881" s="197"/>
      <c r="W881" s="197"/>
      <c r="X881" s="197"/>
      <c r="Y881" s="197"/>
      <c r="Z881" s="197"/>
      <c r="AA881" s="197"/>
      <c r="AB881" s="197"/>
      <c r="AC881" s="197"/>
      <c r="AD881" s="197"/>
      <c r="AE881" s="197"/>
      <c r="AF881" s="197"/>
      <c r="AG881" s="197"/>
      <c r="AH881" s="197"/>
      <c r="AI881" s="197"/>
      <c r="AJ881" s="197"/>
      <c r="AK881" s="197"/>
      <c r="AL881" s="197"/>
    </row>
    <row r="882" spans="1:38">
      <c r="A882" s="11" t="str">
        <f t="shared" si="69"/>
        <v>05-964623282013</v>
      </c>
      <c r="B882" t="s">
        <v>448</v>
      </c>
      <c r="C882" t="s">
        <v>449</v>
      </c>
      <c r="D882">
        <v>2013</v>
      </c>
      <c r="E882" t="s">
        <v>104</v>
      </c>
      <c r="F882">
        <v>12070.25</v>
      </c>
      <c r="G882">
        <v>55</v>
      </c>
      <c r="H882" s="11" t="str">
        <f t="shared" si="68"/>
        <v>count</v>
      </c>
      <c r="I882" s="197"/>
      <c r="J882" s="197"/>
      <c r="K882" s="197"/>
      <c r="L882" s="197"/>
      <c r="M882" s="197"/>
      <c r="N882" s="197"/>
      <c r="O882" s="197"/>
      <c r="P882" s="197"/>
      <c r="Q882" s="197"/>
      <c r="R882" s="197"/>
      <c r="S882" s="197"/>
      <c r="T882" s="197"/>
      <c r="U882" s="197"/>
      <c r="V882" s="197"/>
      <c r="W882" s="197"/>
      <c r="X882" s="197"/>
      <c r="Y882" s="197"/>
      <c r="Z882" s="197"/>
      <c r="AA882" s="197"/>
      <c r="AB882" s="197"/>
      <c r="AC882" s="197"/>
      <c r="AD882" s="197"/>
      <c r="AE882" s="197"/>
      <c r="AF882" s="197"/>
      <c r="AG882" s="197"/>
      <c r="AH882" s="197"/>
      <c r="AI882" s="197"/>
      <c r="AJ882" s="197"/>
      <c r="AK882" s="197"/>
      <c r="AL882" s="197"/>
    </row>
    <row r="883" spans="1:38">
      <c r="A883" s="11" t="str">
        <f t="shared" si="69"/>
        <v>05-964914742013</v>
      </c>
      <c r="B883" t="s">
        <v>453</v>
      </c>
      <c r="C883" t="s">
        <v>454</v>
      </c>
      <c r="D883">
        <v>2013</v>
      </c>
      <c r="E883" t="s">
        <v>69</v>
      </c>
      <c r="F883">
        <v>198862.7</v>
      </c>
      <c r="G883">
        <v>759</v>
      </c>
      <c r="H883" s="11" t="str">
        <f t="shared" si="68"/>
        <v>volume</v>
      </c>
      <c r="I883" s="197"/>
      <c r="J883" s="197"/>
      <c r="K883" s="197"/>
      <c r="L883" s="197"/>
      <c r="M883" s="197"/>
      <c r="N883" s="197"/>
      <c r="O883" s="197"/>
      <c r="P883" s="197"/>
      <c r="Q883" s="197"/>
      <c r="R883" s="197"/>
      <c r="S883" s="197"/>
      <c r="T883" s="197"/>
      <c r="U883" s="197"/>
      <c r="V883" s="197"/>
      <c r="W883" s="197"/>
      <c r="X883" s="197"/>
      <c r="Y883" s="197"/>
      <c r="Z883" s="197"/>
      <c r="AA883" s="197"/>
      <c r="AB883" s="197"/>
      <c r="AC883" s="197"/>
      <c r="AD883" s="197"/>
      <c r="AE883" s="197"/>
      <c r="AF883" s="197"/>
      <c r="AG883" s="197"/>
      <c r="AH883" s="197"/>
      <c r="AI883" s="197"/>
      <c r="AJ883" s="197"/>
      <c r="AK883" s="197"/>
      <c r="AL883" s="197"/>
    </row>
    <row r="884" spans="1:38">
      <c r="A884" s="11" t="str">
        <f t="shared" si="69"/>
        <v>05-964914742013</v>
      </c>
      <c r="B884" t="s">
        <v>453</v>
      </c>
      <c r="C884" t="s">
        <v>454</v>
      </c>
      <c r="D884">
        <v>2013</v>
      </c>
      <c r="E884" t="s">
        <v>104</v>
      </c>
      <c r="F884">
        <v>80085.84</v>
      </c>
      <c r="G884">
        <v>299</v>
      </c>
      <c r="H884" s="11" t="str">
        <f t="shared" si="68"/>
        <v>count</v>
      </c>
      <c r="I884" s="197"/>
      <c r="J884" s="197"/>
      <c r="K884" s="197"/>
      <c r="L884" s="197"/>
      <c r="M884" s="197"/>
      <c r="N884" s="197"/>
      <c r="O884" s="197"/>
      <c r="P884" s="197"/>
      <c r="Q884" s="197"/>
      <c r="R884" s="197"/>
      <c r="S884" s="197"/>
      <c r="T884" s="197"/>
      <c r="U884" s="197"/>
      <c r="V884" s="197"/>
      <c r="W884" s="197"/>
      <c r="X884" s="197"/>
      <c r="Y884" s="197"/>
      <c r="Z884" s="197"/>
      <c r="AA884" s="197"/>
      <c r="AB884" s="197"/>
      <c r="AC884" s="197"/>
      <c r="AD884" s="197"/>
      <c r="AE884" s="197"/>
      <c r="AF884" s="197"/>
      <c r="AG884" s="197"/>
      <c r="AH884" s="197"/>
      <c r="AI884" s="197"/>
      <c r="AJ884" s="197"/>
      <c r="AK884" s="197"/>
      <c r="AL884" s="197"/>
    </row>
    <row r="885" spans="1:38">
      <c r="A885" s="11" t="str">
        <f t="shared" si="69"/>
        <v>05-964914742013</v>
      </c>
      <c r="B885" t="s">
        <v>453</v>
      </c>
      <c r="C885" t="s">
        <v>454</v>
      </c>
      <c r="D885">
        <v>2013</v>
      </c>
      <c r="E885" t="s">
        <v>63</v>
      </c>
      <c r="F885">
        <v>141899.76999999999</v>
      </c>
      <c r="G885">
        <v>517</v>
      </c>
      <c r="H885" s="11" t="str">
        <f t="shared" si="68"/>
        <v>count</v>
      </c>
      <c r="I885" s="197"/>
      <c r="J885" s="197"/>
      <c r="K885" s="197"/>
      <c r="L885" s="197"/>
      <c r="M885" s="197"/>
      <c r="N885" s="197"/>
      <c r="O885" s="197"/>
      <c r="P885" s="197"/>
      <c r="Q885" s="197"/>
      <c r="R885" s="197"/>
      <c r="S885" s="197"/>
      <c r="T885" s="197"/>
      <c r="U885" s="197"/>
      <c r="V885" s="197"/>
      <c r="W885" s="197"/>
      <c r="X885" s="197"/>
      <c r="Y885" s="197"/>
      <c r="Z885" s="197"/>
      <c r="AA885" s="197"/>
      <c r="AB885" s="197"/>
      <c r="AC885" s="197"/>
      <c r="AD885" s="197"/>
      <c r="AE885" s="197"/>
      <c r="AF885" s="197"/>
      <c r="AG885" s="197"/>
      <c r="AH885" s="197"/>
      <c r="AI885" s="197"/>
      <c r="AJ885" s="197"/>
      <c r="AK885" s="197"/>
      <c r="AL885" s="197"/>
    </row>
    <row r="886" spans="1:38">
      <c r="A886" s="11" t="str">
        <f t="shared" si="69"/>
        <v>05-964914742012</v>
      </c>
      <c r="B886" t="s">
        <v>453</v>
      </c>
      <c r="C886" t="s">
        <v>454</v>
      </c>
      <c r="D886">
        <v>2012</v>
      </c>
      <c r="E886" t="s">
        <v>104</v>
      </c>
      <c r="F886">
        <v>37411.730000000003</v>
      </c>
      <c r="G886">
        <v>132</v>
      </c>
      <c r="H886" s="11" t="str">
        <f t="shared" si="68"/>
        <v>count</v>
      </c>
      <c r="I886" s="197"/>
      <c r="J886" s="197"/>
      <c r="K886" s="197"/>
      <c r="L886" s="197"/>
      <c r="M886" s="197"/>
      <c r="N886" s="197"/>
      <c r="O886" s="197"/>
      <c r="P886" s="197"/>
      <c r="Q886" s="197"/>
      <c r="R886" s="197"/>
      <c r="S886" s="197"/>
      <c r="T886" s="197"/>
      <c r="U886" s="197"/>
      <c r="V886" s="197"/>
      <c r="W886" s="197"/>
      <c r="X886" s="197"/>
      <c r="Y886" s="197"/>
      <c r="Z886" s="197"/>
      <c r="AA886" s="197"/>
      <c r="AB886" s="197"/>
      <c r="AC886" s="197"/>
      <c r="AD886" s="197"/>
      <c r="AE886" s="197"/>
      <c r="AF886" s="197"/>
      <c r="AG886" s="197"/>
      <c r="AH886" s="197"/>
      <c r="AI886" s="197"/>
      <c r="AJ886" s="197"/>
      <c r="AK886" s="197"/>
      <c r="AL886" s="197"/>
    </row>
    <row r="887" spans="1:38">
      <c r="A887" s="11" t="str">
        <f t="shared" si="69"/>
        <v>05-964914742012</v>
      </c>
      <c r="B887" t="s">
        <v>453</v>
      </c>
      <c r="C887" t="s">
        <v>454</v>
      </c>
      <c r="D887">
        <v>2012</v>
      </c>
      <c r="E887" t="s">
        <v>63</v>
      </c>
      <c r="F887">
        <v>51349.17</v>
      </c>
      <c r="G887">
        <v>205</v>
      </c>
      <c r="H887" s="11" t="str">
        <f t="shared" si="68"/>
        <v>count</v>
      </c>
      <c r="I887" s="197"/>
      <c r="J887" s="197"/>
      <c r="K887" s="197"/>
      <c r="L887" s="197"/>
      <c r="M887" s="197"/>
      <c r="N887" s="197"/>
      <c r="O887" s="197"/>
      <c r="P887" s="197"/>
      <c r="Q887" s="197"/>
      <c r="R887" s="197"/>
      <c r="S887" s="197"/>
      <c r="T887" s="197"/>
      <c r="U887" s="197"/>
      <c r="V887" s="197"/>
      <c r="W887" s="197"/>
      <c r="X887" s="197"/>
      <c r="Y887" s="197"/>
      <c r="Z887" s="197"/>
      <c r="AA887" s="197"/>
      <c r="AB887" s="197"/>
      <c r="AC887" s="197"/>
      <c r="AD887" s="197"/>
      <c r="AE887" s="197"/>
      <c r="AF887" s="197"/>
      <c r="AG887" s="197"/>
      <c r="AH887" s="197"/>
      <c r="AI887" s="197"/>
      <c r="AJ887" s="197"/>
      <c r="AK887" s="197"/>
      <c r="AL887" s="197"/>
    </row>
    <row r="888" spans="1:38">
      <c r="A888" s="11" t="str">
        <f t="shared" si="69"/>
        <v>05-964914742012</v>
      </c>
      <c r="B888" t="s">
        <v>453</v>
      </c>
      <c r="C888" t="s">
        <v>454</v>
      </c>
      <c r="D888">
        <v>2012</v>
      </c>
      <c r="E888" t="s">
        <v>69</v>
      </c>
      <c r="F888">
        <v>51449.63</v>
      </c>
      <c r="G888">
        <v>206</v>
      </c>
      <c r="H888" s="11" t="str">
        <f t="shared" si="68"/>
        <v>count</v>
      </c>
      <c r="I888" s="197"/>
      <c r="J888" s="197"/>
      <c r="K888" s="197"/>
      <c r="L888" s="197"/>
      <c r="M888" s="197"/>
      <c r="N888" s="197"/>
      <c r="O888" s="197"/>
      <c r="P888" s="197"/>
      <c r="Q888" s="197"/>
      <c r="R888" s="197"/>
      <c r="S888" s="197"/>
      <c r="T888" s="197"/>
      <c r="U888" s="197"/>
      <c r="V888" s="197"/>
      <c r="W888" s="197"/>
      <c r="X888" s="197"/>
      <c r="Y888" s="197"/>
      <c r="Z888" s="197"/>
      <c r="AA888" s="197"/>
      <c r="AB888" s="197"/>
      <c r="AC888" s="197"/>
      <c r="AD888" s="197"/>
      <c r="AE888" s="197"/>
      <c r="AF888" s="197"/>
      <c r="AG888" s="197"/>
      <c r="AH888" s="197"/>
      <c r="AI888" s="197"/>
      <c r="AJ888" s="197"/>
      <c r="AK888" s="197"/>
      <c r="AL888" s="197"/>
    </row>
    <row r="889" spans="1:38">
      <c r="A889" s="11" t="str">
        <f t="shared" si="69"/>
        <v>05-964914742012</v>
      </c>
      <c r="B889" t="s">
        <v>453</v>
      </c>
      <c r="C889" t="s">
        <v>454</v>
      </c>
      <c r="D889">
        <v>2012</v>
      </c>
      <c r="E889" t="s">
        <v>164</v>
      </c>
      <c r="F889">
        <v>1236.3499999999999</v>
      </c>
      <c r="G889">
        <v>4</v>
      </c>
      <c r="H889" s="11" t="str">
        <f t="shared" si="68"/>
        <v>count</v>
      </c>
      <c r="I889" s="197"/>
      <c r="J889" s="197"/>
      <c r="K889" s="197"/>
      <c r="L889" s="197"/>
      <c r="M889" s="197"/>
      <c r="N889" s="197"/>
      <c r="O889" s="197"/>
      <c r="P889" s="197"/>
      <c r="Q889" s="197"/>
      <c r="R889" s="197"/>
      <c r="S889" s="197"/>
      <c r="T889" s="197"/>
      <c r="U889" s="197"/>
      <c r="V889" s="197"/>
      <c r="W889" s="197"/>
      <c r="X889" s="197"/>
      <c r="Y889" s="197"/>
      <c r="Z889" s="197"/>
      <c r="AA889" s="197"/>
      <c r="AB889" s="197"/>
      <c r="AC889" s="197"/>
      <c r="AD889" s="197"/>
      <c r="AE889" s="197"/>
      <c r="AF889" s="197"/>
      <c r="AG889" s="197"/>
      <c r="AH889" s="197"/>
      <c r="AI889" s="197"/>
      <c r="AJ889" s="197"/>
      <c r="AK889" s="197"/>
      <c r="AL889" s="197"/>
    </row>
    <row r="890" spans="1:38">
      <c r="A890" s="11" t="str">
        <f t="shared" si="69"/>
        <v>05-966416112012</v>
      </c>
      <c r="B890" t="s">
        <v>457</v>
      </c>
      <c r="C890" t="s">
        <v>458</v>
      </c>
      <c r="D890">
        <v>2012</v>
      </c>
      <c r="E890" t="s">
        <v>105</v>
      </c>
      <c r="F890">
        <v>131311.29</v>
      </c>
      <c r="G890">
        <v>401</v>
      </c>
      <c r="H890" s="11" t="str">
        <f t="shared" si="68"/>
        <v>volume</v>
      </c>
      <c r="I890" s="197"/>
      <c r="J890" s="197"/>
      <c r="K890" s="197"/>
      <c r="L890" s="197"/>
      <c r="M890" s="197"/>
      <c r="N890" s="197"/>
      <c r="O890" s="197"/>
      <c r="P890" s="197"/>
      <c r="Q890" s="197"/>
      <c r="R890" s="197"/>
      <c r="S890" s="197"/>
      <c r="T890" s="197"/>
      <c r="U890" s="197"/>
      <c r="V890" s="197"/>
      <c r="W890" s="197"/>
      <c r="X890" s="197"/>
      <c r="Y890" s="197"/>
      <c r="Z890" s="197"/>
      <c r="AA890" s="197"/>
      <c r="AB890" s="197"/>
      <c r="AC890" s="197"/>
      <c r="AD890" s="197"/>
      <c r="AE890" s="197"/>
      <c r="AF890" s="197"/>
      <c r="AG890" s="197"/>
      <c r="AH890" s="197"/>
      <c r="AI890" s="197"/>
      <c r="AJ890" s="197"/>
      <c r="AK890" s="197"/>
      <c r="AL890" s="197"/>
    </row>
    <row r="891" spans="1:38">
      <c r="A891" s="11" t="str">
        <f t="shared" si="69"/>
        <v>05-966416112012</v>
      </c>
      <c r="B891" t="s">
        <v>457</v>
      </c>
      <c r="C891" t="s">
        <v>458</v>
      </c>
      <c r="D891">
        <v>2012</v>
      </c>
      <c r="E891" t="s">
        <v>133</v>
      </c>
      <c r="F891">
        <v>246704.18</v>
      </c>
      <c r="G891">
        <v>641</v>
      </c>
      <c r="H891" s="11" t="str">
        <f t="shared" si="68"/>
        <v>count</v>
      </c>
      <c r="I891" s="197"/>
      <c r="J891" s="197"/>
      <c r="K891" s="197"/>
      <c r="L891" s="197"/>
      <c r="M891" s="197"/>
      <c r="N891" s="197"/>
      <c r="O891" s="197"/>
      <c r="P891" s="197"/>
      <c r="Q891" s="197"/>
      <c r="R891" s="197"/>
      <c r="S891" s="197"/>
      <c r="T891" s="197"/>
      <c r="U891" s="197"/>
      <c r="V891" s="197"/>
      <c r="W891" s="197"/>
      <c r="X891" s="197"/>
      <c r="Y891" s="197"/>
      <c r="Z891" s="197"/>
      <c r="AA891" s="197"/>
      <c r="AB891" s="197"/>
      <c r="AC891" s="197"/>
      <c r="AD891" s="197"/>
      <c r="AE891" s="197"/>
      <c r="AF891" s="197"/>
      <c r="AG891" s="197"/>
      <c r="AH891" s="197"/>
      <c r="AI891" s="197"/>
      <c r="AJ891" s="197"/>
      <c r="AK891" s="197"/>
      <c r="AL891" s="197"/>
    </row>
    <row r="892" spans="1:38">
      <c r="A892" s="11" t="str">
        <f t="shared" si="69"/>
        <v>05-966416112012</v>
      </c>
      <c r="B892" t="s">
        <v>457</v>
      </c>
      <c r="C892" t="s">
        <v>458</v>
      </c>
      <c r="D892">
        <v>2012</v>
      </c>
      <c r="E892" t="s">
        <v>69</v>
      </c>
      <c r="F892">
        <v>538650.89</v>
      </c>
      <c r="G892">
        <v>1805</v>
      </c>
      <c r="H892" s="11" t="str">
        <f t="shared" si="68"/>
        <v>count</v>
      </c>
      <c r="I892" s="197"/>
      <c r="J892" s="197"/>
      <c r="K892" s="197"/>
      <c r="L892" s="197"/>
      <c r="M892" s="197"/>
      <c r="N892" s="197"/>
      <c r="O892" s="197"/>
      <c r="P892" s="197"/>
      <c r="Q892" s="197"/>
      <c r="R892" s="197"/>
      <c r="S892" s="197"/>
      <c r="T892" s="197"/>
      <c r="U892" s="197"/>
      <c r="V892" s="197"/>
      <c r="W892" s="197"/>
      <c r="X892" s="197"/>
      <c r="Y892" s="197"/>
      <c r="Z892" s="197"/>
      <c r="AA892" s="197"/>
      <c r="AB892" s="197"/>
      <c r="AC892" s="197"/>
      <c r="AD892" s="197"/>
      <c r="AE892" s="197"/>
      <c r="AF892" s="197"/>
      <c r="AG892" s="197"/>
      <c r="AH892" s="197"/>
      <c r="AI892" s="197"/>
      <c r="AJ892" s="197"/>
      <c r="AK892" s="197"/>
      <c r="AL892" s="197"/>
    </row>
    <row r="893" spans="1:38">
      <c r="A893" s="11" t="str">
        <f t="shared" si="69"/>
        <v>05-966416112013</v>
      </c>
      <c r="B893" t="s">
        <v>457</v>
      </c>
      <c r="C893" t="s">
        <v>458</v>
      </c>
      <c r="D893">
        <v>2013</v>
      </c>
      <c r="E893" t="s">
        <v>105</v>
      </c>
      <c r="F893">
        <v>154852.73000000001</v>
      </c>
      <c r="G893">
        <v>465</v>
      </c>
      <c r="H893" s="11" t="str">
        <f t="shared" si="68"/>
        <v>count</v>
      </c>
      <c r="I893" s="197"/>
      <c r="J893" s="197"/>
      <c r="K893" s="197"/>
      <c r="L893" s="197"/>
      <c r="M893" s="197"/>
      <c r="N893" s="197"/>
      <c r="O893" s="197"/>
      <c r="P893" s="197"/>
      <c r="Q893" s="197"/>
      <c r="R893" s="197"/>
      <c r="S893" s="197"/>
      <c r="T893" s="197"/>
      <c r="U893" s="197"/>
      <c r="V893" s="197"/>
      <c r="W893" s="197"/>
      <c r="X893" s="197"/>
      <c r="Y893" s="197"/>
      <c r="Z893" s="197"/>
      <c r="AA893" s="197"/>
      <c r="AB893" s="197"/>
      <c r="AC893" s="197"/>
      <c r="AD893" s="197"/>
      <c r="AE893" s="197"/>
      <c r="AF893" s="197"/>
      <c r="AG893" s="197"/>
      <c r="AH893" s="197"/>
      <c r="AI893" s="197"/>
      <c r="AJ893" s="197"/>
      <c r="AK893" s="197"/>
      <c r="AL893" s="197"/>
    </row>
    <row r="894" spans="1:38">
      <c r="A894" s="11" t="str">
        <f t="shared" si="69"/>
        <v>05-966416112012</v>
      </c>
      <c r="B894" t="s">
        <v>457</v>
      </c>
      <c r="C894" t="s">
        <v>458</v>
      </c>
      <c r="D894">
        <v>2012</v>
      </c>
      <c r="E894" t="s">
        <v>63</v>
      </c>
      <c r="F894">
        <v>675961.97</v>
      </c>
      <c r="G894">
        <v>2118</v>
      </c>
      <c r="H894" s="11" t="str">
        <f t="shared" si="68"/>
        <v>count</v>
      </c>
      <c r="I894" s="197"/>
      <c r="J894" s="197"/>
      <c r="K894" s="197"/>
      <c r="L894" s="197"/>
      <c r="M894" s="197"/>
      <c r="N894" s="197"/>
      <c r="O894" s="197"/>
      <c r="P894" s="197"/>
      <c r="Q894" s="197"/>
      <c r="R894" s="197"/>
      <c r="S894" s="197"/>
      <c r="T894" s="197"/>
      <c r="U894" s="197"/>
      <c r="V894" s="197"/>
      <c r="W894" s="197"/>
      <c r="X894" s="197"/>
      <c r="Y894" s="197"/>
      <c r="Z894" s="197"/>
      <c r="AA894" s="197"/>
      <c r="AB894" s="197"/>
      <c r="AC894" s="197"/>
      <c r="AD894" s="197"/>
      <c r="AE894" s="197"/>
      <c r="AF894" s="197"/>
      <c r="AG894" s="197"/>
      <c r="AH894" s="197"/>
      <c r="AI894" s="197"/>
      <c r="AJ894" s="197"/>
      <c r="AK894" s="197"/>
      <c r="AL894" s="197"/>
    </row>
    <row r="895" spans="1:38">
      <c r="A895" s="11" t="str">
        <f t="shared" si="69"/>
        <v>05-966416112013</v>
      </c>
      <c r="B895" t="s">
        <v>457</v>
      </c>
      <c r="C895" t="s">
        <v>458</v>
      </c>
      <c r="D895">
        <v>2013</v>
      </c>
      <c r="E895" t="s">
        <v>69</v>
      </c>
      <c r="F895">
        <v>860128.4</v>
      </c>
      <c r="G895">
        <v>2842</v>
      </c>
      <c r="H895" s="11" t="str">
        <f t="shared" si="68"/>
        <v>count</v>
      </c>
      <c r="I895" s="197"/>
      <c r="J895" s="197"/>
      <c r="K895" s="197"/>
      <c r="L895" s="197"/>
      <c r="M895" s="197"/>
      <c r="N895" s="197"/>
      <c r="O895" s="197"/>
      <c r="P895" s="197"/>
      <c r="Q895" s="197"/>
      <c r="R895" s="197"/>
      <c r="S895" s="197"/>
      <c r="T895" s="197"/>
      <c r="U895" s="197"/>
      <c r="V895" s="197"/>
      <c r="W895" s="197"/>
      <c r="X895" s="197"/>
      <c r="Y895" s="197"/>
      <c r="Z895" s="197"/>
      <c r="AA895" s="197"/>
      <c r="AB895" s="197"/>
      <c r="AC895" s="197"/>
      <c r="AD895" s="197"/>
      <c r="AE895" s="197"/>
      <c r="AF895" s="197"/>
      <c r="AG895" s="197"/>
      <c r="AH895" s="197"/>
      <c r="AI895" s="197"/>
      <c r="AJ895" s="197"/>
      <c r="AK895" s="197"/>
      <c r="AL895" s="197"/>
    </row>
    <row r="896" spans="1:38">
      <c r="A896" s="11" t="str">
        <f t="shared" si="69"/>
        <v>05-966416112013</v>
      </c>
      <c r="B896" t="s">
        <v>457</v>
      </c>
      <c r="C896" t="s">
        <v>458</v>
      </c>
      <c r="D896">
        <v>2013</v>
      </c>
      <c r="E896" t="s">
        <v>133</v>
      </c>
      <c r="F896">
        <v>263199.43</v>
      </c>
      <c r="G896">
        <v>625</v>
      </c>
      <c r="H896" s="11" t="str">
        <f t="shared" si="68"/>
        <v>count</v>
      </c>
      <c r="I896" s="197"/>
      <c r="J896" s="197"/>
      <c r="K896" s="197"/>
      <c r="L896" s="197"/>
      <c r="M896" s="197"/>
      <c r="N896" s="197"/>
      <c r="O896" s="197"/>
      <c r="P896" s="197"/>
      <c r="Q896" s="197"/>
      <c r="R896" s="197"/>
      <c r="S896" s="197"/>
      <c r="T896" s="197"/>
      <c r="U896" s="197"/>
      <c r="V896" s="197"/>
      <c r="W896" s="197"/>
      <c r="X896" s="197"/>
      <c r="Y896" s="197"/>
      <c r="Z896" s="197"/>
      <c r="AA896" s="197"/>
      <c r="AB896" s="197"/>
      <c r="AC896" s="197"/>
      <c r="AD896" s="197"/>
      <c r="AE896" s="197"/>
      <c r="AF896" s="197"/>
      <c r="AG896" s="197"/>
      <c r="AH896" s="197"/>
      <c r="AI896" s="197"/>
      <c r="AJ896" s="197"/>
      <c r="AK896" s="197"/>
      <c r="AL896" s="197"/>
    </row>
    <row r="897" spans="1:38">
      <c r="A897" s="11" t="str">
        <f t="shared" si="69"/>
        <v>05-966416112012</v>
      </c>
      <c r="B897" t="s">
        <v>457</v>
      </c>
      <c r="C897" t="s">
        <v>458</v>
      </c>
      <c r="D897">
        <v>2012</v>
      </c>
      <c r="E897" t="s">
        <v>104</v>
      </c>
      <c r="F897">
        <v>629338.11</v>
      </c>
      <c r="G897">
        <v>1971</v>
      </c>
      <c r="H897" s="11" t="str">
        <f t="shared" si="68"/>
        <v>count</v>
      </c>
      <c r="I897" s="197"/>
      <c r="J897" s="197"/>
      <c r="K897" s="197"/>
      <c r="L897" s="197"/>
      <c r="M897" s="197"/>
      <c r="N897" s="197"/>
      <c r="O897" s="197"/>
      <c r="P897" s="197"/>
      <c r="Q897" s="197"/>
      <c r="R897" s="197"/>
      <c r="S897" s="197"/>
      <c r="T897" s="197"/>
      <c r="U897" s="197"/>
      <c r="V897" s="197"/>
      <c r="W897" s="197"/>
      <c r="X897" s="197"/>
      <c r="Y897" s="197"/>
      <c r="Z897" s="197"/>
      <c r="AA897" s="197"/>
      <c r="AB897" s="197"/>
      <c r="AC897" s="197"/>
      <c r="AD897" s="197"/>
      <c r="AE897" s="197"/>
      <c r="AF897" s="197"/>
      <c r="AG897" s="197"/>
      <c r="AH897" s="197"/>
      <c r="AI897" s="197"/>
      <c r="AJ897" s="197"/>
      <c r="AK897" s="197"/>
      <c r="AL897" s="197"/>
    </row>
    <row r="898" spans="1:38">
      <c r="A898" s="11" t="str">
        <f t="shared" si="69"/>
        <v>05-966416112012</v>
      </c>
      <c r="B898" t="s">
        <v>457</v>
      </c>
      <c r="C898" t="s">
        <v>458</v>
      </c>
      <c r="D898">
        <v>2012</v>
      </c>
      <c r="E898" t="s">
        <v>106</v>
      </c>
      <c r="F898">
        <v>154.13999999999999</v>
      </c>
      <c r="G898">
        <v>1</v>
      </c>
      <c r="H898" s="11" t="str">
        <f t="shared" ref="H898:H961" si="70">IF(B898=B897,"count","volume")</f>
        <v>count</v>
      </c>
      <c r="I898" s="197"/>
      <c r="J898" s="197"/>
      <c r="K898" s="197"/>
      <c r="L898" s="197"/>
      <c r="M898" s="197"/>
      <c r="N898" s="197"/>
      <c r="O898" s="197"/>
      <c r="P898" s="197"/>
      <c r="Q898" s="197"/>
      <c r="R898" s="197"/>
      <c r="S898" s="197"/>
      <c r="T898" s="197"/>
      <c r="U898" s="197"/>
      <c r="V898" s="197"/>
      <c r="W898" s="197"/>
      <c r="X898" s="197"/>
      <c r="Y898" s="197"/>
      <c r="Z898" s="197"/>
      <c r="AA898" s="197"/>
      <c r="AB898" s="197"/>
      <c r="AC898" s="197"/>
      <c r="AD898" s="197"/>
      <c r="AE898" s="197"/>
      <c r="AF898" s="197"/>
      <c r="AG898" s="197"/>
      <c r="AH898" s="197"/>
      <c r="AI898" s="197"/>
      <c r="AJ898" s="197"/>
      <c r="AK898" s="197"/>
      <c r="AL898" s="197"/>
    </row>
    <row r="899" spans="1:38">
      <c r="A899" s="11" t="str">
        <f t="shared" ref="A899:A962" si="71">B899&amp;D899</f>
        <v>05-966416112013</v>
      </c>
      <c r="B899" t="s">
        <v>457</v>
      </c>
      <c r="C899" t="s">
        <v>458</v>
      </c>
      <c r="D899">
        <v>2013</v>
      </c>
      <c r="E899" t="s">
        <v>63</v>
      </c>
      <c r="F899">
        <v>981204.75</v>
      </c>
      <c r="G899">
        <v>2979</v>
      </c>
      <c r="H899" s="11" t="str">
        <f t="shared" si="70"/>
        <v>count</v>
      </c>
      <c r="I899" s="197"/>
      <c r="J899" s="197"/>
      <c r="K899" s="197"/>
      <c r="L899" s="197"/>
      <c r="M899" s="197"/>
      <c r="N899" s="197"/>
      <c r="O899" s="197"/>
      <c r="P899" s="197"/>
      <c r="Q899" s="197"/>
      <c r="R899" s="197"/>
      <c r="S899" s="197"/>
      <c r="T899" s="197"/>
      <c r="U899" s="197"/>
      <c r="V899" s="197"/>
      <c r="W899" s="197"/>
      <c r="X899" s="197"/>
      <c r="Y899" s="197"/>
      <c r="Z899" s="197"/>
      <c r="AA899" s="197"/>
      <c r="AB899" s="197"/>
      <c r="AC899" s="197"/>
      <c r="AD899" s="197"/>
      <c r="AE899" s="197"/>
      <c r="AF899" s="197"/>
      <c r="AG899" s="197"/>
      <c r="AH899" s="197"/>
      <c r="AI899" s="197"/>
      <c r="AJ899" s="197"/>
      <c r="AK899" s="197"/>
      <c r="AL899" s="197"/>
    </row>
    <row r="900" spans="1:38">
      <c r="A900" s="11" t="str">
        <f t="shared" si="71"/>
        <v>05-966416112012</v>
      </c>
      <c r="B900" t="s">
        <v>457</v>
      </c>
      <c r="C900" t="s">
        <v>458</v>
      </c>
      <c r="D900">
        <v>2012</v>
      </c>
      <c r="E900" t="s">
        <v>164</v>
      </c>
      <c r="F900">
        <v>116221.42</v>
      </c>
      <c r="G900">
        <v>392</v>
      </c>
      <c r="H900" s="11" t="str">
        <f t="shared" si="70"/>
        <v>count</v>
      </c>
      <c r="I900" s="197"/>
      <c r="J900" s="197"/>
      <c r="K900" s="197"/>
      <c r="L900" s="197"/>
      <c r="M900" s="197"/>
      <c r="N900" s="197"/>
      <c r="O900" s="197"/>
      <c r="P900" s="197"/>
      <c r="Q900" s="197"/>
      <c r="R900" s="197"/>
      <c r="S900" s="197"/>
      <c r="T900" s="197"/>
      <c r="U900" s="197"/>
      <c r="V900" s="197"/>
      <c r="W900" s="197"/>
      <c r="X900" s="197"/>
      <c r="Y900" s="197"/>
      <c r="Z900" s="197"/>
      <c r="AA900" s="197"/>
      <c r="AB900" s="197"/>
      <c r="AC900" s="197"/>
      <c r="AD900" s="197"/>
      <c r="AE900" s="197"/>
      <c r="AF900" s="197"/>
      <c r="AG900" s="197"/>
      <c r="AH900" s="197"/>
      <c r="AI900" s="197"/>
      <c r="AJ900" s="197"/>
      <c r="AK900" s="197"/>
      <c r="AL900" s="197"/>
    </row>
    <row r="901" spans="1:38">
      <c r="A901" s="11" t="str">
        <f t="shared" si="71"/>
        <v>05-966416112013</v>
      </c>
      <c r="B901" t="s">
        <v>457</v>
      </c>
      <c r="C901" t="s">
        <v>458</v>
      </c>
      <c r="D901">
        <v>2013</v>
      </c>
      <c r="E901" t="s">
        <v>104</v>
      </c>
      <c r="F901">
        <v>694731.94</v>
      </c>
      <c r="G901">
        <v>2125</v>
      </c>
      <c r="H901" s="11" t="str">
        <f t="shared" si="70"/>
        <v>count</v>
      </c>
      <c r="I901" s="197"/>
      <c r="J901" s="197"/>
      <c r="K901" s="197"/>
      <c r="L901" s="197"/>
      <c r="M901" s="197"/>
      <c r="N901" s="197"/>
      <c r="O901" s="197"/>
      <c r="P901" s="197"/>
      <c r="Q901" s="197"/>
      <c r="R901" s="197"/>
      <c r="S901" s="197"/>
      <c r="T901" s="197"/>
      <c r="U901" s="197"/>
      <c r="V901" s="197"/>
      <c r="W901" s="197"/>
      <c r="X901" s="197"/>
      <c r="Y901" s="197"/>
      <c r="Z901" s="197"/>
      <c r="AA901" s="197"/>
      <c r="AB901" s="197"/>
      <c r="AC901" s="197"/>
      <c r="AD901" s="197"/>
      <c r="AE901" s="197"/>
      <c r="AF901" s="197"/>
      <c r="AG901" s="197"/>
      <c r="AH901" s="197"/>
      <c r="AI901" s="197"/>
      <c r="AJ901" s="197"/>
      <c r="AK901" s="197"/>
      <c r="AL901" s="197"/>
    </row>
    <row r="902" spans="1:38">
      <c r="A902" s="11" t="str">
        <f t="shared" si="71"/>
        <v>05-979372052013</v>
      </c>
      <c r="B902" t="s">
        <v>469</v>
      </c>
      <c r="C902" t="s">
        <v>470</v>
      </c>
      <c r="D902">
        <v>2013</v>
      </c>
      <c r="E902" t="s">
        <v>63</v>
      </c>
      <c r="F902">
        <v>149755.15</v>
      </c>
      <c r="G902">
        <v>135</v>
      </c>
      <c r="H902" s="11" t="str">
        <f t="shared" si="70"/>
        <v>volume</v>
      </c>
      <c r="I902" s="197"/>
      <c r="J902" s="197"/>
      <c r="K902" s="197"/>
      <c r="L902" s="197"/>
      <c r="M902" s="197"/>
      <c r="N902" s="197"/>
      <c r="O902" s="197"/>
      <c r="P902" s="197"/>
      <c r="Q902" s="197"/>
      <c r="R902" s="197"/>
      <c r="S902" s="197"/>
      <c r="T902" s="197"/>
      <c r="U902" s="197"/>
      <c r="V902" s="197"/>
      <c r="W902" s="197"/>
      <c r="X902" s="197"/>
      <c r="Y902" s="197"/>
      <c r="Z902" s="197"/>
      <c r="AA902" s="197"/>
      <c r="AB902" s="197"/>
      <c r="AC902" s="197"/>
      <c r="AD902" s="197"/>
      <c r="AE902" s="197"/>
      <c r="AF902" s="197"/>
      <c r="AG902" s="197"/>
      <c r="AH902" s="197"/>
      <c r="AI902" s="197"/>
      <c r="AJ902" s="197"/>
      <c r="AK902" s="197"/>
      <c r="AL902" s="197"/>
    </row>
    <row r="903" spans="1:38">
      <c r="A903" s="11" t="str">
        <f t="shared" si="71"/>
        <v>05-979372052013</v>
      </c>
      <c r="B903" t="s">
        <v>469</v>
      </c>
      <c r="C903" t="s">
        <v>470</v>
      </c>
      <c r="D903">
        <v>2013</v>
      </c>
      <c r="E903" t="s">
        <v>104</v>
      </c>
      <c r="F903">
        <v>51945.15</v>
      </c>
      <c r="G903">
        <v>49</v>
      </c>
      <c r="H903" s="11" t="str">
        <f t="shared" si="70"/>
        <v>count</v>
      </c>
      <c r="I903" s="197"/>
      <c r="J903" s="197"/>
      <c r="K903" s="197"/>
      <c r="L903" s="197"/>
      <c r="M903" s="197"/>
      <c r="N903" s="197"/>
      <c r="O903" s="197"/>
      <c r="P903" s="197"/>
      <c r="Q903" s="197"/>
      <c r="R903" s="197"/>
      <c r="S903" s="197"/>
      <c r="T903" s="197"/>
      <c r="U903" s="197"/>
      <c r="V903" s="197"/>
      <c r="W903" s="197"/>
      <c r="X903" s="197"/>
      <c r="Y903" s="197"/>
      <c r="Z903" s="197"/>
      <c r="AA903" s="197"/>
      <c r="AB903" s="197"/>
      <c r="AC903" s="197"/>
      <c r="AD903" s="197"/>
      <c r="AE903" s="197"/>
      <c r="AF903" s="197"/>
      <c r="AG903" s="197"/>
      <c r="AH903" s="197"/>
      <c r="AI903" s="197"/>
      <c r="AJ903" s="197"/>
      <c r="AK903" s="197"/>
      <c r="AL903" s="197"/>
    </row>
    <row r="904" spans="1:38">
      <c r="A904" s="11" t="str">
        <f t="shared" si="71"/>
        <v>05-979372052013</v>
      </c>
      <c r="B904" t="s">
        <v>469</v>
      </c>
      <c r="C904" t="s">
        <v>470</v>
      </c>
      <c r="D904">
        <v>2013</v>
      </c>
      <c r="E904" t="s">
        <v>69</v>
      </c>
      <c r="F904">
        <v>38689.32</v>
      </c>
      <c r="G904">
        <v>45</v>
      </c>
      <c r="H904" s="11" t="str">
        <f t="shared" si="70"/>
        <v>count</v>
      </c>
      <c r="I904" s="197"/>
      <c r="J904" s="197"/>
      <c r="K904" s="197"/>
      <c r="L904" s="197"/>
      <c r="M904" s="197"/>
      <c r="N904" s="197"/>
      <c r="O904" s="197"/>
      <c r="P904" s="197"/>
      <c r="Q904" s="197"/>
      <c r="R904" s="197"/>
      <c r="S904" s="197"/>
      <c r="T904" s="197"/>
      <c r="U904" s="197"/>
      <c r="V904" s="197"/>
      <c r="W904" s="197"/>
      <c r="X904" s="197"/>
      <c r="Y904" s="197"/>
      <c r="Z904" s="197"/>
      <c r="AA904" s="197"/>
      <c r="AB904" s="197"/>
      <c r="AC904" s="197"/>
      <c r="AD904" s="197"/>
      <c r="AE904" s="197"/>
      <c r="AF904" s="197"/>
      <c r="AG904" s="197"/>
      <c r="AH904" s="197"/>
      <c r="AI904" s="197"/>
      <c r="AJ904" s="197"/>
      <c r="AK904" s="197"/>
      <c r="AL904" s="197"/>
    </row>
    <row r="905" spans="1:38">
      <c r="A905" s="11" t="str">
        <f t="shared" si="71"/>
        <v>05-979372052012</v>
      </c>
      <c r="B905" t="s">
        <v>469</v>
      </c>
      <c r="C905" t="s">
        <v>470</v>
      </c>
      <c r="D905">
        <v>2012</v>
      </c>
      <c r="E905" t="s">
        <v>104</v>
      </c>
      <c r="F905">
        <v>56561.19</v>
      </c>
      <c r="G905">
        <v>55</v>
      </c>
      <c r="H905" s="11" t="str">
        <f t="shared" si="70"/>
        <v>count</v>
      </c>
      <c r="I905" s="197"/>
      <c r="J905" s="197"/>
      <c r="K905" s="197"/>
      <c r="L905" s="197"/>
      <c r="M905" s="197"/>
      <c r="N905" s="197"/>
      <c r="O905" s="197"/>
      <c r="P905" s="197"/>
      <c r="Q905" s="197"/>
      <c r="R905" s="197"/>
      <c r="S905" s="197"/>
      <c r="T905" s="197"/>
      <c r="U905" s="197"/>
      <c r="V905" s="197"/>
      <c r="W905" s="197"/>
      <c r="X905" s="197"/>
      <c r="Y905" s="197"/>
      <c r="Z905" s="197"/>
      <c r="AA905" s="197"/>
      <c r="AB905" s="197"/>
      <c r="AC905" s="197"/>
      <c r="AD905" s="197"/>
      <c r="AE905" s="197"/>
      <c r="AF905" s="197"/>
      <c r="AG905" s="197"/>
      <c r="AH905" s="197"/>
      <c r="AI905" s="197"/>
      <c r="AJ905" s="197"/>
      <c r="AK905" s="197"/>
      <c r="AL905" s="197"/>
    </row>
    <row r="906" spans="1:38">
      <c r="A906" s="11" t="str">
        <f t="shared" si="71"/>
        <v>05-979372052012</v>
      </c>
      <c r="B906" t="s">
        <v>469</v>
      </c>
      <c r="C906" t="s">
        <v>470</v>
      </c>
      <c r="D906">
        <v>2012</v>
      </c>
      <c r="E906" t="s">
        <v>63</v>
      </c>
      <c r="F906">
        <v>65945.83</v>
      </c>
      <c r="G906">
        <v>71</v>
      </c>
      <c r="H906" s="11" t="str">
        <f t="shared" si="70"/>
        <v>count</v>
      </c>
      <c r="I906" s="197"/>
      <c r="J906" s="197"/>
      <c r="K906" s="197"/>
      <c r="L906" s="197"/>
      <c r="M906" s="197"/>
      <c r="N906" s="197"/>
      <c r="O906" s="197"/>
      <c r="P906" s="197"/>
      <c r="Q906" s="197"/>
      <c r="R906" s="197"/>
      <c r="S906" s="197"/>
      <c r="T906" s="197"/>
      <c r="U906" s="197"/>
      <c r="V906" s="197"/>
      <c r="W906" s="197"/>
      <c r="X906" s="197"/>
      <c r="Y906" s="197"/>
      <c r="Z906" s="197"/>
      <c r="AA906" s="197"/>
      <c r="AB906" s="197"/>
      <c r="AC906" s="197"/>
      <c r="AD906" s="197"/>
      <c r="AE906" s="197"/>
      <c r="AF906" s="197"/>
      <c r="AG906" s="197"/>
      <c r="AH906" s="197"/>
      <c r="AI906" s="197"/>
      <c r="AJ906" s="197"/>
      <c r="AK906" s="197"/>
      <c r="AL906" s="197"/>
    </row>
    <row r="907" spans="1:38">
      <c r="A907" s="11" t="str">
        <f t="shared" si="71"/>
        <v>05-979372052012</v>
      </c>
      <c r="B907" t="s">
        <v>469</v>
      </c>
      <c r="C907" t="s">
        <v>470</v>
      </c>
      <c r="D907">
        <v>2012</v>
      </c>
      <c r="E907" t="s">
        <v>164</v>
      </c>
      <c r="F907">
        <v>3286.88</v>
      </c>
      <c r="G907">
        <v>5</v>
      </c>
      <c r="H907" s="11" t="str">
        <f t="shared" si="70"/>
        <v>count</v>
      </c>
      <c r="I907" s="197"/>
      <c r="J907" s="197"/>
      <c r="K907" s="197"/>
      <c r="L907" s="197"/>
      <c r="M907" s="197"/>
      <c r="N907" s="197"/>
      <c r="O907" s="197"/>
      <c r="P907" s="197"/>
      <c r="Q907" s="197"/>
      <c r="R907" s="197"/>
      <c r="S907" s="197"/>
      <c r="T907" s="197"/>
      <c r="U907" s="197"/>
      <c r="V907" s="197"/>
      <c r="W907" s="197"/>
      <c r="X907" s="197"/>
      <c r="Y907" s="197"/>
      <c r="Z907" s="197"/>
      <c r="AA907" s="197"/>
      <c r="AB907" s="197"/>
      <c r="AC907" s="197"/>
      <c r="AD907" s="197"/>
      <c r="AE907" s="197"/>
      <c r="AF907" s="197"/>
      <c r="AG907" s="197"/>
      <c r="AH907" s="197"/>
      <c r="AI907" s="197"/>
      <c r="AJ907" s="197"/>
      <c r="AK907" s="197"/>
      <c r="AL907" s="197"/>
    </row>
    <row r="908" spans="1:38">
      <c r="A908" s="11" t="str">
        <f t="shared" si="71"/>
        <v>05-979372052012</v>
      </c>
      <c r="B908" t="s">
        <v>469</v>
      </c>
      <c r="C908" t="s">
        <v>470</v>
      </c>
      <c r="D908">
        <v>2012</v>
      </c>
      <c r="E908" t="s">
        <v>69</v>
      </c>
      <c r="F908">
        <v>31505.57</v>
      </c>
      <c r="G908">
        <v>34</v>
      </c>
      <c r="H908" s="11" t="str">
        <f t="shared" si="70"/>
        <v>count</v>
      </c>
      <c r="I908" s="197"/>
      <c r="J908" s="197"/>
      <c r="K908" s="197"/>
      <c r="L908" s="197"/>
      <c r="M908" s="197"/>
      <c r="N908" s="197"/>
      <c r="O908" s="197"/>
      <c r="P908" s="197"/>
      <c r="Q908" s="197"/>
      <c r="R908" s="197"/>
      <c r="S908" s="197"/>
      <c r="T908" s="197"/>
      <c r="U908" s="197"/>
      <c r="V908" s="197"/>
      <c r="W908" s="197"/>
      <c r="X908" s="197"/>
      <c r="Y908" s="197"/>
      <c r="Z908" s="197"/>
      <c r="AA908" s="197"/>
      <c r="AB908" s="197"/>
      <c r="AC908" s="197"/>
      <c r="AD908" s="197"/>
      <c r="AE908" s="197"/>
      <c r="AF908" s="197"/>
      <c r="AG908" s="197"/>
      <c r="AH908" s="197"/>
      <c r="AI908" s="197"/>
      <c r="AJ908" s="197"/>
      <c r="AK908" s="197"/>
      <c r="AL908" s="197"/>
    </row>
    <row r="909" spans="1:38">
      <c r="A909" s="11" t="str">
        <f t="shared" si="71"/>
        <v>06-100758982013</v>
      </c>
      <c r="B909" t="s">
        <v>483</v>
      </c>
      <c r="C909" t="s">
        <v>484</v>
      </c>
      <c r="D909">
        <v>2013</v>
      </c>
      <c r="E909" t="s">
        <v>104</v>
      </c>
      <c r="F909">
        <v>81036.240000000005</v>
      </c>
      <c r="G909">
        <v>105</v>
      </c>
      <c r="H909" s="11" t="str">
        <f t="shared" si="70"/>
        <v>volume</v>
      </c>
      <c r="I909" s="197"/>
      <c r="J909" s="197"/>
      <c r="K909" s="197"/>
      <c r="L909" s="197"/>
      <c r="M909" s="197"/>
      <c r="N909" s="197"/>
      <c r="O909" s="197"/>
      <c r="P909" s="197"/>
      <c r="Q909" s="197"/>
      <c r="R909" s="197"/>
      <c r="S909" s="197"/>
      <c r="T909" s="197"/>
      <c r="U909" s="197"/>
      <c r="V909" s="197"/>
      <c r="W909" s="197"/>
      <c r="X909" s="197"/>
      <c r="Y909" s="197"/>
      <c r="Z909" s="197"/>
      <c r="AA909" s="197"/>
      <c r="AB909" s="197"/>
      <c r="AC909" s="197"/>
      <c r="AD909" s="197"/>
      <c r="AE909" s="197"/>
      <c r="AF909" s="197"/>
      <c r="AG909" s="197"/>
      <c r="AH909" s="197"/>
      <c r="AI909" s="197"/>
      <c r="AJ909" s="197"/>
      <c r="AK909" s="197"/>
      <c r="AL909" s="197"/>
    </row>
    <row r="910" spans="1:38">
      <c r="A910" s="11" t="str">
        <f t="shared" si="71"/>
        <v>06-100758982013</v>
      </c>
      <c r="B910" t="s">
        <v>483</v>
      </c>
      <c r="C910" t="s">
        <v>484</v>
      </c>
      <c r="D910">
        <v>2013</v>
      </c>
      <c r="E910" t="s">
        <v>63</v>
      </c>
      <c r="F910">
        <v>135931.53</v>
      </c>
      <c r="G910">
        <v>184</v>
      </c>
      <c r="H910" s="11" t="str">
        <f t="shared" si="70"/>
        <v>count</v>
      </c>
      <c r="I910" s="197"/>
      <c r="J910" s="197"/>
      <c r="K910" s="197"/>
      <c r="L910" s="197"/>
      <c r="M910" s="197"/>
      <c r="N910" s="197"/>
      <c r="O910" s="197"/>
      <c r="P910" s="197"/>
      <c r="Q910" s="197"/>
      <c r="R910" s="197"/>
      <c r="S910" s="197"/>
      <c r="T910" s="197"/>
      <c r="U910" s="197"/>
      <c r="V910" s="197"/>
      <c r="W910" s="197"/>
      <c r="X910" s="197"/>
      <c r="Y910" s="197"/>
      <c r="Z910" s="197"/>
      <c r="AA910" s="197"/>
      <c r="AB910" s="197"/>
      <c r="AC910" s="197"/>
      <c r="AD910" s="197"/>
      <c r="AE910" s="197"/>
      <c r="AF910" s="197"/>
      <c r="AG910" s="197"/>
      <c r="AH910" s="197"/>
      <c r="AI910" s="197"/>
      <c r="AJ910" s="197"/>
      <c r="AK910" s="197"/>
      <c r="AL910" s="197"/>
    </row>
    <row r="911" spans="1:38">
      <c r="A911" s="11" t="str">
        <f t="shared" si="71"/>
        <v>06-100758982012</v>
      </c>
      <c r="B911" t="s">
        <v>483</v>
      </c>
      <c r="C911" t="s">
        <v>484</v>
      </c>
      <c r="D911">
        <v>2012</v>
      </c>
      <c r="E911" t="s">
        <v>106</v>
      </c>
      <c r="F911">
        <v>66422.460000000006</v>
      </c>
      <c r="G911">
        <v>96</v>
      </c>
      <c r="H911" s="11" t="str">
        <f t="shared" si="70"/>
        <v>count</v>
      </c>
      <c r="I911" s="197"/>
      <c r="J911" s="197"/>
      <c r="K911" s="197"/>
      <c r="L911" s="197"/>
      <c r="M911" s="197"/>
      <c r="N911" s="197"/>
      <c r="O911" s="197"/>
      <c r="P911" s="197"/>
      <c r="Q911" s="197"/>
      <c r="R911" s="197"/>
      <c r="S911" s="197"/>
      <c r="T911" s="197"/>
      <c r="U911" s="197"/>
      <c r="V911" s="197"/>
      <c r="W911" s="197"/>
      <c r="X911" s="197"/>
      <c r="Y911" s="197"/>
      <c r="Z911" s="197"/>
      <c r="AA911" s="197"/>
      <c r="AB911" s="197"/>
      <c r="AC911" s="197"/>
      <c r="AD911" s="197"/>
      <c r="AE911" s="197"/>
      <c r="AF911" s="197"/>
      <c r="AG911" s="197"/>
      <c r="AH911" s="197"/>
      <c r="AI911" s="197"/>
      <c r="AJ911" s="197"/>
      <c r="AK911" s="197"/>
      <c r="AL911" s="197"/>
    </row>
    <row r="912" spans="1:38">
      <c r="A912" s="11" t="str">
        <f t="shared" si="71"/>
        <v>06-100758982013</v>
      </c>
      <c r="B912" t="s">
        <v>483</v>
      </c>
      <c r="C912" t="s">
        <v>484</v>
      </c>
      <c r="D912">
        <v>2013</v>
      </c>
      <c r="E912" t="s">
        <v>69</v>
      </c>
      <c r="F912">
        <v>276579.81</v>
      </c>
      <c r="G912">
        <v>347</v>
      </c>
      <c r="H912" s="11" t="str">
        <f t="shared" si="70"/>
        <v>count</v>
      </c>
      <c r="I912" s="197"/>
      <c r="J912" s="197"/>
      <c r="K912" s="197"/>
      <c r="L912" s="197"/>
      <c r="M912" s="197"/>
      <c r="N912" s="197"/>
      <c r="O912" s="197"/>
      <c r="P912" s="197"/>
      <c r="Q912" s="197"/>
      <c r="R912" s="197"/>
      <c r="S912" s="197"/>
      <c r="T912" s="197"/>
      <c r="U912" s="197"/>
      <c r="V912" s="197"/>
      <c r="W912" s="197"/>
      <c r="X912" s="197"/>
      <c r="Y912" s="197"/>
      <c r="Z912" s="197"/>
      <c r="AA912" s="197"/>
      <c r="AB912" s="197"/>
      <c r="AC912" s="197"/>
      <c r="AD912" s="197"/>
      <c r="AE912" s="197"/>
      <c r="AF912" s="197"/>
      <c r="AG912" s="197"/>
      <c r="AH912" s="197"/>
      <c r="AI912" s="197"/>
      <c r="AJ912" s="197"/>
      <c r="AK912" s="197"/>
      <c r="AL912" s="197"/>
    </row>
    <row r="913" spans="1:38">
      <c r="A913" s="11" t="str">
        <f t="shared" si="71"/>
        <v>06-100758982012</v>
      </c>
      <c r="B913" t="s">
        <v>483</v>
      </c>
      <c r="C913" t="s">
        <v>484</v>
      </c>
      <c r="D913">
        <v>2012</v>
      </c>
      <c r="E913" t="s">
        <v>68</v>
      </c>
      <c r="F913">
        <v>1244573.51</v>
      </c>
      <c r="G913">
        <v>1524</v>
      </c>
      <c r="H913" s="11" t="str">
        <f t="shared" si="70"/>
        <v>count</v>
      </c>
      <c r="I913" s="197"/>
      <c r="J913" s="197"/>
      <c r="K913" s="197"/>
      <c r="L913" s="197"/>
      <c r="M913" s="197"/>
      <c r="N913" s="197"/>
      <c r="O913" s="197"/>
      <c r="P913" s="197"/>
      <c r="Q913" s="197"/>
      <c r="R913" s="197"/>
      <c r="S913" s="197"/>
      <c r="T913" s="197"/>
      <c r="U913" s="197"/>
      <c r="V913" s="197"/>
      <c r="W913" s="197"/>
      <c r="X913" s="197"/>
      <c r="Y913" s="197"/>
      <c r="Z913" s="197"/>
      <c r="AA913" s="197"/>
      <c r="AB913" s="197"/>
      <c r="AC913" s="197"/>
      <c r="AD913" s="197"/>
      <c r="AE913" s="197"/>
      <c r="AF913" s="197"/>
      <c r="AG913" s="197"/>
      <c r="AH913" s="197"/>
      <c r="AI913" s="197"/>
      <c r="AJ913" s="197"/>
      <c r="AK913" s="197"/>
      <c r="AL913" s="197"/>
    </row>
    <row r="914" spans="1:38">
      <c r="A914" s="11" t="str">
        <f t="shared" si="71"/>
        <v>06-100758982012</v>
      </c>
      <c r="B914" t="s">
        <v>483</v>
      </c>
      <c r="C914" t="s">
        <v>484</v>
      </c>
      <c r="D914">
        <v>2012</v>
      </c>
      <c r="E914" t="s">
        <v>69</v>
      </c>
      <c r="F914">
        <v>6277</v>
      </c>
      <c r="G914">
        <v>8</v>
      </c>
      <c r="H914" s="11" t="str">
        <f t="shared" si="70"/>
        <v>count</v>
      </c>
      <c r="I914" s="197"/>
      <c r="J914" s="197"/>
      <c r="K914" s="197"/>
      <c r="L914" s="197"/>
      <c r="M914" s="197"/>
      <c r="N914" s="197"/>
      <c r="O914" s="197"/>
      <c r="P914" s="197"/>
      <c r="Q914" s="197"/>
      <c r="R914" s="197"/>
      <c r="S914" s="197"/>
      <c r="T914" s="197"/>
      <c r="U914" s="197"/>
      <c r="V914" s="197"/>
      <c r="W914" s="197"/>
      <c r="X914" s="197"/>
      <c r="Y914" s="197"/>
      <c r="Z914" s="197"/>
      <c r="AA914" s="197"/>
      <c r="AB914" s="197"/>
      <c r="AC914" s="197"/>
      <c r="AD914" s="197"/>
      <c r="AE914" s="197"/>
      <c r="AF914" s="197"/>
      <c r="AG914" s="197"/>
      <c r="AH914" s="197"/>
      <c r="AI914" s="197"/>
      <c r="AJ914" s="197"/>
      <c r="AK914" s="197"/>
      <c r="AL914" s="197"/>
    </row>
    <row r="915" spans="1:38">
      <c r="A915" s="11" t="str">
        <f t="shared" si="71"/>
        <v>06-100758982012</v>
      </c>
      <c r="B915" t="s">
        <v>483</v>
      </c>
      <c r="C915" t="s">
        <v>484</v>
      </c>
      <c r="D915">
        <v>2012</v>
      </c>
      <c r="E915" t="s">
        <v>63</v>
      </c>
      <c r="F915">
        <v>6472.6</v>
      </c>
      <c r="G915">
        <v>7</v>
      </c>
      <c r="H915" s="11" t="str">
        <f t="shared" si="70"/>
        <v>count</v>
      </c>
      <c r="I915" s="197"/>
      <c r="J915" s="197"/>
      <c r="K915" s="197"/>
      <c r="L915" s="197"/>
      <c r="M915" s="197"/>
      <c r="N915" s="197"/>
      <c r="O915" s="197"/>
      <c r="P915" s="197"/>
      <c r="Q915" s="197"/>
      <c r="R915" s="197"/>
      <c r="S915" s="197"/>
      <c r="T915" s="197"/>
      <c r="U915" s="197"/>
      <c r="V915" s="197"/>
      <c r="W915" s="197"/>
      <c r="X915" s="197"/>
      <c r="Y915" s="197"/>
      <c r="Z915" s="197"/>
      <c r="AA915" s="197"/>
      <c r="AB915" s="197"/>
      <c r="AC915" s="197"/>
      <c r="AD915" s="197"/>
      <c r="AE915" s="197"/>
      <c r="AF915" s="197"/>
      <c r="AG915" s="197"/>
      <c r="AH915" s="197"/>
      <c r="AI915" s="197"/>
      <c r="AJ915" s="197"/>
      <c r="AK915" s="197"/>
      <c r="AL915" s="197"/>
    </row>
    <row r="916" spans="1:38">
      <c r="A916" s="11" t="str">
        <f t="shared" si="71"/>
        <v>06-100758982013</v>
      </c>
      <c r="B916" t="s">
        <v>483</v>
      </c>
      <c r="C916" t="s">
        <v>484</v>
      </c>
      <c r="D916">
        <v>2013</v>
      </c>
      <c r="E916" t="s">
        <v>105</v>
      </c>
      <c r="F916">
        <v>4336.75</v>
      </c>
      <c r="G916">
        <v>5</v>
      </c>
      <c r="H916" s="11" t="str">
        <f t="shared" si="70"/>
        <v>count</v>
      </c>
      <c r="I916" s="197"/>
      <c r="J916" s="197"/>
      <c r="K916" s="197"/>
      <c r="L916" s="197"/>
      <c r="M916" s="197"/>
      <c r="N916" s="197"/>
      <c r="O916" s="197"/>
      <c r="P916" s="197"/>
      <c r="Q916" s="197"/>
      <c r="R916" s="197"/>
      <c r="S916" s="197"/>
      <c r="T916" s="197"/>
      <c r="U916" s="197"/>
      <c r="V916" s="197"/>
      <c r="W916" s="197"/>
      <c r="X916" s="197"/>
      <c r="Y916" s="197"/>
      <c r="Z916" s="197"/>
      <c r="AA916" s="197"/>
      <c r="AB916" s="197"/>
      <c r="AC916" s="197"/>
      <c r="AD916" s="197"/>
      <c r="AE916" s="197"/>
      <c r="AF916" s="197"/>
      <c r="AG916" s="197"/>
      <c r="AH916" s="197"/>
      <c r="AI916" s="197"/>
      <c r="AJ916" s="197"/>
      <c r="AK916" s="197"/>
      <c r="AL916" s="197"/>
    </row>
    <row r="917" spans="1:38">
      <c r="A917" s="11" t="str">
        <f t="shared" si="71"/>
        <v>06-100758982013</v>
      </c>
      <c r="B917" t="s">
        <v>483</v>
      </c>
      <c r="C917" t="s">
        <v>484</v>
      </c>
      <c r="D917">
        <v>2013</v>
      </c>
      <c r="E917" t="s">
        <v>106</v>
      </c>
      <c r="F917">
        <v>4056394.62</v>
      </c>
      <c r="G917">
        <v>4912</v>
      </c>
      <c r="H917" s="11" t="str">
        <f t="shared" si="70"/>
        <v>count</v>
      </c>
      <c r="I917" s="197"/>
      <c r="J917" s="197"/>
      <c r="K917" s="197"/>
      <c r="L917" s="197"/>
      <c r="M917" s="197"/>
      <c r="N917" s="197"/>
      <c r="O917" s="197"/>
      <c r="P917" s="197"/>
      <c r="Q917" s="197"/>
      <c r="R917" s="197"/>
      <c r="S917" s="197"/>
      <c r="T917" s="197"/>
      <c r="U917" s="197"/>
      <c r="V917" s="197"/>
      <c r="W917" s="197"/>
      <c r="X917" s="197"/>
      <c r="Y917" s="197"/>
      <c r="Z917" s="197"/>
      <c r="AA917" s="197"/>
      <c r="AB917" s="197"/>
      <c r="AC917" s="197"/>
      <c r="AD917" s="197"/>
      <c r="AE917" s="197"/>
      <c r="AF917" s="197"/>
      <c r="AG917" s="197"/>
      <c r="AH917" s="197"/>
      <c r="AI917" s="197"/>
      <c r="AJ917" s="197"/>
      <c r="AK917" s="197"/>
      <c r="AL917" s="197"/>
    </row>
    <row r="918" spans="1:38">
      <c r="A918" s="11" t="str">
        <f t="shared" si="71"/>
        <v>06-100758982012</v>
      </c>
      <c r="B918" t="s">
        <v>483</v>
      </c>
      <c r="C918" t="s">
        <v>484</v>
      </c>
      <c r="D918">
        <v>2012</v>
      </c>
      <c r="E918" t="s">
        <v>104</v>
      </c>
      <c r="F918">
        <v>4833.8</v>
      </c>
      <c r="G918">
        <v>4</v>
      </c>
      <c r="H918" s="11" t="str">
        <f t="shared" si="70"/>
        <v>count</v>
      </c>
      <c r="I918" s="197"/>
      <c r="J918" s="197"/>
      <c r="K918" s="197"/>
      <c r="L918" s="197"/>
      <c r="M918" s="197"/>
      <c r="N918" s="197"/>
      <c r="O918" s="197"/>
      <c r="P918" s="197"/>
      <c r="Q918" s="197"/>
      <c r="R918" s="197"/>
      <c r="S918" s="197"/>
      <c r="T918" s="197"/>
      <c r="U918" s="197"/>
      <c r="V918" s="197"/>
      <c r="W918" s="197"/>
      <c r="X918" s="197"/>
      <c r="Y918" s="197"/>
      <c r="Z918" s="197"/>
      <c r="AA918" s="197"/>
      <c r="AB918" s="197"/>
      <c r="AC918" s="197"/>
      <c r="AD918" s="197"/>
      <c r="AE918" s="197"/>
      <c r="AF918" s="197"/>
      <c r="AG918" s="197"/>
      <c r="AH918" s="197"/>
      <c r="AI918" s="197"/>
      <c r="AJ918" s="197"/>
      <c r="AK918" s="197"/>
      <c r="AL918" s="197"/>
    </row>
    <row r="919" spans="1:38">
      <c r="A919" s="11" t="str">
        <f t="shared" si="71"/>
        <v>06-100758982013</v>
      </c>
      <c r="B919" t="s">
        <v>483</v>
      </c>
      <c r="C919" t="s">
        <v>484</v>
      </c>
      <c r="D919">
        <v>2013</v>
      </c>
      <c r="E919" t="s">
        <v>68</v>
      </c>
      <c r="F919">
        <v>11762676.039999999</v>
      </c>
      <c r="G919">
        <v>15448</v>
      </c>
      <c r="H919" s="11" t="str">
        <f t="shared" si="70"/>
        <v>count</v>
      </c>
      <c r="I919" s="197"/>
      <c r="J919" s="197"/>
      <c r="K919" s="197"/>
      <c r="L919" s="197"/>
      <c r="M919" s="197"/>
      <c r="N919" s="197"/>
      <c r="O919" s="197"/>
      <c r="P919" s="197"/>
      <c r="Q919" s="197"/>
      <c r="R919" s="197"/>
      <c r="S919" s="197"/>
      <c r="T919" s="197"/>
      <c r="U919" s="197"/>
      <c r="V919" s="197"/>
      <c r="W919" s="197"/>
      <c r="X919" s="197"/>
      <c r="Y919" s="197"/>
      <c r="Z919" s="197"/>
      <c r="AA919" s="197"/>
      <c r="AB919" s="197"/>
      <c r="AC919" s="197"/>
      <c r="AD919" s="197"/>
      <c r="AE919" s="197"/>
      <c r="AF919" s="197"/>
      <c r="AG919" s="197"/>
      <c r="AH919" s="197"/>
      <c r="AI919" s="197"/>
      <c r="AJ919" s="197"/>
      <c r="AK919" s="197"/>
      <c r="AL919" s="197"/>
    </row>
    <row r="920" spans="1:38">
      <c r="A920" s="11" t="str">
        <f t="shared" si="71"/>
        <v>06-102168062012</v>
      </c>
      <c r="B920" t="s">
        <v>493</v>
      </c>
      <c r="C920" t="s">
        <v>494</v>
      </c>
      <c r="D920">
        <v>2012</v>
      </c>
      <c r="E920" t="s">
        <v>63</v>
      </c>
      <c r="F920">
        <v>770.95</v>
      </c>
      <c r="G920">
        <v>1</v>
      </c>
      <c r="H920" s="11" t="str">
        <f t="shared" si="70"/>
        <v>volume</v>
      </c>
      <c r="I920" s="197"/>
      <c r="J920" s="197"/>
      <c r="K920" s="197"/>
      <c r="L920" s="197"/>
      <c r="M920" s="197"/>
      <c r="N920" s="197"/>
      <c r="O920" s="197"/>
      <c r="P920" s="197"/>
      <c r="Q920" s="197"/>
      <c r="R920" s="197"/>
      <c r="S920" s="197"/>
      <c r="T920" s="197"/>
      <c r="U920" s="197"/>
      <c r="V920" s="197"/>
      <c r="W920" s="197"/>
      <c r="X920" s="197"/>
      <c r="Y920" s="197"/>
      <c r="Z920" s="197"/>
      <c r="AA920" s="197"/>
      <c r="AB920" s="197"/>
      <c r="AC920" s="197"/>
      <c r="AD920" s="197"/>
      <c r="AE920" s="197"/>
      <c r="AF920" s="197"/>
      <c r="AG920" s="197"/>
      <c r="AH920" s="197"/>
      <c r="AI920" s="197"/>
      <c r="AJ920" s="197"/>
      <c r="AK920" s="197"/>
      <c r="AL920" s="197"/>
    </row>
    <row r="921" spans="1:38">
      <c r="A921" s="11" t="str">
        <f t="shared" si="71"/>
        <v>06-102168062013</v>
      </c>
      <c r="B921" t="s">
        <v>493</v>
      </c>
      <c r="C921" t="s">
        <v>494</v>
      </c>
      <c r="D921">
        <v>2013</v>
      </c>
      <c r="E921" t="s">
        <v>106</v>
      </c>
      <c r="F921">
        <v>757188.07</v>
      </c>
      <c r="G921">
        <v>581</v>
      </c>
      <c r="H921" s="11" t="str">
        <f t="shared" si="70"/>
        <v>count</v>
      </c>
      <c r="I921" s="197"/>
      <c r="J921" s="197"/>
      <c r="K921" s="197"/>
      <c r="L921" s="197"/>
      <c r="M921" s="197"/>
      <c r="N921" s="197"/>
      <c r="O921" s="197"/>
      <c r="P921" s="197"/>
      <c r="Q921" s="197"/>
      <c r="R921" s="197"/>
      <c r="S921" s="197"/>
      <c r="T921" s="197"/>
      <c r="U921" s="197"/>
      <c r="V921" s="197"/>
      <c r="W921" s="197"/>
      <c r="X921" s="197"/>
      <c r="Y921" s="197"/>
      <c r="Z921" s="197"/>
      <c r="AA921" s="197"/>
      <c r="AB921" s="197"/>
      <c r="AC921" s="197"/>
      <c r="AD921" s="197"/>
      <c r="AE921" s="197"/>
      <c r="AF921" s="197"/>
      <c r="AG921" s="197"/>
      <c r="AH921" s="197"/>
      <c r="AI921" s="197"/>
      <c r="AJ921" s="197"/>
      <c r="AK921" s="197"/>
      <c r="AL921" s="197"/>
    </row>
    <row r="922" spans="1:38">
      <c r="A922" s="11" t="str">
        <f t="shared" si="71"/>
        <v>06-102168062012</v>
      </c>
      <c r="B922" t="s">
        <v>493</v>
      </c>
      <c r="C922" t="s">
        <v>494</v>
      </c>
      <c r="D922">
        <v>2012</v>
      </c>
      <c r="E922" t="s">
        <v>106</v>
      </c>
      <c r="F922">
        <v>216842.5</v>
      </c>
      <c r="G922">
        <v>202</v>
      </c>
      <c r="H922" s="11" t="str">
        <f t="shared" si="70"/>
        <v>count</v>
      </c>
      <c r="I922" s="197"/>
      <c r="J922" s="197"/>
      <c r="K922" s="197"/>
      <c r="L922" s="197"/>
      <c r="M922" s="197"/>
      <c r="N922" s="197"/>
      <c r="O922" s="197"/>
      <c r="P922" s="197"/>
      <c r="Q922" s="197"/>
      <c r="R922" s="197"/>
      <c r="S922" s="197"/>
      <c r="T922" s="197"/>
      <c r="U922" s="197"/>
      <c r="V922" s="197"/>
      <c r="W922" s="197"/>
      <c r="X922" s="197"/>
      <c r="Y922" s="197"/>
      <c r="Z922" s="197"/>
      <c r="AA922" s="197"/>
      <c r="AB922" s="197"/>
      <c r="AC922" s="197"/>
      <c r="AD922" s="197"/>
      <c r="AE922" s="197"/>
      <c r="AF922" s="197"/>
      <c r="AG922" s="197"/>
      <c r="AH922" s="197"/>
      <c r="AI922" s="197"/>
      <c r="AJ922" s="197"/>
      <c r="AK922" s="197"/>
      <c r="AL922" s="197"/>
    </row>
    <row r="923" spans="1:38">
      <c r="A923" s="11" t="str">
        <f t="shared" si="71"/>
        <v>06-102168062013</v>
      </c>
      <c r="B923" t="s">
        <v>493</v>
      </c>
      <c r="C923" t="s">
        <v>494</v>
      </c>
      <c r="D923">
        <v>2013</v>
      </c>
      <c r="E923" t="s">
        <v>104</v>
      </c>
      <c r="F923">
        <v>5580.75</v>
      </c>
      <c r="G923">
        <v>5</v>
      </c>
      <c r="H923" s="11" t="str">
        <f t="shared" si="70"/>
        <v>count</v>
      </c>
      <c r="I923" s="197"/>
      <c r="J923" s="197"/>
      <c r="K923" s="197"/>
      <c r="L923" s="197"/>
      <c r="M923" s="197"/>
      <c r="N923" s="197"/>
      <c r="O923" s="197"/>
      <c r="P923" s="197"/>
      <c r="Q923" s="197"/>
      <c r="R923" s="197"/>
      <c r="S923" s="197"/>
      <c r="T923" s="197"/>
      <c r="U923" s="197"/>
      <c r="V923" s="197"/>
      <c r="W923" s="197"/>
      <c r="X923" s="197"/>
      <c r="Y923" s="197"/>
      <c r="Z923" s="197"/>
      <c r="AA923" s="197"/>
      <c r="AB923" s="197"/>
      <c r="AC923" s="197"/>
      <c r="AD923" s="197"/>
      <c r="AE923" s="197"/>
      <c r="AF923" s="197"/>
      <c r="AG923" s="197"/>
      <c r="AH923" s="197"/>
      <c r="AI923" s="197"/>
      <c r="AJ923" s="197"/>
      <c r="AK923" s="197"/>
      <c r="AL923" s="197"/>
    </row>
    <row r="924" spans="1:38">
      <c r="A924" s="11" t="str">
        <f t="shared" si="71"/>
        <v>06-104906332013</v>
      </c>
      <c r="B924" t="s">
        <v>514</v>
      </c>
      <c r="C924" t="s">
        <v>515</v>
      </c>
      <c r="D924">
        <v>2013</v>
      </c>
      <c r="E924" t="s">
        <v>105</v>
      </c>
      <c r="F924">
        <v>166896.5</v>
      </c>
      <c r="G924">
        <v>187</v>
      </c>
      <c r="H924" s="11" t="str">
        <f t="shared" si="70"/>
        <v>volume</v>
      </c>
      <c r="I924" s="197"/>
      <c r="J924" s="197"/>
      <c r="K924" s="197"/>
      <c r="L924" s="197"/>
      <c r="M924" s="197"/>
      <c r="N924" s="197"/>
      <c r="O924" s="197"/>
      <c r="P924" s="197"/>
      <c r="Q924" s="197"/>
      <c r="R924" s="197"/>
      <c r="S924" s="197"/>
      <c r="T924" s="197"/>
      <c r="U924" s="197"/>
      <c r="V924" s="197"/>
      <c r="W924" s="197"/>
      <c r="X924" s="197"/>
      <c r="Y924" s="197"/>
      <c r="Z924" s="197"/>
      <c r="AA924" s="197"/>
      <c r="AB924" s="197"/>
      <c r="AC924" s="197"/>
      <c r="AD924" s="197"/>
      <c r="AE924" s="197"/>
      <c r="AF924" s="197"/>
      <c r="AG924" s="197"/>
      <c r="AH924" s="197"/>
      <c r="AI924" s="197"/>
      <c r="AJ924" s="197"/>
      <c r="AK924" s="197"/>
      <c r="AL924" s="197"/>
    </row>
    <row r="925" spans="1:38">
      <c r="A925" s="11" t="str">
        <f t="shared" si="71"/>
        <v>06-104906332013</v>
      </c>
      <c r="B925" t="s">
        <v>514</v>
      </c>
      <c r="C925" t="s">
        <v>515</v>
      </c>
      <c r="D925">
        <v>2013</v>
      </c>
      <c r="E925" t="s">
        <v>69</v>
      </c>
      <c r="F925">
        <v>568635.41</v>
      </c>
      <c r="G925">
        <v>745</v>
      </c>
      <c r="H925" s="11" t="str">
        <f t="shared" si="70"/>
        <v>count</v>
      </c>
      <c r="I925" s="197"/>
      <c r="J925" s="197"/>
      <c r="K925" s="197"/>
      <c r="L925" s="197"/>
      <c r="M925" s="197"/>
      <c r="N925" s="197"/>
      <c r="O925" s="197"/>
      <c r="P925" s="197"/>
      <c r="Q925" s="197"/>
      <c r="R925" s="197"/>
      <c r="S925" s="197"/>
      <c r="T925" s="197"/>
      <c r="U925" s="197"/>
      <c r="V925" s="197"/>
      <c r="W925" s="197"/>
      <c r="X925" s="197"/>
      <c r="Y925" s="197"/>
      <c r="Z925" s="197"/>
      <c r="AA925" s="197"/>
      <c r="AB925" s="197"/>
      <c r="AC925" s="197"/>
      <c r="AD925" s="197"/>
      <c r="AE925" s="197"/>
      <c r="AF925" s="197"/>
      <c r="AG925" s="197"/>
      <c r="AH925" s="197"/>
      <c r="AI925" s="197"/>
      <c r="AJ925" s="197"/>
      <c r="AK925" s="197"/>
      <c r="AL925" s="197"/>
    </row>
    <row r="926" spans="1:38">
      <c r="A926" s="11" t="str">
        <f t="shared" si="71"/>
        <v>06-104906332012</v>
      </c>
      <c r="B926" t="s">
        <v>514</v>
      </c>
      <c r="C926" t="s">
        <v>515</v>
      </c>
      <c r="D926">
        <v>2012</v>
      </c>
      <c r="E926" t="s">
        <v>104</v>
      </c>
      <c r="F926">
        <v>44472.53</v>
      </c>
      <c r="G926">
        <v>77</v>
      </c>
      <c r="H926" s="11" t="str">
        <f t="shared" si="70"/>
        <v>count</v>
      </c>
      <c r="I926" s="197"/>
      <c r="J926" s="197"/>
      <c r="K926" s="197"/>
      <c r="L926" s="197"/>
      <c r="M926" s="197"/>
      <c r="N926" s="197"/>
      <c r="O926" s="197"/>
      <c r="P926" s="197"/>
      <c r="Q926" s="197"/>
      <c r="R926" s="197"/>
      <c r="S926" s="197"/>
      <c r="T926" s="197"/>
      <c r="U926" s="197"/>
      <c r="V926" s="197"/>
      <c r="W926" s="197"/>
      <c r="X926" s="197"/>
      <c r="Y926" s="197"/>
      <c r="Z926" s="197"/>
      <c r="AA926" s="197"/>
      <c r="AB926" s="197"/>
      <c r="AC926" s="197"/>
      <c r="AD926" s="197"/>
      <c r="AE926" s="197"/>
      <c r="AF926" s="197"/>
      <c r="AG926" s="197"/>
      <c r="AH926" s="197"/>
      <c r="AI926" s="197"/>
      <c r="AJ926" s="197"/>
      <c r="AK926" s="197"/>
      <c r="AL926" s="197"/>
    </row>
    <row r="927" spans="1:38">
      <c r="A927" s="11" t="str">
        <f t="shared" si="71"/>
        <v>06-104906332012</v>
      </c>
      <c r="B927" t="s">
        <v>514</v>
      </c>
      <c r="C927" t="s">
        <v>515</v>
      </c>
      <c r="D927">
        <v>2012</v>
      </c>
      <c r="E927" t="s">
        <v>63</v>
      </c>
      <c r="F927">
        <v>67460.67</v>
      </c>
      <c r="G927">
        <v>104</v>
      </c>
      <c r="H927" s="11" t="str">
        <f t="shared" si="70"/>
        <v>count</v>
      </c>
      <c r="I927" s="197"/>
      <c r="J927" s="197"/>
      <c r="K927" s="197"/>
      <c r="L927" s="197"/>
      <c r="M927" s="197"/>
      <c r="N927" s="197"/>
      <c r="O927" s="197"/>
      <c r="P927" s="197"/>
      <c r="Q927" s="197"/>
      <c r="R927" s="197"/>
      <c r="S927" s="197"/>
      <c r="T927" s="197"/>
      <c r="U927" s="197"/>
      <c r="V927" s="197"/>
      <c r="W927" s="197"/>
      <c r="X927" s="197"/>
      <c r="Y927" s="197"/>
      <c r="Z927" s="197"/>
      <c r="AA927" s="197"/>
      <c r="AB927" s="197"/>
      <c r="AC927" s="197"/>
      <c r="AD927" s="197"/>
      <c r="AE927" s="197"/>
      <c r="AF927" s="197"/>
      <c r="AG927" s="197"/>
      <c r="AH927" s="197"/>
      <c r="AI927" s="197"/>
      <c r="AJ927" s="197"/>
      <c r="AK927" s="197"/>
      <c r="AL927" s="197"/>
    </row>
    <row r="928" spans="1:38">
      <c r="A928" s="11" t="str">
        <f t="shared" si="71"/>
        <v>06-104906332012</v>
      </c>
      <c r="B928" t="s">
        <v>514</v>
      </c>
      <c r="C928" t="s">
        <v>515</v>
      </c>
      <c r="D928">
        <v>2012</v>
      </c>
      <c r="E928" t="s">
        <v>69</v>
      </c>
      <c r="F928">
        <v>33372.160000000003</v>
      </c>
      <c r="G928">
        <v>63</v>
      </c>
      <c r="H928" s="11" t="str">
        <f t="shared" si="70"/>
        <v>count</v>
      </c>
      <c r="I928" s="197"/>
      <c r="J928" s="197"/>
      <c r="K928" s="197"/>
      <c r="L928" s="197"/>
      <c r="M928" s="197"/>
      <c r="N928" s="197"/>
      <c r="O928" s="197"/>
      <c r="P928" s="197"/>
      <c r="Q928" s="197"/>
      <c r="R928" s="197"/>
      <c r="S928" s="197"/>
      <c r="T928" s="197"/>
      <c r="U928" s="197"/>
      <c r="V928" s="197"/>
      <c r="W928" s="197"/>
      <c r="X928" s="197"/>
      <c r="Y928" s="197"/>
      <c r="Z928" s="197"/>
      <c r="AA928" s="197"/>
      <c r="AB928" s="197"/>
      <c r="AC928" s="197"/>
      <c r="AD928" s="197"/>
      <c r="AE928" s="197"/>
      <c r="AF928" s="197"/>
      <c r="AG928" s="197"/>
      <c r="AH928" s="197"/>
      <c r="AI928" s="197"/>
      <c r="AJ928" s="197"/>
      <c r="AK928" s="197"/>
      <c r="AL928" s="197"/>
    </row>
    <row r="929" spans="1:38">
      <c r="A929" s="11" t="str">
        <f t="shared" si="71"/>
        <v>06-104906332012</v>
      </c>
      <c r="B929" t="s">
        <v>514</v>
      </c>
      <c r="C929" t="s">
        <v>515</v>
      </c>
      <c r="D929">
        <v>2012</v>
      </c>
      <c r="E929" t="s">
        <v>105</v>
      </c>
      <c r="F929">
        <v>3772.2</v>
      </c>
      <c r="G929">
        <v>7</v>
      </c>
      <c r="H929" s="11" t="str">
        <f t="shared" si="70"/>
        <v>count</v>
      </c>
      <c r="I929" s="197"/>
      <c r="J929" s="197"/>
      <c r="K929" s="197"/>
      <c r="L929" s="197"/>
      <c r="M929" s="197"/>
      <c r="N929" s="197"/>
      <c r="O929" s="197"/>
      <c r="P929" s="197"/>
      <c r="Q929" s="197"/>
      <c r="R929" s="197"/>
      <c r="S929" s="197"/>
      <c r="T929" s="197"/>
      <c r="U929" s="197"/>
      <c r="V929" s="197"/>
      <c r="W929" s="197"/>
      <c r="X929" s="197"/>
      <c r="Y929" s="197"/>
      <c r="Z929" s="197"/>
      <c r="AA929" s="197"/>
      <c r="AB929" s="197"/>
      <c r="AC929" s="197"/>
      <c r="AD929" s="197"/>
      <c r="AE929" s="197"/>
      <c r="AF929" s="197"/>
      <c r="AG929" s="197"/>
      <c r="AH929" s="197"/>
      <c r="AI929" s="197"/>
      <c r="AJ929" s="197"/>
      <c r="AK929" s="197"/>
      <c r="AL929" s="197"/>
    </row>
    <row r="930" spans="1:38">
      <c r="A930" s="11" t="str">
        <f t="shared" si="71"/>
        <v>06-104906332013</v>
      </c>
      <c r="B930" t="s">
        <v>514</v>
      </c>
      <c r="C930" t="s">
        <v>515</v>
      </c>
      <c r="D930">
        <v>2013</v>
      </c>
      <c r="E930" t="s">
        <v>106</v>
      </c>
      <c r="F930">
        <v>18753.490000000002</v>
      </c>
      <c r="G930">
        <v>13</v>
      </c>
      <c r="H930" s="11" t="str">
        <f t="shared" si="70"/>
        <v>count</v>
      </c>
      <c r="I930" s="197"/>
      <c r="J930" s="197"/>
      <c r="K930" s="197"/>
      <c r="L930" s="197"/>
      <c r="M930" s="197"/>
      <c r="N930" s="197"/>
      <c r="O930" s="197"/>
      <c r="P930" s="197"/>
      <c r="Q930" s="197"/>
      <c r="R930" s="197"/>
      <c r="S930" s="197"/>
      <c r="T930" s="197"/>
      <c r="U930" s="197"/>
      <c r="V930" s="197"/>
      <c r="W930" s="197"/>
      <c r="X930" s="197"/>
      <c r="Y930" s="197"/>
      <c r="Z930" s="197"/>
      <c r="AA930" s="197"/>
      <c r="AB930" s="197"/>
      <c r="AC930" s="197"/>
      <c r="AD930" s="197"/>
      <c r="AE930" s="197"/>
      <c r="AF930" s="197"/>
      <c r="AG930" s="197"/>
      <c r="AH930" s="197"/>
      <c r="AI930" s="197"/>
      <c r="AJ930" s="197"/>
      <c r="AK930" s="197"/>
      <c r="AL930" s="197"/>
    </row>
    <row r="931" spans="1:38">
      <c r="A931" s="11" t="str">
        <f t="shared" si="71"/>
        <v>06-104906332013</v>
      </c>
      <c r="B931" t="s">
        <v>514</v>
      </c>
      <c r="C931" t="s">
        <v>515</v>
      </c>
      <c r="D931">
        <v>2013</v>
      </c>
      <c r="E931" t="s">
        <v>104</v>
      </c>
      <c r="F931">
        <v>507871.15</v>
      </c>
      <c r="G931">
        <v>604</v>
      </c>
      <c r="H931" s="11" t="str">
        <f t="shared" si="70"/>
        <v>count</v>
      </c>
      <c r="I931" s="197"/>
      <c r="J931" s="197"/>
      <c r="K931" s="197"/>
      <c r="L931" s="197"/>
      <c r="M931" s="197"/>
      <c r="N931" s="197"/>
      <c r="O931" s="197"/>
      <c r="P931" s="197"/>
      <c r="Q931" s="197"/>
      <c r="R931" s="197"/>
      <c r="S931" s="197"/>
      <c r="T931" s="197"/>
      <c r="U931" s="197"/>
      <c r="V931" s="197"/>
      <c r="W931" s="197"/>
      <c r="X931" s="197"/>
      <c r="Y931" s="197"/>
      <c r="Z931" s="197"/>
      <c r="AA931" s="197"/>
      <c r="AB931" s="197"/>
      <c r="AC931" s="197"/>
      <c r="AD931" s="197"/>
      <c r="AE931" s="197"/>
      <c r="AF931" s="197"/>
      <c r="AG931" s="197"/>
      <c r="AH931" s="197"/>
      <c r="AI931" s="197"/>
      <c r="AJ931" s="197"/>
      <c r="AK931" s="197"/>
      <c r="AL931" s="197"/>
    </row>
    <row r="932" spans="1:38">
      <c r="A932" s="11" t="str">
        <f t="shared" si="71"/>
        <v>06-104906332013</v>
      </c>
      <c r="B932" t="s">
        <v>514</v>
      </c>
      <c r="C932" t="s">
        <v>515</v>
      </c>
      <c r="D932">
        <v>2013</v>
      </c>
      <c r="E932" t="s">
        <v>63</v>
      </c>
      <c r="F932">
        <v>881242.62</v>
      </c>
      <c r="G932">
        <v>1004</v>
      </c>
      <c r="H932" s="11" t="str">
        <f t="shared" si="70"/>
        <v>count</v>
      </c>
      <c r="I932" s="197"/>
      <c r="J932" s="197"/>
      <c r="K932" s="197"/>
      <c r="L932" s="197"/>
      <c r="M932" s="197"/>
      <c r="N932" s="197"/>
      <c r="O932" s="197"/>
      <c r="P932" s="197"/>
      <c r="Q932" s="197"/>
      <c r="R932" s="197"/>
      <c r="S932" s="197"/>
      <c r="T932" s="197"/>
      <c r="U932" s="197"/>
      <c r="V932" s="197"/>
      <c r="W932" s="197"/>
      <c r="X932" s="197"/>
      <c r="Y932" s="197"/>
      <c r="Z932" s="197"/>
      <c r="AA932" s="197"/>
      <c r="AB932" s="197"/>
      <c r="AC932" s="197"/>
      <c r="AD932" s="197"/>
      <c r="AE932" s="197"/>
      <c r="AF932" s="197"/>
      <c r="AG932" s="197"/>
      <c r="AH932" s="197"/>
      <c r="AI932" s="197"/>
      <c r="AJ932" s="197"/>
      <c r="AK932" s="197"/>
      <c r="AL932" s="197"/>
    </row>
    <row r="933" spans="1:38">
      <c r="A933" s="11" t="str">
        <f t="shared" si="71"/>
        <v>15-137988232013</v>
      </c>
      <c r="B933" t="s">
        <v>612</v>
      </c>
      <c r="C933" t="s">
        <v>613</v>
      </c>
      <c r="D933">
        <v>2013</v>
      </c>
      <c r="E933" t="s">
        <v>106</v>
      </c>
      <c r="F933">
        <v>5439837.2999999998</v>
      </c>
      <c r="G933">
        <v>8129</v>
      </c>
      <c r="H933" s="11" t="str">
        <f t="shared" si="70"/>
        <v>volume</v>
      </c>
      <c r="I933" s="197"/>
      <c r="J933" s="197"/>
      <c r="K933" s="197"/>
      <c r="L933" s="197"/>
      <c r="M933" s="197"/>
      <c r="N933" s="197"/>
      <c r="O933" s="197"/>
      <c r="P933" s="197"/>
      <c r="Q933" s="197"/>
      <c r="R933" s="197"/>
      <c r="S933" s="197"/>
      <c r="T933" s="197"/>
      <c r="U933" s="197"/>
      <c r="V933" s="197"/>
      <c r="W933" s="197"/>
      <c r="X933" s="197"/>
      <c r="Y933" s="197"/>
      <c r="Z933" s="197"/>
      <c r="AA933" s="197"/>
      <c r="AB933" s="197"/>
      <c r="AC933" s="197"/>
      <c r="AD933" s="197"/>
      <c r="AE933" s="197"/>
      <c r="AF933" s="197"/>
      <c r="AG933" s="197"/>
      <c r="AH933" s="197"/>
      <c r="AI933" s="197"/>
      <c r="AJ933" s="197"/>
      <c r="AK933" s="197"/>
      <c r="AL933" s="197"/>
    </row>
    <row r="934" spans="1:38">
      <c r="A934" s="11" t="str">
        <f t="shared" si="71"/>
        <v>15-137988232013</v>
      </c>
      <c r="B934" t="s">
        <v>612</v>
      </c>
      <c r="C934" t="s">
        <v>613</v>
      </c>
      <c r="D934">
        <v>2013</v>
      </c>
      <c r="E934" t="s">
        <v>104</v>
      </c>
      <c r="F934">
        <v>242456.44</v>
      </c>
      <c r="G934">
        <v>333</v>
      </c>
      <c r="H934" s="11" t="str">
        <f t="shared" si="70"/>
        <v>count</v>
      </c>
      <c r="I934" s="197"/>
      <c r="J934" s="197"/>
      <c r="K934" s="197"/>
      <c r="L934" s="197"/>
      <c r="M934" s="197"/>
      <c r="N934" s="197"/>
      <c r="O934" s="197"/>
      <c r="P934" s="197"/>
      <c r="Q934" s="197"/>
      <c r="R934" s="197"/>
      <c r="S934" s="197"/>
      <c r="T934" s="197"/>
      <c r="U934" s="197"/>
      <c r="V934" s="197"/>
      <c r="W934" s="197"/>
      <c r="X934" s="197"/>
      <c r="Y934" s="197"/>
      <c r="Z934" s="197"/>
      <c r="AA934" s="197"/>
      <c r="AB934" s="197"/>
      <c r="AC934" s="197"/>
      <c r="AD934" s="197"/>
      <c r="AE934" s="197"/>
      <c r="AF934" s="197"/>
      <c r="AG934" s="197"/>
      <c r="AH934" s="197"/>
      <c r="AI934" s="197"/>
      <c r="AJ934" s="197"/>
      <c r="AK934" s="197"/>
      <c r="AL934" s="197"/>
    </row>
    <row r="935" spans="1:38">
      <c r="A935" s="11" t="str">
        <f t="shared" si="71"/>
        <v>15-137988232011</v>
      </c>
      <c r="B935" t="s">
        <v>612</v>
      </c>
      <c r="C935" t="s">
        <v>613</v>
      </c>
      <c r="D935">
        <v>2011</v>
      </c>
      <c r="E935" t="s">
        <v>69</v>
      </c>
      <c r="F935">
        <v>1552</v>
      </c>
      <c r="G935">
        <v>2</v>
      </c>
      <c r="H935" s="11" t="str">
        <f t="shared" si="70"/>
        <v>count</v>
      </c>
      <c r="I935" s="197"/>
      <c r="J935" s="197"/>
      <c r="K935" s="197"/>
      <c r="L935" s="197"/>
      <c r="M935" s="197"/>
      <c r="N935" s="197"/>
      <c r="O935" s="197"/>
      <c r="P935" s="197"/>
      <c r="Q935" s="197"/>
      <c r="R935" s="197"/>
      <c r="S935" s="197"/>
      <c r="T935" s="197"/>
      <c r="U935" s="197"/>
      <c r="V935" s="197"/>
      <c r="W935" s="197"/>
      <c r="X935" s="197"/>
      <c r="Y935" s="197"/>
      <c r="Z935" s="197"/>
      <c r="AA935" s="197"/>
      <c r="AB935" s="197"/>
      <c r="AC935" s="197"/>
      <c r="AD935" s="197"/>
      <c r="AE935" s="197"/>
      <c r="AF935" s="197"/>
      <c r="AG935" s="197"/>
      <c r="AH935" s="197"/>
      <c r="AI935" s="197"/>
      <c r="AJ935" s="197"/>
      <c r="AK935" s="197"/>
      <c r="AL935" s="197"/>
    </row>
    <row r="936" spans="1:38">
      <c r="A936" s="11" t="str">
        <f t="shared" si="71"/>
        <v>15-137988232013</v>
      </c>
      <c r="B936" t="s">
        <v>612</v>
      </c>
      <c r="C936" t="s">
        <v>613</v>
      </c>
      <c r="D936">
        <v>2013</v>
      </c>
      <c r="E936" t="s">
        <v>63</v>
      </c>
      <c r="F936">
        <v>468715.97</v>
      </c>
      <c r="G936">
        <v>624</v>
      </c>
      <c r="H936" s="11" t="str">
        <f t="shared" si="70"/>
        <v>count</v>
      </c>
      <c r="I936" s="197"/>
      <c r="J936" s="197"/>
      <c r="K936" s="197"/>
      <c r="L936" s="197"/>
      <c r="M936" s="197"/>
      <c r="N936" s="197"/>
      <c r="O936" s="197"/>
      <c r="P936" s="197"/>
      <c r="Q936" s="197"/>
      <c r="R936" s="197"/>
      <c r="S936" s="197"/>
      <c r="T936" s="197"/>
      <c r="U936" s="197"/>
      <c r="V936" s="197"/>
      <c r="W936" s="197"/>
      <c r="X936" s="197"/>
      <c r="Y936" s="197"/>
      <c r="Z936" s="197"/>
      <c r="AA936" s="197"/>
      <c r="AB936" s="197"/>
      <c r="AC936" s="197"/>
      <c r="AD936" s="197"/>
      <c r="AE936" s="197"/>
      <c r="AF936" s="197"/>
      <c r="AG936" s="197"/>
      <c r="AH936" s="197"/>
      <c r="AI936" s="197"/>
      <c r="AJ936" s="197"/>
      <c r="AK936" s="197"/>
      <c r="AL936" s="197"/>
    </row>
    <row r="937" spans="1:38">
      <c r="A937" s="11" t="str">
        <f t="shared" si="71"/>
        <v>15-137988232012</v>
      </c>
      <c r="B937" t="s">
        <v>612</v>
      </c>
      <c r="C937" t="s">
        <v>613</v>
      </c>
      <c r="D937">
        <v>2012</v>
      </c>
      <c r="E937" t="s">
        <v>1075</v>
      </c>
      <c r="F937">
        <v>8743.5</v>
      </c>
      <c r="G937">
        <v>20</v>
      </c>
      <c r="H937" s="11" t="str">
        <f t="shared" si="70"/>
        <v>count</v>
      </c>
      <c r="I937" s="197"/>
      <c r="J937" s="197"/>
      <c r="K937" s="197"/>
      <c r="L937" s="197"/>
      <c r="M937" s="197"/>
      <c r="N937" s="197"/>
      <c r="O937" s="197"/>
      <c r="P937" s="197"/>
      <c r="Q937" s="197"/>
      <c r="R937" s="197"/>
      <c r="S937" s="197"/>
      <c r="T937" s="197"/>
      <c r="U937" s="197"/>
      <c r="V937" s="197"/>
      <c r="W937" s="197"/>
      <c r="X937" s="197"/>
      <c r="Y937" s="197"/>
      <c r="Z937" s="197"/>
      <c r="AA937" s="197"/>
      <c r="AB937" s="197"/>
      <c r="AC937" s="197"/>
      <c r="AD937" s="197"/>
      <c r="AE937" s="197"/>
      <c r="AF937" s="197"/>
      <c r="AG937" s="197"/>
      <c r="AH937" s="197"/>
      <c r="AI937" s="197"/>
      <c r="AJ937" s="197"/>
      <c r="AK937" s="197"/>
      <c r="AL937" s="197"/>
    </row>
    <row r="938" spans="1:38">
      <c r="A938" s="11" t="str">
        <f t="shared" si="71"/>
        <v>15-137988232011</v>
      </c>
      <c r="B938" t="s">
        <v>612</v>
      </c>
      <c r="C938" t="s">
        <v>613</v>
      </c>
      <c r="D938">
        <v>2011</v>
      </c>
      <c r="E938" t="s">
        <v>63</v>
      </c>
      <c r="F938">
        <v>11950.93</v>
      </c>
      <c r="G938">
        <v>21</v>
      </c>
      <c r="H938" s="11" t="str">
        <f t="shared" si="70"/>
        <v>count</v>
      </c>
      <c r="I938" s="197"/>
      <c r="J938" s="197"/>
      <c r="K938" s="197"/>
      <c r="L938" s="197"/>
      <c r="M938" s="197"/>
      <c r="N938" s="197"/>
      <c r="O938" s="197"/>
      <c r="P938" s="197"/>
      <c r="Q938" s="197"/>
      <c r="R938" s="197"/>
      <c r="S938" s="197"/>
      <c r="T938" s="197"/>
      <c r="U938" s="197"/>
      <c r="V938" s="197"/>
      <c r="W938" s="197"/>
      <c r="X938" s="197"/>
      <c r="Y938" s="197"/>
      <c r="Z938" s="197"/>
      <c r="AA938" s="197"/>
      <c r="AB938" s="197"/>
      <c r="AC938" s="197"/>
      <c r="AD938" s="197"/>
      <c r="AE938" s="197"/>
      <c r="AF938" s="197"/>
      <c r="AG938" s="197"/>
      <c r="AH938" s="197"/>
      <c r="AI938" s="197"/>
      <c r="AJ938" s="197"/>
      <c r="AK938" s="197"/>
      <c r="AL938" s="197"/>
    </row>
    <row r="939" spans="1:38">
      <c r="A939" s="11" t="str">
        <f t="shared" si="71"/>
        <v>15-137988232012</v>
      </c>
      <c r="B939" t="s">
        <v>612</v>
      </c>
      <c r="C939" t="s">
        <v>613</v>
      </c>
      <c r="D939">
        <v>2012</v>
      </c>
      <c r="E939" t="s">
        <v>1076</v>
      </c>
      <c r="F939">
        <v>3960.34</v>
      </c>
      <c r="G939">
        <v>8</v>
      </c>
      <c r="H939" s="11" t="str">
        <f t="shared" si="70"/>
        <v>count</v>
      </c>
      <c r="I939" s="197"/>
      <c r="J939" s="197"/>
      <c r="K939" s="197"/>
      <c r="L939" s="197"/>
      <c r="M939" s="197"/>
      <c r="N939" s="197"/>
      <c r="O939" s="197"/>
      <c r="P939" s="197"/>
      <c r="Q939" s="197"/>
      <c r="R939" s="197"/>
      <c r="S939" s="197"/>
      <c r="T939" s="197"/>
      <c r="U939" s="197"/>
      <c r="V939" s="197"/>
      <c r="W939" s="197"/>
      <c r="X939" s="197"/>
      <c r="Y939" s="197"/>
      <c r="Z939" s="197"/>
      <c r="AA939" s="197"/>
      <c r="AB939" s="197"/>
      <c r="AC939" s="197"/>
      <c r="AD939" s="197"/>
      <c r="AE939" s="197"/>
      <c r="AF939" s="197"/>
      <c r="AG939" s="197"/>
      <c r="AH939" s="197"/>
      <c r="AI939" s="197"/>
      <c r="AJ939" s="197"/>
      <c r="AK939" s="197"/>
      <c r="AL939" s="197"/>
    </row>
    <row r="940" spans="1:38">
      <c r="A940" s="11" t="str">
        <f t="shared" si="71"/>
        <v>15-137988232012</v>
      </c>
      <c r="B940" t="s">
        <v>612</v>
      </c>
      <c r="C940" t="s">
        <v>613</v>
      </c>
      <c r="D940">
        <v>2012</v>
      </c>
      <c r="E940" t="s">
        <v>106</v>
      </c>
      <c r="F940">
        <v>4318072.8899999997</v>
      </c>
      <c r="G940">
        <v>6883</v>
      </c>
      <c r="H940" s="11" t="str">
        <f t="shared" si="70"/>
        <v>count</v>
      </c>
      <c r="I940" s="197"/>
      <c r="J940" s="197"/>
      <c r="K940" s="197"/>
      <c r="L940" s="197"/>
      <c r="M940" s="197"/>
      <c r="N940" s="197"/>
      <c r="O940" s="197"/>
      <c r="P940" s="197"/>
      <c r="Q940" s="197"/>
      <c r="R940" s="197"/>
      <c r="S940" s="197"/>
      <c r="T940" s="197"/>
      <c r="U940" s="197"/>
      <c r="V940" s="197"/>
      <c r="W940" s="197"/>
      <c r="X940" s="197"/>
      <c r="Y940" s="197"/>
      <c r="Z940" s="197"/>
      <c r="AA940" s="197"/>
      <c r="AB940" s="197"/>
      <c r="AC940" s="197"/>
      <c r="AD940" s="197"/>
      <c r="AE940" s="197"/>
      <c r="AF940" s="197"/>
      <c r="AG940" s="197"/>
      <c r="AH940" s="197"/>
      <c r="AI940" s="197"/>
      <c r="AJ940" s="197"/>
      <c r="AK940" s="197"/>
      <c r="AL940" s="197"/>
    </row>
    <row r="941" spans="1:38">
      <c r="A941" s="11" t="str">
        <f t="shared" si="71"/>
        <v>15-137988232012</v>
      </c>
      <c r="B941" t="s">
        <v>612</v>
      </c>
      <c r="C941" t="s">
        <v>613</v>
      </c>
      <c r="D941">
        <v>2012</v>
      </c>
      <c r="E941" t="s">
        <v>105</v>
      </c>
      <c r="F941">
        <v>33698.94</v>
      </c>
      <c r="G941">
        <v>41</v>
      </c>
      <c r="H941" s="11" t="str">
        <f t="shared" si="70"/>
        <v>count</v>
      </c>
      <c r="I941" s="197"/>
      <c r="J941" s="197"/>
      <c r="K941" s="197"/>
      <c r="L941" s="197"/>
      <c r="M941" s="197"/>
      <c r="N941" s="197"/>
      <c r="O941" s="197"/>
      <c r="P941" s="197"/>
      <c r="Q941" s="197"/>
      <c r="R941" s="197"/>
      <c r="S941" s="197"/>
      <c r="T941" s="197"/>
      <c r="U941" s="197"/>
      <c r="V941" s="197"/>
      <c r="W941" s="197"/>
      <c r="X941" s="197"/>
      <c r="Y941" s="197"/>
      <c r="Z941" s="197"/>
      <c r="AA941" s="197"/>
      <c r="AB941" s="197"/>
      <c r="AC941" s="197"/>
      <c r="AD941" s="197"/>
      <c r="AE941" s="197"/>
      <c r="AF941" s="197"/>
      <c r="AG941" s="197"/>
      <c r="AH941" s="197"/>
      <c r="AI941" s="197"/>
      <c r="AJ941" s="197"/>
      <c r="AK941" s="197"/>
      <c r="AL941" s="197"/>
    </row>
    <row r="942" spans="1:38">
      <c r="A942" s="11" t="str">
        <f t="shared" si="71"/>
        <v>15-137988232011</v>
      </c>
      <c r="B942" t="s">
        <v>612</v>
      </c>
      <c r="C942" t="s">
        <v>613</v>
      </c>
      <c r="D942">
        <v>2011</v>
      </c>
      <c r="E942" t="s">
        <v>1074</v>
      </c>
      <c r="F942">
        <v>2804.8</v>
      </c>
      <c r="G942">
        <v>3</v>
      </c>
      <c r="H942" s="11" t="str">
        <f t="shared" si="70"/>
        <v>count</v>
      </c>
      <c r="I942" s="197"/>
      <c r="J942" s="197"/>
      <c r="K942" s="197"/>
      <c r="L942" s="197"/>
      <c r="M942" s="197"/>
      <c r="N942" s="197"/>
      <c r="O942" s="197"/>
      <c r="P942" s="197"/>
      <c r="Q942" s="197"/>
      <c r="R942" s="197"/>
      <c r="S942" s="197"/>
      <c r="T942" s="197"/>
      <c r="U942" s="197"/>
      <c r="V942" s="197"/>
      <c r="W942" s="197"/>
      <c r="X942" s="197"/>
      <c r="Y942" s="197"/>
      <c r="Z942" s="197"/>
      <c r="AA942" s="197"/>
      <c r="AB942" s="197"/>
      <c r="AC942" s="197"/>
      <c r="AD942" s="197"/>
      <c r="AE942" s="197"/>
      <c r="AF942" s="197"/>
      <c r="AG942" s="197"/>
      <c r="AH942" s="197"/>
      <c r="AI942" s="197"/>
      <c r="AJ942" s="197"/>
      <c r="AK942" s="197"/>
      <c r="AL942" s="197"/>
    </row>
    <row r="943" spans="1:38">
      <c r="A943" s="11" t="str">
        <f t="shared" si="71"/>
        <v>15-137988232012</v>
      </c>
      <c r="B943" t="s">
        <v>612</v>
      </c>
      <c r="C943" t="s">
        <v>613</v>
      </c>
      <c r="D943">
        <v>2012</v>
      </c>
      <c r="E943" t="s">
        <v>69</v>
      </c>
      <c r="F943">
        <v>231544.45</v>
      </c>
      <c r="G943">
        <v>452</v>
      </c>
      <c r="H943" s="11" t="str">
        <f t="shared" si="70"/>
        <v>count</v>
      </c>
      <c r="I943" s="197"/>
      <c r="J943" s="197"/>
      <c r="K943" s="197"/>
      <c r="L943" s="197"/>
      <c r="M943" s="197"/>
      <c r="N943" s="197"/>
      <c r="O943" s="197"/>
      <c r="P943" s="197"/>
      <c r="Q943" s="197"/>
      <c r="R943" s="197"/>
      <c r="S943" s="197"/>
      <c r="T943" s="197"/>
      <c r="U943" s="197"/>
      <c r="V943" s="197"/>
      <c r="W943" s="197"/>
      <c r="X943" s="197"/>
      <c r="Y943" s="197"/>
      <c r="Z943" s="197"/>
      <c r="AA943" s="197"/>
      <c r="AB943" s="197"/>
      <c r="AC943" s="197"/>
      <c r="AD943" s="197"/>
      <c r="AE943" s="197"/>
      <c r="AF943" s="197"/>
      <c r="AG943" s="197"/>
      <c r="AH943" s="197"/>
      <c r="AI943" s="197"/>
      <c r="AJ943" s="197"/>
      <c r="AK943" s="197"/>
      <c r="AL943" s="197"/>
    </row>
    <row r="944" spans="1:38">
      <c r="A944" s="11" t="str">
        <f t="shared" si="71"/>
        <v>15-137988232012</v>
      </c>
      <c r="B944" t="s">
        <v>612</v>
      </c>
      <c r="C944" t="s">
        <v>613</v>
      </c>
      <c r="D944">
        <v>2012</v>
      </c>
      <c r="E944" t="s">
        <v>63</v>
      </c>
      <c r="F944">
        <v>299133.3</v>
      </c>
      <c r="G944">
        <v>424</v>
      </c>
      <c r="H944" s="11" t="str">
        <f t="shared" si="70"/>
        <v>count</v>
      </c>
      <c r="I944" s="197"/>
      <c r="J944" s="197"/>
      <c r="K944" s="197"/>
      <c r="L944" s="197"/>
      <c r="M944" s="197"/>
      <c r="N944" s="197"/>
      <c r="O944" s="197"/>
      <c r="P944" s="197"/>
      <c r="Q944" s="197"/>
      <c r="R944" s="197"/>
      <c r="S944" s="197"/>
      <c r="T944" s="197"/>
      <c r="U944" s="197"/>
      <c r="V944" s="197"/>
      <c r="W944" s="197"/>
      <c r="X944" s="197"/>
      <c r="Y944" s="197"/>
      <c r="Z944" s="197"/>
      <c r="AA944" s="197"/>
      <c r="AB944" s="197"/>
      <c r="AC944" s="197"/>
      <c r="AD944" s="197"/>
      <c r="AE944" s="197"/>
      <c r="AF944" s="197"/>
      <c r="AG944" s="197"/>
      <c r="AH944" s="197"/>
      <c r="AI944" s="197"/>
      <c r="AJ944" s="197"/>
      <c r="AK944" s="197"/>
      <c r="AL944" s="197"/>
    </row>
    <row r="945" spans="1:38">
      <c r="A945" s="11" t="str">
        <f t="shared" si="71"/>
        <v>15-137988232012</v>
      </c>
      <c r="B945" t="s">
        <v>612</v>
      </c>
      <c r="C945" t="s">
        <v>613</v>
      </c>
      <c r="D945">
        <v>2012</v>
      </c>
      <c r="E945" t="s">
        <v>1074</v>
      </c>
      <c r="F945">
        <v>9573.2999999999993</v>
      </c>
      <c r="G945">
        <v>22</v>
      </c>
      <c r="H945" s="11" t="str">
        <f t="shared" si="70"/>
        <v>count</v>
      </c>
      <c r="I945" s="197"/>
      <c r="J945" s="197"/>
      <c r="K945" s="197"/>
      <c r="L945" s="197"/>
      <c r="M945" s="197"/>
      <c r="N945" s="197"/>
      <c r="O945" s="197"/>
      <c r="P945" s="197"/>
      <c r="Q945" s="197"/>
      <c r="R945" s="197"/>
      <c r="S945" s="197"/>
      <c r="T945" s="197"/>
      <c r="U945" s="197"/>
      <c r="V945" s="197"/>
      <c r="W945" s="197"/>
      <c r="X945" s="197"/>
      <c r="Y945" s="197"/>
      <c r="Z945" s="197"/>
      <c r="AA945" s="197"/>
      <c r="AB945" s="197"/>
      <c r="AC945" s="197"/>
      <c r="AD945" s="197"/>
      <c r="AE945" s="197"/>
      <c r="AF945" s="197"/>
      <c r="AG945" s="197"/>
      <c r="AH945" s="197"/>
      <c r="AI945" s="197"/>
      <c r="AJ945" s="197"/>
      <c r="AK945" s="197"/>
      <c r="AL945" s="197"/>
    </row>
    <row r="946" spans="1:38">
      <c r="A946" s="11" t="str">
        <f t="shared" si="71"/>
        <v>15-137988232012</v>
      </c>
      <c r="B946" t="s">
        <v>612</v>
      </c>
      <c r="C946" t="s">
        <v>613</v>
      </c>
      <c r="D946">
        <v>2012</v>
      </c>
      <c r="E946" t="s">
        <v>104</v>
      </c>
      <c r="F946">
        <v>172944.25</v>
      </c>
      <c r="G946">
        <v>252</v>
      </c>
      <c r="H946" s="11" t="str">
        <f t="shared" si="70"/>
        <v>count</v>
      </c>
      <c r="I946" s="197"/>
      <c r="J946" s="197"/>
      <c r="K946" s="197"/>
      <c r="L946" s="197"/>
      <c r="M946" s="197"/>
      <c r="N946" s="197"/>
      <c r="O946" s="197"/>
      <c r="P946" s="197"/>
      <c r="Q946" s="197"/>
      <c r="R946" s="197"/>
      <c r="S946" s="197"/>
      <c r="T946" s="197"/>
      <c r="U946" s="197"/>
      <c r="V946" s="197"/>
      <c r="W946" s="197"/>
      <c r="X946" s="197"/>
      <c r="Y946" s="197"/>
      <c r="Z946" s="197"/>
      <c r="AA946" s="197"/>
      <c r="AB946" s="197"/>
      <c r="AC946" s="197"/>
      <c r="AD946" s="197"/>
      <c r="AE946" s="197"/>
      <c r="AF946" s="197"/>
      <c r="AG946" s="197"/>
      <c r="AH946" s="197"/>
      <c r="AI946" s="197"/>
      <c r="AJ946" s="197"/>
      <c r="AK946" s="197"/>
      <c r="AL946" s="197"/>
    </row>
    <row r="947" spans="1:38">
      <c r="A947" s="11" t="str">
        <f t="shared" si="71"/>
        <v>15-137988232011</v>
      </c>
      <c r="B947" t="s">
        <v>612</v>
      </c>
      <c r="C947" t="s">
        <v>613</v>
      </c>
      <c r="D947">
        <v>2011</v>
      </c>
      <c r="E947" t="s">
        <v>104</v>
      </c>
      <c r="F947">
        <v>4209.47</v>
      </c>
      <c r="G947">
        <v>4</v>
      </c>
      <c r="H947" s="11" t="str">
        <f t="shared" si="70"/>
        <v>count</v>
      </c>
      <c r="I947" s="197"/>
      <c r="J947" s="197"/>
      <c r="K947" s="197"/>
      <c r="L947" s="197"/>
      <c r="M947" s="197"/>
      <c r="N947" s="197"/>
      <c r="O947" s="197"/>
      <c r="P947" s="197"/>
      <c r="Q947" s="197"/>
      <c r="R947" s="197"/>
      <c r="S947" s="197"/>
      <c r="T947" s="197"/>
      <c r="U947" s="197"/>
      <c r="V947" s="197"/>
      <c r="W947" s="197"/>
      <c r="X947" s="197"/>
      <c r="Y947" s="197"/>
      <c r="Z947" s="197"/>
      <c r="AA947" s="197"/>
      <c r="AB947" s="197"/>
      <c r="AC947" s="197"/>
      <c r="AD947" s="197"/>
      <c r="AE947" s="197"/>
      <c r="AF947" s="197"/>
      <c r="AG947" s="197"/>
      <c r="AH947" s="197"/>
      <c r="AI947" s="197"/>
      <c r="AJ947" s="197"/>
      <c r="AK947" s="197"/>
      <c r="AL947" s="197"/>
    </row>
    <row r="948" spans="1:38">
      <c r="A948" s="11" t="str">
        <f t="shared" si="71"/>
        <v>15-137988232011</v>
      </c>
      <c r="B948" t="s">
        <v>612</v>
      </c>
      <c r="C948" t="s">
        <v>613</v>
      </c>
      <c r="D948">
        <v>2011</v>
      </c>
      <c r="E948" t="s">
        <v>106</v>
      </c>
      <c r="F948">
        <v>226700.83</v>
      </c>
      <c r="G948">
        <v>338</v>
      </c>
      <c r="H948" s="11" t="str">
        <f t="shared" si="70"/>
        <v>count</v>
      </c>
      <c r="I948" s="197"/>
      <c r="J948" s="197"/>
      <c r="K948" s="197"/>
      <c r="L948" s="197"/>
      <c r="M948" s="197"/>
      <c r="N948" s="197"/>
      <c r="O948" s="197"/>
      <c r="P948" s="197"/>
      <c r="Q948" s="197"/>
      <c r="R948" s="197"/>
      <c r="S948" s="197"/>
      <c r="T948" s="197"/>
      <c r="U948" s="197"/>
      <c r="V948" s="197"/>
      <c r="W948" s="197"/>
      <c r="X948" s="197"/>
      <c r="Y948" s="197"/>
      <c r="Z948" s="197"/>
      <c r="AA948" s="197"/>
      <c r="AB948" s="197"/>
      <c r="AC948" s="197"/>
      <c r="AD948" s="197"/>
      <c r="AE948" s="197"/>
      <c r="AF948" s="197"/>
      <c r="AG948" s="197"/>
      <c r="AH948" s="197"/>
      <c r="AI948" s="197"/>
      <c r="AJ948" s="197"/>
      <c r="AK948" s="197"/>
      <c r="AL948" s="197"/>
    </row>
    <row r="949" spans="1:38">
      <c r="A949" s="11" t="str">
        <f t="shared" si="71"/>
        <v>15-137988232013</v>
      </c>
      <c r="B949" t="s">
        <v>612</v>
      </c>
      <c r="C949" t="s">
        <v>613</v>
      </c>
      <c r="D949">
        <v>2013</v>
      </c>
      <c r="E949" t="s">
        <v>105</v>
      </c>
      <c r="F949">
        <v>51721.37</v>
      </c>
      <c r="G949">
        <v>81</v>
      </c>
      <c r="H949" s="11" t="str">
        <f t="shared" si="70"/>
        <v>count</v>
      </c>
      <c r="I949" s="197"/>
      <c r="J949" s="197"/>
      <c r="K949" s="197"/>
      <c r="L949" s="197"/>
      <c r="M949" s="197"/>
      <c r="N949" s="197"/>
      <c r="O949" s="197"/>
      <c r="P949" s="197"/>
      <c r="Q949" s="197"/>
      <c r="R949" s="197"/>
      <c r="S949" s="197"/>
      <c r="T949" s="197"/>
      <c r="U949" s="197"/>
      <c r="V949" s="197"/>
      <c r="W949" s="197"/>
      <c r="X949" s="197"/>
      <c r="Y949" s="197"/>
      <c r="Z949" s="197"/>
      <c r="AA949" s="197"/>
      <c r="AB949" s="197"/>
      <c r="AC949" s="197"/>
      <c r="AD949" s="197"/>
      <c r="AE949" s="197"/>
      <c r="AF949" s="197"/>
      <c r="AG949" s="197"/>
      <c r="AH949" s="197"/>
      <c r="AI949" s="197"/>
      <c r="AJ949" s="197"/>
      <c r="AK949" s="197"/>
      <c r="AL949" s="197"/>
    </row>
    <row r="950" spans="1:38">
      <c r="A950" s="11" t="str">
        <f t="shared" si="71"/>
        <v>15-137988232013</v>
      </c>
      <c r="B950" t="s">
        <v>612</v>
      </c>
      <c r="C950" t="s">
        <v>613</v>
      </c>
      <c r="D950">
        <v>2013</v>
      </c>
      <c r="E950" t="s">
        <v>69</v>
      </c>
      <c r="F950">
        <v>743853.62</v>
      </c>
      <c r="G950">
        <v>1197</v>
      </c>
      <c r="H950" s="11" t="str">
        <f t="shared" si="70"/>
        <v>count</v>
      </c>
      <c r="I950" s="197"/>
      <c r="J950" s="197"/>
      <c r="K950" s="197"/>
      <c r="L950" s="197"/>
      <c r="M950" s="197"/>
      <c r="N950" s="197"/>
      <c r="O950" s="197"/>
      <c r="P950" s="197"/>
      <c r="Q950" s="197"/>
      <c r="R950" s="197"/>
      <c r="S950" s="197"/>
      <c r="T950" s="197"/>
      <c r="U950" s="197"/>
      <c r="V950" s="197"/>
      <c r="W950" s="197"/>
      <c r="X950" s="197"/>
      <c r="Y950" s="197"/>
      <c r="Z950" s="197"/>
      <c r="AA950" s="197"/>
      <c r="AB950" s="197"/>
      <c r="AC950" s="197"/>
      <c r="AD950" s="197"/>
      <c r="AE950" s="197"/>
      <c r="AF950" s="197"/>
      <c r="AG950" s="197"/>
      <c r="AH950" s="197"/>
      <c r="AI950" s="197"/>
      <c r="AJ950" s="197"/>
      <c r="AK950" s="197"/>
      <c r="AL950" s="197"/>
    </row>
    <row r="951" spans="1:38">
      <c r="A951" s="11" t="str">
        <f t="shared" si="71"/>
        <v>15-194144462011</v>
      </c>
      <c r="B951" t="s">
        <v>616</v>
      </c>
      <c r="C951" t="s">
        <v>617</v>
      </c>
      <c r="D951">
        <v>2011</v>
      </c>
      <c r="E951" t="s">
        <v>63</v>
      </c>
      <c r="F951">
        <v>97322.64</v>
      </c>
      <c r="G951">
        <v>301</v>
      </c>
      <c r="H951" s="11" t="str">
        <f t="shared" si="70"/>
        <v>volume</v>
      </c>
      <c r="I951" s="197"/>
      <c r="J951" s="197"/>
      <c r="K951" s="197"/>
      <c r="L951" s="197"/>
      <c r="M951" s="197"/>
      <c r="N951" s="197"/>
      <c r="O951" s="197"/>
      <c r="P951" s="197"/>
      <c r="Q951" s="197"/>
      <c r="R951" s="197"/>
      <c r="S951" s="197"/>
      <c r="T951" s="197"/>
      <c r="U951" s="197"/>
      <c r="V951" s="197"/>
      <c r="W951" s="197"/>
      <c r="X951" s="197"/>
      <c r="Y951" s="197"/>
      <c r="Z951" s="197"/>
      <c r="AA951" s="197"/>
      <c r="AB951" s="197"/>
      <c r="AC951" s="197"/>
      <c r="AD951" s="197"/>
      <c r="AE951" s="197"/>
      <c r="AF951" s="197"/>
      <c r="AG951" s="197"/>
      <c r="AH951" s="197"/>
      <c r="AI951" s="197"/>
      <c r="AJ951" s="197"/>
      <c r="AK951" s="197"/>
      <c r="AL951" s="197"/>
    </row>
    <row r="952" spans="1:38">
      <c r="A952" s="11" t="str">
        <f t="shared" si="71"/>
        <v>15-194144462013</v>
      </c>
      <c r="B952" t="s">
        <v>616</v>
      </c>
      <c r="C952" t="s">
        <v>617</v>
      </c>
      <c r="D952">
        <v>2013</v>
      </c>
      <c r="E952" t="s">
        <v>105</v>
      </c>
      <c r="F952">
        <v>11306</v>
      </c>
      <c r="G952">
        <v>11</v>
      </c>
      <c r="H952" s="11" t="str">
        <f t="shared" si="70"/>
        <v>count</v>
      </c>
      <c r="I952" s="197"/>
      <c r="J952" s="197"/>
      <c r="K952" s="197"/>
      <c r="L952" s="197"/>
      <c r="M952" s="197"/>
      <c r="N952" s="197"/>
      <c r="O952" s="197"/>
      <c r="P952" s="197"/>
      <c r="Q952" s="197"/>
      <c r="R952" s="197"/>
      <c r="S952" s="197"/>
      <c r="T952" s="197"/>
      <c r="U952" s="197"/>
      <c r="V952" s="197"/>
      <c r="W952" s="197"/>
      <c r="X952" s="197"/>
      <c r="Y952" s="197"/>
      <c r="Z952" s="197"/>
      <c r="AA952" s="197"/>
      <c r="AB952" s="197"/>
      <c r="AC952" s="197"/>
      <c r="AD952" s="197"/>
      <c r="AE952" s="197"/>
      <c r="AF952" s="197"/>
      <c r="AG952" s="197"/>
      <c r="AH952" s="197"/>
      <c r="AI952" s="197"/>
      <c r="AJ952" s="197"/>
      <c r="AK952" s="197"/>
      <c r="AL952" s="197"/>
    </row>
    <row r="953" spans="1:38">
      <c r="A953" s="11" t="str">
        <f t="shared" si="71"/>
        <v>15-194144462011</v>
      </c>
      <c r="B953" t="s">
        <v>616</v>
      </c>
      <c r="C953" t="s">
        <v>617</v>
      </c>
      <c r="D953">
        <v>2011</v>
      </c>
      <c r="E953" t="s">
        <v>104</v>
      </c>
      <c r="F953">
        <v>153761.25</v>
      </c>
      <c r="G953">
        <v>152</v>
      </c>
      <c r="H953" s="11" t="str">
        <f t="shared" si="70"/>
        <v>count</v>
      </c>
      <c r="I953" s="197"/>
      <c r="J953" s="197"/>
      <c r="K953" s="197"/>
      <c r="L953" s="197"/>
      <c r="M953" s="197"/>
      <c r="N953" s="197"/>
      <c r="O953" s="197"/>
      <c r="P953" s="197"/>
      <c r="Q953" s="197"/>
      <c r="R953" s="197"/>
      <c r="S953" s="197"/>
      <c r="T953" s="197"/>
      <c r="U953" s="197"/>
      <c r="V953" s="197"/>
      <c r="W953" s="197"/>
      <c r="X953" s="197"/>
      <c r="Y953" s="197"/>
      <c r="Z953" s="197"/>
      <c r="AA953" s="197"/>
      <c r="AB953" s="197"/>
      <c r="AC953" s="197"/>
      <c r="AD953" s="197"/>
      <c r="AE953" s="197"/>
      <c r="AF953" s="197"/>
      <c r="AG953" s="197"/>
      <c r="AH953" s="197"/>
      <c r="AI953" s="197"/>
      <c r="AJ953" s="197"/>
      <c r="AK953" s="197"/>
      <c r="AL953" s="197"/>
    </row>
    <row r="954" spans="1:38">
      <c r="A954" s="11" t="str">
        <f t="shared" si="71"/>
        <v>15-194144462012</v>
      </c>
      <c r="B954" t="s">
        <v>616</v>
      </c>
      <c r="C954" t="s">
        <v>617</v>
      </c>
      <c r="D954">
        <v>2012</v>
      </c>
      <c r="E954" t="s">
        <v>68</v>
      </c>
      <c r="F954">
        <v>112992864.69</v>
      </c>
      <c r="G954">
        <v>33907</v>
      </c>
      <c r="H954" s="11" t="str">
        <f t="shared" si="70"/>
        <v>count</v>
      </c>
      <c r="I954" s="197"/>
      <c r="J954" s="197"/>
      <c r="K954" s="197"/>
      <c r="L954" s="197"/>
      <c r="M954" s="197"/>
      <c r="N954" s="197"/>
      <c r="O954" s="197"/>
      <c r="P954" s="197"/>
      <c r="Q954" s="197"/>
      <c r="R954" s="197"/>
      <c r="S954" s="197"/>
      <c r="T954" s="197"/>
      <c r="U954" s="197"/>
      <c r="V954" s="197"/>
      <c r="W954" s="197"/>
      <c r="X954" s="197"/>
      <c r="Y954" s="197"/>
      <c r="Z954" s="197"/>
      <c r="AA954" s="197"/>
      <c r="AB954" s="197"/>
      <c r="AC954" s="197"/>
      <c r="AD954" s="197"/>
      <c r="AE954" s="197"/>
      <c r="AF954" s="197"/>
      <c r="AG954" s="197"/>
      <c r="AH954" s="197"/>
      <c r="AI954" s="197"/>
      <c r="AJ954" s="197"/>
      <c r="AK954" s="197"/>
      <c r="AL954" s="197"/>
    </row>
    <row r="955" spans="1:38">
      <c r="A955" s="11" t="str">
        <f t="shared" si="71"/>
        <v>15-194144462012</v>
      </c>
      <c r="B955" t="s">
        <v>616</v>
      </c>
      <c r="C955" t="s">
        <v>617</v>
      </c>
      <c r="D955">
        <v>2012</v>
      </c>
      <c r="E955" t="s">
        <v>69</v>
      </c>
      <c r="F955">
        <v>31320.18</v>
      </c>
      <c r="G955">
        <v>149</v>
      </c>
      <c r="H955" s="11" t="str">
        <f t="shared" si="70"/>
        <v>count</v>
      </c>
      <c r="I955" s="197"/>
      <c r="J955" s="197"/>
      <c r="K955" s="197"/>
      <c r="L955" s="197"/>
      <c r="M955" s="197"/>
      <c r="N955" s="197"/>
      <c r="O955" s="197"/>
      <c r="P955" s="197"/>
      <c r="Q955" s="197"/>
      <c r="R955" s="197"/>
      <c r="S955" s="197"/>
      <c r="T955" s="197"/>
      <c r="U955" s="197"/>
      <c r="V955" s="197"/>
      <c r="W955" s="197"/>
      <c r="X955" s="197"/>
      <c r="Y955" s="197"/>
      <c r="Z955" s="197"/>
      <c r="AA955" s="197"/>
      <c r="AB955" s="197"/>
      <c r="AC955" s="197"/>
      <c r="AD955" s="197"/>
      <c r="AE955" s="197"/>
      <c r="AF955" s="197"/>
      <c r="AG955" s="197"/>
      <c r="AH955" s="197"/>
      <c r="AI955" s="197"/>
      <c r="AJ955" s="197"/>
      <c r="AK955" s="197"/>
      <c r="AL955" s="197"/>
    </row>
    <row r="956" spans="1:38">
      <c r="A956" s="11" t="str">
        <f t="shared" si="71"/>
        <v>15-194144462012</v>
      </c>
      <c r="B956" t="s">
        <v>616</v>
      </c>
      <c r="C956" t="s">
        <v>617</v>
      </c>
      <c r="D956">
        <v>2012</v>
      </c>
      <c r="E956" t="s">
        <v>105</v>
      </c>
      <c r="F956">
        <v>29220.15</v>
      </c>
      <c r="G956">
        <v>27</v>
      </c>
      <c r="H956" s="11" t="str">
        <f t="shared" si="70"/>
        <v>count</v>
      </c>
      <c r="I956" s="197"/>
      <c r="J956" s="197"/>
      <c r="K956" s="197"/>
      <c r="L956" s="197"/>
      <c r="M956" s="197"/>
      <c r="N956" s="197"/>
      <c r="O956" s="197"/>
      <c r="P956" s="197"/>
      <c r="Q956" s="197"/>
      <c r="R956" s="197"/>
      <c r="S956" s="197"/>
      <c r="T956" s="197"/>
      <c r="U956" s="197"/>
      <c r="V956" s="197"/>
      <c r="W956" s="197"/>
      <c r="X956" s="197"/>
      <c r="Y956" s="197"/>
      <c r="Z956" s="197"/>
      <c r="AA956" s="197"/>
      <c r="AB956" s="197"/>
      <c r="AC956" s="197"/>
      <c r="AD956" s="197"/>
      <c r="AE956" s="197"/>
      <c r="AF956" s="197"/>
      <c r="AG956" s="197"/>
      <c r="AH956" s="197"/>
      <c r="AI956" s="197"/>
      <c r="AJ956" s="197"/>
      <c r="AK956" s="197"/>
      <c r="AL956" s="197"/>
    </row>
    <row r="957" spans="1:38">
      <c r="A957" s="11" t="str">
        <f t="shared" si="71"/>
        <v>15-194144462011</v>
      </c>
      <c r="B957" t="s">
        <v>616</v>
      </c>
      <c r="C957" t="s">
        <v>617</v>
      </c>
      <c r="D957">
        <v>2011</v>
      </c>
      <c r="E957" t="s">
        <v>106</v>
      </c>
      <c r="F957">
        <v>9249091.0800000001</v>
      </c>
      <c r="G957">
        <v>2548</v>
      </c>
      <c r="H957" s="11" t="str">
        <f t="shared" si="70"/>
        <v>count</v>
      </c>
      <c r="I957" s="197"/>
      <c r="J957" s="197"/>
      <c r="K957" s="197"/>
      <c r="L957" s="197"/>
      <c r="M957" s="197"/>
      <c r="N957" s="197"/>
      <c r="O957" s="197"/>
      <c r="P957" s="197"/>
      <c r="Q957" s="197"/>
      <c r="R957" s="197"/>
      <c r="S957" s="197"/>
      <c r="T957" s="197"/>
      <c r="U957" s="197"/>
      <c r="V957" s="197"/>
      <c r="W957" s="197"/>
      <c r="X957" s="197"/>
      <c r="Y957" s="197"/>
      <c r="Z957" s="197"/>
      <c r="AA957" s="197"/>
      <c r="AB957" s="197"/>
      <c r="AC957" s="197"/>
      <c r="AD957" s="197"/>
      <c r="AE957" s="197"/>
      <c r="AF957" s="197"/>
      <c r="AG957" s="197"/>
      <c r="AH957" s="197"/>
      <c r="AI957" s="197"/>
      <c r="AJ957" s="197"/>
      <c r="AK957" s="197"/>
      <c r="AL957" s="197"/>
    </row>
    <row r="958" spans="1:38">
      <c r="A958" s="11" t="str">
        <f t="shared" si="71"/>
        <v>15-194144462013</v>
      </c>
      <c r="B958" t="s">
        <v>616</v>
      </c>
      <c r="C958" t="s">
        <v>617</v>
      </c>
      <c r="D958">
        <v>2013</v>
      </c>
      <c r="E958" t="s">
        <v>69</v>
      </c>
      <c r="F958">
        <v>24745.38</v>
      </c>
      <c r="G958">
        <v>103</v>
      </c>
      <c r="H958" s="11" t="str">
        <f t="shared" si="70"/>
        <v>count</v>
      </c>
      <c r="I958" s="197"/>
      <c r="J958" s="197"/>
      <c r="K958" s="197"/>
      <c r="L958" s="197"/>
      <c r="M958" s="197"/>
      <c r="N958" s="197"/>
      <c r="O958" s="197"/>
      <c r="P958" s="197"/>
      <c r="Q958" s="197"/>
      <c r="R958" s="197"/>
      <c r="S958" s="197"/>
      <c r="T958" s="197"/>
      <c r="U958" s="197"/>
      <c r="V958" s="197"/>
      <c r="W958" s="197"/>
      <c r="X958" s="197"/>
      <c r="Y958" s="197"/>
      <c r="Z958" s="197"/>
      <c r="AA958" s="197"/>
      <c r="AB958" s="197"/>
      <c r="AC958" s="197"/>
      <c r="AD958" s="197"/>
      <c r="AE958" s="197"/>
      <c r="AF958" s="197"/>
      <c r="AG958" s="197"/>
      <c r="AH958" s="197"/>
      <c r="AI958" s="197"/>
      <c r="AJ958" s="197"/>
      <c r="AK958" s="197"/>
      <c r="AL958" s="197"/>
    </row>
    <row r="959" spans="1:38">
      <c r="A959" s="11" t="str">
        <f t="shared" si="71"/>
        <v>15-194144462011</v>
      </c>
      <c r="B959" t="s">
        <v>616</v>
      </c>
      <c r="C959" t="s">
        <v>617</v>
      </c>
      <c r="D959">
        <v>2011</v>
      </c>
      <c r="E959" t="s">
        <v>1074</v>
      </c>
      <c r="F959">
        <v>3249</v>
      </c>
      <c r="G959">
        <v>14</v>
      </c>
      <c r="H959" s="11" t="str">
        <f t="shared" si="70"/>
        <v>count</v>
      </c>
      <c r="I959" s="197"/>
      <c r="J959" s="197"/>
      <c r="K959" s="197"/>
      <c r="L959" s="197"/>
      <c r="M959" s="197"/>
      <c r="N959" s="197"/>
      <c r="O959" s="197"/>
      <c r="P959" s="197"/>
      <c r="Q959" s="197"/>
      <c r="R959" s="197"/>
      <c r="S959" s="197"/>
      <c r="T959" s="197"/>
      <c r="U959" s="197"/>
      <c r="V959" s="197"/>
      <c r="W959" s="197"/>
      <c r="X959" s="197"/>
      <c r="Y959" s="197"/>
      <c r="Z959" s="197"/>
      <c r="AA959" s="197"/>
      <c r="AB959" s="197"/>
      <c r="AC959" s="197"/>
      <c r="AD959" s="197"/>
      <c r="AE959" s="197"/>
      <c r="AF959" s="197"/>
      <c r="AG959" s="197"/>
      <c r="AH959" s="197"/>
      <c r="AI959" s="197"/>
      <c r="AJ959" s="197"/>
      <c r="AK959" s="197"/>
      <c r="AL959" s="197"/>
    </row>
    <row r="960" spans="1:38">
      <c r="A960" s="11" t="str">
        <f t="shared" si="71"/>
        <v>15-194144462012</v>
      </c>
      <c r="B960" t="s">
        <v>616</v>
      </c>
      <c r="C960" t="s">
        <v>617</v>
      </c>
      <c r="D960">
        <v>2012</v>
      </c>
      <c r="E960" t="s">
        <v>104</v>
      </c>
      <c r="F960">
        <v>252986.32</v>
      </c>
      <c r="G960">
        <v>165</v>
      </c>
      <c r="H960" s="11" t="str">
        <f t="shared" si="70"/>
        <v>count</v>
      </c>
      <c r="I960" s="197"/>
      <c r="J960" s="197"/>
      <c r="K960" s="197"/>
      <c r="L960" s="197"/>
      <c r="M960" s="197"/>
      <c r="N960" s="197"/>
      <c r="O960" s="197"/>
      <c r="P960" s="197"/>
      <c r="Q960" s="197"/>
      <c r="R960" s="197"/>
      <c r="S960" s="197"/>
      <c r="T960" s="197"/>
      <c r="U960" s="197"/>
      <c r="V960" s="197"/>
      <c r="W960" s="197"/>
      <c r="X960" s="197"/>
      <c r="Y960" s="197"/>
      <c r="Z960" s="197"/>
      <c r="AA960" s="197"/>
      <c r="AB960" s="197"/>
      <c r="AC960" s="197"/>
      <c r="AD960" s="197"/>
      <c r="AE960" s="197"/>
      <c r="AF960" s="197"/>
      <c r="AG960" s="197"/>
      <c r="AH960" s="197"/>
      <c r="AI960" s="197"/>
      <c r="AJ960" s="197"/>
      <c r="AK960" s="197"/>
      <c r="AL960" s="197"/>
    </row>
    <row r="961" spans="1:38">
      <c r="A961" s="11" t="str">
        <f t="shared" si="71"/>
        <v>15-194144462012</v>
      </c>
      <c r="B961" t="s">
        <v>616</v>
      </c>
      <c r="C961" t="s">
        <v>617</v>
      </c>
      <c r="D961">
        <v>2012</v>
      </c>
      <c r="E961" t="s">
        <v>1075</v>
      </c>
      <c r="F961">
        <v>331.43</v>
      </c>
      <c r="G961">
        <v>13</v>
      </c>
      <c r="H961" s="11" t="str">
        <f t="shared" si="70"/>
        <v>count</v>
      </c>
      <c r="I961" s="197"/>
      <c r="J961" s="197"/>
      <c r="K961" s="197"/>
      <c r="L961" s="197"/>
      <c r="M961" s="197"/>
      <c r="N961" s="197"/>
      <c r="O961" s="197"/>
      <c r="P961" s="197"/>
      <c r="Q961" s="197"/>
      <c r="R961" s="197"/>
      <c r="S961" s="197"/>
      <c r="T961" s="197"/>
      <c r="U961" s="197"/>
      <c r="V961" s="197"/>
      <c r="W961" s="197"/>
      <c r="X961" s="197"/>
      <c r="Y961" s="197"/>
      <c r="Z961" s="197"/>
      <c r="AA961" s="197"/>
      <c r="AB961" s="197"/>
      <c r="AC961" s="197"/>
      <c r="AD961" s="197"/>
      <c r="AE961" s="197"/>
      <c r="AF961" s="197"/>
      <c r="AG961" s="197"/>
      <c r="AH961" s="197"/>
      <c r="AI961" s="197"/>
      <c r="AJ961" s="197"/>
      <c r="AK961" s="197"/>
      <c r="AL961" s="197"/>
    </row>
    <row r="962" spans="1:38">
      <c r="A962" s="11" t="str">
        <f t="shared" si="71"/>
        <v>15-194144462013</v>
      </c>
      <c r="B962" t="s">
        <v>616</v>
      </c>
      <c r="C962" t="s">
        <v>617</v>
      </c>
      <c r="D962">
        <v>2013</v>
      </c>
      <c r="E962" t="s">
        <v>68</v>
      </c>
      <c r="F962">
        <v>1006429.29</v>
      </c>
      <c r="G962">
        <v>275</v>
      </c>
      <c r="H962" s="11" t="str">
        <f t="shared" ref="H962:H1025" si="72">IF(B962=B961,"count","volume")</f>
        <v>count</v>
      </c>
      <c r="I962" s="197"/>
      <c r="J962" s="197"/>
      <c r="K962" s="197"/>
      <c r="L962" s="197"/>
      <c r="M962" s="197"/>
      <c r="N962" s="197"/>
      <c r="O962" s="197"/>
      <c r="P962" s="197"/>
      <c r="Q962" s="197"/>
      <c r="R962" s="197"/>
      <c r="S962" s="197"/>
      <c r="T962" s="197"/>
      <c r="U962" s="197"/>
      <c r="V962" s="197"/>
      <c r="W962" s="197"/>
      <c r="X962" s="197"/>
      <c r="Y962" s="197"/>
      <c r="Z962" s="197"/>
      <c r="AA962" s="197"/>
      <c r="AB962" s="197"/>
      <c r="AC962" s="197"/>
      <c r="AD962" s="197"/>
      <c r="AE962" s="197"/>
      <c r="AF962" s="197"/>
      <c r="AG962" s="197"/>
      <c r="AH962" s="197"/>
      <c r="AI962" s="197"/>
      <c r="AJ962" s="197"/>
      <c r="AK962" s="197"/>
      <c r="AL962" s="197"/>
    </row>
    <row r="963" spans="1:38">
      <c r="A963" s="11" t="str">
        <f t="shared" ref="A963:A1026" si="73">B963&amp;D963</f>
        <v>15-194144462011</v>
      </c>
      <c r="B963" t="s">
        <v>616</v>
      </c>
      <c r="C963" t="s">
        <v>617</v>
      </c>
      <c r="D963">
        <v>2011</v>
      </c>
      <c r="E963" t="s">
        <v>69</v>
      </c>
      <c r="F963">
        <v>18</v>
      </c>
      <c r="G963">
        <v>1</v>
      </c>
      <c r="H963" s="11" t="str">
        <f t="shared" si="72"/>
        <v>count</v>
      </c>
      <c r="I963" s="197"/>
      <c r="J963" s="197"/>
      <c r="K963" s="197"/>
      <c r="L963" s="197"/>
      <c r="M963" s="197"/>
      <c r="N963" s="197"/>
      <c r="O963" s="197"/>
      <c r="P963" s="197"/>
      <c r="Q963" s="197"/>
      <c r="R963" s="197"/>
      <c r="S963" s="197"/>
      <c r="T963" s="197"/>
      <c r="U963" s="197"/>
      <c r="V963" s="197"/>
      <c r="W963" s="197"/>
      <c r="X963" s="197"/>
      <c r="Y963" s="197"/>
      <c r="Z963" s="197"/>
      <c r="AA963" s="197"/>
      <c r="AB963" s="197"/>
      <c r="AC963" s="197"/>
      <c r="AD963" s="197"/>
      <c r="AE963" s="197"/>
      <c r="AF963" s="197"/>
      <c r="AG963" s="197"/>
      <c r="AH963" s="197"/>
      <c r="AI963" s="197"/>
      <c r="AJ963" s="197"/>
      <c r="AK963" s="197"/>
      <c r="AL963" s="197"/>
    </row>
    <row r="964" spans="1:38">
      <c r="A964" s="11" t="str">
        <f t="shared" si="73"/>
        <v>15-194144462013</v>
      </c>
      <c r="B964" t="s">
        <v>616</v>
      </c>
      <c r="C964" t="s">
        <v>617</v>
      </c>
      <c r="D964">
        <v>2013</v>
      </c>
      <c r="E964" t="s">
        <v>106</v>
      </c>
      <c r="F964">
        <v>10497129.859999999</v>
      </c>
      <c r="G964">
        <v>2590</v>
      </c>
      <c r="H964" s="11" t="str">
        <f t="shared" si="72"/>
        <v>count</v>
      </c>
      <c r="I964" s="197"/>
      <c r="J964" s="197"/>
      <c r="K964" s="197"/>
      <c r="L964" s="197"/>
      <c r="M964" s="197"/>
      <c r="N964" s="197"/>
      <c r="O964" s="197"/>
      <c r="P964" s="197"/>
      <c r="Q964" s="197"/>
      <c r="R964" s="197"/>
      <c r="S964" s="197"/>
      <c r="T964" s="197"/>
      <c r="U964" s="197"/>
      <c r="V964" s="197"/>
      <c r="W964" s="197"/>
      <c r="X964" s="197"/>
      <c r="Y964" s="197"/>
      <c r="Z964" s="197"/>
      <c r="AA964" s="197"/>
      <c r="AB964" s="197"/>
      <c r="AC964" s="197"/>
      <c r="AD964" s="197"/>
      <c r="AE964" s="197"/>
      <c r="AF964" s="197"/>
      <c r="AG964" s="197"/>
      <c r="AH964" s="197"/>
      <c r="AI964" s="197"/>
      <c r="AJ964" s="197"/>
      <c r="AK964" s="197"/>
      <c r="AL964" s="197"/>
    </row>
    <row r="965" spans="1:38">
      <c r="A965" s="11" t="str">
        <f t="shared" si="73"/>
        <v>15-194144462012</v>
      </c>
      <c r="B965" t="s">
        <v>616</v>
      </c>
      <c r="C965" t="s">
        <v>617</v>
      </c>
      <c r="D965">
        <v>2012</v>
      </c>
      <c r="E965" t="s">
        <v>63</v>
      </c>
      <c r="F965">
        <v>384284.14</v>
      </c>
      <c r="G965">
        <v>318</v>
      </c>
      <c r="H965" s="11" t="str">
        <f t="shared" si="72"/>
        <v>count</v>
      </c>
      <c r="I965" s="197"/>
      <c r="J965" s="197"/>
      <c r="K965" s="197"/>
      <c r="L965" s="197"/>
      <c r="M965" s="197"/>
      <c r="N965" s="197"/>
      <c r="O965" s="197"/>
      <c r="P965" s="197"/>
      <c r="Q965" s="197"/>
      <c r="R965" s="197"/>
      <c r="S965" s="197"/>
      <c r="T965" s="197"/>
      <c r="U965" s="197"/>
      <c r="V965" s="197"/>
      <c r="W965" s="197"/>
      <c r="X965" s="197"/>
      <c r="Y965" s="197"/>
      <c r="Z965" s="197"/>
      <c r="AA965" s="197"/>
      <c r="AB965" s="197"/>
      <c r="AC965" s="197"/>
      <c r="AD965" s="197"/>
      <c r="AE965" s="197"/>
      <c r="AF965" s="197"/>
      <c r="AG965" s="197"/>
      <c r="AH965" s="197"/>
      <c r="AI965" s="197"/>
      <c r="AJ965" s="197"/>
      <c r="AK965" s="197"/>
      <c r="AL965" s="197"/>
    </row>
    <row r="966" spans="1:38">
      <c r="A966" s="11" t="str">
        <f t="shared" si="73"/>
        <v>15-194144462013</v>
      </c>
      <c r="B966" t="s">
        <v>616</v>
      </c>
      <c r="C966" t="s">
        <v>617</v>
      </c>
      <c r="D966">
        <v>2013</v>
      </c>
      <c r="E966" t="s">
        <v>63</v>
      </c>
      <c r="F966">
        <v>160428.47</v>
      </c>
      <c r="G966">
        <v>200</v>
      </c>
      <c r="H966" s="11" t="str">
        <f t="shared" si="72"/>
        <v>count</v>
      </c>
      <c r="I966" s="197"/>
      <c r="J966" s="197"/>
      <c r="K966" s="197"/>
      <c r="L966" s="197"/>
      <c r="M966" s="197"/>
      <c r="N966" s="197"/>
      <c r="O966" s="197"/>
      <c r="P966" s="197"/>
      <c r="Q966" s="197"/>
      <c r="R966" s="197"/>
      <c r="S966" s="197"/>
      <c r="T966" s="197"/>
      <c r="U966" s="197"/>
      <c r="V966" s="197"/>
      <c r="W966" s="197"/>
      <c r="X966" s="197"/>
      <c r="Y966" s="197"/>
      <c r="Z966" s="197"/>
      <c r="AA966" s="197"/>
      <c r="AB966" s="197"/>
      <c r="AC966" s="197"/>
      <c r="AD966" s="197"/>
      <c r="AE966" s="197"/>
      <c r="AF966" s="197"/>
      <c r="AG966" s="197"/>
      <c r="AH966" s="197"/>
      <c r="AI966" s="197"/>
      <c r="AJ966" s="197"/>
      <c r="AK966" s="197"/>
      <c r="AL966" s="197"/>
    </row>
    <row r="967" spans="1:38">
      <c r="A967" s="11" t="str">
        <f t="shared" si="73"/>
        <v>15-194144462011</v>
      </c>
      <c r="B967" t="s">
        <v>616</v>
      </c>
      <c r="C967" t="s">
        <v>617</v>
      </c>
      <c r="D967">
        <v>2011</v>
      </c>
      <c r="E967" t="s">
        <v>68</v>
      </c>
      <c r="F967">
        <v>117212032.36</v>
      </c>
      <c r="G967">
        <v>36649</v>
      </c>
      <c r="H967" s="11" t="str">
        <f t="shared" si="72"/>
        <v>count</v>
      </c>
      <c r="I967" s="197"/>
      <c r="J967" s="197"/>
      <c r="K967" s="197"/>
      <c r="L967" s="197"/>
      <c r="M967" s="197"/>
      <c r="N967" s="197"/>
      <c r="O967" s="197"/>
      <c r="P967" s="197"/>
      <c r="Q967" s="197"/>
      <c r="R967" s="197"/>
      <c r="S967" s="197"/>
      <c r="T967" s="197"/>
      <c r="U967" s="197"/>
      <c r="V967" s="197"/>
      <c r="W967" s="197"/>
      <c r="X967" s="197"/>
      <c r="Y967" s="197"/>
      <c r="Z967" s="197"/>
      <c r="AA967" s="197"/>
      <c r="AB967" s="197"/>
      <c r="AC967" s="197"/>
      <c r="AD967" s="197"/>
      <c r="AE967" s="197"/>
      <c r="AF967" s="197"/>
      <c r="AG967" s="197"/>
      <c r="AH967" s="197"/>
      <c r="AI967" s="197"/>
      <c r="AJ967" s="197"/>
      <c r="AK967" s="197"/>
      <c r="AL967" s="197"/>
    </row>
    <row r="968" spans="1:38">
      <c r="A968" s="11" t="str">
        <f t="shared" si="73"/>
        <v>15-194144462011</v>
      </c>
      <c r="B968" t="s">
        <v>616</v>
      </c>
      <c r="C968" t="s">
        <v>617</v>
      </c>
      <c r="D968">
        <v>2011</v>
      </c>
      <c r="E968" t="s">
        <v>105</v>
      </c>
      <c r="F968">
        <v>8488.4500000000007</v>
      </c>
      <c r="G968">
        <v>11</v>
      </c>
      <c r="H968" s="11" t="str">
        <f t="shared" si="72"/>
        <v>count</v>
      </c>
      <c r="I968" s="197"/>
      <c r="J968" s="197"/>
      <c r="K968" s="197"/>
      <c r="L968" s="197"/>
      <c r="M968" s="197"/>
      <c r="N968" s="197"/>
      <c r="O968" s="197"/>
      <c r="P968" s="197"/>
      <c r="Q968" s="197"/>
      <c r="R968" s="197"/>
      <c r="S968" s="197"/>
      <c r="T968" s="197"/>
      <c r="U968" s="197"/>
      <c r="V968" s="197"/>
      <c r="W968" s="197"/>
      <c r="X968" s="197"/>
      <c r="Y968" s="197"/>
      <c r="Z968" s="197"/>
      <c r="AA968" s="197"/>
      <c r="AB968" s="197"/>
      <c r="AC968" s="197"/>
      <c r="AD968" s="197"/>
      <c r="AE968" s="197"/>
      <c r="AF968" s="197"/>
      <c r="AG968" s="197"/>
      <c r="AH968" s="197"/>
      <c r="AI968" s="197"/>
      <c r="AJ968" s="197"/>
      <c r="AK968" s="197"/>
      <c r="AL968" s="197"/>
    </row>
    <row r="969" spans="1:38">
      <c r="A969" s="11" t="str">
        <f t="shared" si="73"/>
        <v>15-194144462013</v>
      </c>
      <c r="B969" t="s">
        <v>616</v>
      </c>
      <c r="C969" t="s">
        <v>617</v>
      </c>
      <c r="D969">
        <v>2013</v>
      </c>
      <c r="E969" t="s">
        <v>104</v>
      </c>
      <c r="F969">
        <v>61634.58</v>
      </c>
      <c r="G969">
        <v>87</v>
      </c>
      <c r="H969" s="11" t="str">
        <f t="shared" si="72"/>
        <v>count</v>
      </c>
      <c r="I969" s="197"/>
      <c r="J969" s="197"/>
      <c r="K969" s="197"/>
      <c r="L969" s="197"/>
      <c r="M969" s="197"/>
      <c r="N969" s="197"/>
      <c r="O969" s="197"/>
      <c r="P969" s="197"/>
      <c r="Q969" s="197"/>
      <c r="R969" s="197"/>
      <c r="S969" s="197"/>
      <c r="T969" s="197"/>
      <c r="U969" s="197"/>
      <c r="V969" s="197"/>
      <c r="W969" s="197"/>
      <c r="X969" s="197"/>
      <c r="Y969" s="197"/>
      <c r="Z969" s="197"/>
      <c r="AA969" s="197"/>
      <c r="AB969" s="197"/>
      <c r="AC969" s="197"/>
      <c r="AD969" s="197"/>
      <c r="AE969" s="197"/>
      <c r="AF969" s="197"/>
      <c r="AG969" s="197"/>
      <c r="AH969" s="197"/>
      <c r="AI969" s="197"/>
      <c r="AJ969" s="197"/>
      <c r="AK969" s="197"/>
      <c r="AL969" s="197"/>
    </row>
    <row r="970" spans="1:38">
      <c r="A970" s="11" t="str">
        <f t="shared" si="73"/>
        <v>15-194144462012</v>
      </c>
      <c r="B970" t="s">
        <v>616</v>
      </c>
      <c r="C970" t="s">
        <v>617</v>
      </c>
      <c r="D970">
        <v>2012</v>
      </c>
      <c r="E970" t="s">
        <v>1074</v>
      </c>
      <c r="F970">
        <v>334.62</v>
      </c>
      <c r="G970">
        <v>10</v>
      </c>
      <c r="H970" s="11" t="str">
        <f t="shared" si="72"/>
        <v>count</v>
      </c>
      <c r="I970" s="197"/>
      <c r="J970" s="197"/>
      <c r="K970" s="197"/>
      <c r="L970" s="197"/>
      <c r="M970" s="197"/>
      <c r="N970" s="197"/>
      <c r="O970" s="197"/>
      <c r="P970" s="197"/>
      <c r="Q970" s="197"/>
      <c r="R970" s="197"/>
      <c r="S970" s="197"/>
      <c r="T970" s="197"/>
      <c r="U970" s="197"/>
      <c r="V970" s="197"/>
      <c r="W970" s="197"/>
      <c r="X970" s="197"/>
      <c r="Y970" s="197"/>
      <c r="Z970" s="197"/>
      <c r="AA970" s="197"/>
      <c r="AB970" s="197"/>
      <c r="AC970" s="197"/>
      <c r="AD970" s="197"/>
      <c r="AE970" s="197"/>
      <c r="AF970" s="197"/>
      <c r="AG970" s="197"/>
      <c r="AH970" s="197"/>
      <c r="AI970" s="197"/>
      <c r="AJ970" s="197"/>
      <c r="AK970" s="197"/>
      <c r="AL970" s="197"/>
    </row>
    <row r="971" spans="1:38">
      <c r="A971" s="11" t="str">
        <f t="shared" si="73"/>
        <v>15-194144462011</v>
      </c>
      <c r="B971" t="s">
        <v>616</v>
      </c>
      <c r="C971" t="s">
        <v>617</v>
      </c>
      <c r="D971">
        <v>2011</v>
      </c>
      <c r="E971" t="s">
        <v>1076</v>
      </c>
      <c r="F971">
        <v>255</v>
      </c>
      <c r="G971">
        <v>1</v>
      </c>
      <c r="H971" s="11" t="str">
        <f t="shared" si="72"/>
        <v>count</v>
      </c>
      <c r="I971" s="197"/>
      <c r="J971" s="197"/>
      <c r="K971" s="197"/>
      <c r="L971" s="197"/>
      <c r="M971" s="197"/>
      <c r="N971" s="197"/>
      <c r="O971" s="197"/>
      <c r="P971" s="197"/>
      <c r="Q971" s="197"/>
      <c r="R971" s="197"/>
      <c r="S971" s="197"/>
      <c r="T971" s="197"/>
      <c r="U971" s="197"/>
      <c r="V971" s="197"/>
      <c r="W971" s="197"/>
      <c r="X971" s="197"/>
      <c r="Y971" s="197"/>
      <c r="Z971" s="197"/>
      <c r="AA971" s="197"/>
      <c r="AB971" s="197"/>
      <c r="AC971" s="197"/>
      <c r="AD971" s="197"/>
      <c r="AE971" s="197"/>
      <c r="AF971" s="197"/>
      <c r="AG971" s="197"/>
      <c r="AH971" s="197"/>
      <c r="AI971" s="197"/>
      <c r="AJ971" s="197"/>
      <c r="AK971" s="197"/>
      <c r="AL971" s="197"/>
    </row>
    <row r="972" spans="1:38">
      <c r="A972" s="11" t="str">
        <f t="shared" si="73"/>
        <v>15-194144462011</v>
      </c>
      <c r="B972" t="s">
        <v>616</v>
      </c>
      <c r="C972" t="s">
        <v>617</v>
      </c>
      <c r="D972">
        <v>2011</v>
      </c>
      <c r="E972" t="s">
        <v>1075</v>
      </c>
      <c r="F972">
        <v>2078</v>
      </c>
      <c r="G972">
        <v>8</v>
      </c>
      <c r="H972" s="11" t="str">
        <f t="shared" si="72"/>
        <v>count</v>
      </c>
      <c r="I972" s="197"/>
      <c r="J972" s="197"/>
      <c r="K972" s="197"/>
      <c r="L972" s="197"/>
      <c r="M972" s="197"/>
      <c r="N972" s="197"/>
      <c r="O972" s="197"/>
      <c r="P972" s="197"/>
      <c r="Q972" s="197"/>
      <c r="R972" s="197"/>
      <c r="S972" s="197"/>
      <c r="T972" s="197"/>
      <c r="U972" s="197"/>
      <c r="V972" s="197"/>
      <c r="W972" s="197"/>
      <c r="X972" s="197"/>
      <c r="Y972" s="197"/>
      <c r="Z972" s="197"/>
      <c r="AA972" s="197"/>
      <c r="AB972" s="197"/>
      <c r="AC972" s="197"/>
      <c r="AD972" s="197"/>
      <c r="AE972" s="197"/>
      <c r="AF972" s="197"/>
      <c r="AG972" s="197"/>
      <c r="AH972" s="197"/>
      <c r="AI972" s="197"/>
      <c r="AJ972" s="197"/>
      <c r="AK972" s="197"/>
      <c r="AL972" s="197"/>
    </row>
    <row r="973" spans="1:38">
      <c r="A973" s="11" t="str">
        <f t="shared" si="73"/>
        <v>15-194144462012</v>
      </c>
      <c r="B973" t="s">
        <v>616</v>
      </c>
      <c r="C973" t="s">
        <v>617</v>
      </c>
      <c r="D973">
        <v>2012</v>
      </c>
      <c r="E973" t="s">
        <v>106</v>
      </c>
      <c r="F973">
        <v>10642089.52</v>
      </c>
      <c r="G973">
        <v>2724</v>
      </c>
      <c r="H973" s="11" t="str">
        <f t="shared" si="72"/>
        <v>count</v>
      </c>
      <c r="I973" s="197"/>
      <c r="J973" s="197"/>
      <c r="K973" s="197"/>
      <c r="L973" s="197"/>
      <c r="M973" s="197"/>
      <c r="N973" s="197"/>
      <c r="O973" s="197"/>
      <c r="P973" s="197"/>
      <c r="Q973" s="197"/>
      <c r="R973" s="197"/>
      <c r="S973" s="197"/>
      <c r="T973" s="197"/>
      <c r="U973" s="197"/>
      <c r="V973" s="197"/>
      <c r="W973" s="197"/>
      <c r="X973" s="197"/>
      <c r="Y973" s="197"/>
      <c r="Z973" s="197"/>
      <c r="AA973" s="197"/>
      <c r="AB973" s="197"/>
      <c r="AC973" s="197"/>
      <c r="AD973" s="197"/>
      <c r="AE973" s="197"/>
      <c r="AF973" s="197"/>
      <c r="AG973" s="197"/>
      <c r="AH973" s="197"/>
      <c r="AI973" s="197"/>
      <c r="AJ973" s="197"/>
      <c r="AK973" s="197"/>
      <c r="AL973" s="197"/>
    </row>
    <row r="974" spans="1:38">
      <c r="A974" s="11" t="str">
        <f t="shared" si="73"/>
        <v>15-229174462012</v>
      </c>
      <c r="B974" t="s">
        <v>622</v>
      </c>
      <c r="C974" t="s">
        <v>623</v>
      </c>
      <c r="D974">
        <v>2012</v>
      </c>
      <c r="E974" t="s">
        <v>63</v>
      </c>
      <c r="F974">
        <v>950217.41</v>
      </c>
      <c r="G974">
        <v>716</v>
      </c>
      <c r="H974" s="11" t="str">
        <f t="shared" si="72"/>
        <v>volume</v>
      </c>
      <c r="I974" s="197"/>
      <c r="J974" s="197"/>
      <c r="K974" s="197"/>
      <c r="L974" s="197"/>
      <c r="M974" s="197"/>
      <c r="N974" s="197"/>
      <c r="O974" s="197"/>
      <c r="P974" s="197"/>
      <c r="Q974" s="197"/>
      <c r="R974" s="197"/>
      <c r="S974" s="197"/>
      <c r="T974" s="197"/>
      <c r="U974" s="197"/>
      <c r="V974" s="197"/>
      <c r="W974" s="197"/>
      <c r="X974" s="197"/>
      <c r="Y974" s="197"/>
      <c r="Z974" s="197"/>
      <c r="AA974" s="197"/>
      <c r="AB974" s="197"/>
      <c r="AC974" s="197"/>
      <c r="AD974" s="197"/>
      <c r="AE974" s="197"/>
      <c r="AF974" s="197"/>
      <c r="AG974" s="197"/>
      <c r="AH974" s="197"/>
      <c r="AI974" s="197"/>
      <c r="AJ974" s="197"/>
      <c r="AK974" s="197"/>
      <c r="AL974" s="197"/>
    </row>
    <row r="975" spans="1:38">
      <c r="A975" s="11" t="str">
        <f t="shared" si="73"/>
        <v>15-229174462011</v>
      </c>
      <c r="B975" t="s">
        <v>622</v>
      </c>
      <c r="C975" t="s">
        <v>623</v>
      </c>
      <c r="D975">
        <v>2011</v>
      </c>
      <c r="E975" t="s">
        <v>1074</v>
      </c>
      <c r="F975">
        <v>13756.23</v>
      </c>
      <c r="G975">
        <v>13</v>
      </c>
      <c r="H975" s="11" t="str">
        <f t="shared" si="72"/>
        <v>count</v>
      </c>
      <c r="I975" s="197"/>
      <c r="J975" s="197"/>
      <c r="K975" s="197"/>
      <c r="L975" s="197"/>
      <c r="M975" s="197"/>
      <c r="N975" s="197"/>
      <c r="O975" s="197"/>
      <c r="P975" s="197"/>
      <c r="Q975" s="197"/>
      <c r="R975" s="197"/>
      <c r="S975" s="197"/>
      <c r="T975" s="197"/>
      <c r="U975" s="197"/>
      <c r="V975" s="197"/>
      <c r="W975" s="197"/>
      <c r="X975" s="197"/>
      <c r="Y975" s="197"/>
      <c r="Z975" s="197"/>
      <c r="AA975" s="197"/>
      <c r="AB975" s="197"/>
      <c r="AC975" s="197"/>
      <c r="AD975" s="197"/>
      <c r="AE975" s="197"/>
      <c r="AF975" s="197"/>
      <c r="AG975" s="197"/>
      <c r="AH975" s="197"/>
      <c r="AI975" s="197"/>
      <c r="AJ975" s="197"/>
      <c r="AK975" s="197"/>
      <c r="AL975" s="197"/>
    </row>
    <row r="976" spans="1:38">
      <c r="A976" s="11" t="str">
        <f t="shared" si="73"/>
        <v>15-229174462011</v>
      </c>
      <c r="B976" t="s">
        <v>622</v>
      </c>
      <c r="C976" t="s">
        <v>623</v>
      </c>
      <c r="D976">
        <v>2011</v>
      </c>
      <c r="E976" t="s">
        <v>106</v>
      </c>
      <c r="F976">
        <v>79265.08</v>
      </c>
      <c r="G976">
        <v>52</v>
      </c>
      <c r="H976" s="11" t="str">
        <f t="shared" si="72"/>
        <v>count</v>
      </c>
      <c r="I976" s="197"/>
      <c r="J976" s="197"/>
      <c r="K976" s="197"/>
      <c r="L976" s="197"/>
      <c r="M976" s="197"/>
      <c r="N976" s="197"/>
      <c r="O976" s="197"/>
      <c r="P976" s="197"/>
      <c r="Q976" s="197"/>
      <c r="R976" s="197"/>
      <c r="S976" s="197"/>
      <c r="T976" s="197"/>
      <c r="U976" s="197"/>
      <c r="V976" s="197"/>
      <c r="W976" s="197"/>
      <c r="X976" s="197"/>
      <c r="Y976" s="197"/>
      <c r="Z976" s="197"/>
      <c r="AA976" s="197"/>
      <c r="AB976" s="197"/>
      <c r="AC976" s="197"/>
      <c r="AD976" s="197"/>
      <c r="AE976" s="197"/>
      <c r="AF976" s="197"/>
      <c r="AG976" s="197"/>
      <c r="AH976" s="197"/>
      <c r="AI976" s="197"/>
      <c r="AJ976" s="197"/>
      <c r="AK976" s="197"/>
      <c r="AL976" s="197"/>
    </row>
    <row r="977" spans="1:38">
      <c r="A977" s="11" t="str">
        <f t="shared" si="73"/>
        <v>15-229174462012</v>
      </c>
      <c r="B977" t="s">
        <v>622</v>
      </c>
      <c r="C977" t="s">
        <v>623</v>
      </c>
      <c r="D977">
        <v>2012</v>
      </c>
      <c r="E977" t="s">
        <v>104</v>
      </c>
      <c r="F977">
        <v>522056.34</v>
      </c>
      <c r="G977">
        <v>381</v>
      </c>
      <c r="H977" s="11" t="str">
        <f t="shared" si="72"/>
        <v>count</v>
      </c>
      <c r="I977" s="197"/>
      <c r="J977" s="197"/>
      <c r="K977" s="197"/>
      <c r="L977" s="197"/>
      <c r="M977" s="197"/>
      <c r="N977" s="197"/>
      <c r="O977" s="197"/>
      <c r="P977" s="197"/>
      <c r="Q977" s="197"/>
      <c r="R977" s="197"/>
      <c r="S977" s="197"/>
      <c r="T977" s="197"/>
      <c r="U977" s="197"/>
      <c r="V977" s="197"/>
      <c r="W977" s="197"/>
      <c r="X977" s="197"/>
      <c r="Y977" s="197"/>
      <c r="Z977" s="197"/>
      <c r="AA977" s="197"/>
      <c r="AB977" s="197"/>
      <c r="AC977" s="197"/>
      <c r="AD977" s="197"/>
      <c r="AE977" s="197"/>
      <c r="AF977" s="197"/>
      <c r="AG977" s="197"/>
      <c r="AH977" s="197"/>
      <c r="AI977" s="197"/>
      <c r="AJ977" s="197"/>
      <c r="AK977" s="197"/>
      <c r="AL977" s="197"/>
    </row>
    <row r="978" spans="1:38">
      <c r="A978" s="11" t="str">
        <f t="shared" si="73"/>
        <v>15-229174462011</v>
      </c>
      <c r="B978" t="s">
        <v>622</v>
      </c>
      <c r="C978" t="s">
        <v>623</v>
      </c>
      <c r="D978">
        <v>2011</v>
      </c>
      <c r="E978" t="s">
        <v>104</v>
      </c>
      <c r="F978">
        <v>252177.6</v>
      </c>
      <c r="G978">
        <v>177</v>
      </c>
      <c r="H978" s="11" t="str">
        <f t="shared" si="72"/>
        <v>count</v>
      </c>
      <c r="I978" s="197"/>
      <c r="J978" s="197"/>
      <c r="K978" s="197"/>
      <c r="L978" s="197"/>
      <c r="M978" s="197"/>
      <c r="N978" s="197"/>
      <c r="O978" s="197"/>
      <c r="P978" s="197"/>
      <c r="Q978" s="197"/>
      <c r="R978" s="197"/>
      <c r="S978" s="197"/>
      <c r="T978" s="197"/>
      <c r="U978" s="197"/>
      <c r="V978" s="197"/>
      <c r="W978" s="197"/>
      <c r="X978" s="197"/>
      <c r="Y978" s="197"/>
      <c r="Z978" s="197"/>
      <c r="AA978" s="197"/>
      <c r="AB978" s="197"/>
      <c r="AC978" s="197"/>
      <c r="AD978" s="197"/>
      <c r="AE978" s="197"/>
      <c r="AF978" s="197"/>
      <c r="AG978" s="197"/>
      <c r="AH978" s="197"/>
      <c r="AI978" s="197"/>
      <c r="AJ978" s="197"/>
      <c r="AK978" s="197"/>
      <c r="AL978" s="197"/>
    </row>
    <row r="979" spans="1:38">
      <c r="A979" s="11" t="str">
        <f t="shared" si="73"/>
        <v>15-229174462011</v>
      </c>
      <c r="B979" t="s">
        <v>622</v>
      </c>
      <c r="C979" t="s">
        <v>623</v>
      </c>
      <c r="D979">
        <v>2011</v>
      </c>
      <c r="E979" t="s">
        <v>1075</v>
      </c>
      <c r="F979">
        <v>19842.310000000001</v>
      </c>
      <c r="G979">
        <v>15</v>
      </c>
      <c r="H979" s="11" t="str">
        <f t="shared" si="72"/>
        <v>count</v>
      </c>
      <c r="I979" s="197"/>
      <c r="J979" s="197"/>
      <c r="K979" s="197"/>
      <c r="L979" s="197"/>
      <c r="M979" s="197"/>
      <c r="N979" s="197"/>
      <c r="O979" s="197"/>
      <c r="P979" s="197"/>
      <c r="Q979" s="197"/>
      <c r="R979" s="197"/>
      <c r="S979" s="197"/>
      <c r="T979" s="197"/>
      <c r="U979" s="197"/>
      <c r="V979" s="197"/>
      <c r="W979" s="197"/>
      <c r="X979" s="197"/>
      <c r="Y979" s="197"/>
      <c r="Z979" s="197"/>
      <c r="AA979" s="197"/>
      <c r="AB979" s="197"/>
      <c r="AC979" s="197"/>
      <c r="AD979" s="197"/>
      <c r="AE979" s="197"/>
      <c r="AF979" s="197"/>
      <c r="AG979" s="197"/>
      <c r="AH979" s="197"/>
      <c r="AI979" s="197"/>
      <c r="AJ979" s="197"/>
      <c r="AK979" s="197"/>
      <c r="AL979" s="197"/>
    </row>
    <row r="980" spans="1:38">
      <c r="A980" s="11" t="str">
        <f t="shared" si="73"/>
        <v>15-229174462011</v>
      </c>
      <c r="B980" t="s">
        <v>622</v>
      </c>
      <c r="C980" t="s">
        <v>623</v>
      </c>
      <c r="D980">
        <v>2011</v>
      </c>
      <c r="E980" t="s">
        <v>63</v>
      </c>
      <c r="F980">
        <v>749001.12</v>
      </c>
      <c r="G980">
        <v>525</v>
      </c>
      <c r="H980" s="11" t="str">
        <f t="shared" si="72"/>
        <v>count</v>
      </c>
      <c r="I980" s="197"/>
      <c r="J980" s="197"/>
      <c r="K980" s="197"/>
      <c r="L980" s="197"/>
      <c r="M980" s="197"/>
      <c r="N980" s="197"/>
      <c r="O980" s="197"/>
      <c r="P980" s="197"/>
      <c r="Q980" s="197"/>
      <c r="R980" s="197"/>
      <c r="S980" s="197"/>
      <c r="T980" s="197"/>
      <c r="U980" s="197"/>
      <c r="V980" s="197"/>
      <c r="W980" s="197"/>
      <c r="X980" s="197"/>
      <c r="Y980" s="197"/>
      <c r="Z980" s="197"/>
      <c r="AA980" s="197"/>
      <c r="AB980" s="197"/>
      <c r="AC980" s="197"/>
      <c r="AD980" s="197"/>
      <c r="AE980" s="197"/>
      <c r="AF980" s="197"/>
      <c r="AG980" s="197"/>
      <c r="AH980" s="197"/>
      <c r="AI980" s="197"/>
      <c r="AJ980" s="197"/>
      <c r="AK980" s="197"/>
      <c r="AL980" s="197"/>
    </row>
    <row r="981" spans="1:38">
      <c r="A981" s="11" t="str">
        <f t="shared" si="73"/>
        <v>15-229174462012</v>
      </c>
      <c r="B981" t="s">
        <v>622</v>
      </c>
      <c r="C981" t="s">
        <v>623</v>
      </c>
      <c r="D981">
        <v>2012</v>
      </c>
      <c r="E981" t="s">
        <v>105</v>
      </c>
      <c r="F981">
        <v>10998.87</v>
      </c>
      <c r="G981">
        <v>14</v>
      </c>
      <c r="H981" s="11" t="str">
        <f t="shared" si="72"/>
        <v>count</v>
      </c>
      <c r="I981" s="197"/>
      <c r="J981" s="197"/>
      <c r="K981" s="197"/>
      <c r="L981" s="197"/>
      <c r="M981" s="197"/>
      <c r="N981" s="197"/>
      <c r="O981" s="197"/>
      <c r="P981" s="197"/>
      <c r="Q981" s="197"/>
      <c r="R981" s="197"/>
      <c r="S981" s="197"/>
      <c r="T981" s="197"/>
      <c r="U981" s="197"/>
      <c r="V981" s="197"/>
      <c r="W981" s="197"/>
      <c r="X981" s="197"/>
      <c r="Y981" s="197"/>
      <c r="Z981" s="197"/>
      <c r="AA981" s="197"/>
      <c r="AB981" s="197"/>
      <c r="AC981" s="197"/>
      <c r="AD981" s="197"/>
      <c r="AE981" s="197"/>
      <c r="AF981" s="197"/>
      <c r="AG981" s="197"/>
      <c r="AH981" s="197"/>
      <c r="AI981" s="197"/>
      <c r="AJ981" s="197"/>
      <c r="AK981" s="197"/>
      <c r="AL981" s="197"/>
    </row>
    <row r="982" spans="1:38">
      <c r="A982" s="11" t="str">
        <f t="shared" si="73"/>
        <v>15-229174462013</v>
      </c>
      <c r="B982" t="s">
        <v>622</v>
      </c>
      <c r="C982" t="s">
        <v>623</v>
      </c>
      <c r="D982">
        <v>2013</v>
      </c>
      <c r="E982" t="s">
        <v>69</v>
      </c>
      <c r="F982">
        <v>470384.49</v>
      </c>
      <c r="G982">
        <v>377</v>
      </c>
      <c r="H982" s="11" t="str">
        <f t="shared" si="72"/>
        <v>count</v>
      </c>
      <c r="I982" s="197"/>
      <c r="J982" s="197"/>
      <c r="K982" s="197"/>
      <c r="L982" s="197"/>
      <c r="M982" s="197"/>
      <c r="N982" s="197"/>
      <c r="O982" s="197"/>
      <c r="P982" s="197"/>
      <c r="Q982" s="197"/>
      <c r="R982" s="197"/>
      <c r="S982" s="197"/>
      <c r="T982" s="197"/>
      <c r="U982" s="197"/>
      <c r="V982" s="197"/>
      <c r="W982" s="197"/>
      <c r="X982" s="197"/>
      <c r="Y982" s="197"/>
      <c r="Z982" s="197"/>
      <c r="AA982" s="197"/>
      <c r="AB982" s="197"/>
      <c r="AC982" s="197"/>
      <c r="AD982" s="197"/>
      <c r="AE982" s="197"/>
      <c r="AF982" s="197"/>
      <c r="AG982" s="197"/>
      <c r="AH982" s="197"/>
      <c r="AI982" s="197"/>
      <c r="AJ982" s="197"/>
      <c r="AK982" s="197"/>
      <c r="AL982" s="197"/>
    </row>
    <row r="983" spans="1:38">
      <c r="A983" s="11" t="str">
        <f t="shared" si="73"/>
        <v>15-229174462012</v>
      </c>
      <c r="B983" t="s">
        <v>622</v>
      </c>
      <c r="C983" t="s">
        <v>623</v>
      </c>
      <c r="D983">
        <v>2012</v>
      </c>
      <c r="E983" t="s">
        <v>106</v>
      </c>
      <c r="F983">
        <v>125305.75</v>
      </c>
      <c r="G983">
        <v>101</v>
      </c>
      <c r="H983" s="11" t="str">
        <f t="shared" si="72"/>
        <v>count</v>
      </c>
      <c r="I983" s="197"/>
      <c r="J983" s="197"/>
      <c r="K983" s="197"/>
      <c r="L983" s="197"/>
      <c r="M983" s="197"/>
      <c r="N983" s="197"/>
      <c r="O983" s="197"/>
      <c r="P983" s="197"/>
      <c r="Q983" s="197"/>
      <c r="R983" s="197"/>
      <c r="S983" s="197"/>
      <c r="T983" s="197"/>
      <c r="U983" s="197"/>
      <c r="V983" s="197"/>
      <c r="W983" s="197"/>
      <c r="X983" s="197"/>
      <c r="Y983" s="197"/>
      <c r="Z983" s="197"/>
      <c r="AA983" s="197"/>
      <c r="AB983" s="197"/>
      <c r="AC983" s="197"/>
      <c r="AD983" s="197"/>
      <c r="AE983" s="197"/>
      <c r="AF983" s="197"/>
      <c r="AG983" s="197"/>
      <c r="AH983" s="197"/>
      <c r="AI983" s="197"/>
      <c r="AJ983" s="197"/>
      <c r="AK983" s="197"/>
      <c r="AL983" s="197"/>
    </row>
    <row r="984" spans="1:38">
      <c r="A984" s="11" t="str">
        <f t="shared" si="73"/>
        <v>15-229174462012</v>
      </c>
      <c r="B984" t="s">
        <v>622</v>
      </c>
      <c r="C984" t="s">
        <v>623</v>
      </c>
      <c r="D984">
        <v>2012</v>
      </c>
      <c r="E984" t="s">
        <v>1076</v>
      </c>
      <c r="F984">
        <v>3897.9</v>
      </c>
      <c r="G984">
        <v>5</v>
      </c>
      <c r="H984" s="11" t="str">
        <f t="shared" si="72"/>
        <v>count</v>
      </c>
      <c r="I984" s="197"/>
      <c r="J984" s="197"/>
      <c r="K984" s="197"/>
      <c r="L984" s="197"/>
      <c r="M984" s="197"/>
      <c r="N984" s="197"/>
      <c r="O984" s="197"/>
      <c r="P984" s="197"/>
      <c r="Q984" s="197"/>
      <c r="R984" s="197"/>
      <c r="S984" s="197"/>
      <c r="T984" s="197"/>
      <c r="U984" s="197"/>
      <c r="V984" s="197"/>
      <c r="W984" s="197"/>
      <c r="X984" s="197"/>
      <c r="Y984" s="197"/>
      <c r="Z984" s="197"/>
      <c r="AA984" s="197"/>
      <c r="AB984" s="197"/>
      <c r="AC984" s="197"/>
      <c r="AD984" s="197"/>
      <c r="AE984" s="197"/>
      <c r="AF984" s="197"/>
      <c r="AG984" s="197"/>
      <c r="AH984" s="197"/>
      <c r="AI984" s="197"/>
      <c r="AJ984" s="197"/>
      <c r="AK984" s="197"/>
      <c r="AL984" s="197"/>
    </row>
    <row r="985" spans="1:38">
      <c r="A985" s="11" t="str">
        <f t="shared" si="73"/>
        <v>15-229174462013</v>
      </c>
      <c r="B985" t="s">
        <v>622</v>
      </c>
      <c r="C985" t="s">
        <v>623</v>
      </c>
      <c r="D985">
        <v>2013</v>
      </c>
      <c r="E985" t="s">
        <v>104</v>
      </c>
      <c r="F985">
        <v>420229.67</v>
      </c>
      <c r="G985">
        <v>329</v>
      </c>
      <c r="H985" s="11" t="str">
        <f t="shared" si="72"/>
        <v>count</v>
      </c>
      <c r="I985" s="197"/>
      <c r="J985" s="197"/>
      <c r="K985" s="197"/>
      <c r="L985" s="197"/>
      <c r="M985" s="197"/>
      <c r="N985" s="197"/>
      <c r="O985" s="197"/>
      <c r="P985" s="197"/>
      <c r="Q985" s="197"/>
      <c r="R985" s="197"/>
      <c r="S985" s="197"/>
      <c r="T985" s="197"/>
      <c r="U985" s="197"/>
      <c r="V985" s="197"/>
      <c r="W985" s="197"/>
      <c r="X985" s="197"/>
      <c r="Y985" s="197"/>
      <c r="Z985" s="197"/>
      <c r="AA985" s="197"/>
      <c r="AB985" s="197"/>
      <c r="AC985" s="197"/>
      <c r="AD985" s="197"/>
      <c r="AE985" s="197"/>
      <c r="AF985" s="197"/>
      <c r="AG985" s="197"/>
      <c r="AH985" s="197"/>
      <c r="AI985" s="197"/>
      <c r="AJ985" s="197"/>
      <c r="AK985" s="197"/>
      <c r="AL985" s="197"/>
    </row>
    <row r="986" spans="1:38">
      <c r="A986" s="11" t="str">
        <f t="shared" si="73"/>
        <v>15-229174462012</v>
      </c>
      <c r="B986" t="s">
        <v>622</v>
      </c>
      <c r="C986" t="s">
        <v>623</v>
      </c>
      <c r="D986">
        <v>2012</v>
      </c>
      <c r="E986" t="s">
        <v>69</v>
      </c>
      <c r="F986">
        <v>335523.24</v>
      </c>
      <c r="G986">
        <v>326</v>
      </c>
      <c r="H986" s="11" t="str">
        <f t="shared" si="72"/>
        <v>count</v>
      </c>
      <c r="I986" s="197"/>
      <c r="J986" s="197"/>
      <c r="K986" s="197"/>
      <c r="L986" s="197"/>
      <c r="M986" s="197"/>
      <c r="N986" s="197"/>
      <c r="O986" s="197"/>
      <c r="P986" s="197"/>
      <c r="Q986" s="197"/>
      <c r="R986" s="197"/>
      <c r="S986" s="197"/>
      <c r="T986" s="197"/>
      <c r="U986" s="197"/>
      <c r="V986" s="197"/>
      <c r="W986" s="197"/>
      <c r="X986" s="197"/>
      <c r="Y986" s="197"/>
      <c r="Z986" s="197"/>
      <c r="AA986" s="197"/>
      <c r="AB986" s="197"/>
      <c r="AC986" s="197"/>
      <c r="AD986" s="197"/>
      <c r="AE986" s="197"/>
      <c r="AF986" s="197"/>
      <c r="AG986" s="197"/>
      <c r="AH986" s="197"/>
      <c r="AI986" s="197"/>
      <c r="AJ986" s="197"/>
      <c r="AK986" s="197"/>
      <c r="AL986" s="197"/>
    </row>
    <row r="987" spans="1:38">
      <c r="A987" s="11" t="str">
        <f t="shared" si="73"/>
        <v>15-229174462013</v>
      </c>
      <c r="B987" t="s">
        <v>622</v>
      </c>
      <c r="C987" t="s">
        <v>623</v>
      </c>
      <c r="D987">
        <v>2013</v>
      </c>
      <c r="E987" t="s">
        <v>105</v>
      </c>
      <c r="F987">
        <v>29811.279999999999</v>
      </c>
      <c r="G987">
        <v>26</v>
      </c>
      <c r="H987" s="11" t="str">
        <f t="shared" si="72"/>
        <v>count</v>
      </c>
      <c r="I987" s="197"/>
      <c r="J987" s="197"/>
      <c r="K987" s="197"/>
      <c r="L987" s="197"/>
      <c r="M987" s="197"/>
      <c r="N987" s="197"/>
      <c r="O987" s="197"/>
      <c r="P987" s="197"/>
      <c r="Q987" s="197"/>
      <c r="R987" s="197"/>
      <c r="S987" s="197"/>
      <c r="T987" s="197"/>
      <c r="U987" s="197"/>
      <c r="V987" s="197"/>
      <c r="W987" s="197"/>
      <c r="X987" s="197"/>
      <c r="Y987" s="197"/>
      <c r="Z987" s="197"/>
      <c r="AA987" s="197"/>
      <c r="AB987" s="197"/>
      <c r="AC987" s="197"/>
      <c r="AD987" s="197"/>
      <c r="AE987" s="197"/>
      <c r="AF987" s="197"/>
      <c r="AG987" s="197"/>
      <c r="AH987" s="197"/>
      <c r="AI987" s="197"/>
      <c r="AJ987" s="197"/>
      <c r="AK987" s="197"/>
      <c r="AL987" s="197"/>
    </row>
    <row r="988" spans="1:38">
      <c r="A988" s="11" t="str">
        <f t="shared" si="73"/>
        <v>15-229174462013</v>
      </c>
      <c r="B988" t="s">
        <v>622</v>
      </c>
      <c r="C988" t="s">
        <v>623</v>
      </c>
      <c r="D988">
        <v>2013</v>
      </c>
      <c r="E988" t="s">
        <v>63</v>
      </c>
      <c r="F988">
        <v>813767.6</v>
      </c>
      <c r="G988">
        <v>639</v>
      </c>
      <c r="H988" s="11" t="str">
        <f t="shared" si="72"/>
        <v>count</v>
      </c>
      <c r="I988" s="197"/>
      <c r="J988" s="197"/>
      <c r="K988" s="197"/>
      <c r="L988" s="197"/>
      <c r="M988" s="197"/>
      <c r="N988" s="197"/>
      <c r="O988" s="197"/>
      <c r="P988" s="197"/>
      <c r="Q988" s="197"/>
      <c r="R988" s="197"/>
      <c r="S988" s="197"/>
      <c r="T988" s="197"/>
      <c r="U988" s="197"/>
      <c r="V988" s="197"/>
      <c r="W988" s="197"/>
      <c r="X988" s="197"/>
      <c r="Y988" s="197"/>
      <c r="Z988" s="197"/>
      <c r="AA988" s="197"/>
      <c r="AB988" s="197"/>
      <c r="AC988" s="197"/>
      <c r="AD988" s="197"/>
      <c r="AE988" s="197"/>
      <c r="AF988" s="197"/>
      <c r="AG988" s="197"/>
      <c r="AH988" s="197"/>
      <c r="AI988" s="197"/>
      <c r="AJ988" s="197"/>
      <c r="AK988" s="197"/>
      <c r="AL988" s="197"/>
    </row>
    <row r="989" spans="1:38">
      <c r="A989" s="11" t="str">
        <f t="shared" si="73"/>
        <v>15-229174462012</v>
      </c>
      <c r="B989" t="s">
        <v>622</v>
      </c>
      <c r="C989" t="s">
        <v>623</v>
      </c>
      <c r="D989">
        <v>2012</v>
      </c>
      <c r="E989" t="s">
        <v>1074</v>
      </c>
      <c r="F989">
        <v>23361.18</v>
      </c>
      <c r="G989">
        <v>24</v>
      </c>
      <c r="H989" s="11" t="str">
        <f t="shared" si="72"/>
        <v>count</v>
      </c>
      <c r="I989" s="197"/>
      <c r="J989" s="197"/>
      <c r="K989" s="197"/>
      <c r="L989" s="197"/>
      <c r="M989" s="197"/>
      <c r="N989" s="197"/>
      <c r="O989" s="197"/>
      <c r="P989" s="197"/>
      <c r="Q989" s="197"/>
      <c r="R989" s="197"/>
      <c r="S989" s="197"/>
      <c r="T989" s="197"/>
      <c r="U989" s="197"/>
      <c r="V989" s="197"/>
      <c r="W989" s="197"/>
      <c r="X989" s="197"/>
      <c r="Y989" s="197"/>
      <c r="Z989" s="197"/>
      <c r="AA989" s="197"/>
      <c r="AB989" s="197"/>
      <c r="AC989" s="197"/>
      <c r="AD989" s="197"/>
      <c r="AE989" s="197"/>
      <c r="AF989" s="197"/>
      <c r="AG989" s="197"/>
      <c r="AH989" s="197"/>
      <c r="AI989" s="197"/>
      <c r="AJ989" s="197"/>
      <c r="AK989" s="197"/>
      <c r="AL989" s="197"/>
    </row>
    <row r="990" spans="1:38">
      <c r="A990" s="11" t="str">
        <f t="shared" si="73"/>
        <v>15-229174462013</v>
      </c>
      <c r="B990" t="s">
        <v>622</v>
      </c>
      <c r="C990" t="s">
        <v>623</v>
      </c>
      <c r="D990">
        <v>2013</v>
      </c>
      <c r="E990" t="s">
        <v>412</v>
      </c>
      <c r="F990">
        <v>78198.080000000002</v>
      </c>
      <c r="G990">
        <v>94</v>
      </c>
      <c r="H990" s="11" t="str">
        <f t="shared" si="72"/>
        <v>count</v>
      </c>
      <c r="I990" s="197"/>
      <c r="J990" s="197"/>
      <c r="K990" s="197"/>
      <c r="L990" s="197"/>
      <c r="M990" s="197"/>
      <c r="N990" s="197"/>
      <c r="O990" s="197"/>
      <c r="P990" s="197"/>
      <c r="Q990" s="197"/>
      <c r="R990" s="197"/>
      <c r="S990" s="197"/>
      <c r="T990" s="197"/>
      <c r="U990" s="197"/>
      <c r="V990" s="197"/>
      <c r="W990" s="197"/>
      <c r="X990" s="197"/>
      <c r="Y990" s="197"/>
      <c r="Z990" s="197"/>
      <c r="AA990" s="197"/>
      <c r="AB990" s="197"/>
      <c r="AC990" s="197"/>
      <c r="AD990" s="197"/>
      <c r="AE990" s="197"/>
      <c r="AF990" s="197"/>
      <c r="AG990" s="197"/>
      <c r="AH990" s="197"/>
      <c r="AI990" s="197"/>
      <c r="AJ990" s="197"/>
      <c r="AK990" s="197"/>
      <c r="AL990" s="197"/>
    </row>
    <row r="991" spans="1:38">
      <c r="A991" s="11" t="str">
        <f t="shared" si="73"/>
        <v>15-229174462013</v>
      </c>
      <c r="B991" t="s">
        <v>622</v>
      </c>
      <c r="C991" t="s">
        <v>623</v>
      </c>
      <c r="D991">
        <v>2013</v>
      </c>
      <c r="E991" t="s">
        <v>106</v>
      </c>
      <c r="F991">
        <v>51229.23</v>
      </c>
      <c r="G991">
        <v>54</v>
      </c>
      <c r="H991" s="11" t="str">
        <f t="shared" si="72"/>
        <v>count</v>
      </c>
      <c r="I991" s="197"/>
      <c r="J991" s="197"/>
      <c r="K991" s="197"/>
      <c r="L991" s="197"/>
      <c r="M991" s="197"/>
      <c r="N991" s="197"/>
      <c r="O991" s="197"/>
      <c r="P991" s="197"/>
      <c r="Q991" s="197"/>
      <c r="R991" s="197"/>
      <c r="S991" s="197"/>
      <c r="T991" s="197"/>
      <c r="U991" s="197"/>
      <c r="V991" s="197"/>
      <c r="W991" s="197"/>
      <c r="X991" s="197"/>
      <c r="Y991" s="197"/>
      <c r="Z991" s="197"/>
      <c r="AA991" s="197"/>
      <c r="AB991" s="197"/>
      <c r="AC991" s="197"/>
      <c r="AD991" s="197"/>
      <c r="AE991" s="197"/>
      <c r="AF991" s="197"/>
      <c r="AG991" s="197"/>
      <c r="AH991" s="197"/>
      <c r="AI991" s="197"/>
      <c r="AJ991" s="197"/>
      <c r="AK991" s="197"/>
      <c r="AL991" s="197"/>
    </row>
    <row r="992" spans="1:38">
      <c r="A992" s="11" t="str">
        <f t="shared" si="73"/>
        <v>15-229174462011</v>
      </c>
      <c r="B992" t="s">
        <v>622</v>
      </c>
      <c r="C992" t="s">
        <v>623</v>
      </c>
      <c r="D992">
        <v>2011</v>
      </c>
      <c r="E992" t="s">
        <v>1076</v>
      </c>
      <c r="F992">
        <v>865.9</v>
      </c>
      <c r="G992">
        <v>2</v>
      </c>
      <c r="H992" s="11" t="str">
        <f t="shared" si="72"/>
        <v>count</v>
      </c>
      <c r="I992" s="197"/>
      <c r="J992" s="197"/>
      <c r="K992" s="197"/>
      <c r="L992" s="197"/>
      <c r="M992" s="197"/>
      <c r="N992" s="197"/>
      <c r="O992" s="197"/>
      <c r="P992" s="197"/>
      <c r="Q992" s="197"/>
      <c r="R992" s="197"/>
      <c r="S992" s="197"/>
      <c r="T992" s="197"/>
      <c r="U992" s="197"/>
      <c r="V992" s="197"/>
      <c r="W992" s="197"/>
      <c r="X992" s="197"/>
      <c r="Y992" s="197"/>
      <c r="Z992" s="197"/>
      <c r="AA992" s="197"/>
      <c r="AB992" s="197"/>
      <c r="AC992" s="197"/>
      <c r="AD992" s="197"/>
      <c r="AE992" s="197"/>
      <c r="AF992" s="197"/>
      <c r="AG992" s="197"/>
      <c r="AH992" s="197"/>
      <c r="AI992" s="197"/>
      <c r="AJ992" s="197"/>
      <c r="AK992" s="197"/>
      <c r="AL992" s="197"/>
    </row>
    <row r="993" spans="1:38">
      <c r="A993" s="11" t="str">
        <f t="shared" si="73"/>
        <v>15-229174462011</v>
      </c>
      <c r="B993" t="s">
        <v>622</v>
      </c>
      <c r="C993" t="s">
        <v>623</v>
      </c>
      <c r="D993">
        <v>2011</v>
      </c>
      <c r="E993" t="s">
        <v>105</v>
      </c>
      <c r="F993">
        <v>17179.36</v>
      </c>
      <c r="G993">
        <v>14</v>
      </c>
      <c r="H993" s="11" t="str">
        <f t="shared" si="72"/>
        <v>count</v>
      </c>
      <c r="I993" s="197"/>
      <c r="J993" s="197"/>
      <c r="K993" s="197"/>
      <c r="L993" s="197"/>
      <c r="M993" s="197"/>
      <c r="N993" s="197"/>
      <c r="O993" s="197"/>
      <c r="P993" s="197"/>
      <c r="Q993" s="197"/>
      <c r="R993" s="197"/>
      <c r="S993" s="197"/>
      <c r="T993" s="197"/>
      <c r="U993" s="197"/>
      <c r="V993" s="197"/>
      <c r="W993" s="197"/>
      <c r="X993" s="197"/>
      <c r="Y993" s="197"/>
      <c r="Z993" s="197"/>
      <c r="AA993" s="197"/>
      <c r="AB993" s="197"/>
      <c r="AC993" s="197"/>
      <c r="AD993" s="197"/>
      <c r="AE993" s="197"/>
      <c r="AF993" s="197"/>
      <c r="AG993" s="197"/>
      <c r="AH993" s="197"/>
      <c r="AI993" s="197"/>
      <c r="AJ993" s="197"/>
      <c r="AK993" s="197"/>
      <c r="AL993" s="197"/>
    </row>
    <row r="994" spans="1:38">
      <c r="A994" s="11" t="str">
        <f t="shared" si="73"/>
        <v>15-229174462012</v>
      </c>
      <c r="B994" t="s">
        <v>622</v>
      </c>
      <c r="C994" t="s">
        <v>623</v>
      </c>
      <c r="D994">
        <v>2012</v>
      </c>
      <c r="E994" t="s">
        <v>1075</v>
      </c>
      <c r="F994">
        <v>8226.27</v>
      </c>
      <c r="G994">
        <v>9</v>
      </c>
      <c r="H994" s="11" t="str">
        <f t="shared" si="72"/>
        <v>count</v>
      </c>
      <c r="I994" s="197"/>
      <c r="J994" s="197"/>
      <c r="K994" s="197"/>
      <c r="L994" s="197"/>
      <c r="M994" s="197"/>
      <c r="N994" s="197"/>
      <c r="O994" s="197"/>
      <c r="P994" s="197"/>
      <c r="Q994" s="197"/>
      <c r="R994" s="197"/>
      <c r="S994" s="197"/>
      <c r="T994" s="197"/>
      <c r="U994" s="197"/>
      <c r="V994" s="197"/>
      <c r="W994" s="197"/>
      <c r="X994" s="197"/>
      <c r="Y994" s="197"/>
      <c r="Z994" s="197"/>
      <c r="AA994" s="197"/>
      <c r="AB994" s="197"/>
      <c r="AC994" s="197"/>
      <c r="AD994" s="197"/>
      <c r="AE994" s="197"/>
      <c r="AF994" s="197"/>
      <c r="AG994" s="197"/>
      <c r="AH994" s="197"/>
      <c r="AI994" s="197"/>
      <c r="AJ994" s="197"/>
      <c r="AK994" s="197"/>
      <c r="AL994" s="197"/>
    </row>
    <row r="995" spans="1:38">
      <c r="A995" s="11" t="str">
        <f t="shared" si="73"/>
        <v>15-258387262012</v>
      </c>
      <c r="B995" t="s">
        <v>627</v>
      </c>
      <c r="C995" t="s">
        <v>628</v>
      </c>
      <c r="D995">
        <v>2012</v>
      </c>
      <c r="E995" t="s">
        <v>105</v>
      </c>
      <c r="F995">
        <v>1100</v>
      </c>
      <c r="G995">
        <v>1</v>
      </c>
      <c r="H995" s="11" t="str">
        <f t="shared" si="72"/>
        <v>volume</v>
      </c>
      <c r="I995" s="197"/>
      <c r="J995" s="197"/>
      <c r="K995" s="197"/>
      <c r="L995" s="197"/>
      <c r="M995" s="197"/>
      <c r="N995" s="197"/>
      <c r="O995" s="197"/>
      <c r="P995" s="197"/>
      <c r="Q995" s="197"/>
      <c r="R995" s="197"/>
      <c r="S995" s="197"/>
      <c r="T995" s="197"/>
      <c r="U995" s="197"/>
      <c r="V995" s="197"/>
      <c r="W995" s="197"/>
      <c r="X995" s="197"/>
      <c r="Y995" s="197"/>
      <c r="Z995" s="197"/>
      <c r="AA995" s="197"/>
      <c r="AB995" s="197"/>
      <c r="AC995" s="197"/>
      <c r="AD995" s="197"/>
      <c r="AE995" s="197"/>
      <c r="AF995" s="197"/>
      <c r="AG995" s="197"/>
      <c r="AH995" s="197"/>
      <c r="AI995" s="197"/>
      <c r="AJ995" s="197"/>
      <c r="AK995" s="197"/>
      <c r="AL995" s="197"/>
    </row>
    <row r="996" spans="1:38">
      <c r="A996" s="11" t="str">
        <f t="shared" si="73"/>
        <v>15-258387262012</v>
      </c>
      <c r="B996" t="s">
        <v>627</v>
      </c>
      <c r="C996" t="s">
        <v>628</v>
      </c>
      <c r="D996">
        <v>2012</v>
      </c>
      <c r="E996" t="s">
        <v>69</v>
      </c>
      <c r="F996">
        <v>29480</v>
      </c>
      <c r="G996">
        <v>30</v>
      </c>
      <c r="H996" s="11" t="str">
        <f t="shared" si="72"/>
        <v>count</v>
      </c>
      <c r="I996" s="197"/>
      <c r="J996" s="197"/>
      <c r="K996" s="197"/>
      <c r="L996" s="197"/>
      <c r="M996" s="197"/>
      <c r="N996" s="197"/>
      <c r="O996" s="197"/>
      <c r="P996" s="197"/>
      <c r="Q996" s="197"/>
      <c r="R996" s="197"/>
      <c r="S996" s="197"/>
      <c r="T996" s="197"/>
      <c r="U996" s="197"/>
      <c r="V996" s="197"/>
      <c r="W996" s="197"/>
      <c r="X996" s="197"/>
      <c r="Y996" s="197"/>
      <c r="Z996" s="197"/>
      <c r="AA996" s="197"/>
      <c r="AB996" s="197"/>
      <c r="AC996" s="197"/>
      <c r="AD996" s="197"/>
      <c r="AE996" s="197"/>
      <c r="AF996" s="197"/>
      <c r="AG996" s="197"/>
      <c r="AH996" s="197"/>
      <c r="AI996" s="197"/>
      <c r="AJ996" s="197"/>
      <c r="AK996" s="197"/>
      <c r="AL996" s="197"/>
    </row>
    <row r="997" spans="1:38">
      <c r="A997" s="11" t="str">
        <f t="shared" si="73"/>
        <v>15-258387262013</v>
      </c>
      <c r="B997" t="s">
        <v>627</v>
      </c>
      <c r="C997" t="s">
        <v>628</v>
      </c>
      <c r="D997">
        <v>2013</v>
      </c>
      <c r="E997" t="s">
        <v>104</v>
      </c>
      <c r="F997">
        <v>2700</v>
      </c>
      <c r="G997">
        <v>1</v>
      </c>
      <c r="H997" s="11" t="str">
        <f t="shared" si="72"/>
        <v>count</v>
      </c>
      <c r="I997" s="197"/>
      <c r="J997" s="197"/>
      <c r="K997" s="197"/>
      <c r="L997" s="197"/>
      <c r="M997" s="197"/>
      <c r="N997" s="197"/>
      <c r="O997" s="197"/>
      <c r="P997" s="197"/>
      <c r="Q997" s="197"/>
      <c r="R997" s="197"/>
      <c r="S997" s="197"/>
      <c r="T997" s="197"/>
      <c r="U997" s="197"/>
      <c r="V997" s="197"/>
      <c r="W997" s="197"/>
      <c r="X997" s="197"/>
      <c r="Y997" s="197"/>
      <c r="Z997" s="197"/>
      <c r="AA997" s="197"/>
      <c r="AB997" s="197"/>
      <c r="AC997" s="197"/>
      <c r="AD997" s="197"/>
      <c r="AE997" s="197"/>
      <c r="AF997" s="197"/>
      <c r="AG997" s="197"/>
      <c r="AH997" s="197"/>
      <c r="AI997" s="197"/>
      <c r="AJ997" s="197"/>
      <c r="AK997" s="197"/>
      <c r="AL997" s="197"/>
    </row>
    <row r="998" spans="1:38">
      <c r="A998" s="11" t="str">
        <f t="shared" si="73"/>
        <v>15-258387262013</v>
      </c>
      <c r="B998" t="s">
        <v>627</v>
      </c>
      <c r="C998" t="s">
        <v>628</v>
      </c>
      <c r="D998">
        <v>2013</v>
      </c>
      <c r="E998" t="s">
        <v>63</v>
      </c>
      <c r="F998">
        <v>2100</v>
      </c>
      <c r="G998">
        <v>1</v>
      </c>
      <c r="H998" s="11" t="str">
        <f t="shared" si="72"/>
        <v>count</v>
      </c>
      <c r="I998" s="197"/>
      <c r="J998" s="197"/>
      <c r="K998" s="197"/>
      <c r="L998" s="197"/>
      <c r="M998" s="197"/>
      <c r="N998" s="197"/>
      <c r="O998" s="197"/>
      <c r="P998" s="197"/>
      <c r="Q998" s="197"/>
      <c r="R998" s="197"/>
      <c r="S998" s="197"/>
      <c r="T998" s="197"/>
      <c r="U998" s="197"/>
      <c r="V998" s="197"/>
      <c r="W998" s="197"/>
      <c r="X998" s="197"/>
      <c r="Y998" s="197"/>
      <c r="Z998" s="197"/>
      <c r="AA998" s="197"/>
      <c r="AB998" s="197"/>
      <c r="AC998" s="197"/>
      <c r="AD998" s="197"/>
      <c r="AE998" s="197"/>
      <c r="AF998" s="197"/>
      <c r="AG998" s="197"/>
      <c r="AH998" s="197"/>
      <c r="AI998" s="197"/>
      <c r="AJ998" s="197"/>
      <c r="AK998" s="197"/>
      <c r="AL998" s="197"/>
    </row>
    <row r="999" spans="1:38">
      <c r="A999" s="11" t="str">
        <f t="shared" si="73"/>
        <v>15-258387262011</v>
      </c>
      <c r="B999" t="s">
        <v>627</v>
      </c>
      <c r="C999" t="s">
        <v>628</v>
      </c>
      <c r="D999">
        <v>2011</v>
      </c>
      <c r="E999" t="s">
        <v>63</v>
      </c>
      <c r="F999">
        <v>577810.9</v>
      </c>
      <c r="G999">
        <v>491</v>
      </c>
      <c r="H999" s="11" t="str">
        <f t="shared" si="72"/>
        <v>count</v>
      </c>
      <c r="I999" s="197"/>
      <c r="J999" s="197"/>
      <c r="K999" s="197"/>
      <c r="L999" s="197"/>
      <c r="M999" s="197"/>
      <c r="N999" s="197"/>
      <c r="O999" s="197"/>
      <c r="P999" s="197"/>
      <c r="Q999" s="197"/>
      <c r="R999" s="197"/>
      <c r="S999" s="197"/>
      <c r="T999" s="197"/>
      <c r="U999" s="197"/>
      <c r="V999" s="197"/>
      <c r="W999" s="197"/>
      <c r="X999" s="197"/>
      <c r="Y999" s="197"/>
      <c r="Z999" s="197"/>
      <c r="AA999" s="197"/>
      <c r="AB999" s="197"/>
      <c r="AC999" s="197"/>
      <c r="AD999" s="197"/>
      <c r="AE999" s="197"/>
      <c r="AF999" s="197"/>
      <c r="AG999" s="197"/>
      <c r="AH999" s="197"/>
      <c r="AI999" s="197"/>
      <c r="AJ999" s="197"/>
      <c r="AK999" s="197"/>
      <c r="AL999" s="197"/>
    </row>
    <row r="1000" spans="1:38">
      <c r="A1000" s="11" t="str">
        <f t="shared" si="73"/>
        <v>15-258387262011</v>
      </c>
      <c r="B1000" t="s">
        <v>627</v>
      </c>
      <c r="C1000" t="s">
        <v>628</v>
      </c>
      <c r="D1000">
        <v>2011</v>
      </c>
      <c r="E1000" t="s">
        <v>104</v>
      </c>
      <c r="F1000">
        <v>247579.88</v>
      </c>
      <c r="G1000">
        <v>203</v>
      </c>
      <c r="H1000" s="11" t="str">
        <f t="shared" si="72"/>
        <v>count</v>
      </c>
      <c r="I1000" s="197"/>
      <c r="J1000" s="197"/>
      <c r="K1000" s="197"/>
      <c r="L1000" s="197"/>
      <c r="M1000" s="197"/>
      <c r="N1000" s="197"/>
      <c r="O1000" s="197"/>
      <c r="P1000" s="197"/>
      <c r="Q1000" s="197"/>
      <c r="R1000" s="197"/>
      <c r="S1000" s="197"/>
      <c r="T1000" s="197"/>
      <c r="U1000" s="197"/>
      <c r="V1000" s="197"/>
      <c r="W1000" s="197"/>
      <c r="X1000" s="197"/>
      <c r="Y1000" s="197"/>
      <c r="Z1000" s="197"/>
      <c r="AA1000" s="197"/>
      <c r="AB1000" s="197"/>
      <c r="AC1000" s="197"/>
      <c r="AD1000" s="197"/>
      <c r="AE1000" s="197"/>
      <c r="AF1000" s="197"/>
      <c r="AG1000" s="197"/>
      <c r="AH1000" s="197"/>
      <c r="AI1000" s="197"/>
      <c r="AJ1000" s="197"/>
      <c r="AK1000" s="197"/>
      <c r="AL1000" s="197"/>
    </row>
    <row r="1001" spans="1:38">
      <c r="A1001" s="11" t="str">
        <f t="shared" si="73"/>
        <v>15-258387262012</v>
      </c>
      <c r="B1001" t="s">
        <v>627</v>
      </c>
      <c r="C1001" t="s">
        <v>628</v>
      </c>
      <c r="D1001">
        <v>2012</v>
      </c>
      <c r="E1001" t="s">
        <v>104</v>
      </c>
      <c r="F1001">
        <v>185449.5</v>
      </c>
      <c r="G1001">
        <v>155</v>
      </c>
      <c r="H1001" s="11" t="str">
        <f t="shared" si="72"/>
        <v>count</v>
      </c>
      <c r="I1001" s="197"/>
      <c r="J1001" s="197"/>
      <c r="K1001" s="197"/>
      <c r="L1001" s="197"/>
      <c r="M1001" s="197"/>
      <c r="N1001" s="197"/>
      <c r="O1001" s="197"/>
      <c r="P1001" s="197"/>
      <c r="Q1001" s="197"/>
      <c r="R1001" s="197"/>
      <c r="S1001" s="197"/>
      <c r="T1001" s="197"/>
      <c r="U1001" s="197"/>
      <c r="V1001" s="197"/>
      <c r="W1001" s="197"/>
      <c r="X1001" s="197"/>
      <c r="Y1001" s="197"/>
      <c r="Z1001" s="197"/>
      <c r="AA1001" s="197"/>
      <c r="AB1001" s="197"/>
      <c r="AC1001" s="197"/>
      <c r="AD1001" s="197"/>
      <c r="AE1001" s="197"/>
      <c r="AF1001" s="197"/>
      <c r="AG1001" s="197"/>
      <c r="AH1001" s="197"/>
      <c r="AI1001" s="197"/>
      <c r="AJ1001" s="197"/>
      <c r="AK1001" s="197"/>
      <c r="AL1001" s="197"/>
    </row>
    <row r="1002" spans="1:38">
      <c r="A1002" s="11" t="str">
        <f t="shared" si="73"/>
        <v>15-258387262012</v>
      </c>
      <c r="B1002" t="s">
        <v>627</v>
      </c>
      <c r="C1002" t="s">
        <v>628</v>
      </c>
      <c r="D1002">
        <v>2012</v>
      </c>
      <c r="E1002" t="s">
        <v>63</v>
      </c>
      <c r="F1002">
        <v>399458.73</v>
      </c>
      <c r="G1002">
        <v>313</v>
      </c>
      <c r="H1002" s="11" t="str">
        <f t="shared" si="72"/>
        <v>count</v>
      </c>
      <c r="I1002" s="197"/>
      <c r="J1002" s="197"/>
      <c r="K1002" s="197"/>
      <c r="L1002" s="197"/>
      <c r="M1002" s="197"/>
      <c r="N1002" s="197"/>
      <c r="O1002" s="197"/>
      <c r="P1002" s="197"/>
      <c r="Q1002" s="197"/>
      <c r="R1002" s="197"/>
      <c r="S1002" s="197"/>
      <c r="T1002" s="197"/>
      <c r="U1002" s="197"/>
      <c r="V1002" s="197"/>
      <c r="W1002" s="197"/>
      <c r="X1002" s="197"/>
      <c r="Y1002" s="197"/>
      <c r="Z1002" s="197"/>
      <c r="AA1002" s="197"/>
      <c r="AB1002" s="197"/>
      <c r="AC1002" s="197"/>
      <c r="AD1002" s="197"/>
      <c r="AE1002" s="197"/>
      <c r="AF1002" s="197"/>
      <c r="AG1002" s="197"/>
      <c r="AH1002" s="197"/>
      <c r="AI1002" s="197"/>
      <c r="AJ1002" s="197"/>
      <c r="AK1002" s="197"/>
      <c r="AL1002" s="197"/>
    </row>
    <row r="1003" spans="1:38">
      <c r="A1003" s="11" t="str">
        <f t="shared" si="73"/>
        <v>15-301942402011</v>
      </c>
      <c r="B1003" t="s">
        <v>632</v>
      </c>
      <c r="C1003" t="s">
        <v>633</v>
      </c>
      <c r="D1003">
        <v>2011</v>
      </c>
      <c r="E1003" t="s">
        <v>105</v>
      </c>
      <c r="F1003">
        <v>168715.62</v>
      </c>
      <c r="G1003">
        <v>243</v>
      </c>
      <c r="H1003" s="11" t="str">
        <f t="shared" si="72"/>
        <v>volume</v>
      </c>
      <c r="I1003" s="197"/>
      <c r="J1003" s="197"/>
      <c r="K1003" s="197"/>
      <c r="L1003" s="197"/>
      <c r="M1003" s="197"/>
      <c r="N1003" s="197"/>
      <c r="O1003" s="197"/>
      <c r="P1003" s="197"/>
      <c r="Q1003" s="197"/>
      <c r="R1003" s="197"/>
      <c r="S1003" s="197"/>
      <c r="T1003" s="197"/>
      <c r="U1003" s="197"/>
      <c r="V1003" s="197"/>
      <c r="W1003" s="197"/>
      <c r="X1003" s="197"/>
      <c r="Y1003" s="197"/>
      <c r="Z1003" s="197"/>
      <c r="AA1003" s="197"/>
      <c r="AB1003" s="197"/>
      <c r="AC1003" s="197"/>
      <c r="AD1003" s="197"/>
      <c r="AE1003" s="197"/>
      <c r="AF1003" s="197"/>
      <c r="AG1003" s="197"/>
      <c r="AH1003" s="197"/>
      <c r="AI1003" s="197"/>
      <c r="AJ1003" s="197"/>
      <c r="AK1003" s="197"/>
      <c r="AL1003" s="197"/>
    </row>
    <row r="1004" spans="1:38">
      <c r="A1004" s="11" t="str">
        <f t="shared" si="73"/>
        <v>15-301942402011</v>
      </c>
      <c r="B1004" t="s">
        <v>632</v>
      </c>
      <c r="C1004" t="s">
        <v>633</v>
      </c>
      <c r="D1004">
        <v>2011</v>
      </c>
      <c r="E1004" t="s">
        <v>69</v>
      </c>
      <c r="F1004">
        <v>1314.88</v>
      </c>
      <c r="G1004">
        <v>4</v>
      </c>
      <c r="H1004" s="11" t="str">
        <f t="shared" si="72"/>
        <v>count</v>
      </c>
      <c r="I1004" s="197"/>
      <c r="J1004" s="197"/>
      <c r="K1004" s="197"/>
      <c r="L1004" s="197"/>
      <c r="M1004" s="197"/>
      <c r="N1004" s="197"/>
      <c r="O1004" s="197"/>
      <c r="P1004" s="197"/>
      <c r="Q1004" s="197"/>
      <c r="R1004" s="197"/>
      <c r="S1004" s="197"/>
      <c r="T1004" s="197"/>
      <c r="U1004" s="197"/>
      <c r="V1004" s="197"/>
      <c r="W1004" s="197"/>
      <c r="X1004" s="197"/>
      <c r="Y1004" s="197"/>
      <c r="Z1004" s="197"/>
      <c r="AA1004" s="197"/>
      <c r="AB1004" s="197"/>
      <c r="AC1004" s="197"/>
      <c r="AD1004" s="197"/>
      <c r="AE1004" s="197"/>
      <c r="AF1004" s="197"/>
      <c r="AG1004" s="197"/>
      <c r="AH1004" s="197"/>
      <c r="AI1004" s="197"/>
      <c r="AJ1004" s="197"/>
      <c r="AK1004" s="197"/>
      <c r="AL1004" s="197"/>
    </row>
    <row r="1005" spans="1:38">
      <c r="A1005" s="11" t="str">
        <f t="shared" si="73"/>
        <v>15-301942402013</v>
      </c>
      <c r="B1005" t="s">
        <v>632</v>
      </c>
      <c r="C1005" t="s">
        <v>633</v>
      </c>
      <c r="D1005">
        <v>2013</v>
      </c>
      <c r="E1005" t="s">
        <v>105</v>
      </c>
      <c r="F1005">
        <v>214752.59</v>
      </c>
      <c r="G1005">
        <v>284</v>
      </c>
      <c r="H1005" s="11" t="str">
        <f t="shared" si="72"/>
        <v>count</v>
      </c>
      <c r="I1005" s="197"/>
      <c r="J1005" s="197"/>
      <c r="K1005" s="197"/>
      <c r="L1005" s="197"/>
      <c r="M1005" s="197"/>
      <c r="N1005" s="197"/>
      <c r="O1005" s="197"/>
      <c r="P1005" s="197"/>
      <c r="Q1005" s="197"/>
      <c r="R1005" s="197"/>
      <c r="S1005" s="197"/>
      <c r="T1005" s="197"/>
      <c r="U1005" s="197"/>
      <c r="V1005" s="197"/>
      <c r="W1005" s="197"/>
      <c r="X1005" s="197"/>
      <c r="Y1005" s="197"/>
      <c r="Z1005" s="197"/>
      <c r="AA1005" s="197"/>
      <c r="AB1005" s="197"/>
      <c r="AC1005" s="197"/>
      <c r="AD1005" s="197"/>
      <c r="AE1005" s="197"/>
      <c r="AF1005" s="197"/>
      <c r="AG1005" s="197"/>
      <c r="AH1005" s="197"/>
      <c r="AI1005" s="197"/>
      <c r="AJ1005" s="197"/>
      <c r="AK1005" s="197"/>
      <c r="AL1005" s="197"/>
    </row>
    <row r="1006" spans="1:38">
      <c r="A1006" s="11" t="str">
        <f t="shared" si="73"/>
        <v>15-301942402011</v>
      </c>
      <c r="B1006" t="s">
        <v>632</v>
      </c>
      <c r="C1006" t="s">
        <v>633</v>
      </c>
      <c r="D1006">
        <v>2011</v>
      </c>
      <c r="E1006" t="s">
        <v>133</v>
      </c>
      <c r="F1006">
        <v>1191460.6000000001</v>
      </c>
      <c r="G1006">
        <v>1141</v>
      </c>
      <c r="H1006" s="11" t="str">
        <f t="shared" si="72"/>
        <v>count</v>
      </c>
      <c r="I1006" s="197"/>
      <c r="J1006" s="197"/>
      <c r="K1006" s="197"/>
      <c r="L1006" s="197"/>
      <c r="M1006" s="197"/>
      <c r="N1006" s="197"/>
      <c r="O1006" s="197"/>
      <c r="P1006" s="197"/>
      <c r="Q1006" s="197"/>
      <c r="R1006" s="197"/>
      <c r="S1006" s="197"/>
      <c r="T1006" s="197"/>
      <c r="U1006" s="197"/>
      <c r="V1006" s="197"/>
      <c r="W1006" s="197"/>
      <c r="X1006" s="197"/>
      <c r="Y1006" s="197"/>
      <c r="Z1006" s="197"/>
      <c r="AA1006" s="197"/>
      <c r="AB1006" s="197"/>
      <c r="AC1006" s="197"/>
      <c r="AD1006" s="197"/>
      <c r="AE1006" s="197"/>
      <c r="AF1006" s="197"/>
      <c r="AG1006" s="197"/>
      <c r="AH1006" s="197"/>
      <c r="AI1006" s="197"/>
      <c r="AJ1006" s="197"/>
      <c r="AK1006" s="197"/>
      <c r="AL1006" s="197"/>
    </row>
    <row r="1007" spans="1:38">
      <c r="A1007" s="11" t="str">
        <f t="shared" si="73"/>
        <v>15-301942402012</v>
      </c>
      <c r="B1007" t="s">
        <v>632</v>
      </c>
      <c r="C1007" t="s">
        <v>633</v>
      </c>
      <c r="D1007">
        <v>2012</v>
      </c>
      <c r="E1007" t="s">
        <v>63</v>
      </c>
      <c r="F1007">
        <v>1790071.22</v>
      </c>
      <c r="G1007">
        <v>2609</v>
      </c>
      <c r="H1007" s="11" t="str">
        <f t="shared" si="72"/>
        <v>count</v>
      </c>
      <c r="I1007" s="197"/>
      <c r="J1007" s="197"/>
      <c r="K1007" s="197"/>
      <c r="L1007" s="197"/>
      <c r="M1007" s="197"/>
      <c r="N1007" s="197"/>
      <c r="O1007" s="197"/>
      <c r="P1007" s="197"/>
      <c r="Q1007" s="197"/>
      <c r="R1007" s="197"/>
      <c r="S1007" s="197"/>
      <c r="T1007" s="197"/>
      <c r="U1007" s="197"/>
      <c r="V1007" s="197"/>
      <c r="W1007" s="197"/>
      <c r="X1007" s="197"/>
      <c r="Y1007" s="197"/>
      <c r="Z1007" s="197"/>
      <c r="AA1007" s="197"/>
      <c r="AB1007" s="197"/>
      <c r="AC1007" s="197"/>
      <c r="AD1007" s="197"/>
      <c r="AE1007" s="197"/>
      <c r="AF1007" s="197"/>
      <c r="AG1007" s="197"/>
      <c r="AH1007" s="197"/>
      <c r="AI1007" s="197"/>
      <c r="AJ1007" s="197"/>
      <c r="AK1007" s="197"/>
      <c r="AL1007" s="197"/>
    </row>
    <row r="1008" spans="1:38">
      <c r="A1008" s="11" t="str">
        <f t="shared" si="73"/>
        <v>15-301942402012</v>
      </c>
      <c r="B1008" t="s">
        <v>632</v>
      </c>
      <c r="C1008" t="s">
        <v>633</v>
      </c>
      <c r="D1008">
        <v>2012</v>
      </c>
      <c r="E1008" t="s">
        <v>104</v>
      </c>
      <c r="F1008">
        <v>1009776.54</v>
      </c>
      <c r="G1008">
        <v>1305</v>
      </c>
      <c r="H1008" s="11" t="str">
        <f t="shared" si="72"/>
        <v>count</v>
      </c>
      <c r="I1008" s="197"/>
      <c r="J1008" s="197"/>
      <c r="K1008" s="197"/>
      <c r="L1008" s="197"/>
      <c r="M1008" s="197"/>
      <c r="N1008" s="197"/>
      <c r="O1008" s="197"/>
      <c r="P1008" s="197"/>
      <c r="Q1008" s="197"/>
      <c r="R1008" s="197"/>
      <c r="S1008" s="197"/>
      <c r="T1008" s="197"/>
      <c r="U1008" s="197"/>
      <c r="V1008" s="197"/>
      <c r="W1008" s="197"/>
      <c r="X1008" s="197"/>
      <c r="Y1008" s="197"/>
      <c r="Z1008" s="197"/>
      <c r="AA1008" s="197"/>
      <c r="AB1008" s="197"/>
      <c r="AC1008" s="197"/>
      <c r="AD1008" s="197"/>
      <c r="AE1008" s="197"/>
      <c r="AF1008" s="197"/>
      <c r="AG1008" s="197"/>
      <c r="AH1008" s="197"/>
      <c r="AI1008" s="197"/>
      <c r="AJ1008" s="197"/>
      <c r="AK1008" s="197"/>
      <c r="AL1008" s="197"/>
    </row>
    <row r="1009" spans="1:38">
      <c r="A1009" s="11" t="str">
        <f t="shared" si="73"/>
        <v>15-301942402013</v>
      </c>
      <c r="B1009" t="s">
        <v>632</v>
      </c>
      <c r="C1009" t="s">
        <v>633</v>
      </c>
      <c r="D1009">
        <v>2013</v>
      </c>
      <c r="E1009" t="s">
        <v>63</v>
      </c>
      <c r="F1009">
        <v>2090061.87</v>
      </c>
      <c r="G1009">
        <v>2692</v>
      </c>
      <c r="H1009" s="11" t="str">
        <f t="shared" si="72"/>
        <v>count</v>
      </c>
      <c r="I1009" s="197"/>
      <c r="J1009" s="197"/>
      <c r="K1009" s="197"/>
      <c r="L1009" s="197"/>
      <c r="M1009" s="197"/>
      <c r="N1009" s="197"/>
      <c r="O1009" s="197"/>
      <c r="P1009" s="197"/>
      <c r="Q1009" s="197"/>
      <c r="R1009" s="197"/>
      <c r="S1009" s="197"/>
      <c r="T1009" s="197"/>
      <c r="U1009" s="197"/>
      <c r="V1009" s="197"/>
      <c r="W1009" s="197"/>
      <c r="X1009" s="197"/>
      <c r="Y1009" s="197"/>
      <c r="Z1009" s="197"/>
      <c r="AA1009" s="197"/>
      <c r="AB1009" s="197"/>
      <c r="AC1009" s="197"/>
      <c r="AD1009" s="197"/>
      <c r="AE1009" s="197"/>
      <c r="AF1009" s="197"/>
      <c r="AG1009" s="197"/>
      <c r="AH1009" s="197"/>
      <c r="AI1009" s="197"/>
      <c r="AJ1009" s="197"/>
      <c r="AK1009" s="197"/>
      <c r="AL1009" s="197"/>
    </row>
    <row r="1010" spans="1:38">
      <c r="A1010" s="11" t="str">
        <f t="shared" si="73"/>
        <v>15-301942402013</v>
      </c>
      <c r="B1010" t="s">
        <v>632</v>
      </c>
      <c r="C1010" t="s">
        <v>633</v>
      </c>
      <c r="D1010">
        <v>2013</v>
      </c>
      <c r="E1010" t="s">
        <v>133</v>
      </c>
      <c r="F1010">
        <v>1311031.07</v>
      </c>
      <c r="G1010">
        <v>1248</v>
      </c>
      <c r="H1010" s="11" t="str">
        <f t="shared" si="72"/>
        <v>count</v>
      </c>
      <c r="I1010" s="197"/>
      <c r="J1010" s="197"/>
      <c r="K1010" s="197"/>
      <c r="L1010" s="197"/>
      <c r="M1010" s="197"/>
      <c r="N1010" s="197"/>
      <c r="O1010" s="197"/>
      <c r="P1010" s="197"/>
      <c r="Q1010" s="197"/>
      <c r="R1010" s="197"/>
      <c r="S1010" s="197"/>
      <c r="T1010" s="197"/>
      <c r="U1010" s="197"/>
      <c r="V1010" s="197"/>
      <c r="W1010" s="197"/>
      <c r="X1010" s="197"/>
      <c r="Y1010" s="197"/>
      <c r="Z1010" s="197"/>
      <c r="AA1010" s="197"/>
      <c r="AB1010" s="197"/>
      <c r="AC1010" s="197"/>
      <c r="AD1010" s="197"/>
      <c r="AE1010" s="197"/>
      <c r="AF1010" s="197"/>
      <c r="AG1010" s="197"/>
      <c r="AH1010" s="197"/>
      <c r="AI1010" s="197"/>
      <c r="AJ1010" s="197"/>
      <c r="AK1010" s="197"/>
      <c r="AL1010" s="197"/>
    </row>
    <row r="1011" spans="1:38">
      <c r="A1011" s="11" t="str">
        <f t="shared" si="73"/>
        <v>15-301942402013</v>
      </c>
      <c r="B1011" t="s">
        <v>632</v>
      </c>
      <c r="C1011" t="s">
        <v>633</v>
      </c>
      <c r="D1011">
        <v>2013</v>
      </c>
      <c r="E1011" t="s">
        <v>104</v>
      </c>
      <c r="F1011">
        <v>1044955.94</v>
      </c>
      <c r="G1011">
        <v>1227</v>
      </c>
      <c r="H1011" s="11" t="str">
        <f t="shared" si="72"/>
        <v>count</v>
      </c>
      <c r="I1011" s="197"/>
      <c r="J1011" s="197"/>
      <c r="K1011" s="197"/>
      <c r="L1011" s="197"/>
      <c r="M1011" s="197"/>
      <c r="N1011" s="197"/>
      <c r="O1011" s="197"/>
      <c r="P1011" s="197"/>
      <c r="Q1011" s="197"/>
      <c r="R1011" s="197"/>
      <c r="S1011" s="197"/>
      <c r="T1011" s="197"/>
      <c r="U1011" s="197"/>
      <c r="V1011" s="197"/>
      <c r="W1011" s="197"/>
      <c r="X1011" s="197"/>
      <c r="Y1011" s="197"/>
      <c r="Z1011" s="197"/>
      <c r="AA1011" s="197"/>
      <c r="AB1011" s="197"/>
      <c r="AC1011" s="197"/>
      <c r="AD1011" s="197"/>
      <c r="AE1011" s="197"/>
      <c r="AF1011" s="197"/>
      <c r="AG1011" s="197"/>
      <c r="AH1011" s="197"/>
      <c r="AI1011" s="197"/>
      <c r="AJ1011" s="197"/>
      <c r="AK1011" s="197"/>
      <c r="AL1011" s="197"/>
    </row>
    <row r="1012" spans="1:38">
      <c r="A1012" s="11" t="str">
        <f t="shared" si="73"/>
        <v>15-301942402013</v>
      </c>
      <c r="B1012" t="s">
        <v>632</v>
      </c>
      <c r="C1012" t="s">
        <v>633</v>
      </c>
      <c r="D1012">
        <v>2013</v>
      </c>
      <c r="E1012" t="s">
        <v>69</v>
      </c>
      <c r="F1012">
        <v>526148.5</v>
      </c>
      <c r="G1012">
        <v>1021</v>
      </c>
      <c r="H1012" s="11" t="str">
        <f t="shared" si="72"/>
        <v>count</v>
      </c>
      <c r="I1012" s="197"/>
      <c r="J1012" s="197"/>
      <c r="K1012" s="197"/>
      <c r="L1012" s="197"/>
      <c r="M1012" s="197"/>
      <c r="N1012" s="197"/>
      <c r="O1012" s="197"/>
      <c r="P1012" s="197"/>
      <c r="Q1012" s="197"/>
      <c r="R1012" s="197"/>
      <c r="S1012" s="197"/>
      <c r="T1012" s="197"/>
      <c r="U1012" s="197"/>
      <c r="V1012" s="197"/>
      <c r="W1012" s="197"/>
      <c r="X1012" s="197"/>
      <c r="Y1012" s="197"/>
      <c r="Z1012" s="197"/>
      <c r="AA1012" s="197"/>
      <c r="AB1012" s="197"/>
      <c r="AC1012" s="197"/>
      <c r="AD1012" s="197"/>
      <c r="AE1012" s="197"/>
      <c r="AF1012" s="197"/>
      <c r="AG1012" s="197"/>
      <c r="AH1012" s="197"/>
      <c r="AI1012" s="197"/>
      <c r="AJ1012" s="197"/>
      <c r="AK1012" s="197"/>
      <c r="AL1012" s="197"/>
    </row>
    <row r="1013" spans="1:38">
      <c r="A1013" s="11" t="str">
        <f t="shared" si="73"/>
        <v>15-301942402011</v>
      </c>
      <c r="B1013" t="s">
        <v>632</v>
      </c>
      <c r="C1013" t="s">
        <v>633</v>
      </c>
      <c r="D1013">
        <v>2011</v>
      </c>
      <c r="E1013" t="s">
        <v>104</v>
      </c>
      <c r="F1013">
        <v>1127531.72</v>
      </c>
      <c r="G1013">
        <v>1350</v>
      </c>
      <c r="H1013" s="11" t="str">
        <f t="shared" si="72"/>
        <v>count</v>
      </c>
      <c r="I1013" s="197"/>
      <c r="J1013" s="197"/>
      <c r="K1013" s="197"/>
      <c r="L1013" s="197"/>
      <c r="M1013" s="197"/>
      <c r="N1013" s="197"/>
      <c r="O1013" s="197"/>
      <c r="P1013" s="197"/>
      <c r="Q1013" s="197"/>
      <c r="R1013" s="197"/>
      <c r="S1013" s="197"/>
      <c r="T1013" s="197"/>
      <c r="U1013" s="197"/>
      <c r="V1013" s="197"/>
      <c r="W1013" s="197"/>
      <c r="X1013" s="197"/>
      <c r="Y1013" s="197"/>
      <c r="Z1013" s="197"/>
      <c r="AA1013" s="197"/>
      <c r="AB1013" s="197"/>
      <c r="AC1013" s="197"/>
      <c r="AD1013" s="197"/>
      <c r="AE1013" s="197"/>
      <c r="AF1013" s="197"/>
      <c r="AG1013" s="197"/>
      <c r="AH1013" s="197"/>
      <c r="AI1013" s="197"/>
      <c r="AJ1013" s="197"/>
      <c r="AK1013" s="197"/>
      <c r="AL1013" s="197"/>
    </row>
    <row r="1014" spans="1:38">
      <c r="A1014" s="11" t="str">
        <f t="shared" si="73"/>
        <v>15-301942402012</v>
      </c>
      <c r="B1014" t="s">
        <v>632</v>
      </c>
      <c r="C1014" t="s">
        <v>633</v>
      </c>
      <c r="D1014">
        <v>2012</v>
      </c>
      <c r="E1014" t="s">
        <v>69</v>
      </c>
      <c r="F1014">
        <v>434618.14</v>
      </c>
      <c r="G1014">
        <v>929</v>
      </c>
      <c r="H1014" s="11" t="str">
        <f t="shared" si="72"/>
        <v>count</v>
      </c>
      <c r="I1014" s="197"/>
      <c r="J1014" s="197"/>
      <c r="K1014" s="197"/>
      <c r="L1014" s="197"/>
      <c r="M1014" s="197"/>
      <c r="N1014" s="197"/>
      <c r="O1014" s="197"/>
      <c r="P1014" s="197"/>
      <c r="Q1014" s="197"/>
      <c r="R1014" s="197"/>
      <c r="S1014" s="197"/>
      <c r="T1014" s="197"/>
      <c r="U1014" s="197"/>
      <c r="V1014" s="197"/>
      <c r="W1014" s="197"/>
      <c r="X1014" s="197"/>
      <c r="Y1014" s="197"/>
      <c r="Z1014" s="197"/>
      <c r="AA1014" s="197"/>
      <c r="AB1014" s="197"/>
      <c r="AC1014" s="197"/>
      <c r="AD1014" s="197"/>
      <c r="AE1014" s="197"/>
      <c r="AF1014" s="197"/>
      <c r="AG1014" s="197"/>
      <c r="AH1014" s="197"/>
      <c r="AI1014" s="197"/>
      <c r="AJ1014" s="197"/>
      <c r="AK1014" s="197"/>
      <c r="AL1014" s="197"/>
    </row>
    <row r="1015" spans="1:38">
      <c r="A1015" s="11" t="str">
        <f t="shared" si="73"/>
        <v>15-301942402011</v>
      </c>
      <c r="B1015" t="s">
        <v>632</v>
      </c>
      <c r="C1015" t="s">
        <v>633</v>
      </c>
      <c r="D1015">
        <v>2011</v>
      </c>
      <c r="E1015" t="s">
        <v>63</v>
      </c>
      <c r="F1015">
        <v>2114030.0299999998</v>
      </c>
      <c r="G1015">
        <v>3027</v>
      </c>
      <c r="H1015" s="11" t="str">
        <f t="shared" si="72"/>
        <v>count</v>
      </c>
      <c r="I1015" s="197"/>
      <c r="J1015" s="197"/>
      <c r="K1015" s="197"/>
      <c r="L1015" s="197"/>
      <c r="M1015" s="197"/>
      <c r="N1015" s="197"/>
      <c r="O1015" s="197"/>
      <c r="P1015" s="197"/>
      <c r="Q1015" s="197"/>
      <c r="R1015" s="197"/>
      <c r="S1015" s="197"/>
      <c r="T1015" s="197"/>
      <c r="U1015" s="197"/>
      <c r="V1015" s="197"/>
      <c r="W1015" s="197"/>
      <c r="X1015" s="197"/>
      <c r="Y1015" s="197"/>
      <c r="Z1015" s="197"/>
      <c r="AA1015" s="197"/>
      <c r="AB1015" s="197"/>
      <c r="AC1015" s="197"/>
      <c r="AD1015" s="197"/>
      <c r="AE1015" s="197"/>
      <c r="AF1015" s="197"/>
      <c r="AG1015" s="197"/>
      <c r="AH1015" s="197"/>
      <c r="AI1015" s="197"/>
      <c r="AJ1015" s="197"/>
      <c r="AK1015" s="197"/>
      <c r="AL1015" s="197"/>
    </row>
    <row r="1016" spans="1:38">
      <c r="A1016" s="11" t="str">
        <f t="shared" si="73"/>
        <v>15-301942402012</v>
      </c>
      <c r="B1016" t="s">
        <v>632</v>
      </c>
      <c r="C1016" t="s">
        <v>633</v>
      </c>
      <c r="D1016">
        <v>2012</v>
      </c>
      <c r="E1016" t="s">
        <v>133</v>
      </c>
      <c r="F1016">
        <v>1114969.19</v>
      </c>
      <c r="G1016">
        <v>1111</v>
      </c>
      <c r="H1016" s="11" t="str">
        <f t="shared" si="72"/>
        <v>count</v>
      </c>
      <c r="I1016" s="197"/>
      <c r="J1016" s="197"/>
      <c r="K1016" s="197"/>
      <c r="L1016" s="197"/>
      <c r="M1016" s="197"/>
      <c r="N1016" s="197"/>
      <c r="O1016" s="197"/>
      <c r="P1016" s="197"/>
      <c r="Q1016" s="197"/>
      <c r="R1016" s="197"/>
      <c r="S1016" s="197"/>
      <c r="T1016" s="197"/>
      <c r="U1016" s="197"/>
      <c r="V1016" s="197"/>
      <c r="W1016" s="197"/>
      <c r="X1016" s="197"/>
      <c r="Y1016" s="197"/>
      <c r="Z1016" s="197"/>
      <c r="AA1016" s="197"/>
      <c r="AB1016" s="197"/>
      <c r="AC1016" s="197"/>
      <c r="AD1016" s="197"/>
      <c r="AE1016" s="197"/>
      <c r="AF1016" s="197"/>
      <c r="AG1016" s="197"/>
      <c r="AH1016" s="197"/>
      <c r="AI1016" s="197"/>
      <c r="AJ1016" s="197"/>
      <c r="AK1016" s="197"/>
      <c r="AL1016" s="197"/>
    </row>
    <row r="1017" spans="1:38">
      <c r="A1017" s="11" t="str">
        <f t="shared" si="73"/>
        <v>15-301942402012</v>
      </c>
      <c r="B1017" t="s">
        <v>632</v>
      </c>
      <c r="C1017" t="s">
        <v>633</v>
      </c>
      <c r="D1017">
        <v>2012</v>
      </c>
      <c r="E1017" t="s">
        <v>105</v>
      </c>
      <c r="F1017">
        <v>219878.87</v>
      </c>
      <c r="G1017">
        <v>314</v>
      </c>
      <c r="H1017" s="11" t="str">
        <f t="shared" si="72"/>
        <v>count</v>
      </c>
      <c r="I1017" s="197"/>
      <c r="J1017" s="197"/>
      <c r="K1017" s="197"/>
      <c r="L1017" s="197"/>
      <c r="M1017" s="197"/>
      <c r="N1017" s="197"/>
      <c r="O1017" s="197"/>
      <c r="P1017" s="197"/>
      <c r="Q1017" s="197"/>
      <c r="R1017" s="197"/>
      <c r="S1017" s="197"/>
      <c r="T1017" s="197"/>
      <c r="U1017" s="197"/>
      <c r="V1017" s="197"/>
      <c r="W1017" s="197"/>
      <c r="X1017" s="197"/>
      <c r="Y1017" s="197"/>
      <c r="Z1017" s="197"/>
      <c r="AA1017" s="197"/>
      <c r="AB1017" s="197"/>
      <c r="AC1017" s="197"/>
      <c r="AD1017" s="197"/>
      <c r="AE1017" s="197"/>
      <c r="AF1017" s="197"/>
      <c r="AG1017" s="197"/>
      <c r="AH1017" s="197"/>
      <c r="AI1017" s="197"/>
      <c r="AJ1017" s="197"/>
      <c r="AK1017" s="197"/>
      <c r="AL1017" s="197"/>
    </row>
    <row r="1018" spans="1:38">
      <c r="A1018" s="11" t="str">
        <f t="shared" si="73"/>
        <v>15-302003832013</v>
      </c>
      <c r="B1018" t="s">
        <v>634</v>
      </c>
      <c r="C1018" t="s">
        <v>635</v>
      </c>
      <c r="D1018">
        <v>2013</v>
      </c>
      <c r="E1018" t="s">
        <v>133</v>
      </c>
      <c r="F1018">
        <v>236038.82</v>
      </c>
      <c r="G1018">
        <v>239</v>
      </c>
      <c r="H1018" s="11" t="str">
        <f t="shared" si="72"/>
        <v>volume</v>
      </c>
      <c r="I1018" s="197"/>
      <c r="J1018" s="197"/>
      <c r="K1018" s="197"/>
      <c r="L1018" s="197"/>
      <c r="M1018" s="197"/>
      <c r="N1018" s="197"/>
      <c r="O1018" s="197"/>
      <c r="P1018" s="197"/>
      <c r="Q1018" s="197"/>
      <c r="R1018" s="197"/>
      <c r="S1018" s="197"/>
      <c r="T1018" s="197"/>
      <c r="U1018" s="197"/>
      <c r="V1018" s="197"/>
      <c r="W1018" s="197"/>
      <c r="X1018" s="197"/>
      <c r="Y1018" s="197"/>
      <c r="Z1018" s="197"/>
      <c r="AA1018" s="197"/>
      <c r="AB1018" s="197"/>
      <c r="AC1018" s="197"/>
      <c r="AD1018" s="197"/>
      <c r="AE1018" s="197"/>
      <c r="AF1018" s="197"/>
      <c r="AG1018" s="197"/>
      <c r="AH1018" s="197"/>
      <c r="AI1018" s="197"/>
      <c r="AJ1018" s="197"/>
      <c r="AK1018" s="197"/>
      <c r="AL1018" s="197"/>
    </row>
    <row r="1019" spans="1:38">
      <c r="A1019" s="11" t="str">
        <f t="shared" si="73"/>
        <v>15-302003832013</v>
      </c>
      <c r="B1019" t="s">
        <v>634</v>
      </c>
      <c r="C1019" t="s">
        <v>635</v>
      </c>
      <c r="D1019">
        <v>2013</v>
      </c>
      <c r="E1019" t="s">
        <v>69</v>
      </c>
      <c r="F1019">
        <v>309307.08</v>
      </c>
      <c r="G1019">
        <v>569</v>
      </c>
      <c r="H1019" s="11" t="str">
        <f t="shared" si="72"/>
        <v>count</v>
      </c>
      <c r="I1019" s="197"/>
      <c r="J1019" s="197"/>
      <c r="K1019" s="197"/>
      <c r="L1019" s="197"/>
      <c r="M1019" s="197"/>
      <c r="N1019" s="197"/>
      <c r="O1019" s="197"/>
      <c r="P1019" s="197"/>
      <c r="Q1019" s="197"/>
      <c r="R1019" s="197"/>
      <c r="S1019" s="197"/>
      <c r="T1019" s="197"/>
      <c r="U1019" s="197"/>
      <c r="V1019" s="197"/>
      <c r="W1019" s="197"/>
      <c r="X1019" s="197"/>
      <c r="Y1019" s="197"/>
      <c r="Z1019" s="197"/>
      <c r="AA1019" s="197"/>
      <c r="AB1019" s="197"/>
      <c r="AC1019" s="197"/>
      <c r="AD1019" s="197"/>
      <c r="AE1019" s="197"/>
      <c r="AF1019" s="197"/>
      <c r="AG1019" s="197"/>
      <c r="AH1019" s="197"/>
      <c r="AI1019" s="197"/>
      <c r="AJ1019" s="197"/>
      <c r="AK1019" s="197"/>
      <c r="AL1019" s="197"/>
    </row>
    <row r="1020" spans="1:38">
      <c r="A1020" s="11" t="str">
        <f t="shared" si="73"/>
        <v>15-302003832013</v>
      </c>
      <c r="B1020" t="s">
        <v>634</v>
      </c>
      <c r="C1020" t="s">
        <v>635</v>
      </c>
      <c r="D1020">
        <v>2013</v>
      </c>
      <c r="E1020" t="s">
        <v>105</v>
      </c>
      <c r="F1020">
        <v>91569.42</v>
      </c>
      <c r="G1020">
        <v>121</v>
      </c>
      <c r="H1020" s="11" t="str">
        <f t="shared" si="72"/>
        <v>count</v>
      </c>
      <c r="I1020" s="197"/>
      <c r="J1020" s="197"/>
      <c r="K1020" s="197"/>
      <c r="L1020" s="197"/>
      <c r="M1020" s="197"/>
      <c r="N1020" s="197"/>
      <c r="O1020" s="197"/>
      <c r="P1020" s="197"/>
      <c r="Q1020" s="197"/>
      <c r="R1020" s="197"/>
      <c r="S1020" s="197"/>
      <c r="T1020" s="197"/>
      <c r="U1020" s="197"/>
      <c r="V1020" s="197"/>
      <c r="W1020" s="197"/>
      <c r="X1020" s="197"/>
      <c r="Y1020" s="197"/>
      <c r="Z1020" s="197"/>
      <c r="AA1020" s="197"/>
      <c r="AB1020" s="197"/>
      <c r="AC1020" s="197"/>
      <c r="AD1020" s="197"/>
      <c r="AE1020" s="197"/>
      <c r="AF1020" s="197"/>
      <c r="AG1020" s="197"/>
      <c r="AH1020" s="197"/>
      <c r="AI1020" s="197"/>
      <c r="AJ1020" s="197"/>
      <c r="AK1020" s="197"/>
      <c r="AL1020" s="197"/>
    </row>
    <row r="1021" spans="1:38">
      <c r="A1021" s="11" t="str">
        <f t="shared" si="73"/>
        <v>15-302003832011</v>
      </c>
      <c r="B1021" t="s">
        <v>634</v>
      </c>
      <c r="C1021" t="s">
        <v>635</v>
      </c>
      <c r="D1021">
        <v>2011</v>
      </c>
      <c r="E1021" t="s">
        <v>104</v>
      </c>
      <c r="F1021">
        <v>1116049.8600000001</v>
      </c>
      <c r="G1021">
        <v>1692</v>
      </c>
      <c r="H1021" s="11" t="str">
        <f t="shared" si="72"/>
        <v>count</v>
      </c>
      <c r="I1021" s="197"/>
      <c r="J1021" s="197"/>
      <c r="K1021" s="197"/>
      <c r="L1021" s="197"/>
      <c r="M1021" s="197"/>
      <c r="N1021" s="197"/>
      <c r="O1021" s="197"/>
      <c r="P1021" s="197"/>
      <c r="Q1021" s="197"/>
      <c r="R1021" s="197"/>
      <c r="S1021" s="197"/>
      <c r="T1021" s="197"/>
      <c r="U1021" s="197"/>
      <c r="V1021" s="197"/>
      <c r="W1021" s="197"/>
      <c r="X1021" s="197"/>
      <c r="Y1021" s="197"/>
      <c r="Z1021" s="197"/>
      <c r="AA1021" s="197"/>
      <c r="AB1021" s="197"/>
      <c r="AC1021" s="197"/>
      <c r="AD1021" s="197"/>
      <c r="AE1021" s="197"/>
      <c r="AF1021" s="197"/>
      <c r="AG1021" s="197"/>
      <c r="AH1021" s="197"/>
      <c r="AI1021" s="197"/>
      <c r="AJ1021" s="197"/>
      <c r="AK1021" s="197"/>
      <c r="AL1021" s="197"/>
    </row>
    <row r="1022" spans="1:38">
      <c r="A1022" s="11" t="str">
        <f t="shared" si="73"/>
        <v>15-302003832012</v>
      </c>
      <c r="B1022" t="s">
        <v>634</v>
      </c>
      <c r="C1022" t="s">
        <v>635</v>
      </c>
      <c r="D1022">
        <v>2012</v>
      </c>
      <c r="E1022" t="s">
        <v>105</v>
      </c>
      <c r="F1022">
        <v>288188.13</v>
      </c>
      <c r="G1022">
        <v>419</v>
      </c>
      <c r="H1022" s="11" t="str">
        <f t="shared" si="72"/>
        <v>count</v>
      </c>
      <c r="I1022" s="197"/>
      <c r="J1022" s="197"/>
      <c r="K1022" s="197"/>
      <c r="L1022" s="197"/>
      <c r="M1022" s="197"/>
      <c r="N1022" s="197"/>
      <c r="O1022" s="197"/>
      <c r="P1022" s="197"/>
      <c r="Q1022" s="197"/>
      <c r="R1022" s="197"/>
      <c r="S1022" s="197"/>
      <c r="T1022" s="197"/>
      <c r="U1022" s="197"/>
      <c r="V1022" s="197"/>
      <c r="W1022" s="197"/>
      <c r="X1022" s="197"/>
      <c r="Y1022" s="197"/>
      <c r="Z1022" s="197"/>
      <c r="AA1022" s="197"/>
      <c r="AB1022" s="197"/>
      <c r="AC1022" s="197"/>
      <c r="AD1022" s="197"/>
      <c r="AE1022" s="197"/>
      <c r="AF1022" s="197"/>
      <c r="AG1022" s="197"/>
      <c r="AH1022" s="197"/>
      <c r="AI1022" s="197"/>
      <c r="AJ1022" s="197"/>
      <c r="AK1022" s="197"/>
      <c r="AL1022" s="197"/>
    </row>
    <row r="1023" spans="1:38">
      <c r="A1023" s="11" t="str">
        <f t="shared" si="73"/>
        <v>15-302003832011</v>
      </c>
      <c r="B1023" t="s">
        <v>634</v>
      </c>
      <c r="C1023" t="s">
        <v>635</v>
      </c>
      <c r="D1023">
        <v>2011</v>
      </c>
      <c r="E1023" t="s">
        <v>63</v>
      </c>
      <c r="F1023">
        <v>3920976.49</v>
      </c>
      <c r="G1023">
        <v>4318</v>
      </c>
      <c r="H1023" s="11" t="str">
        <f t="shared" si="72"/>
        <v>count</v>
      </c>
      <c r="I1023" s="197"/>
      <c r="J1023" s="197"/>
      <c r="K1023" s="197"/>
      <c r="L1023" s="197"/>
      <c r="M1023" s="197"/>
      <c r="N1023" s="197"/>
      <c r="O1023" s="197"/>
      <c r="P1023" s="197"/>
      <c r="Q1023" s="197"/>
      <c r="R1023" s="197"/>
      <c r="S1023" s="197"/>
      <c r="T1023" s="197"/>
      <c r="U1023" s="197"/>
      <c r="V1023" s="197"/>
      <c r="W1023" s="197"/>
      <c r="X1023" s="197"/>
      <c r="Y1023" s="197"/>
      <c r="Z1023" s="197"/>
      <c r="AA1023" s="197"/>
      <c r="AB1023" s="197"/>
      <c r="AC1023" s="197"/>
      <c r="AD1023" s="197"/>
      <c r="AE1023" s="197"/>
      <c r="AF1023" s="197"/>
      <c r="AG1023" s="197"/>
      <c r="AH1023" s="197"/>
      <c r="AI1023" s="197"/>
      <c r="AJ1023" s="197"/>
      <c r="AK1023" s="197"/>
      <c r="AL1023" s="197"/>
    </row>
    <row r="1024" spans="1:38">
      <c r="A1024" s="11" t="str">
        <f t="shared" si="73"/>
        <v>15-302003832012</v>
      </c>
      <c r="B1024" t="s">
        <v>634</v>
      </c>
      <c r="C1024" t="s">
        <v>635</v>
      </c>
      <c r="D1024">
        <v>2012</v>
      </c>
      <c r="E1024" t="s">
        <v>133</v>
      </c>
      <c r="F1024">
        <v>786916.75</v>
      </c>
      <c r="G1024">
        <v>904</v>
      </c>
      <c r="H1024" s="11" t="str">
        <f t="shared" si="72"/>
        <v>count</v>
      </c>
      <c r="I1024" s="197"/>
      <c r="J1024" s="197"/>
      <c r="K1024" s="197"/>
      <c r="L1024" s="197"/>
      <c r="M1024" s="197"/>
      <c r="N1024" s="197"/>
      <c r="O1024" s="197"/>
      <c r="P1024" s="197"/>
      <c r="Q1024" s="197"/>
      <c r="R1024" s="197"/>
      <c r="S1024" s="197"/>
      <c r="T1024" s="197"/>
      <c r="U1024" s="197"/>
      <c r="V1024" s="197"/>
      <c r="W1024" s="197"/>
      <c r="X1024" s="197"/>
      <c r="Y1024" s="197"/>
      <c r="Z1024" s="197"/>
      <c r="AA1024" s="197"/>
      <c r="AB1024" s="197"/>
      <c r="AC1024" s="197"/>
      <c r="AD1024" s="197"/>
      <c r="AE1024" s="197"/>
      <c r="AF1024" s="197"/>
      <c r="AG1024" s="197"/>
      <c r="AH1024" s="197"/>
      <c r="AI1024" s="197"/>
      <c r="AJ1024" s="197"/>
      <c r="AK1024" s="197"/>
      <c r="AL1024" s="197"/>
    </row>
    <row r="1025" spans="1:38">
      <c r="A1025" s="11" t="str">
        <f t="shared" si="73"/>
        <v>15-302003832012</v>
      </c>
      <c r="B1025" t="s">
        <v>634</v>
      </c>
      <c r="C1025" t="s">
        <v>635</v>
      </c>
      <c r="D1025">
        <v>2012</v>
      </c>
      <c r="E1025" t="s">
        <v>104</v>
      </c>
      <c r="F1025">
        <v>1085610.1299999999</v>
      </c>
      <c r="G1025">
        <v>1627</v>
      </c>
      <c r="H1025" s="11" t="str">
        <f t="shared" si="72"/>
        <v>count</v>
      </c>
      <c r="I1025" s="197"/>
      <c r="J1025" s="197"/>
      <c r="K1025" s="197"/>
      <c r="L1025" s="197"/>
      <c r="M1025" s="197"/>
      <c r="N1025" s="197"/>
      <c r="O1025" s="197"/>
      <c r="P1025" s="197"/>
      <c r="Q1025" s="197"/>
      <c r="R1025" s="197"/>
      <c r="S1025" s="197"/>
      <c r="T1025" s="197"/>
      <c r="U1025" s="197"/>
      <c r="V1025" s="197"/>
      <c r="W1025" s="197"/>
      <c r="X1025" s="197"/>
      <c r="Y1025" s="197"/>
      <c r="Z1025" s="197"/>
      <c r="AA1025" s="197"/>
      <c r="AB1025" s="197"/>
      <c r="AC1025" s="197"/>
      <c r="AD1025" s="197"/>
      <c r="AE1025" s="197"/>
      <c r="AF1025" s="197"/>
      <c r="AG1025" s="197"/>
      <c r="AH1025" s="197"/>
      <c r="AI1025" s="197"/>
      <c r="AJ1025" s="197"/>
      <c r="AK1025" s="197"/>
      <c r="AL1025" s="197"/>
    </row>
    <row r="1026" spans="1:38">
      <c r="A1026" s="11" t="str">
        <f t="shared" si="73"/>
        <v>15-302003832012</v>
      </c>
      <c r="B1026" t="s">
        <v>634</v>
      </c>
      <c r="C1026" t="s">
        <v>635</v>
      </c>
      <c r="D1026">
        <v>2012</v>
      </c>
      <c r="E1026" t="s">
        <v>63</v>
      </c>
      <c r="F1026">
        <v>4371570.0999999996</v>
      </c>
      <c r="G1026">
        <v>4094</v>
      </c>
      <c r="H1026" s="11" t="str">
        <f t="shared" ref="H1026:H1089" si="74">IF(B1026=B1025,"count","volume")</f>
        <v>count</v>
      </c>
      <c r="I1026" s="197"/>
      <c r="J1026" s="197"/>
      <c r="K1026" s="197"/>
      <c r="L1026" s="197"/>
      <c r="M1026" s="197"/>
      <c r="N1026" s="197"/>
      <c r="O1026" s="197"/>
      <c r="P1026" s="197"/>
      <c r="Q1026" s="197"/>
      <c r="R1026" s="197"/>
      <c r="S1026" s="197"/>
      <c r="T1026" s="197"/>
      <c r="U1026" s="197"/>
      <c r="V1026" s="197"/>
      <c r="W1026" s="197"/>
      <c r="X1026" s="197"/>
      <c r="Y1026" s="197"/>
      <c r="Z1026" s="197"/>
      <c r="AA1026" s="197"/>
      <c r="AB1026" s="197"/>
      <c r="AC1026" s="197"/>
      <c r="AD1026" s="197"/>
      <c r="AE1026" s="197"/>
      <c r="AF1026" s="197"/>
      <c r="AG1026" s="197"/>
      <c r="AH1026" s="197"/>
      <c r="AI1026" s="197"/>
      <c r="AJ1026" s="197"/>
      <c r="AK1026" s="197"/>
      <c r="AL1026" s="197"/>
    </row>
    <row r="1027" spans="1:38">
      <c r="A1027" s="11" t="str">
        <f t="shared" ref="A1027:A1090" si="75">B1027&amp;D1027</f>
        <v>15-302003832012</v>
      </c>
      <c r="B1027" t="s">
        <v>634</v>
      </c>
      <c r="C1027" t="s">
        <v>635</v>
      </c>
      <c r="D1027">
        <v>2012</v>
      </c>
      <c r="E1027" t="s">
        <v>69</v>
      </c>
      <c r="F1027">
        <v>889922.96</v>
      </c>
      <c r="G1027">
        <v>1644</v>
      </c>
      <c r="H1027" s="11" t="str">
        <f t="shared" si="74"/>
        <v>count</v>
      </c>
      <c r="I1027" s="197"/>
      <c r="J1027" s="197"/>
      <c r="K1027" s="197"/>
      <c r="L1027" s="197"/>
      <c r="M1027" s="197"/>
      <c r="N1027" s="197"/>
      <c r="O1027" s="197"/>
      <c r="P1027" s="197"/>
      <c r="Q1027" s="197"/>
      <c r="R1027" s="197"/>
      <c r="S1027" s="197"/>
      <c r="T1027" s="197"/>
      <c r="U1027" s="197"/>
      <c r="V1027" s="197"/>
      <c r="W1027" s="197"/>
      <c r="X1027" s="197"/>
      <c r="Y1027" s="197"/>
      <c r="Z1027" s="197"/>
      <c r="AA1027" s="197"/>
      <c r="AB1027" s="197"/>
      <c r="AC1027" s="197"/>
      <c r="AD1027" s="197"/>
      <c r="AE1027" s="197"/>
      <c r="AF1027" s="197"/>
      <c r="AG1027" s="197"/>
      <c r="AH1027" s="197"/>
      <c r="AI1027" s="197"/>
      <c r="AJ1027" s="197"/>
      <c r="AK1027" s="197"/>
      <c r="AL1027" s="197"/>
    </row>
    <row r="1028" spans="1:38">
      <c r="A1028" s="11" t="str">
        <f t="shared" si="75"/>
        <v>15-302003832011</v>
      </c>
      <c r="B1028" t="s">
        <v>634</v>
      </c>
      <c r="C1028" t="s">
        <v>635</v>
      </c>
      <c r="D1028">
        <v>2011</v>
      </c>
      <c r="E1028" t="s">
        <v>105</v>
      </c>
      <c r="F1028">
        <v>286484.31</v>
      </c>
      <c r="G1028">
        <v>417</v>
      </c>
      <c r="H1028" s="11" t="str">
        <f t="shared" si="74"/>
        <v>count</v>
      </c>
      <c r="I1028" s="197"/>
      <c r="J1028" s="197"/>
      <c r="K1028" s="197"/>
      <c r="L1028" s="197"/>
      <c r="M1028" s="197"/>
      <c r="N1028" s="197"/>
      <c r="O1028" s="197"/>
      <c r="P1028" s="197"/>
      <c r="Q1028" s="197"/>
      <c r="R1028" s="197"/>
      <c r="S1028" s="197"/>
      <c r="T1028" s="197"/>
      <c r="U1028" s="197"/>
      <c r="V1028" s="197"/>
      <c r="W1028" s="197"/>
      <c r="X1028" s="197"/>
      <c r="Y1028" s="197"/>
      <c r="Z1028" s="197"/>
      <c r="AA1028" s="197"/>
      <c r="AB1028" s="197"/>
      <c r="AC1028" s="197"/>
      <c r="AD1028" s="197"/>
      <c r="AE1028" s="197"/>
      <c r="AF1028" s="197"/>
      <c r="AG1028" s="197"/>
      <c r="AH1028" s="197"/>
      <c r="AI1028" s="197"/>
      <c r="AJ1028" s="197"/>
      <c r="AK1028" s="197"/>
      <c r="AL1028" s="197"/>
    </row>
    <row r="1029" spans="1:38">
      <c r="A1029" s="11" t="str">
        <f t="shared" si="75"/>
        <v>15-302003832011</v>
      </c>
      <c r="B1029" t="s">
        <v>634</v>
      </c>
      <c r="C1029" t="s">
        <v>635</v>
      </c>
      <c r="D1029">
        <v>2011</v>
      </c>
      <c r="E1029" t="s">
        <v>133</v>
      </c>
      <c r="F1029">
        <v>643454.56999999995</v>
      </c>
      <c r="G1029">
        <v>771</v>
      </c>
      <c r="H1029" s="11" t="str">
        <f t="shared" si="74"/>
        <v>count</v>
      </c>
      <c r="I1029" s="197"/>
      <c r="J1029" s="197"/>
      <c r="K1029" s="197"/>
      <c r="L1029" s="197"/>
      <c r="M1029" s="197"/>
      <c r="N1029" s="197"/>
      <c r="O1029" s="197"/>
      <c r="P1029" s="197"/>
      <c r="Q1029" s="197"/>
      <c r="R1029" s="197"/>
      <c r="S1029" s="197"/>
      <c r="T1029" s="197"/>
      <c r="U1029" s="197"/>
      <c r="V1029" s="197"/>
      <c r="W1029" s="197"/>
      <c r="X1029" s="197"/>
      <c r="Y1029" s="197"/>
      <c r="Z1029" s="197"/>
      <c r="AA1029" s="197"/>
      <c r="AB1029" s="197"/>
      <c r="AC1029" s="197"/>
      <c r="AD1029" s="197"/>
      <c r="AE1029" s="197"/>
      <c r="AF1029" s="197"/>
      <c r="AG1029" s="197"/>
      <c r="AH1029" s="197"/>
      <c r="AI1029" s="197"/>
      <c r="AJ1029" s="197"/>
      <c r="AK1029" s="197"/>
      <c r="AL1029" s="197"/>
    </row>
    <row r="1030" spans="1:38">
      <c r="A1030" s="11" t="str">
        <f t="shared" si="75"/>
        <v>15-302003832013</v>
      </c>
      <c r="B1030" t="s">
        <v>634</v>
      </c>
      <c r="C1030" t="s">
        <v>635</v>
      </c>
      <c r="D1030">
        <v>2013</v>
      </c>
      <c r="E1030" t="s">
        <v>104</v>
      </c>
      <c r="F1030">
        <v>322745.88</v>
      </c>
      <c r="G1030">
        <v>437</v>
      </c>
      <c r="H1030" s="11" t="str">
        <f t="shared" si="74"/>
        <v>count</v>
      </c>
      <c r="I1030" s="197"/>
      <c r="J1030" s="197"/>
      <c r="K1030" s="197"/>
      <c r="L1030" s="197"/>
      <c r="M1030" s="197"/>
      <c r="N1030" s="197"/>
      <c r="O1030" s="197"/>
      <c r="P1030" s="197"/>
      <c r="Q1030" s="197"/>
      <c r="R1030" s="197"/>
      <c r="S1030" s="197"/>
      <c r="T1030" s="197"/>
      <c r="U1030" s="197"/>
      <c r="V1030" s="197"/>
      <c r="W1030" s="197"/>
      <c r="X1030" s="197"/>
      <c r="Y1030" s="197"/>
      <c r="Z1030" s="197"/>
      <c r="AA1030" s="197"/>
      <c r="AB1030" s="197"/>
      <c r="AC1030" s="197"/>
      <c r="AD1030" s="197"/>
      <c r="AE1030" s="197"/>
      <c r="AF1030" s="197"/>
      <c r="AG1030" s="197"/>
      <c r="AH1030" s="197"/>
      <c r="AI1030" s="197"/>
      <c r="AJ1030" s="197"/>
      <c r="AK1030" s="197"/>
      <c r="AL1030" s="197"/>
    </row>
    <row r="1031" spans="1:38">
      <c r="A1031" s="11" t="str">
        <f t="shared" si="75"/>
        <v>15-302003832013</v>
      </c>
      <c r="B1031" t="s">
        <v>634</v>
      </c>
      <c r="C1031" t="s">
        <v>635</v>
      </c>
      <c r="D1031">
        <v>2013</v>
      </c>
      <c r="E1031" t="s">
        <v>63</v>
      </c>
      <c r="F1031">
        <v>1081819.07</v>
      </c>
      <c r="G1031">
        <v>1026</v>
      </c>
      <c r="H1031" s="11" t="str">
        <f t="shared" si="74"/>
        <v>count</v>
      </c>
      <c r="I1031" s="197"/>
      <c r="J1031" s="197"/>
      <c r="K1031" s="197"/>
      <c r="L1031" s="197"/>
      <c r="M1031" s="197"/>
      <c r="N1031" s="197"/>
      <c r="O1031" s="197"/>
      <c r="P1031" s="197"/>
      <c r="Q1031" s="197"/>
      <c r="R1031" s="197"/>
      <c r="S1031" s="197"/>
      <c r="T1031" s="197"/>
      <c r="U1031" s="197"/>
      <c r="V1031" s="197"/>
      <c r="W1031" s="197"/>
      <c r="X1031" s="197"/>
      <c r="Y1031" s="197"/>
      <c r="Z1031" s="197"/>
      <c r="AA1031" s="197"/>
      <c r="AB1031" s="197"/>
      <c r="AC1031" s="197"/>
      <c r="AD1031" s="197"/>
      <c r="AE1031" s="197"/>
      <c r="AF1031" s="197"/>
      <c r="AG1031" s="197"/>
      <c r="AH1031" s="197"/>
      <c r="AI1031" s="197"/>
      <c r="AJ1031" s="197"/>
      <c r="AK1031" s="197"/>
      <c r="AL1031" s="197"/>
    </row>
    <row r="1032" spans="1:38">
      <c r="A1032" s="11" t="str">
        <f t="shared" si="75"/>
        <v>15-302003832011</v>
      </c>
      <c r="B1032" t="s">
        <v>634</v>
      </c>
      <c r="C1032" t="s">
        <v>635</v>
      </c>
      <c r="D1032">
        <v>2011</v>
      </c>
      <c r="E1032" t="s">
        <v>69</v>
      </c>
      <c r="F1032">
        <v>5775.91</v>
      </c>
      <c r="G1032">
        <v>7</v>
      </c>
      <c r="H1032" s="11" t="str">
        <f t="shared" si="74"/>
        <v>count</v>
      </c>
      <c r="I1032" s="197"/>
      <c r="J1032" s="197"/>
      <c r="K1032" s="197"/>
      <c r="L1032" s="197"/>
      <c r="M1032" s="197"/>
      <c r="N1032" s="197"/>
      <c r="O1032" s="197"/>
      <c r="P1032" s="197"/>
      <c r="Q1032" s="197"/>
      <c r="R1032" s="197"/>
      <c r="S1032" s="197"/>
      <c r="T1032" s="197"/>
      <c r="U1032" s="197"/>
      <c r="V1032" s="197"/>
      <c r="W1032" s="197"/>
      <c r="X1032" s="197"/>
      <c r="Y1032" s="197"/>
      <c r="Z1032" s="197"/>
      <c r="AA1032" s="197"/>
      <c r="AB1032" s="197"/>
      <c r="AC1032" s="197"/>
      <c r="AD1032" s="197"/>
      <c r="AE1032" s="197"/>
      <c r="AF1032" s="197"/>
      <c r="AG1032" s="197"/>
      <c r="AH1032" s="197"/>
      <c r="AI1032" s="197"/>
      <c r="AJ1032" s="197"/>
      <c r="AK1032" s="197"/>
      <c r="AL1032" s="197"/>
    </row>
    <row r="1033" spans="1:38">
      <c r="A1033" s="11" t="str">
        <f t="shared" si="75"/>
        <v>15-302154312011</v>
      </c>
      <c r="B1033" t="s">
        <v>636</v>
      </c>
      <c r="C1033" t="s">
        <v>637</v>
      </c>
      <c r="D1033">
        <v>2011</v>
      </c>
      <c r="E1033" t="s">
        <v>63</v>
      </c>
      <c r="F1033">
        <v>496708.96</v>
      </c>
      <c r="G1033">
        <v>779</v>
      </c>
      <c r="H1033" s="11" t="str">
        <f t="shared" si="74"/>
        <v>volume</v>
      </c>
      <c r="I1033" s="197"/>
      <c r="J1033" s="197"/>
      <c r="K1033" s="197"/>
      <c r="L1033" s="197"/>
      <c r="M1033" s="197"/>
      <c r="N1033" s="197"/>
      <c r="O1033" s="197"/>
      <c r="P1033" s="197"/>
      <c r="Q1033" s="197"/>
      <c r="R1033" s="197"/>
      <c r="S1033" s="197"/>
      <c r="T1033" s="197"/>
      <c r="U1033" s="197"/>
      <c r="V1033" s="197"/>
      <c r="W1033" s="197"/>
      <c r="X1033" s="197"/>
      <c r="Y1033" s="197"/>
      <c r="Z1033" s="197"/>
      <c r="AA1033" s="197"/>
      <c r="AB1033" s="197"/>
      <c r="AC1033" s="197"/>
      <c r="AD1033" s="197"/>
      <c r="AE1033" s="197"/>
      <c r="AF1033" s="197"/>
      <c r="AG1033" s="197"/>
      <c r="AH1033" s="197"/>
      <c r="AI1033" s="197"/>
      <c r="AJ1033" s="197"/>
      <c r="AK1033" s="197"/>
      <c r="AL1033" s="197"/>
    </row>
    <row r="1034" spans="1:38">
      <c r="A1034" s="11" t="str">
        <f t="shared" si="75"/>
        <v>15-302154312012</v>
      </c>
      <c r="B1034" t="s">
        <v>636</v>
      </c>
      <c r="C1034" t="s">
        <v>637</v>
      </c>
      <c r="D1034">
        <v>2012</v>
      </c>
      <c r="E1034" t="s">
        <v>133</v>
      </c>
      <c r="F1034">
        <v>117781.49</v>
      </c>
      <c r="G1034">
        <v>162</v>
      </c>
      <c r="H1034" s="11" t="str">
        <f t="shared" si="74"/>
        <v>count</v>
      </c>
      <c r="I1034" s="197"/>
      <c r="J1034" s="197"/>
      <c r="K1034" s="197"/>
      <c r="L1034" s="197"/>
      <c r="M1034" s="197"/>
      <c r="N1034" s="197"/>
      <c r="O1034" s="197"/>
      <c r="P1034" s="197"/>
      <c r="Q1034" s="197"/>
      <c r="R1034" s="197"/>
      <c r="S1034" s="197"/>
      <c r="T1034" s="197"/>
      <c r="U1034" s="197"/>
      <c r="V1034" s="197"/>
      <c r="W1034" s="197"/>
      <c r="X1034" s="197"/>
      <c r="Y1034" s="197"/>
      <c r="Z1034" s="197"/>
      <c r="AA1034" s="197"/>
      <c r="AB1034" s="197"/>
      <c r="AC1034" s="197"/>
      <c r="AD1034" s="197"/>
      <c r="AE1034" s="197"/>
      <c r="AF1034" s="197"/>
      <c r="AG1034" s="197"/>
      <c r="AH1034" s="197"/>
      <c r="AI1034" s="197"/>
      <c r="AJ1034" s="197"/>
      <c r="AK1034" s="197"/>
      <c r="AL1034" s="197"/>
    </row>
    <row r="1035" spans="1:38">
      <c r="A1035" s="11" t="str">
        <f t="shared" si="75"/>
        <v>15-302154312011</v>
      </c>
      <c r="B1035" t="s">
        <v>636</v>
      </c>
      <c r="C1035" t="s">
        <v>637</v>
      </c>
      <c r="D1035">
        <v>2011</v>
      </c>
      <c r="E1035" t="s">
        <v>104</v>
      </c>
      <c r="F1035">
        <v>242064.44</v>
      </c>
      <c r="G1035">
        <v>331</v>
      </c>
      <c r="H1035" s="11" t="str">
        <f t="shared" si="74"/>
        <v>count</v>
      </c>
      <c r="I1035" s="197"/>
      <c r="J1035" s="197"/>
      <c r="K1035" s="197"/>
      <c r="L1035" s="197"/>
      <c r="M1035" s="197"/>
      <c r="N1035" s="197"/>
      <c r="O1035" s="197"/>
      <c r="P1035" s="197"/>
      <c r="Q1035" s="197"/>
      <c r="R1035" s="197"/>
      <c r="S1035" s="197"/>
      <c r="T1035" s="197"/>
      <c r="U1035" s="197"/>
      <c r="V1035" s="197"/>
      <c r="W1035" s="197"/>
      <c r="X1035" s="197"/>
      <c r="Y1035" s="197"/>
      <c r="Z1035" s="197"/>
      <c r="AA1035" s="197"/>
      <c r="AB1035" s="197"/>
      <c r="AC1035" s="197"/>
      <c r="AD1035" s="197"/>
      <c r="AE1035" s="197"/>
      <c r="AF1035" s="197"/>
      <c r="AG1035" s="197"/>
      <c r="AH1035" s="197"/>
      <c r="AI1035" s="197"/>
      <c r="AJ1035" s="197"/>
      <c r="AK1035" s="197"/>
      <c r="AL1035" s="197"/>
    </row>
    <row r="1036" spans="1:38">
      <c r="A1036" s="11" t="str">
        <f t="shared" si="75"/>
        <v>15-302154312012</v>
      </c>
      <c r="B1036" t="s">
        <v>636</v>
      </c>
      <c r="C1036" t="s">
        <v>637</v>
      </c>
      <c r="D1036">
        <v>2012</v>
      </c>
      <c r="E1036" t="s">
        <v>69</v>
      </c>
      <c r="F1036">
        <v>76038.19</v>
      </c>
      <c r="G1036">
        <v>173</v>
      </c>
      <c r="H1036" s="11" t="str">
        <f t="shared" si="74"/>
        <v>count</v>
      </c>
      <c r="I1036" s="197"/>
      <c r="J1036" s="197"/>
      <c r="K1036" s="197"/>
      <c r="L1036" s="197"/>
      <c r="M1036" s="197"/>
      <c r="N1036" s="197"/>
      <c r="O1036" s="197"/>
      <c r="P1036" s="197"/>
      <c r="Q1036" s="197"/>
      <c r="R1036" s="197"/>
      <c r="S1036" s="197"/>
      <c r="T1036" s="197"/>
      <c r="U1036" s="197"/>
      <c r="V1036" s="197"/>
      <c r="W1036" s="197"/>
      <c r="X1036" s="197"/>
      <c r="Y1036" s="197"/>
      <c r="Z1036" s="197"/>
      <c r="AA1036" s="197"/>
      <c r="AB1036" s="197"/>
      <c r="AC1036" s="197"/>
      <c r="AD1036" s="197"/>
      <c r="AE1036" s="197"/>
      <c r="AF1036" s="197"/>
      <c r="AG1036" s="197"/>
      <c r="AH1036" s="197"/>
      <c r="AI1036" s="197"/>
      <c r="AJ1036" s="197"/>
      <c r="AK1036" s="197"/>
      <c r="AL1036" s="197"/>
    </row>
    <row r="1037" spans="1:38">
      <c r="A1037" s="11" t="str">
        <f t="shared" si="75"/>
        <v>15-302154312012</v>
      </c>
      <c r="B1037" t="s">
        <v>636</v>
      </c>
      <c r="C1037" t="s">
        <v>637</v>
      </c>
      <c r="D1037">
        <v>2012</v>
      </c>
      <c r="E1037" t="s">
        <v>105</v>
      </c>
      <c r="F1037">
        <v>31614.61</v>
      </c>
      <c r="G1037">
        <v>53</v>
      </c>
      <c r="H1037" s="11" t="str">
        <f t="shared" si="74"/>
        <v>count</v>
      </c>
      <c r="I1037" s="197"/>
      <c r="J1037" s="197"/>
      <c r="K1037" s="197"/>
      <c r="L1037" s="197"/>
      <c r="M1037" s="197"/>
      <c r="N1037" s="197"/>
      <c r="O1037" s="197"/>
      <c r="P1037" s="197"/>
      <c r="Q1037" s="197"/>
      <c r="R1037" s="197"/>
      <c r="S1037" s="197"/>
      <c r="T1037" s="197"/>
      <c r="U1037" s="197"/>
      <c r="V1037" s="197"/>
      <c r="W1037" s="197"/>
      <c r="X1037" s="197"/>
      <c r="Y1037" s="197"/>
      <c r="Z1037" s="197"/>
      <c r="AA1037" s="197"/>
      <c r="AB1037" s="197"/>
      <c r="AC1037" s="197"/>
      <c r="AD1037" s="197"/>
      <c r="AE1037" s="197"/>
      <c r="AF1037" s="197"/>
      <c r="AG1037" s="197"/>
      <c r="AH1037" s="197"/>
      <c r="AI1037" s="197"/>
      <c r="AJ1037" s="197"/>
      <c r="AK1037" s="197"/>
      <c r="AL1037" s="197"/>
    </row>
    <row r="1038" spans="1:38">
      <c r="A1038" s="11" t="str">
        <f t="shared" si="75"/>
        <v>15-302154312011</v>
      </c>
      <c r="B1038" t="s">
        <v>636</v>
      </c>
      <c r="C1038" t="s">
        <v>637</v>
      </c>
      <c r="D1038">
        <v>2011</v>
      </c>
      <c r="E1038" t="s">
        <v>133</v>
      </c>
      <c r="F1038">
        <v>115743.16</v>
      </c>
      <c r="G1038">
        <v>151</v>
      </c>
      <c r="H1038" s="11" t="str">
        <f t="shared" si="74"/>
        <v>count</v>
      </c>
      <c r="I1038" s="197"/>
      <c r="J1038" s="197"/>
      <c r="K1038" s="197"/>
      <c r="L1038" s="197"/>
      <c r="M1038" s="197"/>
      <c r="N1038" s="197"/>
      <c r="O1038" s="197"/>
      <c r="P1038" s="197"/>
      <c r="Q1038" s="197"/>
      <c r="R1038" s="197"/>
      <c r="S1038" s="197"/>
      <c r="T1038" s="197"/>
      <c r="U1038" s="197"/>
      <c r="V1038" s="197"/>
      <c r="W1038" s="197"/>
      <c r="X1038" s="197"/>
      <c r="Y1038" s="197"/>
      <c r="Z1038" s="197"/>
      <c r="AA1038" s="197"/>
      <c r="AB1038" s="197"/>
      <c r="AC1038" s="197"/>
      <c r="AD1038" s="197"/>
      <c r="AE1038" s="197"/>
      <c r="AF1038" s="197"/>
      <c r="AG1038" s="197"/>
      <c r="AH1038" s="197"/>
      <c r="AI1038" s="197"/>
      <c r="AJ1038" s="197"/>
      <c r="AK1038" s="197"/>
      <c r="AL1038" s="197"/>
    </row>
    <row r="1039" spans="1:38">
      <c r="A1039" s="11" t="str">
        <f t="shared" si="75"/>
        <v>15-302154312013</v>
      </c>
      <c r="B1039" t="s">
        <v>636</v>
      </c>
      <c r="C1039" t="s">
        <v>637</v>
      </c>
      <c r="D1039">
        <v>2013</v>
      </c>
      <c r="E1039" t="s">
        <v>105</v>
      </c>
      <c r="F1039">
        <v>25114.959999999999</v>
      </c>
      <c r="G1039">
        <v>42</v>
      </c>
      <c r="H1039" s="11" t="str">
        <f t="shared" si="74"/>
        <v>count</v>
      </c>
      <c r="I1039" s="197"/>
      <c r="J1039" s="197"/>
      <c r="K1039" s="197"/>
      <c r="L1039" s="197"/>
      <c r="M1039" s="197"/>
      <c r="N1039" s="197"/>
      <c r="O1039" s="197"/>
      <c r="P1039" s="197"/>
      <c r="Q1039" s="197"/>
      <c r="R1039" s="197"/>
      <c r="S1039" s="197"/>
      <c r="T1039" s="197"/>
      <c r="U1039" s="197"/>
      <c r="V1039" s="197"/>
      <c r="W1039" s="197"/>
      <c r="X1039" s="197"/>
      <c r="Y1039" s="197"/>
      <c r="Z1039" s="197"/>
      <c r="AA1039" s="197"/>
      <c r="AB1039" s="197"/>
      <c r="AC1039" s="197"/>
      <c r="AD1039" s="197"/>
      <c r="AE1039" s="197"/>
      <c r="AF1039" s="197"/>
      <c r="AG1039" s="197"/>
      <c r="AH1039" s="197"/>
      <c r="AI1039" s="197"/>
      <c r="AJ1039" s="197"/>
      <c r="AK1039" s="197"/>
      <c r="AL1039" s="197"/>
    </row>
    <row r="1040" spans="1:38">
      <c r="A1040" s="11" t="str">
        <f t="shared" si="75"/>
        <v>15-302154312011</v>
      </c>
      <c r="B1040" t="s">
        <v>636</v>
      </c>
      <c r="C1040" t="s">
        <v>637</v>
      </c>
      <c r="D1040">
        <v>2011</v>
      </c>
      <c r="E1040" t="s">
        <v>69</v>
      </c>
      <c r="F1040">
        <v>3650</v>
      </c>
      <c r="G1040">
        <v>2</v>
      </c>
      <c r="H1040" s="11" t="str">
        <f t="shared" si="74"/>
        <v>count</v>
      </c>
      <c r="I1040" s="197"/>
      <c r="J1040" s="197"/>
      <c r="K1040" s="197"/>
      <c r="L1040" s="197"/>
      <c r="M1040" s="197"/>
      <c r="N1040" s="197"/>
      <c r="O1040" s="197"/>
      <c r="P1040" s="197"/>
      <c r="Q1040" s="197"/>
      <c r="R1040" s="197"/>
      <c r="S1040" s="197"/>
      <c r="T1040" s="197"/>
      <c r="U1040" s="197"/>
      <c r="V1040" s="197"/>
      <c r="W1040" s="197"/>
      <c r="X1040" s="197"/>
      <c r="Y1040" s="197"/>
      <c r="Z1040" s="197"/>
      <c r="AA1040" s="197"/>
      <c r="AB1040" s="197"/>
      <c r="AC1040" s="197"/>
      <c r="AD1040" s="197"/>
      <c r="AE1040" s="197"/>
      <c r="AF1040" s="197"/>
      <c r="AG1040" s="197"/>
      <c r="AH1040" s="197"/>
      <c r="AI1040" s="197"/>
      <c r="AJ1040" s="197"/>
      <c r="AK1040" s="197"/>
      <c r="AL1040" s="197"/>
    </row>
    <row r="1041" spans="1:38">
      <c r="A1041" s="11" t="str">
        <f t="shared" si="75"/>
        <v>15-302154312013</v>
      </c>
      <c r="B1041" t="s">
        <v>636</v>
      </c>
      <c r="C1041" t="s">
        <v>637</v>
      </c>
      <c r="D1041">
        <v>2013</v>
      </c>
      <c r="E1041" t="s">
        <v>133</v>
      </c>
      <c r="F1041">
        <v>84147.93</v>
      </c>
      <c r="G1041">
        <v>115</v>
      </c>
      <c r="H1041" s="11" t="str">
        <f t="shared" si="74"/>
        <v>count</v>
      </c>
      <c r="I1041" s="197"/>
      <c r="J1041" s="197"/>
      <c r="K1041" s="197"/>
      <c r="L1041" s="197"/>
      <c r="M1041" s="197"/>
      <c r="N1041" s="197"/>
      <c r="O1041" s="197"/>
      <c r="P1041" s="197"/>
      <c r="Q1041" s="197"/>
      <c r="R1041" s="197"/>
      <c r="S1041" s="197"/>
      <c r="T1041" s="197"/>
      <c r="U1041" s="197"/>
      <c r="V1041" s="197"/>
      <c r="W1041" s="197"/>
      <c r="X1041" s="197"/>
      <c r="Y1041" s="197"/>
      <c r="Z1041" s="197"/>
      <c r="AA1041" s="197"/>
      <c r="AB1041" s="197"/>
      <c r="AC1041" s="197"/>
      <c r="AD1041" s="197"/>
      <c r="AE1041" s="197"/>
      <c r="AF1041" s="197"/>
      <c r="AG1041" s="197"/>
      <c r="AH1041" s="197"/>
      <c r="AI1041" s="197"/>
      <c r="AJ1041" s="197"/>
      <c r="AK1041" s="197"/>
      <c r="AL1041" s="197"/>
    </row>
    <row r="1042" spans="1:38">
      <c r="A1042" s="11" t="str">
        <f t="shared" si="75"/>
        <v>15-302154312013</v>
      </c>
      <c r="B1042" t="s">
        <v>636</v>
      </c>
      <c r="C1042" t="s">
        <v>637</v>
      </c>
      <c r="D1042">
        <v>2013</v>
      </c>
      <c r="E1042" t="s">
        <v>104</v>
      </c>
      <c r="F1042">
        <v>100416.9</v>
      </c>
      <c r="G1042">
        <v>183</v>
      </c>
      <c r="H1042" s="11" t="str">
        <f t="shared" si="74"/>
        <v>count</v>
      </c>
      <c r="I1042" s="197"/>
      <c r="J1042" s="197"/>
      <c r="K1042" s="197"/>
      <c r="L1042" s="197"/>
      <c r="M1042" s="197"/>
      <c r="N1042" s="197"/>
      <c r="O1042" s="197"/>
      <c r="P1042" s="197"/>
      <c r="Q1042" s="197"/>
      <c r="R1042" s="197"/>
      <c r="S1042" s="197"/>
      <c r="T1042" s="197"/>
      <c r="U1042" s="197"/>
      <c r="V1042" s="197"/>
      <c r="W1042" s="197"/>
      <c r="X1042" s="197"/>
      <c r="Y1042" s="197"/>
      <c r="Z1042" s="197"/>
      <c r="AA1042" s="197"/>
      <c r="AB1042" s="197"/>
      <c r="AC1042" s="197"/>
      <c r="AD1042" s="197"/>
      <c r="AE1042" s="197"/>
      <c r="AF1042" s="197"/>
      <c r="AG1042" s="197"/>
      <c r="AH1042" s="197"/>
      <c r="AI1042" s="197"/>
      <c r="AJ1042" s="197"/>
      <c r="AK1042" s="197"/>
      <c r="AL1042" s="197"/>
    </row>
    <row r="1043" spans="1:38">
      <c r="A1043" s="11" t="str">
        <f t="shared" si="75"/>
        <v>15-302154312013</v>
      </c>
      <c r="B1043" t="s">
        <v>636</v>
      </c>
      <c r="C1043" t="s">
        <v>637</v>
      </c>
      <c r="D1043">
        <v>2013</v>
      </c>
      <c r="E1043" t="s">
        <v>63</v>
      </c>
      <c r="F1043">
        <v>242168.04</v>
      </c>
      <c r="G1043">
        <v>418</v>
      </c>
      <c r="H1043" s="11" t="str">
        <f t="shared" si="74"/>
        <v>count</v>
      </c>
      <c r="I1043" s="197"/>
      <c r="J1043" s="197"/>
      <c r="K1043" s="197"/>
      <c r="L1043" s="197"/>
      <c r="M1043" s="197"/>
      <c r="N1043" s="197"/>
      <c r="O1043" s="197"/>
      <c r="P1043" s="197"/>
      <c r="Q1043" s="197"/>
      <c r="R1043" s="197"/>
      <c r="S1043" s="197"/>
      <c r="T1043" s="197"/>
      <c r="U1043" s="197"/>
      <c r="V1043" s="197"/>
      <c r="W1043" s="197"/>
      <c r="X1043" s="197"/>
      <c r="Y1043" s="197"/>
      <c r="Z1043" s="197"/>
      <c r="AA1043" s="197"/>
      <c r="AB1043" s="197"/>
      <c r="AC1043" s="197"/>
      <c r="AD1043" s="197"/>
      <c r="AE1043" s="197"/>
      <c r="AF1043" s="197"/>
      <c r="AG1043" s="197"/>
      <c r="AH1043" s="197"/>
      <c r="AI1043" s="197"/>
      <c r="AJ1043" s="197"/>
      <c r="AK1043" s="197"/>
      <c r="AL1043" s="197"/>
    </row>
    <row r="1044" spans="1:38">
      <c r="A1044" s="11" t="str">
        <f t="shared" si="75"/>
        <v>15-302154312013</v>
      </c>
      <c r="B1044" t="s">
        <v>636</v>
      </c>
      <c r="C1044" t="s">
        <v>637</v>
      </c>
      <c r="D1044">
        <v>2013</v>
      </c>
      <c r="E1044" t="s">
        <v>69</v>
      </c>
      <c r="F1044">
        <v>92369.66</v>
      </c>
      <c r="G1044">
        <v>198</v>
      </c>
      <c r="H1044" s="11" t="str">
        <f t="shared" si="74"/>
        <v>count</v>
      </c>
      <c r="I1044" s="197"/>
      <c r="J1044" s="197"/>
      <c r="K1044" s="197"/>
      <c r="L1044" s="197"/>
      <c r="M1044" s="197"/>
      <c r="N1044" s="197"/>
      <c r="O1044" s="197"/>
      <c r="P1044" s="197"/>
      <c r="Q1044" s="197"/>
      <c r="R1044" s="197"/>
      <c r="S1044" s="197"/>
      <c r="T1044" s="197"/>
      <c r="U1044" s="197"/>
      <c r="V1044" s="197"/>
      <c r="W1044" s="197"/>
      <c r="X1044" s="197"/>
      <c r="Y1044" s="197"/>
      <c r="Z1044" s="197"/>
      <c r="AA1044" s="197"/>
      <c r="AB1044" s="197"/>
      <c r="AC1044" s="197"/>
      <c r="AD1044" s="197"/>
      <c r="AE1044" s="197"/>
      <c r="AF1044" s="197"/>
      <c r="AG1044" s="197"/>
      <c r="AH1044" s="197"/>
      <c r="AI1044" s="197"/>
      <c r="AJ1044" s="197"/>
      <c r="AK1044" s="197"/>
      <c r="AL1044" s="197"/>
    </row>
    <row r="1045" spans="1:38">
      <c r="A1045" s="11" t="str">
        <f t="shared" si="75"/>
        <v>15-302154312011</v>
      </c>
      <c r="B1045" t="s">
        <v>636</v>
      </c>
      <c r="C1045" t="s">
        <v>637</v>
      </c>
      <c r="D1045">
        <v>2011</v>
      </c>
      <c r="E1045" t="s">
        <v>105</v>
      </c>
      <c r="F1045">
        <v>22231.13</v>
      </c>
      <c r="G1045">
        <v>45</v>
      </c>
      <c r="H1045" s="11" t="str">
        <f t="shared" si="74"/>
        <v>count</v>
      </c>
      <c r="I1045" s="197"/>
      <c r="J1045" s="197"/>
      <c r="K1045" s="197"/>
      <c r="L1045" s="197"/>
      <c r="M1045" s="197"/>
      <c r="N1045" s="197"/>
      <c r="O1045" s="197"/>
      <c r="P1045" s="197"/>
      <c r="Q1045" s="197"/>
      <c r="R1045" s="197"/>
      <c r="S1045" s="197"/>
      <c r="T1045" s="197"/>
      <c r="U1045" s="197"/>
      <c r="V1045" s="197"/>
      <c r="W1045" s="197"/>
      <c r="X1045" s="197"/>
      <c r="Y1045" s="197"/>
      <c r="Z1045" s="197"/>
      <c r="AA1045" s="197"/>
      <c r="AB1045" s="197"/>
      <c r="AC1045" s="197"/>
      <c r="AD1045" s="197"/>
      <c r="AE1045" s="197"/>
      <c r="AF1045" s="197"/>
      <c r="AG1045" s="197"/>
      <c r="AH1045" s="197"/>
      <c r="AI1045" s="197"/>
      <c r="AJ1045" s="197"/>
      <c r="AK1045" s="197"/>
      <c r="AL1045" s="197"/>
    </row>
    <row r="1046" spans="1:38">
      <c r="A1046" s="11" t="str">
        <f t="shared" si="75"/>
        <v>15-302154312012</v>
      </c>
      <c r="B1046" t="s">
        <v>636</v>
      </c>
      <c r="C1046" t="s">
        <v>637</v>
      </c>
      <c r="D1046">
        <v>2012</v>
      </c>
      <c r="E1046" t="s">
        <v>104</v>
      </c>
      <c r="F1046">
        <v>161958.6</v>
      </c>
      <c r="G1046">
        <v>286</v>
      </c>
      <c r="H1046" s="11" t="str">
        <f t="shared" si="74"/>
        <v>count</v>
      </c>
      <c r="I1046" s="197"/>
      <c r="J1046" s="197"/>
      <c r="K1046" s="197"/>
      <c r="L1046" s="197"/>
      <c r="M1046" s="197"/>
      <c r="N1046" s="197"/>
      <c r="O1046" s="197"/>
      <c r="P1046" s="197"/>
      <c r="Q1046" s="197"/>
      <c r="R1046" s="197"/>
      <c r="S1046" s="197"/>
      <c r="T1046" s="197"/>
      <c r="U1046" s="197"/>
      <c r="V1046" s="197"/>
      <c r="W1046" s="197"/>
      <c r="X1046" s="197"/>
      <c r="Y1046" s="197"/>
      <c r="Z1046" s="197"/>
      <c r="AA1046" s="197"/>
      <c r="AB1046" s="197"/>
      <c r="AC1046" s="197"/>
      <c r="AD1046" s="197"/>
      <c r="AE1046" s="197"/>
      <c r="AF1046" s="197"/>
      <c r="AG1046" s="197"/>
      <c r="AH1046" s="197"/>
      <c r="AI1046" s="197"/>
      <c r="AJ1046" s="197"/>
      <c r="AK1046" s="197"/>
      <c r="AL1046" s="197"/>
    </row>
    <row r="1047" spans="1:38">
      <c r="A1047" s="11" t="str">
        <f t="shared" si="75"/>
        <v>15-302154312012</v>
      </c>
      <c r="B1047" t="s">
        <v>636</v>
      </c>
      <c r="C1047" t="s">
        <v>637</v>
      </c>
      <c r="D1047">
        <v>2012</v>
      </c>
      <c r="E1047" t="s">
        <v>63</v>
      </c>
      <c r="F1047">
        <v>326664.55</v>
      </c>
      <c r="G1047">
        <v>523</v>
      </c>
      <c r="H1047" s="11" t="str">
        <f t="shared" si="74"/>
        <v>count</v>
      </c>
      <c r="I1047" s="197"/>
      <c r="J1047" s="197"/>
      <c r="K1047" s="197"/>
      <c r="L1047" s="197"/>
      <c r="M1047" s="197"/>
      <c r="N1047" s="197"/>
      <c r="O1047" s="197"/>
      <c r="P1047" s="197"/>
      <c r="Q1047" s="197"/>
      <c r="R1047" s="197"/>
      <c r="S1047" s="197"/>
      <c r="T1047" s="197"/>
      <c r="U1047" s="197"/>
      <c r="V1047" s="197"/>
      <c r="W1047" s="197"/>
      <c r="X1047" s="197"/>
      <c r="Y1047" s="197"/>
      <c r="Z1047" s="197"/>
      <c r="AA1047" s="197"/>
      <c r="AB1047" s="197"/>
      <c r="AC1047" s="197"/>
      <c r="AD1047" s="197"/>
      <c r="AE1047" s="197"/>
      <c r="AF1047" s="197"/>
      <c r="AG1047" s="197"/>
      <c r="AH1047" s="197"/>
      <c r="AI1047" s="197"/>
      <c r="AJ1047" s="197"/>
      <c r="AK1047" s="197"/>
      <c r="AL1047" s="197"/>
    </row>
    <row r="1048" spans="1:38">
      <c r="A1048" s="11" t="str">
        <f t="shared" si="75"/>
        <v>15-302164182011</v>
      </c>
      <c r="B1048" t="s">
        <v>638</v>
      </c>
      <c r="C1048" t="s">
        <v>639</v>
      </c>
      <c r="D1048">
        <v>2011</v>
      </c>
      <c r="E1048" t="s">
        <v>104</v>
      </c>
      <c r="F1048">
        <v>403901.55</v>
      </c>
      <c r="G1048">
        <v>1138</v>
      </c>
      <c r="H1048" s="11" t="str">
        <f t="shared" si="74"/>
        <v>volume</v>
      </c>
      <c r="I1048" s="197"/>
      <c r="J1048" s="197"/>
      <c r="K1048" s="197"/>
      <c r="L1048" s="197"/>
      <c r="M1048" s="197"/>
      <c r="N1048" s="197"/>
      <c r="O1048" s="197"/>
      <c r="P1048" s="197"/>
      <c r="Q1048" s="197"/>
      <c r="R1048" s="197"/>
      <c r="S1048" s="197"/>
      <c r="T1048" s="197"/>
      <c r="U1048" s="197"/>
      <c r="V1048" s="197"/>
      <c r="W1048" s="197"/>
      <c r="X1048" s="197"/>
      <c r="Y1048" s="197"/>
      <c r="Z1048" s="197"/>
      <c r="AA1048" s="197"/>
      <c r="AB1048" s="197"/>
      <c r="AC1048" s="197"/>
      <c r="AD1048" s="197"/>
      <c r="AE1048" s="197"/>
      <c r="AF1048" s="197"/>
      <c r="AG1048" s="197"/>
      <c r="AH1048" s="197"/>
      <c r="AI1048" s="197"/>
      <c r="AJ1048" s="197"/>
      <c r="AK1048" s="197"/>
      <c r="AL1048" s="197"/>
    </row>
    <row r="1049" spans="1:38">
      <c r="A1049" s="11" t="str">
        <f t="shared" si="75"/>
        <v>15-302164182012</v>
      </c>
      <c r="B1049" t="s">
        <v>638</v>
      </c>
      <c r="C1049" t="s">
        <v>639</v>
      </c>
      <c r="D1049">
        <v>2012</v>
      </c>
      <c r="E1049" t="s">
        <v>69</v>
      </c>
      <c r="F1049">
        <v>103400.66</v>
      </c>
      <c r="G1049">
        <v>319</v>
      </c>
      <c r="H1049" s="11" t="str">
        <f t="shared" si="74"/>
        <v>count</v>
      </c>
      <c r="I1049" s="197"/>
      <c r="J1049" s="197"/>
      <c r="K1049" s="197"/>
      <c r="L1049" s="197"/>
      <c r="M1049" s="197"/>
      <c r="N1049" s="197"/>
      <c r="O1049" s="197"/>
      <c r="P1049" s="197"/>
      <c r="Q1049" s="197"/>
      <c r="R1049" s="197"/>
      <c r="S1049" s="197"/>
      <c r="T1049" s="197"/>
      <c r="U1049" s="197"/>
      <c r="V1049" s="197"/>
      <c r="W1049" s="197"/>
      <c r="X1049" s="197"/>
      <c r="Y1049" s="197"/>
      <c r="Z1049" s="197"/>
      <c r="AA1049" s="197"/>
      <c r="AB1049" s="197"/>
      <c r="AC1049" s="197"/>
      <c r="AD1049" s="197"/>
      <c r="AE1049" s="197"/>
      <c r="AF1049" s="197"/>
      <c r="AG1049" s="197"/>
      <c r="AH1049" s="197"/>
      <c r="AI1049" s="197"/>
      <c r="AJ1049" s="197"/>
      <c r="AK1049" s="197"/>
      <c r="AL1049" s="197"/>
    </row>
    <row r="1050" spans="1:38">
      <c r="A1050" s="11" t="str">
        <f t="shared" si="75"/>
        <v>15-302164182012</v>
      </c>
      <c r="B1050" t="s">
        <v>638</v>
      </c>
      <c r="C1050" t="s">
        <v>639</v>
      </c>
      <c r="D1050">
        <v>2012</v>
      </c>
      <c r="E1050" t="s">
        <v>133</v>
      </c>
      <c r="F1050">
        <v>138931.82999999999</v>
      </c>
      <c r="G1050">
        <v>265</v>
      </c>
      <c r="H1050" s="11" t="str">
        <f t="shared" si="74"/>
        <v>count</v>
      </c>
      <c r="I1050" s="197"/>
      <c r="J1050" s="197"/>
      <c r="K1050" s="197"/>
      <c r="L1050" s="197"/>
      <c r="M1050" s="197"/>
      <c r="N1050" s="197"/>
      <c r="O1050" s="197"/>
      <c r="P1050" s="197"/>
      <c r="Q1050" s="197"/>
      <c r="R1050" s="197"/>
      <c r="S1050" s="197"/>
      <c r="T1050" s="197"/>
      <c r="U1050" s="197"/>
      <c r="V1050" s="197"/>
      <c r="W1050" s="197"/>
      <c r="X1050" s="197"/>
      <c r="Y1050" s="197"/>
      <c r="Z1050" s="197"/>
      <c r="AA1050" s="197"/>
      <c r="AB1050" s="197"/>
      <c r="AC1050" s="197"/>
      <c r="AD1050" s="197"/>
      <c r="AE1050" s="197"/>
      <c r="AF1050" s="197"/>
      <c r="AG1050" s="197"/>
      <c r="AH1050" s="197"/>
      <c r="AI1050" s="197"/>
      <c r="AJ1050" s="197"/>
      <c r="AK1050" s="197"/>
      <c r="AL1050" s="197"/>
    </row>
    <row r="1051" spans="1:38">
      <c r="A1051" s="11" t="str">
        <f t="shared" si="75"/>
        <v>15-302164182012</v>
      </c>
      <c r="B1051" t="s">
        <v>638</v>
      </c>
      <c r="C1051" t="s">
        <v>639</v>
      </c>
      <c r="D1051">
        <v>2012</v>
      </c>
      <c r="E1051" t="s">
        <v>105</v>
      </c>
      <c r="F1051">
        <v>31220.63</v>
      </c>
      <c r="G1051">
        <v>85</v>
      </c>
      <c r="H1051" s="11" t="str">
        <f t="shared" si="74"/>
        <v>count</v>
      </c>
      <c r="I1051" s="197"/>
      <c r="J1051" s="197"/>
      <c r="K1051" s="197"/>
      <c r="L1051" s="197"/>
      <c r="M1051" s="197"/>
      <c r="N1051" s="197"/>
      <c r="O1051" s="197"/>
      <c r="P1051" s="197"/>
      <c r="Q1051" s="197"/>
      <c r="R1051" s="197"/>
      <c r="S1051" s="197"/>
      <c r="T1051" s="197"/>
      <c r="U1051" s="197"/>
      <c r="V1051" s="197"/>
      <c r="W1051" s="197"/>
      <c r="X1051" s="197"/>
      <c r="Y1051" s="197"/>
      <c r="Z1051" s="197"/>
      <c r="AA1051" s="197"/>
      <c r="AB1051" s="197"/>
      <c r="AC1051" s="197"/>
      <c r="AD1051" s="197"/>
      <c r="AE1051" s="197"/>
      <c r="AF1051" s="197"/>
      <c r="AG1051" s="197"/>
      <c r="AH1051" s="197"/>
      <c r="AI1051" s="197"/>
      <c r="AJ1051" s="197"/>
      <c r="AK1051" s="197"/>
      <c r="AL1051" s="197"/>
    </row>
    <row r="1052" spans="1:38">
      <c r="A1052" s="11" t="str">
        <f t="shared" si="75"/>
        <v>15-302164182011</v>
      </c>
      <c r="B1052" t="s">
        <v>638</v>
      </c>
      <c r="C1052" t="s">
        <v>639</v>
      </c>
      <c r="D1052">
        <v>2011</v>
      </c>
      <c r="E1052" t="s">
        <v>63</v>
      </c>
      <c r="F1052">
        <v>370532.54</v>
      </c>
      <c r="G1052">
        <v>1047</v>
      </c>
      <c r="H1052" s="11" t="str">
        <f t="shared" si="74"/>
        <v>count</v>
      </c>
      <c r="I1052" s="197"/>
      <c r="J1052" s="197"/>
      <c r="K1052" s="197"/>
      <c r="L1052" s="197"/>
      <c r="M1052" s="197"/>
      <c r="N1052" s="197"/>
      <c r="O1052" s="197"/>
      <c r="P1052" s="197"/>
      <c r="Q1052" s="197"/>
      <c r="R1052" s="197"/>
      <c r="S1052" s="197"/>
      <c r="T1052" s="197"/>
      <c r="U1052" s="197"/>
      <c r="V1052" s="197"/>
      <c r="W1052" s="197"/>
      <c r="X1052" s="197"/>
      <c r="Y1052" s="197"/>
      <c r="Z1052" s="197"/>
      <c r="AA1052" s="197"/>
      <c r="AB1052" s="197"/>
      <c r="AC1052" s="197"/>
      <c r="AD1052" s="197"/>
      <c r="AE1052" s="197"/>
      <c r="AF1052" s="197"/>
      <c r="AG1052" s="197"/>
      <c r="AH1052" s="197"/>
      <c r="AI1052" s="197"/>
      <c r="AJ1052" s="197"/>
      <c r="AK1052" s="197"/>
      <c r="AL1052" s="197"/>
    </row>
    <row r="1053" spans="1:38">
      <c r="A1053" s="11" t="str">
        <f t="shared" si="75"/>
        <v>15-302164182013</v>
      </c>
      <c r="B1053" t="s">
        <v>638</v>
      </c>
      <c r="C1053" t="s">
        <v>639</v>
      </c>
      <c r="D1053">
        <v>2013</v>
      </c>
      <c r="E1053" t="s">
        <v>104</v>
      </c>
      <c r="F1053">
        <v>299885.43</v>
      </c>
      <c r="G1053">
        <v>794</v>
      </c>
      <c r="H1053" s="11" t="str">
        <f t="shared" si="74"/>
        <v>count</v>
      </c>
      <c r="I1053" s="197"/>
      <c r="J1053" s="197"/>
      <c r="K1053" s="197"/>
      <c r="L1053" s="197"/>
      <c r="M1053" s="197"/>
      <c r="N1053" s="197"/>
      <c r="O1053" s="197"/>
      <c r="P1053" s="197"/>
      <c r="Q1053" s="197"/>
      <c r="R1053" s="197"/>
      <c r="S1053" s="197"/>
      <c r="T1053" s="197"/>
      <c r="U1053" s="197"/>
      <c r="V1053" s="197"/>
      <c r="W1053" s="197"/>
      <c r="X1053" s="197"/>
      <c r="Y1053" s="197"/>
      <c r="Z1053" s="197"/>
      <c r="AA1053" s="197"/>
      <c r="AB1053" s="197"/>
      <c r="AC1053" s="197"/>
      <c r="AD1053" s="197"/>
      <c r="AE1053" s="197"/>
      <c r="AF1053" s="197"/>
      <c r="AG1053" s="197"/>
      <c r="AH1053" s="197"/>
      <c r="AI1053" s="197"/>
      <c r="AJ1053" s="197"/>
      <c r="AK1053" s="197"/>
      <c r="AL1053" s="197"/>
    </row>
    <row r="1054" spans="1:38">
      <c r="A1054" s="11" t="str">
        <f t="shared" si="75"/>
        <v>15-302164182013</v>
      </c>
      <c r="B1054" t="s">
        <v>638</v>
      </c>
      <c r="C1054" t="s">
        <v>639</v>
      </c>
      <c r="D1054">
        <v>2013</v>
      </c>
      <c r="E1054" t="s">
        <v>63</v>
      </c>
      <c r="F1054">
        <v>230427.86</v>
      </c>
      <c r="G1054">
        <v>552</v>
      </c>
      <c r="H1054" s="11" t="str">
        <f t="shared" si="74"/>
        <v>count</v>
      </c>
      <c r="I1054" s="197"/>
      <c r="J1054" s="197"/>
      <c r="K1054" s="197"/>
      <c r="L1054" s="197"/>
      <c r="M1054" s="197"/>
      <c r="N1054" s="197"/>
      <c r="O1054" s="197"/>
      <c r="P1054" s="197"/>
      <c r="Q1054" s="197"/>
      <c r="R1054" s="197"/>
      <c r="S1054" s="197"/>
      <c r="T1054" s="197"/>
      <c r="U1054" s="197"/>
      <c r="V1054" s="197"/>
      <c r="W1054" s="197"/>
      <c r="X1054" s="197"/>
      <c r="Y1054" s="197"/>
      <c r="Z1054" s="197"/>
      <c r="AA1054" s="197"/>
      <c r="AB1054" s="197"/>
      <c r="AC1054" s="197"/>
      <c r="AD1054" s="197"/>
      <c r="AE1054" s="197"/>
      <c r="AF1054" s="197"/>
      <c r="AG1054" s="197"/>
      <c r="AH1054" s="197"/>
      <c r="AI1054" s="197"/>
      <c r="AJ1054" s="197"/>
      <c r="AK1054" s="197"/>
      <c r="AL1054" s="197"/>
    </row>
    <row r="1055" spans="1:38">
      <c r="A1055" s="11" t="str">
        <f t="shared" si="75"/>
        <v>15-302164182013</v>
      </c>
      <c r="B1055" t="s">
        <v>638</v>
      </c>
      <c r="C1055" t="s">
        <v>639</v>
      </c>
      <c r="D1055">
        <v>2013</v>
      </c>
      <c r="E1055" t="s">
        <v>69</v>
      </c>
      <c r="F1055">
        <v>101855.25</v>
      </c>
      <c r="G1055">
        <v>302</v>
      </c>
      <c r="H1055" s="11" t="str">
        <f t="shared" si="74"/>
        <v>count</v>
      </c>
      <c r="I1055" s="197"/>
      <c r="J1055" s="197"/>
      <c r="K1055" s="197"/>
      <c r="L1055" s="197"/>
      <c r="M1055" s="197"/>
      <c r="N1055" s="197"/>
      <c r="O1055" s="197"/>
      <c r="P1055" s="197"/>
      <c r="Q1055" s="197"/>
      <c r="R1055" s="197"/>
      <c r="S1055" s="197"/>
      <c r="T1055" s="197"/>
      <c r="U1055" s="197"/>
      <c r="V1055" s="197"/>
      <c r="W1055" s="197"/>
      <c r="X1055" s="197"/>
      <c r="Y1055" s="197"/>
      <c r="Z1055" s="197"/>
      <c r="AA1055" s="197"/>
      <c r="AB1055" s="197"/>
      <c r="AC1055" s="197"/>
      <c r="AD1055" s="197"/>
      <c r="AE1055" s="197"/>
      <c r="AF1055" s="197"/>
      <c r="AG1055" s="197"/>
      <c r="AH1055" s="197"/>
      <c r="AI1055" s="197"/>
      <c r="AJ1055" s="197"/>
      <c r="AK1055" s="197"/>
      <c r="AL1055" s="197"/>
    </row>
    <row r="1056" spans="1:38">
      <c r="A1056" s="11" t="str">
        <f t="shared" si="75"/>
        <v>15-302164182013</v>
      </c>
      <c r="B1056" t="s">
        <v>638</v>
      </c>
      <c r="C1056" t="s">
        <v>639</v>
      </c>
      <c r="D1056">
        <v>2013</v>
      </c>
      <c r="E1056" t="s">
        <v>133</v>
      </c>
      <c r="F1056">
        <v>125716.31</v>
      </c>
      <c r="G1056">
        <v>237</v>
      </c>
      <c r="H1056" s="11" t="str">
        <f t="shared" si="74"/>
        <v>count</v>
      </c>
      <c r="I1056" s="197"/>
      <c r="J1056" s="197"/>
      <c r="K1056" s="197"/>
      <c r="L1056" s="197"/>
      <c r="M1056" s="197"/>
      <c r="N1056" s="197"/>
      <c r="O1056" s="197"/>
      <c r="P1056" s="197"/>
      <c r="Q1056" s="197"/>
      <c r="R1056" s="197"/>
      <c r="S1056" s="197"/>
      <c r="T1056" s="197"/>
      <c r="U1056" s="197"/>
      <c r="V1056" s="197"/>
      <c r="W1056" s="197"/>
      <c r="X1056" s="197"/>
      <c r="Y1056" s="197"/>
      <c r="Z1056" s="197"/>
      <c r="AA1056" s="197"/>
      <c r="AB1056" s="197"/>
      <c r="AC1056" s="197"/>
      <c r="AD1056" s="197"/>
      <c r="AE1056" s="197"/>
      <c r="AF1056" s="197"/>
      <c r="AG1056" s="197"/>
      <c r="AH1056" s="197"/>
      <c r="AI1056" s="197"/>
      <c r="AJ1056" s="197"/>
      <c r="AK1056" s="197"/>
      <c r="AL1056" s="197"/>
    </row>
    <row r="1057" spans="1:38">
      <c r="A1057" s="11" t="str">
        <f t="shared" si="75"/>
        <v>15-302164182012</v>
      </c>
      <c r="B1057" t="s">
        <v>638</v>
      </c>
      <c r="C1057" t="s">
        <v>639</v>
      </c>
      <c r="D1057">
        <v>2012</v>
      </c>
      <c r="E1057" t="s">
        <v>104</v>
      </c>
      <c r="F1057">
        <v>339686.23</v>
      </c>
      <c r="G1057">
        <v>935</v>
      </c>
      <c r="H1057" s="11" t="str">
        <f t="shared" si="74"/>
        <v>count</v>
      </c>
      <c r="I1057" s="197"/>
      <c r="J1057" s="197"/>
      <c r="K1057" s="197"/>
      <c r="L1057" s="197"/>
      <c r="M1057" s="197"/>
      <c r="N1057" s="197"/>
      <c r="O1057" s="197"/>
      <c r="P1057" s="197"/>
      <c r="Q1057" s="197"/>
      <c r="R1057" s="197"/>
      <c r="S1057" s="197"/>
      <c r="T1057" s="197"/>
      <c r="U1057" s="197"/>
      <c r="V1057" s="197"/>
      <c r="W1057" s="197"/>
      <c r="X1057" s="197"/>
      <c r="Y1057" s="197"/>
      <c r="Z1057" s="197"/>
      <c r="AA1057" s="197"/>
      <c r="AB1057" s="197"/>
      <c r="AC1057" s="197"/>
      <c r="AD1057" s="197"/>
      <c r="AE1057" s="197"/>
      <c r="AF1057" s="197"/>
      <c r="AG1057" s="197"/>
      <c r="AH1057" s="197"/>
      <c r="AI1057" s="197"/>
      <c r="AJ1057" s="197"/>
      <c r="AK1057" s="197"/>
      <c r="AL1057" s="197"/>
    </row>
    <row r="1058" spans="1:38">
      <c r="A1058" s="11" t="str">
        <f t="shared" si="75"/>
        <v>15-302164182012</v>
      </c>
      <c r="B1058" t="s">
        <v>638</v>
      </c>
      <c r="C1058" t="s">
        <v>639</v>
      </c>
      <c r="D1058">
        <v>2012</v>
      </c>
      <c r="E1058" t="s">
        <v>63</v>
      </c>
      <c r="F1058">
        <v>252801.56</v>
      </c>
      <c r="G1058">
        <v>587</v>
      </c>
      <c r="H1058" s="11" t="str">
        <f t="shared" si="74"/>
        <v>count</v>
      </c>
      <c r="I1058" s="197"/>
      <c r="J1058" s="197"/>
      <c r="K1058" s="197"/>
      <c r="L1058" s="197"/>
      <c r="M1058" s="197"/>
      <c r="N1058" s="197"/>
      <c r="O1058" s="197"/>
      <c r="P1058" s="197"/>
      <c r="Q1058" s="197"/>
      <c r="R1058" s="197"/>
      <c r="S1058" s="197"/>
      <c r="T1058" s="197"/>
      <c r="U1058" s="197"/>
      <c r="V1058" s="197"/>
      <c r="W1058" s="197"/>
      <c r="X1058" s="197"/>
      <c r="Y1058" s="197"/>
      <c r="Z1058" s="197"/>
      <c r="AA1058" s="197"/>
      <c r="AB1058" s="197"/>
      <c r="AC1058" s="197"/>
      <c r="AD1058" s="197"/>
      <c r="AE1058" s="197"/>
      <c r="AF1058" s="197"/>
      <c r="AG1058" s="197"/>
      <c r="AH1058" s="197"/>
      <c r="AI1058" s="197"/>
      <c r="AJ1058" s="197"/>
      <c r="AK1058" s="197"/>
      <c r="AL1058" s="197"/>
    </row>
    <row r="1059" spans="1:38">
      <c r="A1059" s="11" t="str">
        <f t="shared" si="75"/>
        <v>15-302164182013</v>
      </c>
      <c r="B1059" t="s">
        <v>638</v>
      </c>
      <c r="C1059" t="s">
        <v>639</v>
      </c>
      <c r="D1059">
        <v>2013</v>
      </c>
      <c r="E1059" t="s">
        <v>105</v>
      </c>
      <c r="F1059">
        <v>32447.06</v>
      </c>
      <c r="G1059">
        <v>64</v>
      </c>
      <c r="H1059" s="11" t="str">
        <f t="shared" si="74"/>
        <v>count</v>
      </c>
      <c r="I1059" s="197"/>
      <c r="J1059" s="197"/>
      <c r="K1059" s="197"/>
      <c r="L1059" s="197"/>
      <c r="M1059" s="197"/>
      <c r="N1059" s="197"/>
      <c r="O1059" s="197"/>
      <c r="P1059" s="197"/>
      <c r="Q1059" s="197"/>
      <c r="R1059" s="197"/>
      <c r="S1059" s="197"/>
      <c r="T1059" s="197"/>
      <c r="U1059" s="197"/>
      <c r="V1059" s="197"/>
      <c r="W1059" s="197"/>
      <c r="X1059" s="197"/>
      <c r="Y1059" s="197"/>
      <c r="Z1059" s="197"/>
      <c r="AA1059" s="197"/>
      <c r="AB1059" s="197"/>
      <c r="AC1059" s="197"/>
      <c r="AD1059" s="197"/>
      <c r="AE1059" s="197"/>
      <c r="AF1059" s="197"/>
      <c r="AG1059" s="197"/>
      <c r="AH1059" s="197"/>
      <c r="AI1059" s="197"/>
      <c r="AJ1059" s="197"/>
      <c r="AK1059" s="197"/>
      <c r="AL1059" s="197"/>
    </row>
    <row r="1060" spans="1:38">
      <c r="A1060" s="11" t="str">
        <f t="shared" si="75"/>
        <v>15-302164182011</v>
      </c>
      <c r="B1060" t="s">
        <v>638</v>
      </c>
      <c r="C1060" t="s">
        <v>639</v>
      </c>
      <c r="D1060">
        <v>2011</v>
      </c>
      <c r="E1060" t="s">
        <v>133</v>
      </c>
      <c r="F1060">
        <v>113846.98</v>
      </c>
      <c r="G1060">
        <v>239</v>
      </c>
      <c r="H1060" s="11" t="str">
        <f t="shared" si="74"/>
        <v>count</v>
      </c>
      <c r="I1060" s="197"/>
      <c r="J1060" s="197"/>
      <c r="K1060" s="197"/>
      <c r="L1060" s="197"/>
      <c r="M1060" s="197"/>
      <c r="N1060" s="197"/>
      <c r="O1060" s="197"/>
      <c r="P1060" s="197"/>
      <c r="Q1060" s="197"/>
      <c r="R1060" s="197"/>
      <c r="S1060" s="197"/>
      <c r="T1060" s="197"/>
      <c r="U1060" s="197"/>
      <c r="V1060" s="197"/>
      <c r="W1060" s="197"/>
      <c r="X1060" s="197"/>
      <c r="Y1060" s="197"/>
      <c r="Z1060" s="197"/>
      <c r="AA1060" s="197"/>
      <c r="AB1060" s="197"/>
      <c r="AC1060" s="197"/>
      <c r="AD1060" s="197"/>
      <c r="AE1060" s="197"/>
      <c r="AF1060" s="197"/>
      <c r="AG1060" s="197"/>
      <c r="AH1060" s="197"/>
      <c r="AI1060" s="197"/>
      <c r="AJ1060" s="197"/>
      <c r="AK1060" s="197"/>
      <c r="AL1060" s="197"/>
    </row>
    <row r="1061" spans="1:38">
      <c r="A1061" s="11" t="str">
        <f t="shared" si="75"/>
        <v>15-302164182011</v>
      </c>
      <c r="B1061" t="s">
        <v>638</v>
      </c>
      <c r="C1061" t="s">
        <v>639</v>
      </c>
      <c r="D1061">
        <v>2011</v>
      </c>
      <c r="E1061" t="s">
        <v>105</v>
      </c>
      <c r="F1061">
        <v>37408.93</v>
      </c>
      <c r="G1061">
        <v>111</v>
      </c>
      <c r="H1061" s="11" t="str">
        <f t="shared" si="74"/>
        <v>count</v>
      </c>
      <c r="I1061" s="197"/>
      <c r="J1061" s="197"/>
      <c r="K1061" s="197"/>
      <c r="L1061" s="197"/>
      <c r="M1061" s="197"/>
      <c r="N1061" s="197"/>
      <c r="O1061" s="197"/>
      <c r="P1061" s="197"/>
      <c r="Q1061" s="197"/>
      <c r="R1061" s="197"/>
      <c r="S1061" s="197"/>
      <c r="T1061" s="197"/>
      <c r="U1061" s="197"/>
      <c r="V1061" s="197"/>
      <c r="W1061" s="197"/>
      <c r="X1061" s="197"/>
      <c r="Y1061" s="197"/>
      <c r="Z1061" s="197"/>
      <c r="AA1061" s="197"/>
      <c r="AB1061" s="197"/>
      <c r="AC1061" s="197"/>
      <c r="AD1061" s="197"/>
      <c r="AE1061" s="197"/>
      <c r="AF1061" s="197"/>
      <c r="AG1061" s="197"/>
      <c r="AH1061" s="197"/>
      <c r="AI1061" s="197"/>
      <c r="AJ1061" s="197"/>
      <c r="AK1061" s="197"/>
      <c r="AL1061" s="197"/>
    </row>
    <row r="1062" spans="1:38">
      <c r="A1062" s="11" t="str">
        <f t="shared" si="75"/>
        <v>15-302164182011</v>
      </c>
      <c r="B1062" t="s">
        <v>638</v>
      </c>
      <c r="C1062" t="s">
        <v>639</v>
      </c>
      <c r="D1062">
        <v>2011</v>
      </c>
      <c r="E1062" t="s">
        <v>69</v>
      </c>
      <c r="F1062">
        <v>185</v>
      </c>
      <c r="G1062">
        <v>2</v>
      </c>
      <c r="H1062" s="11" t="str">
        <f t="shared" si="74"/>
        <v>count</v>
      </c>
      <c r="I1062" s="197"/>
      <c r="J1062" s="197"/>
      <c r="K1062" s="197"/>
      <c r="L1062" s="197"/>
      <c r="M1062" s="197"/>
      <c r="N1062" s="197"/>
      <c r="O1062" s="197"/>
      <c r="P1062" s="197"/>
      <c r="Q1062" s="197"/>
      <c r="R1062" s="197"/>
      <c r="S1062" s="197"/>
      <c r="T1062" s="197"/>
      <c r="U1062" s="197"/>
      <c r="V1062" s="197"/>
      <c r="W1062" s="197"/>
      <c r="X1062" s="197"/>
      <c r="Y1062" s="197"/>
      <c r="Z1062" s="197"/>
      <c r="AA1062" s="197"/>
      <c r="AB1062" s="197"/>
      <c r="AC1062" s="197"/>
      <c r="AD1062" s="197"/>
      <c r="AE1062" s="197"/>
      <c r="AF1062" s="197"/>
      <c r="AG1062" s="197"/>
      <c r="AH1062" s="197"/>
      <c r="AI1062" s="197"/>
      <c r="AJ1062" s="197"/>
      <c r="AK1062" s="197"/>
      <c r="AL1062" s="197"/>
    </row>
    <row r="1063" spans="1:38">
      <c r="A1063" s="11" t="str">
        <f t="shared" si="75"/>
        <v>15-302275152012</v>
      </c>
      <c r="B1063" t="s">
        <v>640</v>
      </c>
      <c r="C1063" t="s">
        <v>641</v>
      </c>
      <c r="D1063">
        <v>2012</v>
      </c>
      <c r="E1063" t="s">
        <v>104</v>
      </c>
      <c r="F1063">
        <v>42092.480000000003</v>
      </c>
      <c r="G1063">
        <v>45</v>
      </c>
      <c r="H1063" s="11" t="str">
        <f t="shared" si="74"/>
        <v>volume</v>
      </c>
      <c r="I1063" s="197"/>
      <c r="J1063" s="197"/>
      <c r="K1063" s="197"/>
      <c r="L1063" s="197"/>
      <c r="M1063" s="197"/>
      <c r="N1063" s="197"/>
      <c r="O1063" s="197"/>
      <c r="P1063" s="197"/>
      <c r="Q1063" s="197"/>
      <c r="R1063" s="197"/>
      <c r="S1063" s="197"/>
      <c r="T1063" s="197"/>
      <c r="U1063" s="197"/>
      <c r="V1063" s="197"/>
      <c r="W1063" s="197"/>
      <c r="X1063" s="197"/>
      <c r="Y1063" s="197"/>
      <c r="Z1063" s="197"/>
      <c r="AA1063" s="197"/>
      <c r="AB1063" s="197"/>
      <c r="AC1063" s="197"/>
      <c r="AD1063" s="197"/>
      <c r="AE1063" s="197"/>
      <c r="AF1063" s="197"/>
      <c r="AG1063" s="197"/>
      <c r="AH1063" s="197"/>
      <c r="AI1063" s="197"/>
      <c r="AJ1063" s="197"/>
      <c r="AK1063" s="197"/>
      <c r="AL1063" s="197"/>
    </row>
    <row r="1064" spans="1:38">
      <c r="A1064" s="11" t="str">
        <f t="shared" si="75"/>
        <v>15-302275152012</v>
      </c>
      <c r="B1064" t="s">
        <v>640</v>
      </c>
      <c r="C1064" t="s">
        <v>641</v>
      </c>
      <c r="D1064">
        <v>2012</v>
      </c>
      <c r="E1064" t="s">
        <v>63</v>
      </c>
      <c r="F1064">
        <v>111960</v>
      </c>
      <c r="G1064">
        <v>107</v>
      </c>
      <c r="H1064" s="11" t="str">
        <f t="shared" si="74"/>
        <v>count</v>
      </c>
      <c r="I1064" s="197"/>
      <c r="J1064" s="197"/>
      <c r="K1064" s="197"/>
      <c r="L1064" s="197"/>
      <c r="M1064" s="197"/>
      <c r="N1064" s="197"/>
      <c r="O1064" s="197"/>
      <c r="P1064" s="197"/>
      <c r="Q1064" s="197"/>
      <c r="R1064" s="197"/>
      <c r="S1064" s="197"/>
      <c r="T1064" s="197"/>
      <c r="U1064" s="197"/>
      <c r="V1064" s="197"/>
      <c r="W1064" s="197"/>
      <c r="X1064" s="197"/>
      <c r="Y1064" s="197"/>
      <c r="Z1064" s="197"/>
      <c r="AA1064" s="197"/>
      <c r="AB1064" s="197"/>
      <c r="AC1064" s="197"/>
      <c r="AD1064" s="197"/>
      <c r="AE1064" s="197"/>
      <c r="AF1064" s="197"/>
      <c r="AG1064" s="197"/>
      <c r="AH1064" s="197"/>
      <c r="AI1064" s="197"/>
      <c r="AJ1064" s="197"/>
      <c r="AK1064" s="197"/>
      <c r="AL1064" s="197"/>
    </row>
    <row r="1065" spans="1:38">
      <c r="A1065" s="11" t="str">
        <f t="shared" si="75"/>
        <v>15-302275152012</v>
      </c>
      <c r="B1065" t="s">
        <v>640</v>
      </c>
      <c r="C1065" t="s">
        <v>641</v>
      </c>
      <c r="D1065">
        <v>2012</v>
      </c>
      <c r="E1065" t="s">
        <v>106</v>
      </c>
      <c r="F1065">
        <v>1270</v>
      </c>
      <c r="G1065">
        <v>1</v>
      </c>
      <c r="H1065" s="11" t="str">
        <f t="shared" si="74"/>
        <v>count</v>
      </c>
      <c r="I1065" s="197"/>
      <c r="J1065" s="197"/>
      <c r="K1065" s="197"/>
      <c r="L1065" s="197"/>
      <c r="M1065" s="197"/>
      <c r="N1065" s="197"/>
      <c r="O1065" s="197"/>
      <c r="P1065" s="197"/>
      <c r="Q1065" s="197"/>
      <c r="R1065" s="197"/>
      <c r="S1065" s="197"/>
      <c r="T1065" s="197"/>
      <c r="U1065" s="197"/>
      <c r="V1065" s="197"/>
      <c r="W1065" s="197"/>
      <c r="X1065" s="197"/>
      <c r="Y1065" s="197"/>
      <c r="Z1065" s="197"/>
      <c r="AA1065" s="197"/>
      <c r="AB1065" s="197"/>
      <c r="AC1065" s="197"/>
      <c r="AD1065" s="197"/>
      <c r="AE1065" s="197"/>
      <c r="AF1065" s="197"/>
      <c r="AG1065" s="197"/>
      <c r="AH1065" s="197"/>
      <c r="AI1065" s="197"/>
      <c r="AJ1065" s="197"/>
      <c r="AK1065" s="197"/>
      <c r="AL1065" s="197"/>
    </row>
    <row r="1066" spans="1:38">
      <c r="A1066" s="11" t="str">
        <f t="shared" si="75"/>
        <v>15-302275152013</v>
      </c>
      <c r="B1066" t="s">
        <v>640</v>
      </c>
      <c r="C1066" t="s">
        <v>641</v>
      </c>
      <c r="D1066">
        <v>2013</v>
      </c>
      <c r="E1066" t="s">
        <v>63</v>
      </c>
      <c r="F1066">
        <v>137317.44</v>
      </c>
      <c r="G1066">
        <v>139</v>
      </c>
      <c r="H1066" s="11" t="str">
        <f t="shared" si="74"/>
        <v>count</v>
      </c>
      <c r="I1066" s="197"/>
      <c r="J1066" s="197"/>
      <c r="K1066" s="197"/>
      <c r="L1066" s="197"/>
      <c r="M1066" s="197"/>
      <c r="N1066" s="197"/>
      <c r="O1066" s="197"/>
      <c r="P1066" s="197"/>
      <c r="Q1066" s="197"/>
      <c r="R1066" s="197"/>
      <c r="S1066" s="197"/>
      <c r="T1066" s="197"/>
      <c r="U1066" s="197"/>
      <c r="V1066" s="197"/>
      <c r="W1066" s="197"/>
      <c r="X1066" s="197"/>
      <c r="Y1066" s="197"/>
      <c r="Z1066" s="197"/>
      <c r="AA1066" s="197"/>
      <c r="AB1066" s="197"/>
      <c r="AC1066" s="197"/>
      <c r="AD1066" s="197"/>
      <c r="AE1066" s="197"/>
      <c r="AF1066" s="197"/>
      <c r="AG1066" s="197"/>
      <c r="AH1066" s="197"/>
      <c r="AI1066" s="197"/>
      <c r="AJ1066" s="197"/>
      <c r="AK1066" s="197"/>
      <c r="AL1066" s="197"/>
    </row>
    <row r="1067" spans="1:38">
      <c r="A1067" s="11" t="str">
        <f t="shared" si="75"/>
        <v>15-302275152011</v>
      </c>
      <c r="B1067" t="s">
        <v>640</v>
      </c>
      <c r="C1067" t="s">
        <v>641</v>
      </c>
      <c r="D1067">
        <v>2011</v>
      </c>
      <c r="E1067" t="s">
        <v>106</v>
      </c>
      <c r="F1067">
        <v>7708</v>
      </c>
      <c r="G1067">
        <v>3</v>
      </c>
      <c r="H1067" s="11" t="str">
        <f t="shared" si="74"/>
        <v>count</v>
      </c>
      <c r="I1067" s="197"/>
      <c r="J1067" s="197"/>
      <c r="K1067" s="197"/>
      <c r="L1067" s="197"/>
      <c r="M1067" s="197"/>
      <c r="N1067" s="197"/>
      <c r="O1067" s="197"/>
      <c r="P1067" s="197"/>
      <c r="Q1067" s="197"/>
      <c r="R1067" s="197"/>
      <c r="S1067" s="197"/>
      <c r="T1067" s="197"/>
      <c r="U1067" s="197"/>
      <c r="V1067" s="197"/>
      <c r="W1067" s="197"/>
      <c r="X1067" s="197"/>
      <c r="Y1067" s="197"/>
      <c r="Z1067" s="197"/>
      <c r="AA1067" s="197"/>
      <c r="AB1067" s="197"/>
      <c r="AC1067" s="197"/>
      <c r="AD1067" s="197"/>
      <c r="AE1067" s="197"/>
      <c r="AF1067" s="197"/>
      <c r="AG1067" s="197"/>
      <c r="AH1067" s="197"/>
      <c r="AI1067" s="197"/>
      <c r="AJ1067" s="197"/>
      <c r="AK1067" s="197"/>
      <c r="AL1067" s="197"/>
    </row>
    <row r="1068" spans="1:38">
      <c r="A1068" s="11" t="str">
        <f t="shared" si="75"/>
        <v>15-302275152013</v>
      </c>
      <c r="B1068" t="s">
        <v>640</v>
      </c>
      <c r="C1068" t="s">
        <v>641</v>
      </c>
      <c r="D1068">
        <v>2013</v>
      </c>
      <c r="E1068" t="s">
        <v>104</v>
      </c>
      <c r="F1068">
        <v>39418.050000000003</v>
      </c>
      <c r="G1068">
        <v>45</v>
      </c>
      <c r="H1068" s="11" t="str">
        <f t="shared" si="74"/>
        <v>count</v>
      </c>
      <c r="I1068" s="197"/>
      <c r="J1068" s="197"/>
      <c r="K1068" s="197"/>
      <c r="L1068" s="197"/>
      <c r="M1068" s="197"/>
      <c r="N1068" s="197"/>
      <c r="O1068" s="197"/>
      <c r="P1068" s="197"/>
      <c r="Q1068" s="197"/>
      <c r="R1068" s="197"/>
      <c r="S1068" s="197"/>
      <c r="T1068" s="197"/>
      <c r="U1068" s="197"/>
      <c r="V1068" s="197"/>
      <c r="W1068" s="197"/>
      <c r="X1068" s="197"/>
      <c r="Y1068" s="197"/>
      <c r="Z1068" s="197"/>
      <c r="AA1068" s="197"/>
      <c r="AB1068" s="197"/>
      <c r="AC1068" s="197"/>
      <c r="AD1068" s="197"/>
      <c r="AE1068" s="197"/>
      <c r="AF1068" s="197"/>
      <c r="AG1068" s="197"/>
      <c r="AH1068" s="197"/>
      <c r="AI1068" s="197"/>
      <c r="AJ1068" s="197"/>
      <c r="AK1068" s="197"/>
      <c r="AL1068" s="197"/>
    </row>
    <row r="1069" spans="1:38">
      <c r="A1069" s="11" t="str">
        <f t="shared" si="75"/>
        <v>15-302275152013</v>
      </c>
      <c r="B1069" t="s">
        <v>640</v>
      </c>
      <c r="C1069" t="s">
        <v>641</v>
      </c>
      <c r="D1069">
        <v>2013</v>
      </c>
      <c r="E1069" t="s">
        <v>69</v>
      </c>
      <c r="F1069">
        <v>25604.31</v>
      </c>
      <c r="G1069">
        <v>39</v>
      </c>
      <c r="H1069" s="11" t="str">
        <f t="shared" si="74"/>
        <v>count</v>
      </c>
      <c r="I1069" s="197"/>
      <c r="J1069" s="197"/>
      <c r="K1069" s="197"/>
      <c r="L1069" s="197"/>
      <c r="M1069" s="197"/>
      <c r="N1069" s="197"/>
      <c r="O1069" s="197"/>
      <c r="P1069" s="197"/>
      <c r="Q1069" s="197"/>
      <c r="R1069" s="197"/>
      <c r="S1069" s="197"/>
      <c r="T1069" s="197"/>
      <c r="U1069" s="197"/>
      <c r="V1069" s="197"/>
      <c r="W1069" s="197"/>
      <c r="X1069" s="197"/>
      <c r="Y1069" s="197"/>
      <c r="Z1069" s="197"/>
      <c r="AA1069" s="197"/>
      <c r="AB1069" s="197"/>
      <c r="AC1069" s="197"/>
      <c r="AD1069" s="197"/>
      <c r="AE1069" s="197"/>
      <c r="AF1069" s="197"/>
      <c r="AG1069" s="197"/>
      <c r="AH1069" s="197"/>
      <c r="AI1069" s="197"/>
      <c r="AJ1069" s="197"/>
      <c r="AK1069" s="197"/>
      <c r="AL1069" s="197"/>
    </row>
    <row r="1070" spans="1:38">
      <c r="A1070" s="11" t="str">
        <f t="shared" si="75"/>
        <v>15-302275152011</v>
      </c>
      <c r="B1070" t="s">
        <v>640</v>
      </c>
      <c r="C1070" t="s">
        <v>641</v>
      </c>
      <c r="D1070">
        <v>2011</v>
      </c>
      <c r="E1070" t="s">
        <v>104</v>
      </c>
      <c r="F1070">
        <v>89618.75</v>
      </c>
      <c r="G1070">
        <v>68</v>
      </c>
      <c r="H1070" s="11" t="str">
        <f t="shared" si="74"/>
        <v>count</v>
      </c>
      <c r="I1070" s="197"/>
      <c r="J1070" s="197"/>
      <c r="K1070" s="197"/>
      <c r="L1070" s="197"/>
      <c r="M1070" s="197"/>
      <c r="N1070" s="197"/>
      <c r="O1070" s="197"/>
      <c r="P1070" s="197"/>
      <c r="Q1070" s="197"/>
      <c r="R1070" s="197"/>
      <c r="S1070" s="197"/>
      <c r="T1070" s="197"/>
      <c r="U1070" s="197"/>
      <c r="V1070" s="197"/>
      <c r="W1070" s="197"/>
      <c r="X1070" s="197"/>
      <c r="Y1070" s="197"/>
      <c r="Z1070" s="197"/>
      <c r="AA1070" s="197"/>
      <c r="AB1070" s="197"/>
      <c r="AC1070" s="197"/>
      <c r="AD1070" s="197"/>
      <c r="AE1070" s="197"/>
      <c r="AF1070" s="197"/>
      <c r="AG1070" s="197"/>
      <c r="AH1070" s="197"/>
      <c r="AI1070" s="197"/>
      <c r="AJ1070" s="197"/>
      <c r="AK1070" s="197"/>
      <c r="AL1070" s="197"/>
    </row>
    <row r="1071" spans="1:38">
      <c r="A1071" s="11" t="str">
        <f t="shared" si="75"/>
        <v>15-302275152011</v>
      </c>
      <c r="B1071" t="s">
        <v>640</v>
      </c>
      <c r="C1071" t="s">
        <v>641</v>
      </c>
      <c r="D1071">
        <v>2011</v>
      </c>
      <c r="E1071" t="s">
        <v>63</v>
      </c>
      <c r="F1071">
        <v>178765.79</v>
      </c>
      <c r="G1071">
        <v>156</v>
      </c>
      <c r="H1071" s="11" t="str">
        <f t="shared" si="74"/>
        <v>count</v>
      </c>
      <c r="I1071" s="197"/>
      <c r="J1071" s="197"/>
      <c r="K1071" s="197"/>
      <c r="L1071" s="197"/>
      <c r="M1071" s="197"/>
      <c r="N1071" s="197"/>
      <c r="O1071" s="197"/>
      <c r="P1071" s="197"/>
      <c r="Q1071" s="197"/>
      <c r="R1071" s="197"/>
      <c r="S1071" s="197"/>
      <c r="T1071" s="197"/>
      <c r="U1071" s="197"/>
      <c r="V1071" s="197"/>
      <c r="W1071" s="197"/>
      <c r="X1071" s="197"/>
      <c r="Y1071" s="197"/>
      <c r="Z1071" s="197"/>
      <c r="AA1071" s="197"/>
      <c r="AB1071" s="197"/>
      <c r="AC1071" s="197"/>
      <c r="AD1071" s="197"/>
      <c r="AE1071" s="197"/>
      <c r="AF1071" s="197"/>
      <c r="AG1071" s="197"/>
      <c r="AH1071" s="197"/>
      <c r="AI1071" s="197"/>
      <c r="AJ1071" s="197"/>
      <c r="AK1071" s="197"/>
      <c r="AL1071" s="197"/>
    </row>
    <row r="1072" spans="1:38">
      <c r="A1072" s="11" t="str">
        <f t="shared" si="75"/>
        <v>15-302275152012</v>
      </c>
      <c r="B1072" t="s">
        <v>640</v>
      </c>
      <c r="C1072" t="s">
        <v>641</v>
      </c>
      <c r="D1072">
        <v>2012</v>
      </c>
      <c r="E1072" t="s">
        <v>69</v>
      </c>
      <c r="F1072">
        <v>30430.36</v>
      </c>
      <c r="G1072">
        <v>29</v>
      </c>
      <c r="H1072" s="11" t="str">
        <f t="shared" si="74"/>
        <v>count</v>
      </c>
      <c r="I1072" s="197"/>
      <c r="J1072" s="197"/>
      <c r="K1072" s="197"/>
      <c r="L1072" s="197"/>
      <c r="M1072" s="197"/>
      <c r="N1072" s="197"/>
      <c r="O1072" s="197"/>
      <c r="P1072" s="197"/>
      <c r="Q1072" s="197"/>
      <c r="R1072" s="197"/>
      <c r="S1072" s="197"/>
      <c r="T1072" s="197"/>
      <c r="U1072" s="197"/>
      <c r="V1072" s="197"/>
      <c r="W1072" s="197"/>
      <c r="X1072" s="197"/>
      <c r="Y1072" s="197"/>
      <c r="Z1072" s="197"/>
      <c r="AA1072" s="197"/>
      <c r="AB1072" s="197"/>
      <c r="AC1072" s="197"/>
      <c r="AD1072" s="197"/>
      <c r="AE1072" s="197"/>
      <c r="AF1072" s="197"/>
      <c r="AG1072" s="197"/>
      <c r="AH1072" s="197"/>
      <c r="AI1072" s="197"/>
      <c r="AJ1072" s="197"/>
      <c r="AK1072" s="197"/>
      <c r="AL1072" s="197"/>
    </row>
    <row r="1073" spans="1:38">
      <c r="A1073" s="11" t="str">
        <f t="shared" si="75"/>
        <v>15-302424592011</v>
      </c>
      <c r="B1073" t="s">
        <v>643</v>
      </c>
      <c r="C1073" t="s">
        <v>644</v>
      </c>
      <c r="D1073">
        <v>2011</v>
      </c>
      <c r="E1073" t="s">
        <v>133</v>
      </c>
      <c r="F1073">
        <v>473996.11</v>
      </c>
      <c r="G1073">
        <v>353</v>
      </c>
      <c r="H1073" s="11" t="str">
        <f t="shared" si="74"/>
        <v>volume</v>
      </c>
      <c r="I1073" s="197"/>
      <c r="J1073" s="197"/>
      <c r="K1073" s="197"/>
      <c r="L1073" s="197"/>
      <c r="M1073" s="197"/>
      <c r="N1073" s="197"/>
      <c r="O1073" s="197"/>
      <c r="P1073" s="197"/>
      <c r="Q1073" s="197"/>
      <c r="R1073" s="197"/>
      <c r="S1073" s="197"/>
      <c r="T1073" s="197"/>
      <c r="U1073" s="197"/>
      <c r="V1073" s="197"/>
      <c r="W1073" s="197"/>
      <c r="X1073" s="197"/>
      <c r="Y1073" s="197"/>
      <c r="Z1073" s="197"/>
      <c r="AA1073" s="197"/>
      <c r="AB1073" s="197"/>
      <c r="AC1073" s="197"/>
      <c r="AD1073" s="197"/>
      <c r="AE1073" s="197"/>
      <c r="AF1073" s="197"/>
      <c r="AG1073" s="197"/>
      <c r="AH1073" s="197"/>
      <c r="AI1073" s="197"/>
      <c r="AJ1073" s="197"/>
      <c r="AK1073" s="197"/>
      <c r="AL1073" s="197"/>
    </row>
    <row r="1074" spans="1:38">
      <c r="A1074" s="11" t="str">
        <f t="shared" si="75"/>
        <v>15-302424592012</v>
      </c>
      <c r="B1074" t="s">
        <v>643</v>
      </c>
      <c r="C1074" t="s">
        <v>644</v>
      </c>
      <c r="D1074">
        <v>2012</v>
      </c>
      <c r="E1074" t="s">
        <v>69</v>
      </c>
      <c r="F1074">
        <v>124.27</v>
      </c>
      <c r="G1074">
        <v>1</v>
      </c>
      <c r="H1074" s="11" t="str">
        <f t="shared" si="74"/>
        <v>count</v>
      </c>
      <c r="I1074" s="197"/>
      <c r="J1074" s="197"/>
      <c r="K1074" s="197"/>
      <c r="L1074" s="197"/>
      <c r="M1074" s="197"/>
      <c r="N1074" s="197"/>
      <c r="O1074" s="197"/>
      <c r="P1074" s="197"/>
      <c r="Q1074" s="197"/>
      <c r="R1074" s="197"/>
      <c r="S1074" s="197"/>
      <c r="T1074" s="197"/>
      <c r="U1074" s="197"/>
      <c r="V1074" s="197"/>
      <c r="W1074" s="197"/>
      <c r="X1074" s="197"/>
      <c r="Y1074" s="197"/>
      <c r="Z1074" s="197"/>
      <c r="AA1074" s="197"/>
      <c r="AB1074" s="197"/>
      <c r="AC1074" s="197"/>
      <c r="AD1074" s="197"/>
      <c r="AE1074" s="197"/>
      <c r="AF1074" s="197"/>
      <c r="AG1074" s="197"/>
      <c r="AH1074" s="197"/>
      <c r="AI1074" s="197"/>
      <c r="AJ1074" s="197"/>
      <c r="AK1074" s="197"/>
      <c r="AL1074" s="197"/>
    </row>
    <row r="1075" spans="1:38">
      <c r="A1075" s="11" t="str">
        <f t="shared" si="75"/>
        <v>15-302424592011</v>
      </c>
      <c r="B1075" t="s">
        <v>643</v>
      </c>
      <c r="C1075" t="s">
        <v>644</v>
      </c>
      <c r="D1075">
        <v>2011</v>
      </c>
      <c r="E1075" t="s">
        <v>63</v>
      </c>
      <c r="F1075">
        <v>1634916.51</v>
      </c>
      <c r="G1075">
        <v>1499</v>
      </c>
      <c r="H1075" s="11" t="str">
        <f t="shared" si="74"/>
        <v>count</v>
      </c>
      <c r="I1075" s="197"/>
      <c r="J1075" s="197"/>
      <c r="K1075" s="197"/>
      <c r="L1075" s="197"/>
      <c r="M1075" s="197"/>
      <c r="N1075" s="197"/>
      <c r="O1075" s="197"/>
      <c r="P1075" s="197"/>
      <c r="Q1075" s="197"/>
      <c r="R1075" s="197"/>
      <c r="S1075" s="197"/>
      <c r="T1075" s="197"/>
      <c r="U1075" s="197"/>
      <c r="V1075" s="197"/>
      <c r="W1075" s="197"/>
      <c r="X1075" s="197"/>
      <c r="Y1075" s="197"/>
      <c r="Z1075" s="197"/>
      <c r="AA1075" s="197"/>
      <c r="AB1075" s="197"/>
      <c r="AC1075" s="197"/>
      <c r="AD1075" s="197"/>
      <c r="AE1075" s="197"/>
      <c r="AF1075" s="197"/>
      <c r="AG1075" s="197"/>
      <c r="AH1075" s="197"/>
      <c r="AI1075" s="197"/>
      <c r="AJ1075" s="197"/>
      <c r="AK1075" s="197"/>
      <c r="AL1075" s="197"/>
    </row>
    <row r="1076" spans="1:38">
      <c r="A1076" s="11" t="str">
        <f t="shared" si="75"/>
        <v>15-302424592011</v>
      </c>
      <c r="B1076" t="s">
        <v>643</v>
      </c>
      <c r="C1076" t="s">
        <v>644</v>
      </c>
      <c r="D1076">
        <v>2011</v>
      </c>
      <c r="E1076" t="s">
        <v>104</v>
      </c>
      <c r="F1076">
        <v>793644.89</v>
      </c>
      <c r="G1076">
        <v>701</v>
      </c>
      <c r="H1076" s="11" t="str">
        <f t="shared" si="74"/>
        <v>count</v>
      </c>
      <c r="I1076" s="197"/>
      <c r="J1076" s="197"/>
      <c r="K1076" s="197"/>
      <c r="L1076" s="197"/>
      <c r="M1076" s="197"/>
      <c r="N1076" s="197"/>
      <c r="O1076" s="197"/>
      <c r="P1076" s="197"/>
      <c r="Q1076" s="197"/>
      <c r="R1076" s="197"/>
      <c r="S1076" s="197"/>
      <c r="T1076" s="197"/>
      <c r="U1076" s="197"/>
      <c r="V1076" s="197"/>
      <c r="W1076" s="197"/>
      <c r="X1076" s="197"/>
      <c r="Y1076" s="197"/>
      <c r="Z1076" s="197"/>
      <c r="AA1076" s="197"/>
      <c r="AB1076" s="197"/>
      <c r="AC1076" s="197"/>
      <c r="AD1076" s="197"/>
      <c r="AE1076" s="197"/>
      <c r="AF1076" s="197"/>
      <c r="AG1076" s="197"/>
      <c r="AH1076" s="197"/>
      <c r="AI1076" s="197"/>
      <c r="AJ1076" s="197"/>
      <c r="AK1076" s="197"/>
      <c r="AL1076" s="197"/>
    </row>
    <row r="1077" spans="1:38">
      <c r="A1077" s="11" t="str">
        <f t="shared" si="75"/>
        <v>15-302465292012</v>
      </c>
      <c r="B1077" t="s">
        <v>645</v>
      </c>
      <c r="C1077" t="s">
        <v>646</v>
      </c>
      <c r="D1077">
        <v>2012</v>
      </c>
      <c r="E1077" t="s">
        <v>133</v>
      </c>
      <c r="F1077">
        <v>49283.48</v>
      </c>
      <c r="G1077">
        <v>43</v>
      </c>
      <c r="H1077" s="11" t="str">
        <f t="shared" si="74"/>
        <v>volume</v>
      </c>
      <c r="I1077" s="197"/>
      <c r="J1077" s="197"/>
      <c r="K1077" s="197"/>
      <c r="L1077" s="197"/>
      <c r="M1077" s="197"/>
      <c r="N1077" s="197"/>
      <c r="O1077" s="197"/>
      <c r="P1077" s="197"/>
      <c r="Q1077" s="197"/>
      <c r="R1077" s="197"/>
      <c r="S1077" s="197"/>
      <c r="T1077" s="197"/>
      <c r="U1077" s="197"/>
      <c r="V1077" s="197"/>
      <c r="W1077" s="197"/>
      <c r="X1077" s="197"/>
      <c r="Y1077" s="197"/>
      <c r="Z1077" s="197"/>
      <c r="AA1077" s="197"/>
      <c r="AB1077" s="197"/>
      <c r="AC1077" s="197"/>
      <c r="AD1077" s="197"/>
      <c r="AE1077" s="197"/>
      <c r="AF1077" s="197"/>
      <c r="AG1077" s="197"/>
      <c r="AH1077" s="197"/>
      <c r="AI1077" s="197"/>
      <c r="AJ1077" s="197"/>
      <c r="AK1077" s="197"/>
      <c r="AL1077" s="197"/>
    </row>
    <row r="1078" spans="1:38">
      <c r="A1078" s="11" t="str">
        <f t="shared" si="75"/>
        <v>15-302465292013</v>
      </c>
      <c r="B1078" t="s">
        <v>645</v>
      </c>
      <c r="C1078" t="s">
        <v>646</v>
      </c>
      <c r="D1078">
        <v>2013</v>
      </c>
      <c r="E1078" t="s">
        <v>63</v>
      </c>
      <c r="F1078">
        <v>369961.05</v>
      </c>
      <c r="G1078">
        <v>316</v>
      </c>
      <c r="H1078" s="11" t="str">
        <f t="shared" si="74"/>
        <v>count</v>
      </c>
      <c r="I1078" s="197"/>
      <c r="J1078" s="197"/>
      <c r="K1078" s="197"/>
      <c r="L1078" s="197"/>
      <c r="M1078" s="197"/>
      <c r="N1078" s="197"/>
      <c r="O1078" s="197"/>
      <c r="P1078" s="197"/>
      <c r="Q1078" s="197"/>
      <c r="R1078" s="197"/>
      <c r="S1078" s="197"/>
      <c r="T1078" s="197"/>
      <c r="U1078" s="197"/>
      <c r="V1078" s="197"/>
      <c r="W1078" s="197"/>
      <c r="X1078" s="197"/>
      <c r="Y1078" s="197"/>
      <c r="Z1078" s="197"/>
      <c r="AA1078" s="197"/>
      <c r="AB1078" s="197"/>
      <c r="AC1078" s="197"/>
      <c r="AD1078" s="197"/>
      <c r="AE1078" s="197"/>
      <c r="AF1078" s="197"/>
      <c r="AG1078" s="197"/>
      <c r="AH1078" s="197"/>
      <c r="AI1078" s="197"/>
      <c r="AJ1078" s="197"/>
      <c r="AK1078" s="197"/>
      <c r="AL1078" s="197"/>
    </row>
    <row r="1079" spans="1:38">
      <c r="A1079" s="11" t="str">
        <f t="shared" si="75"/>
        <v>15-302465292013</v>
      </c>
      <c r="B1079" t="s">
        <v>645</v>
      </c>
      <c r="C1079" t="s">
        <v>646</v>
      </c>
      <c r="D1079">
        <v>2013</v>
      </c>
      <c r="E1079" t="s">
        <v>104</v>
      </c>
      <c r="F1079">
        <v>226148.79</v>
      </c>
      <c r="G1079">
        <v>196</v>
      </c>
      <c r="H1079" s="11" t="str">
        <f t="shared" si="74"/>
        <v>count</v>
      </c>
      <c r="I1079" s="197"/>
      <c r="J1079" s="197"/>
      <c r="K1079" s="197"/>
      <c r="L1079" s="197"/>
      <c r="M1079" s="197"/>
      <c r="N1079" s="197"/>
      <c r="O1079" s="197"/>
      <c r="P1079" s="197"/>
      <c r="Q1079" s="197"/>
      <c r="R1079" s="197"/>
      <c r="S1079" s="197"/>
      <c r="T1079" s="197"/>
      <c r="U1079" s="197"/>
      <c r="V1079" s="197"/>
      <c r="W1079" s="197"/>
      <c r="X1079" s="197"/>
      <c r="Y1079" s="197"/>
      <c r="Z1079" s="197"/>
      <c r="AA1079" s="197"/>
      <c r="AB1079" s="197"/>
      <c r="AC1079" s="197"/>
      <c r="AD1079" s="197"/>
      <c r="AE1079" s="197"/>
      <c r="AF1079" s="197"/>
      <c r="AG1079" s="197"/>
      <c r="AH1079" s="197"/>
      <c r="AI1079" s="197"/>
      <c r="AJ1079" s="197"/>
      <c r="AK1079" s="197"/>
      <c r="AL1079" s="197"/>
    </row>
    <row r="1080" spans="1:38">
      <c r="A1080" s="11" t="str">
        <f t="shared" si="75"/>
        <v>15-302465292012</v>
      </c>
      <c r="B1080" t="s">
        <v>645</v>
      </c>
      <c r="C1080" t="s">
        <v>646</v>
      </c>
      <c r="D1080">
        <v>2012</v>
      </c>
      <c r="E1080" t="s">
        <v>69</v>
      </c>
      <c r="F1080">
        <v>214408.75</v>
      </c>
      <c r="G1080">
        <v>216</v>
      </c>
      <c r="H1080" s="11" t="str">
        <f t="shared" si="74"/>
        <v>count</v>
      </c>
      <c r="I1080" s="197"/>
      <c r="J1080" s="197"/>
      <c r="K1080" s="197"/>
      <c r="L1080" s="197"/>
      <c r="M1080" s="197"/>
      <c r="N1080" s="197"/>
      <c r="O1080" s="197"/>
      <c r="P1080" s="197"/>
      <c r="Q1080" s="197"/>
      <c r="R1080" s="197"/>
      <c r="S1080" s="197"/>
      <c r="T1080" s="197"/>
      <c r="U1080" s="197"/>
      <c r="V1080" s="197"/>
      <c r="W1080" s="197"/>
      <c r="X1080" s="197"/>
      <c r="Y1080" s="197"/>
      <c r="Z1080" s="197"/>
      <c r="AA1080" s="197"/>
      <c r="AB1080" s="197"/>
      <c r="AC1080" s="197"/>
      <c r="AD1080" s="197"/>
      <c r="AE1080" s="197"/>
      <c r="AF1080" s="197"/>
      <c r="AG1080" s="197"/>
      <c r="AH1080" s="197"/>
      <c r="AI1080" s="197"/>
      <c r="AJ1080" s="197"/>
      <c r="AK1080" s="197"/>
      <c r="AL1080" s="197"/>
    </row>
    <row r="1081" spans="1:38">
      <c r="A1081" s="11" t="str">
        <f t="shared" si="75"/>
        <v>15-302465292011</v>
      </c>
      <c r="B1081" t="s">
        <v>645</v>
      </c>
      <c r="C1081" t="s">
        <v>646</v>
      </c>
      <c r="D1081">
        <v>2011</v>
      </c>
      <c r="E1081" t="s">
        <v>106</v>
      </c>
      <c r="F1081">
        <v>223889.26</v>
      </c>
      <c r="G1081">
        <v>145</v>
      </c>
      <c r="H1081" s="11" t="str">
        <f t="shared" si="74"/>
        <v>count</v>
      </c>
      <c r="I1081" s="197"/>
      <c r="J1081" s="197"/>
      <c r="K1081" s="197"/>
      <c r="L1081" s="197"/>
      <c r="M1081" s="197"/>
      <c r="N1081" s="197"/>
      <c r="O1081" s="197"/>
      <c r="P1081" s="197"/>
      <c r="Q1081" s="197"/>
      <c r="R1081" s="197"/>
      <c r="S1081" s="197"/>
      <c r="T1081" s="197"/>
      <c r="U1081" s="197"/>
      <c r="V1081" s="197"/>
      <c r="W1081" s="197"/>
      <c r="X1081" s="197"/>
      <c r="Y1081" s="197"/>
      <c r="Z1081" s="197"/>
      <c r="AA1081" s="197"/>
      <c r="AB1081" s="197"/>
      <c r="AC1081" s="197"/>
      <c r="AD1081" s="197"/>
      <c r="AE1081" s="197"/>
      <c r="AF1081" s="197"/>
      <c r="AG1081" s="197"/>
      <c r="AH1081" s="197"/>
      <c r="AI1081" s="197"/>
      <c r="AJ1081" s="197"/>
      <c r="AK1081" s="197"/>
      <c r="AL1081" s="197"/>
    </row>
    <row r="1082" spans="1:38">
      <c r="A1082" s="11" t="str">
        <f t="shared" si="75"/>
        <v>15-302465292013</v>
      </c>
      <c r="B1082" t="s">
        <v>645</v>
      </c>
      <c r="C1082" t="s">
        <v>646</v>
      </c>
      <c r="D1082">
        <v>2013</v>
      </c>
      <c r="E1082" t="s">
        <v>69</v>
      </c>
      <c r="F1082">
        <v>390408.2</v>
      </c>
      <c r="G1082">
        <v>400</v>
      </c>
      <c r="H1082" s="11" t="str">
        <f t="shared" si="74"/>
        <v>count</v>
      </c>
      <c r="I1082" s="197"/>
      <c r="J1082" s="197"/>
      <c r="K1082" s="197"/>
      <c r="L1082" s="197"/>
      <c r="M1082" s="197"/>
      <c r="N1082" s="197"/>
      <c r="O1082" s="197"/>
      <c r="P1082" s="197"/>
      <c r="Q1082" s="197"/>
      <c r="R1082" s="197"/>
      <c r="S1082" s="197"/>
      <c r="T1082" s="197"/>
      <c r="U1082" s="197"/>
      <c r="V1082" s="197"/>
      <c r="W1082" s="197"/>
      <c r="X1082" s="197"/>
      <c r="Y1082" s="197"/>
      <c r="Z1082" s="197"/>
      <c r="AA1082" s="197"/>
      <c r="AB1082" s="197"/>
      <c r="AC1082" s="197"/>
      <c r="AD1082" s="197"/>
      <c r="AE1082" s="197"/>
      <c r="AF1082" s="197"/>
      <c r="AG1082" s="197"/>
      <c r="AH1082" s="197"/>
      <c r="AI1082" s="197"/>
      <c r="AJ1082" s="197"/>
      <c r="AK1082" s="197"/>
      <c r="AL1082" s="197"/>
    </row>
    <row r="1083" spans="1:38">
      <c r="A1083" s="11" t="str">
        <f t="shared" si="75"/>
        <v>15-302465292012</v>
      </c>
      <c r="B1083" t="s">
        <v>645</v>
      </c>
      <c r="C1083" t="s">
        <v>646</v>
      </c>
      <c r="D1083">
        <v>2012</v>
      </c>
      <c r="E1083" t="s">
        <v>63</v>
      </c>
      <c r="F1083">
        <v>417532.28</v>
      </c>
      <c r="G1083">
        <v>316</v>
      </c>
      <c r="H1083" s="11" t="str">
        <f t="shared" si="74"/>
        <v>count</v>
      </c>
      <c r="I1083" s="197"/>
      <c r="J1083" s="197"/>
      <c r="K1083" s="197"/>
      <c r="L1083" s="197"/>
      <c r="M1083" s="197"/>
      <c r="N1083" s="197"/>
      <c r="O1083" s="197"/>
      <c r="P1083" s="197"/>
      <c r="Q1083" s="197"/>
      <c r="R1083" s="197"/>
      <c r="S1083" s="197"/>
      <c r="T1083" s="197"/>
      <c r="U1083" s="197"/>
      <c r="V1083" s="197"/>
      <c r="W1083" s="197"/>
      <c r="X1083" s="197"/>
      <c r="Y1083" s="197"/>
      <c r="Z1083" s="197"/>
      <c r="AA1083" s="197"/>
      <c r="AB1083" s="197"/>
      <c r="AC1083" s="197"/>
      <c r="AD1083" s="197"/>
      <c r="AE1083" s="197"/>
      <c r="AF1083" s="197"/>
      <c r="AG1083" s="197"/>
      <c r="AH1083" s="197"/>
      <c r="AI1083" s="197"/>
      <c r="AJ1083" s="197"/>
      <c r="AK1083" s="197"/>
      <c r="AL1083" s="197"/>
    </row>
    <row r="1084" spans="1:38">
      <c r="A1084" s="11" t="str">
        <f t="shared" si="75"/>
        <v>15-302465292012</v>
      </c>
      <c r="B1084" t="s">
        <v>645</v>
      </c>
      <c r="C1084" t="s">
        <v>646</v>
      </c>
      <c r="D1084">
        <v>2012</v>
      </c>
      <c r="E1084" t="s">
        <v>104</v>
      </c>
      <c r="F1084">
        <v>242609.16</v>
      </c>
      <c r="G1084">
        <v>212</v>
      </c>
      <c r="H1084" s="11" t="str">
        <f t="shared" si="74"/>
        <v>count</v>
      </c>
      <c r="I1084" s="197"/>
      <c r="J1084" s="197"/>
      <c r="K1084" s="197"/>
      <c r="L1084" s="197"/>
      <c r="M1084" s="197"/>
      <c r="N1084" s="197"/>
      <c r="O1084" s="197"/>
      <c r="P1084" s="197"/>
      <c r="Q1084" s="197"/>
      <c r="R1084" s="197"/>
      <c r="S1084" s="197"/>
      <c r="T1084" s="197"/>
      <c r="U1084" s="197"/>
      <c r="V1084" s="197"/>
      <c r="W1084" s="197"/>
      <c r="X1084" s="197"/>
      <c r="Y1084" s="197"/>
      <c r="Z1084" s="197"/>
      <c r="AA1084" s="197"/>
      <c r="AB1084" s="197"/>
      <c r="AC1084" s="197"/>
      <c r="AD1084" s="197"/>
      <c r="AE1084" s="197"/>
      <c r="AF1084" s="197"/>
      <c r="AG1084" s="197"/>
      <c r="AH1084" s="197"/>
      <c r="AI1084" s="197"/>
      <c r="AJ1084" s="197"/>
      <c r="AK1084" s="197"/>
      <c r="AL1084" s="197"/>
    </row>
    <row r="1085" spans="1:38">
      <c r="A1085" s="11" t="str">
        <f t="shared" si="75"/>
        <v>15-302465292013</v>
      </c>
      <c r="B1085" t="s">
        <v>645</v>
      </c>
      <c r="C1085" t="s">
        <v>646</v>
      </c>
      <c r="D1085">
        <v>2013</v>
      </c>
      <c r="E1085" t="s">
        <v>133</v>
      </c>
      <c r="F1085">
        <v>73941.279999999999</v>
      </c>
      <c r="G1085">
        <v>65</v>
      </c>
      <c r="H1085" s="11" t="str">
        <f t="shared" si="74"/>
        <v>count</v>
      </c>
      <c r="I1085" s="197"/>
      <c r="J1085" s="197"/>
      <c r="K1085" s="197"/>
      <c r="L1085" s="197"/>
      <c r="M1085" s="197"/>
      <c r="N1085" s="197"/>
      <c r="O1085" s="197"/>
      <c r="P1085" s="197"/>
      <c r="Q1085" s="197"/>
      <c r="R1085" s="197"/>
      <c r="S1085" s="197"/>
      <c r="T1085" s="197"/>
      <c r="U1085" s="197"/>
      <c r="V1085" s="197"/>
      <c r="W1085" s="197"/>
      <c r="X1085" s="197"/>
      <c r="Y1085" s="197"/>
      <c r="Z1085" s="197"/>
      <c r="AA1085" s="197"/>
      <c r="AB1085" s="197"/>
      <c r="AC1085" s="197"/>
      <c r="AD1085" s="197"/>
      <c r="AE1085" s="197"/>
      <c r="AF1085" s="197"/>
      <c r="AG1085" s="197"/>
      <c r="AH1085" s="197"/>
      <c r="AI1085" s="197"/>
      <c r="AJ1085" s="197"/>
      <c r="AK1085" s="197"/>
      <c r="AL1085" s="197"/>
    </row>
    <row r="1086" spans="1:38">
      <c r="A1086" s="11" t="str">
        <f t="shared" si="75"/>
        <v>15-302465292012</v>
      </c>
      <c r="B1086" t="s">
        <v>645</v>
      </c>
      <c r="C1086" t="s">
        <v>646</v>
      </c>
      <c r="D1086">
        <v>2012</v>
      </c>
      <c r="E1086" t="s">
        <v>106</v>
      </c>
      <c r="F1086">
        <v>106725.49</v>
      </c>
      <c r="G1086">
        <v>79</v>
      </c>
      <c r="H1086" s="11" t="str">
        <f t="shared" si="74"/>
        <v>count</v>
      </c>
      <c r="I1086" s="197"/>
      <c r="J1086" s="197"/>
      <c r="K1086" s="197"/>
      <c r="L1086" s="197"/>
      <c r="M1086" s="197"/>
      <c r="N1086" s="197"/>
      <c r="O1086" s="197"/>
      <c r="P1086" s="197"/>
      <c r="Q1086" s="197"/>
      <c r="R1086" s="197"/>
      <c r="S1086" s="197"/>
      <c r="T1086" s="197"/>
      <c r="U1086" s="197"/>
      <c r="V1086" s="197"/>
      <c r="W1086" s="197"/>
      <c r="X1086" s="197"/>
      <c r="Y1086" s="197"/>
      <c r="Z1086" s="197"/>
      <c r="AA1086" s="197"/>
      <c r="AB1086" s="197"/>
      <c r="AC1086" s="197"/>
      <c r="AD1086" s="197"/>
      <c r="AE1086" s="197"/>
      <c r="AF1086" s="197"/>
      <c r="AG1086" s="197"/>
      <c r="AH1086" s="197"/>
      <c r="AI1086" s="197"/>
      <c r="AJ1086" s="197"/>
      <c r="AK1086" s="197"/>
      <c r="AL1086" s="197"/>
    </row>
    <row r="1087" spans="1:38">
      <c r="A1087" s="11" t="str">
        <f t="shared" si="75"/>
        <v>15-302465292011</v>
      </c>
      <c r="B1087" t="s">
        <v>645</v>
      </c>
      <c r="C1087" t="s">
        <v>646</v>
      </c>
      <c r="D1087">
        <v>2011</v>
      </c>
      <c r="E1087" t="s">
        <v>63</v>
      </c>
      <c r="F1087">
        <v>308127.34999999998</v>
      </c>
      <c r="G1087">
        <v>223</v>
      </c>
      <c r="H1087" s="11" t="str">
        <f t="shared" si="74"/>
        <v>count</v>
      </c>
      <c r="I1087" s="197"/>
      <c r="J1087" s="197"/>
      <c r="K1087" s="197"/>
      <c r="L1087" s="197"/>
      <c r="M1087" s="197"/>
      <c r="N1087" s="197"/>
      <c r="O1087" s="197"/>
      <c r="P1087" s="197"/>
      <c r="Q1087" s="197"/>
      <c r="R1087" s="197"/>
      <c r="S1087" s="197"/>
      <c r="T1087" s="197"/>
      <c r="U1087" s="197"/>
      <c r="V1087" s="197"/>
      <c r="W1087" s="197"/>
      <c r="X1087" s="197"/>
      <c r="Y1087" s="197"/>
      <c r="Z1087" s="197"/>
      <c r="AA1087" s="197"/>
      <c r="AB1087" s="197"/>
      <c r="AC1087" s="197"/>
      <c r="AD1087" s="197"/>
      <c r="AE1087" s="197"/>
      <c r="AF1087" s="197"/>
      <c r="AG1087" s="197"/>
      <c r="AH1087" s="197"/>
      <c r="AI1087" s="197"/>
      <c r="AJ1087" s="197"/>
      <c r="AK1087" s="197"/>
      <c r="AL1087" s="197"/>
    </row>
    <row r="1088" spans="1:38">
      <c r="A1088" s="11" t="str">
        <f t="shared" si="75"/>
        <v>15-302465292013</v>
      </c>
      <c r="B1088" t="s">
        <v>645</v>
      </c>
      <c r="C1088" t="s">
        <v>646</v>
      </c>
      <c r="D1088">
        <v>2013</v>
      </c>
      <c r="E1088" t="s">
        <v>105</v>
      </c>
      <c r="F1088">
        <v>4580.57</v>
      </c>
      <c r="G1088">
        <v>8</v>
      </c>
      <c r="H1088" s="11" t="str">
        <f t="shared" si="74"/>
        <v>count</v>
      </c>
      <c r="I1088" s="197"/>
      <c r="J1088" s="197"/>
      <c r="K1088" s="197"/>
      <c r="L1088" s="197"/>
      <c r="M1088" s="197"/>
      <c r="N1088" s="197"/>
      <c r="O1088" s="197"/>
      <c r="P1088" s="197"/>
      <c r="Q1088" s="197"/>
      <c r="R1088" s="197"/>
      <c r="S1088" s="197"/>
      <c r="T1088" s="197"/>
      <c r="U1088" s="197"/>
      <c r="V1088" s="197"/>
      <c r="W1088" s="197"/>
      <c r="X1088" s="197"/>
      <c r="Y1088" s="197"/>
      <c r="Z1088" s="197"/>
      <c r="AA1088" s="197"/>
      <c r="AB1088" s="197"/>
      <c r="AC1088" s="197"/>
      <c r="AD1088" s="197"/>
      <c r="AE1088" s="197"/>
      <c r="AF1088" s="197"/>
      <c r="AG1088" s="197"/>
      <c r="AH1088" s="197"/>
      <c r="AI1088" s="197"/>
      <c r="AJ1088" s="197"/>
      <c r="AK1088" s="197"/>
      <c r="AL1088" s="197"/>
    </row>
    <row r="1089" spans="1:38">
      <c r="A1089" s="11" t="str">
        <f t="shared" si="75"/>
        <v>15-302465292011</v>
      </c>
      <c r="B1089" t="s">
        <v>645</v>
      </c>
      <c r="C1089" t="s">
        <v>646</v>
      </c>
      <c r="D1089">
        <v>2011</v>
      </c>
      <c r="E1089" t="s">
        <v>104</v>
      </c>
      <c r="F1089">
        <v>118471.67999999999</v>
      </c>
      <c r="G1089">
        <v>101</v>
      </c>
      <c r="H1089" s="11" t="str">
        <f t="shared" si="74"/>
        <v>count</v>
      </c>
      <c r="I1089" s="197"/>
      <c r="J1089" s="197"/>
      <c r="K1089" s="197"/>
      <c r="L1089" s="197"/>
      <c r="M1089" s="197"/>
      <c r="N1089" s="197"/>
      <c r="O1089" s="197"/>
      <c r="P1089" s="197"/>
      <c r="Q1089" s="197"/>
      <c r="R1089" s="197"/>
      <c r="S1089" s="197"/>
      <c r="T1089" s="197"/>
      <c r="U1089" s="197"/>
      <c r="V1089" s="197"/>
      <c r="W1089" s="197"/>
      <c r="X1089" s="197"/>
      <c r="Y1089" s="197"/>
      <c r="Z1089" s="197"/>
      <c r="AA1089" s="197"/>
      <c r="AB1089" s="197"/>
      <c r="AC1089" s="197"/>
      <c r="AD1089" s="197"/>
      <c r="AE1089" s="197"/>
      <c r="AF1089" s="197"/>
      <c r="AG1089" s="197"/>
      <c r="AH1089" s="197"/>
      <c r="AI1089" s="197"/>
      <c r="AJ1089" s="197"/>
      <c r="AK1089" s="197"/>
      <c r="AL1089" s="197"/>
    </row>
    <row r="1090" spans="1:38">
      <c r="A1090" s="11" t="str">
        <f t="shared" si="75"/>
        <v>15-302465292012</v>
      </c>
      <c r="B1090" t="s">
        <v>645</v>
      </c>
      <c r="C1090" t="s">
        <v>646</v>
      </c>
      <c r="D1090">
        <v>2012</v>
      </c>
      <c r="E1090" t="s">
        <v>105</v>
      </c>
      <c r="F1090">
        <v>3685.44</v>
      </c>
      <c r="G1090">
        <v>3</v>
      </c>
      <c r="H1090" s="11" t="str">
        <f t="shared" ref="H1090:H1153" si="76">IF(B1090=B1089,"count","volume")</f>
        <v>count</v>
      </c>
      <c r="I1090" s="197"/>
      <c r="J1090" s="197"/>
      <c r="K1090" s="197"/>
      <c r="L1090" s="197"/>
      <c r="M1090" s="197"/>
      <c r="N1090" s="197"/>
      <c r="O1090" s="197"/>
      <c r="P1090" s="197"/>
      <c r="Q1090" s="197"/>
      <c r="R1090" s="197"/>
      <c r="S1090" s="197"/>
      <c r="T1090" s="197"/>
      <c r="U1090" s="197"/>
      <c r="V1090" s="197"/>
      <c r="W1090" s="197"/>
      <c r="X1090" s="197"/>
      <c r="Y1090" s="197"/>
      <c r="Z1090" s="197"/>
      <c r="AA1090" s="197"/>
      <c r="AB1090" s="197"/>
      <c r="AC1090" s="197"/>
      <c r="AD1090" s="197"/>
      <c r="AE1090" s="197"/>
      <c r="AF1090" s="197"/>
      <c r="AG1090" s="197"/>
      <c r="AH1090" s="197"/>
      <c r="AI1090" s="197"/>
      <c r="AJ1090" s="197"/>
      <c r="AK1090" s="197"/>
      <c r="AL1090" s="197"/>
    </row>
    <row r="1091" spans="1:38">
      <c r="A1091" s="11" t="str">
        <f t="shared" ref="A1091:A1154" si="77">B1091&amp;D1091</f>
        <v>15-302465292013</v>
      </c>
      <c r="B1091" t="s">
        <v>645</v>
      </c>
      <c r="C1091" t="s">
        <v>646</v>
      </c>
      <c r="D1091">
        <v>2013</v>
      </c>
      <c r="E1091" t="s">
        <v>106</v>
      </c>
      <c r="F1091">
        <v>97836.49</v>
      </c>
      <c r="G1091">
        <v>69</v>
      </c>
      <c r="H1091" s="11" t="str">
        <f t="shared" si="76"/>
        <v>count</v>
      </c>
      <c r="I1091" s="197"/>
      <c r="J1091" s="197"/>
      <c r="K1091" s="197"/>
      <c r="L1091" s="197"/>
      <c r="M1091" s="197"/>
      <c r="N1091" s="197"/>
      <c r="O1091" s="197"/>
      <c r="P1091" s="197"/>
      <c r="Q1091" s="197"/>
      <c r="R1091" s="197"/>
      <c r="S1091" s="197"/>
      <c r="T1091" s="197"/>
      <c r="U1091" s="197"/>
      <c r="V1091" s="197"/>
      <c r="W1091" s="197"/>
      <c r="X1091" s="197"/>
      <c r="Y1091" s="197"/>
      <c r="Z1091" s="197"/>
      <c r="AA1091" s="197"/>
      <c r="AB1091" s="197"/>
      <c r="AC1091" s="197"/>
      <c r="AD1091" s="197"/>
      <c r="AE1091" s="197"/>
      <c r="AF1091" s="197"/>
      <c r="AG1091" s="197"/>
      <c r="AH1091" s="197"/>
      <c r="AI1091" s="197"/>
      <c r="AJ1091" s="197"/>
      <c r="AK1091" s="197"/>
      <c r="AL1091" s="197"/>
    </row>
    <row r="1092" spans="1:38">
      <c r="A1092" s="11" t="str">
        <f t="shared" si="77"/>
        <v>15-302465292011</v>
      </c>
      <c r="B1092" t="s">
        <v>645</v>
      </c>
      <c r="C1092" t="s">
        <v>646</v>
      </c>
      <c r="D1092">
        <v>2011</v>
      </c>
      <c r="E1092" t="s">
        <v>69</v>
      </c>
      <c r="F1092">
        <v>75</v>
      </c>
      <c r="G1092">
        <v>1</v>
      </c>
      <c r="H1092" s="11" t="str">
        <f t="shared" si="76"/>
        <v>count</v>
      </c>
      <c r="I1092" s="197"/>
      <c r="J1092" s="197"/>
      <c r="K1092" s="197"/>
      <c r="L1092" s="197"/>
      <c r="M1092" s="197"/>
      <c r="N1092" s="197"/>
      <c r="O1092" s="197"/>
      <c r="P1092" s="197"/>
      <c r="Q1092" s="197"/>
      <c r="R1092" s="197"/>
      <c r="S1092" s="197"/>
      <c r="T1092" s="197"/>
      <c r="U1092" s="197"/>
      <c r="V1092" s="197"/>
      <c r="W1092" s="197"/>
      <c r="X1092" s="197"/>
      <c r="Y1092" s="197"/>
      <c r="Z1092" s="197"/>
      <c r="AA1092" s="197"/>
      <c r="AB1092" s="197"/>
      <c r="AC1092" s="197"/>
      <c r="AD1092" s="197"/>
      <c r="AE1092" s="197"/>
      <c r="AF1092" s="197"/>
      <c r="AG1092" s="197"/>
      <c r="AH1092" s="197"/>
      <c r="AI1092" s="197"/>
      <c r="AJ1092" s="197"/>
      <c r="AK1092" s="197"/>
      <c r="AL1092" s="197"/>
    </row>
    <row r="1093" spans="1:38">
      <c r="A1093" s="11" t="str">
        <f t="shared" si="77"/>
        <v>15-302578192011</v>
      </c>
      <c r="B1093" t="s">
        <v>647</v>
      </c>
      <c r="C1093" t="s">
        <v>648</v>
      </c>
      <c r="D1093">
        <v>2011</v>
      </c>
      <c r="E1093" t="s">
        <v>133</v>
      </c>
      <c r="F1093">
        <v>521284.69</v>
      </c>
      <c r="G1093">
        <v>796</v>
      </c>
      <c r="H1093" s="11" t="str">
        <f t="shared" si="76"/>
        <v>volume</v>
      </c>
      <c r="I1093" s="197"/>
      <c r="J1093" s="197"/>
      <c r="K1093" s="197"/>
      <c r="L1093" s="197"/>
      <c r="M1093" s="197"/>
      <c r="N1093" s="197"/>
      <c r="O1093" s="197"/>
      <c r="P1093" s="197"/>
      <c r="Q1093" s="197"/>
      <c r="R1093" s="197"/>
      <c r="S1093" s="197"/>
      <c r="T1093" s="197"/>
      <c r="U1093" s="197"/>
      <c r="V1093" s="197"/>
      <c r="W1093" s="197"/>
      <c r="X1093" s="197"/>
      <c r="Y1093" s="197"/>
      <c r="Z1093" s="197"/>
      <c r="AA1093" s="197"/>
      <c r="AB1093" s="197"/>
      <c r="AC1093" s="197"/>
      <c r="AD1093" s="197"/>
      <c r="AE1093" s="197"/>
      <c r="AF1093" s="197"/>
      <c r="AG1093" s="197"/>
      <c r="AH1093" s="197"/>
      <c r="AI1093" s="197"/>
      <c r="AJ1093" s="197"/>
      <c r="AK1093" s="197"/>
      <c r="AL1093" s="197"/>
    </row>
    <row r="1094" spans="1:38">
      <c r="A1094" s="11" t="str">
        <f t="shared" si="77"/>
        <v>15-302578192011</v>
      </c>
      <c r="B1094" t="s">
        <v>647</v>
      </c>
      <c r="C1094" t="s">
        <v>648</v>
      </c>
      <c r="D1094">
        <v>2011</v>
      </c>
      <c r="E1094" t="s">
        <v>104</v>
      </c>
      <c r="F1094">
        <v>476537.25</v>
      </c>
      <c r="G1094">
        <v>1053</v>
      </c>
      <c r="H1094" s="11" t="str">
        <f t="shared" si="76"/>
        <v>count</v>
      </c>
      <c r="I1094" s="197"/>
      <c r="J1094" s="197"/>
      <c r="K1094" s="197"/>
      <c r="L1094" s="197"/>
      <c r="M1094" s="197"/>
      <c r="N1094" s="197"/>
      <c r="O1094" s="197"/>
      <c r="P1094" s="197"/>
      <c r="Q1094" s="197"/>
      <c r="R1094" s="197"/>
      <c r="S1094" s="197"/>
      <c r="T1094" s="197"/>
      <c r="U1094" s="197"/>
      <c r="V1094" s="197"/>
      <c r="W1094" s="197"/>
      <c r="X1094" s="197"/>
      <c r="Y1094" s="197"/>
      <c r="Z1094" s="197"/>
      <c r="AA1094" s="197"/>
      <c r="AB1094" s="197"/>
      <c r="AC1094" s="197"/>
      <c r="AD1094" s="197"/>
      <c r="AE1094" s="197"/>
      <c r="AF1094" s="197"/>
      <c r="AG1094" s="197"/>
      <c r="AH1094" s="197"/>
      <c r="AI1094" s="197"/>
      <c r="AJ1094" s="197"/>
      <c r="AK1094" s="197"/>
      <c r="AL1094" s="197"/>
    </row>
    <row r="1095" spans="1:38">
      <c r="A1095" s="11" t="str">
        <f t="shared" si="77"/>
        <v>15-302578192011</v>
      </c>
      <c r="B1095" t="s">
        <v>647</v>
      </c>
      <c r="C1095" t="s">
        <v>648</v>
      </c>
      <c r="D1095">
        <v>2011</v>
      </c>
      <c r="E1095" t="s">
        <v>69</v>
      </c>
      <c r="F1095">
        <v>4633.37</v>
      </c>
      <c r="G1095">
        <v>9</v>
      </c>
      <c r="H1095" s="11" t="str">
        <f t="shared" si="76"/>
        <v>count</v>
      </c>
      <c r="I1095" s="197"/>
      <c r="J1095" s="197"/>
      <c r="K1095" s="197"/>
      <c r="L1095" s="197"/>
      <c r="M1095" s="197"/>
      <c r="N1095" s="197"/>
      <c r="O1095" s="197"/>
      <c r="P1095" s="197"/>
      <c r="Q1095" s="197"/>
      <c r="R1095" s="197"/>
      <c r="S1095" s="197"/>
      <c r="T1095" s="197"/>
      <c r="U1095" s="197"/>
      <c r="V1095" s="197"/>
      <c r="W1095" s="197"/>
      <c r="X1095" s="197"/>
      <c r="Y1095" s="197"/>
      <c r="Z1095" s="197"/>
      <c r="AA1095" s="197"/>
      <c r="AB1095" s="197"/>
      <c r="AC1095" s="197"/>
      <c r="AD1095" s="197"/>
      <c r="AE1095" s="197"/>
      <c r="AF1095" s="197"/>
      <c r="AG1095" s="197"/>
      <c r="AH1095" s="197"/>
      <c r="AI1095" s="197"/>
      <c r="AJ1095" s="197"/>
      <c r="AK1095" s="197"/>
      <c r="AL1095" s="197"/>
    </row>
    <row r="1096" spans="1:38">
      <c r="A1096" s="11" t="str">
        <f t="shared" si="77"/>
        <v>15-302578192011</v>
      </c>
      <c r="B1096" t="s">
        <v>647</v>
      </c>
      <c r="C1096" t="s">
        <v>648</v>
      </c>
      <c r="D1096">
        <v>2011</v>
      </c>
      <c r="E1096" t="s">
        <v>63</v>
      </c>
      <c r="F1096">
        <v>1013537.67</v>
      </c>
      <c r="G1096">
        <v>2636</v>
      </c>
      <c r="H1096" s="11" t="str">
        <f t="shared" si="76"/>
        <v>count</v>
      </c>
      <c r="I1096" s="197"/>
      <c r="J1096" s="197"/>
      <c r="K1096" s="197"/>
      <c r="L1096" s="197"/>
      <c r="M1096" s="197"/>
      <c r="N1096" s="197"/>
      <c r="O1096" s="197"/>
      <c r="P1096" s="197"/>
      <c r="Q1096" s="197"/>
      <c r="R1096" s="197"/>
      <c r="S1096" s="197"/>
      <c r="T1096" s="197"/>
      <c r="U1096" s="197"/>
      <c r="V1096" s="197"/>
      <c r="W1096" s="197"/>
      <c r="X1096" s="197"/>
      <c r="Y1096" s="197"/>
      <c r="Z1096" s="197"/>
      <c r="AA1096" s="197"/>
      <c r="AB1096" s="197"/>
      <c r="AC1096" s="197"/>
      <c r="AD1096" s="197"/>
      <c r="AE1096" s="197"/>
      <c r="AF1096" s="197"/>
      <c r="AG1096" s="197"/>
      <c r="AH1096" s="197"/>
      <c r="AI1096" s="197"/>
      <c r="AJ1096" s="197"/>
      <c r="AK1096" s="197"/>
      <c r="AL1096" s="197"/>
    </row>
    <row r="1097" spans="1:38">
      <c r="A1097" s="11" t="str">
        <f t="shared" si="77"/>
        <v>15-302578192012</v>
      </c>
      <c r="B1097" t="s">
        <v>647</v>
      </c>
      <c r="C1097" t="s">
        <v>648</v>
      </c>
      <c r="D1097">
        <v>2012</v>
      </c>
      <c r="E1097" t="s">
        <v>105</v>
      </c>
      <c r="F1097">
        <v>102291.96</v>
      </c>
      <c r="G1097">
        <v>208</v>
      </c>
      <c r="H1097" s="11" t="str">
        <f t="shared" si="76"/>
        <v>count</v>
      </c>
      <c r="I1097" s="197"/>
      <c r="J1097" s="197"/>
      <c r="K1097" s="197"/>
      <c r="L1097" s="197"/>
      <c r="M1097" s="197"/>
      <c r="N1097" s="197"/>
      <c r="O1097" s="197"/>
      <c r="P1097" s="197"/>
      <c r="Q1097" s="197"/>
      <c r="R1097" s="197"/>
      <c r="S1097" s="197"/>
      <c r="T1097" s="197"/>
      <c r="U1097" s="197"/>
      <c r="V1097" s="197"/>
      <c r="W1097" s="197"/>
      <c r="X1097" s="197"/>
      <c r="Y1097" s="197"/>
      <c r="Z1097" s="197"/>
      <c r="AA1097" s="197"/>
      <c r="AB1097" s="197"/>
      <c r="AC1097" s="197"/>
      <c r="AD1097" s="197"/>
      <c r="AE1097" s="197"/>
      <c r="AF1097" s="197"/>
      <c r="AG1097" s="197"/>
      <c r="AH1097" s="197"/>
      <c r="AI1097" s="197"/>
      <c r="AJ1097" s="197"/>
      <c r="AK1097" s="197"/>
      <c r="AL1097" s="197"/>
    </row>
    <row r="1098" spans="1:38">
      <c r="A1098" s="11" t="str">
        <f t="shared" si="77"/>
        <v>15-302578192011</v>
      </c>
      <c r="B1098" t="s">
        <v>647</v>
      </c>
      <c r="C1098" t="s">
        <v>648</v>
      </c>
      <c r="D1098">
        <v>2011</v>
      </c>
      <c r="E1098" t="s">
        <v>105</v>
      </c>
      <c r="F1098">
        <v>131007.34</v>
      </c>
      <c r="G1098">
        <v>248</v>
      </c>
      <c r="H1098" s="11" t="str">
        <f t="shared" si="76"/>
        <v>count</v>
      </c>
      <c r="I1098" s="197"/>
      <c r="J1098" s="197"/>
      <c r="K1098" s="197"/>
      <c r="L1098" s="197"/>
      <c r="M1098" s="197"/>
      <c r="N1098" s="197"/>
      <c r="O1098" s="197"/>
      <c r="P1098" s="197"/>
      <c r="Q1098" s="197"/>
      <c r="R1098" s="197"/>
      <c r="S1098" s="197"/>
      <c r="T1098" s="197"/>
      <c r="U1098" s="197"/>
      <c r="V1098" s="197"/>
      <c r="W1098" s="197"/>
      <c r="X1098" s="197"/>
      <c r="Y1098" s="197"/>
      <c r="Z1098" s="197"/>
      <c r="AA1098" s="197"/>
      <c r="AB1098" s="197"/>
      <c r="AC1098" s="197"/>
      <c r="AD1098" s="197"/>
      <c r="AE1098" s="197"/>
      <c r="AF1098" s="197"/>
      <c r="AG1098" s="197"/>
      <c r="AH1098" s="197"/>
      <c r="AI1098" s="197"/>
      <c r="AJ1098" s="197"/>
      <c r="AK1098" s="197"/>
      <c r="AL1098" s="197"/>
    </row>
    <row r="1099" spans="1:38">
      <c r="A1099" s="11" t="str">
        <f t="shared" si="77"/>
        <v>15-302578192012</v>
      </c>
      <c r="B1099" t="s">
        <v>647</v>
      </c>
      <c r="C1099" t="s">
        <v>648</v>
      </c>
      <c r="D1099">
        <v>2012</v>
      </c>
      <c r="E1099" t="s">
        <v>69</v>
      </c>
      <c r="F1099">
        <v>202376.8</v>
      </c>
      <c r="G1099">
        <v>644</v>
      </c>
      <c r="H1099" s="11" t="str">
        <f t="shared" si="76"/>
        <v>count</v>
      </c>
      <c r="I1099" s="197"/>
      <c r="J1099" s="197"/>
      <c r="K1099" s="197"/>
      <c r="L1099" s="197"/>
      <c r="M1099" s="197"/>
      <c r="N1099" s="197"/>
      <c r="O1099" s="197"/>
      <c r="P1099" s="197"/>
      <c r="Q1099" s="197"/>
      <c r="R1099" s="197"/>
      <c r="S1099" s="197"/>
      <c r="T1099" s="197"/>
      <c r="U1099" s="197"/>
      <c r="V1099" s="197"/>
      <c r="W1099" s="197"/>
      <c r="X1099" s="197"/>
      <c r="Y1099" s="197"/>
      <c r="Z1099" s="197"/>
      <c r="AA1099" s="197"/>
      <c r="AB1099" s="197"/>
      <c r="AC1099" s="197"/>
      <c r="AD1099" s="197"/>
      <c r="AE1099" s="197"/>
      <c r="AF1099" s="197"/>
      <c r="AG1099" s="197"/>
      <c r="AH1099" s="197"/>
      <c r="AI1099" s="197"/>
      <c r="AJ1099" s="197"/>
      <c r="AK1099" s="197"/>
      <c r="AL1099" s="197"/>
    </row>
    <row r="1100" spans="1:38">
      <c r="A1100" s="11" t="str">
        <f t="shared" si="77"/>
        <v>15-302578192013</v>
      </c>
      <c r="B1100" t="s">
        <v>647</v>
      </c>
      <c r="C1100" t="s">
        <v>648</v>
      </c>
      <c r="D1100">
        <v>2013</v>
      </c>
      <c r="E1100" t="s">
        <v>104</v>
      </c>
      <c r="F1100">
        <v>826654.05</v>
      </c>
      <c r="G1100">
        <v>1883</v>
      </c>
      <c r="H1100" s="11" t="str">
        <f t="shared" si="76"/>
        <v>count</v>
      </c>
      <c r="I1100" s="197"/>
      <c r="J1100" s="197"/>
      <c r="K1100" s="197"/>
      <c r="L1100" s="197"/>
      <c r="M1100" s="197"/>
      <c r="N1100" s="197"/>
      <c r="O1100" s="197"/>
      <c r="P1100" s="197"/>
      <c r="Q1100" s="197"/>
      <c r="R1100" s="197"/>
      <c r="S1100" s="197"/>
      <c r="T1100" s="197"/>
      <c r="U1100" s="197"/>
      <c r="V1100" s="197"/>
      <c r="W1100" s="197"/>
      <c r="X1100" s="197"/>
      <c r="Y1100" s="197"/>
      <c r="Z1100" s="197"/>
      <c r="AA1100" s="197"/>
      <c r="AB1100" s="197"/>
      <c r="AC1100" s="197"/>
      <c r="AD1100" s="197"/>
      <c r="AE1100" s="197"/>
      <c r="AF1100" s="197"/>
      <c r="AG1100" s="197"/>
      <c r="AH1100" s="197"/>
      <c r="AI1100" s="197"/>
      <c r="AJ1100" s="197"/>
      <c r="AK1100" s="197"/>
      <c r="AL1100" s="197"/>
    </row>
    <row r="1101" spans="1:38">
      <c r="A1101" s="11" t="str">
        <f t="shared" si="77"/>
        <v>15-302578192013</v>
      </c>
      <c r="B1101" t="s">
        <v>647</v>
      </c>
      <c r="C1101" t="s">
        <v>648</v>
      </c>
      <c r="D1101">
        <v>2013</v>
      </c>
      <c r="E1101" t="s">
        <v>63</v>
      </c>
      <c r="F1101">
        <v>963925.18</v>
      </c>
      <c r="G1101">
        <v>1873</v>
      </c>
      <c r="H1101" s="11" t="str">
        <f t="shared" si="76"/>
        <v>count</v>
      </c>
      <c r="I1101" s="197"/>
      <c r="J1101" s="197"/>
      <c r="K1101" s="197"/>
      <c r="L1101" s="197"/>
      <c r="M1101" s="197"/>
      <c r="N1101" s="197"/>
      <c r="O1101" s="197"/>
      <c r="P1101" s="197"/>
      <c r="Q1101" s="197"/>
      <c r="R1101" s="197"/>
      <c r="S1101" s="197"/>
      <c r="T1101" s="197"/>
      <c r="U1101" s="197"/>
      <c r="V1101" s="197"/>
      <c r="W1101" s="197"/>
      <c r="X1101" s="197"/>
      <c r="Y1101" s="197"/>
      <c r="Z1101" s="197"/>
      <c r="AA1101" s="197"/>
      <c r="AB1101" s="197"/>
      <c r="AC1101" s="197"/>
      <c r="AD1101" s="197"/>
      <c r="AE1101" s="197"/>
      <c r="AF1101" s="197"/>
      <c r="AG1101" s="197"/>
      <c r="AH1101" s="197"/>
      <c r="AI1101" s="197"/>
      <c r="AJ1101" s="197"/>
      <c r="AK1101" s="197"/>
      <c r="AL1101" s="197"/>
    </row>
    <row r="1102" spans="1:38">
      <c r="A1102" s="11" t="str">
        <f t="shared" si="77"/>
        <v>15-302578192012</v>
      </c>
      <c r="B1102" t="s">
        <v>647</v>
      </c>
      <c r="C1102" t="s">
        <v>648</v>
      </c>
      <c r="D1102">
        <v>2012</v>
      </c>
      <c r="E1102" t="s">
        <v>133</v>
      </c>
      <c r="F1102">
        <v>578014.03</v>
      </c>
      <c r="G1102">
        <v>797</v>
      </c>
      <c r="H1102" s="11" t="str">
        <f t="shared" si="76"/>
        <v>count</v>
      </c>
      <c r="I1102" s="197"/>
      <c r="J1102" s="197"/>
      <c r="K1102" s="197"/>
      <c r="L1102" s="197"/>
      <c r="M1102" s="197"/>
      <c r="N1102" s="197"/>
      <c r="O1102" s="197"/>
      <c r="P1102" s="197"/>
      <c r="Q1102" s="197"/>
      <c r="R1102" s="197"/>
      <c r="S1102" s="197"/>
      <c r="T1102" s="197"/>
      <c r="U1102" s="197"/>
      <c r="V1102" s="197"/>
      <c r="W1102" s="197"/>
      <c r="X1102" s="197"/>
      <c r="Y1102" s="197"/>
      <c r="Z1102" s="197"/>
      <c r="AA1102" s="197"/>
      <c r="AB1102" s="197"/>
      <c r="AC1102" s="197"/>
      <c r="AD1102" s="197"/>
      <c r="AE1102" s="197"/>
      <c r="AF1102" s="197"/>
      <c r="AG1102" s="197"/>
      <c r="AH1102" s="197"/>
      <c r="AI1102" s="197"/>
      <c r="AJ1102" s="197"/>
      <c r="AK1102" s="197"/>
      <c r="AL1102" s="197"/>
    </row>
    <row r="1103" spans="1:38">
      <c r="A1103" s="11" t="str">
        <f t="shared" si="77"/>
        <v>15-302578192013</v>
      </c>
      <c r="B1103" t="s">
        <v>647</v>
      </c>
      <c r="C1103" t="s">
        <v>648</v>
      </c>
      <c r="D1103">
        <v>2013</v>
      </c>
      <c r="E1103" t="s">
        <v>69</v>
      </c>
      <c r="F1103">
        <v>306119.51</v>
      </c>
      <c r="G1103">
        <v>654</v>
      </c>
      <c r="H1103" s="11" t="str">
        <f t="shared" si="76"/>
        <v>count</v>
      </c>
      <c r="I1103" s="197"/>
      <c r="J1103" s="197"/>
      <c r="K1103" s="197"/>
      <c r="L1103" s="197"/>
      <c r="M1103" s="197"/>
      <c r="N1103" s="197"/>
      <c r="O1103" s="197"/>
      <c r="P1103" s="197"/>
      <c r="Q1103" s="197"/>
      <c r="R1103" s="197"/>
      <c r="S1103" s="197"/>
      <c r="T1103" s="197"/>
      <c r="U1103" s="197"/>
      <c r="V1103" s="197"/>
      <c r="W1103" s="197"/>
      <c r="X1103" s="197"/>
      <c r="Y1103" s="197"/>
      <c r="Z1103" s="197"/>
      <c r="AA1103" s="197"/>
      <c r="AB1103" s="197"/>
      <c r="AC1103" s="197"/>
      <c r="AD1103" s="197"/>
      <c r="AE1103" s="197"/>
      <c r="AF1103" s="197"/>
      <c r="AG1103" s="197"/>
      <c r="AH1103" s="197"/>
      <c r="AI1103" s="197"/>
      <c r="AJ1103" s="197"/>
      <c r="AK1103" s="197"/>
      <c r="AL1103" s="197"/>
    </row>
    <row r="1104" spans="1:38">
      <c r="A1104" s="11" t="str">
        <f t="shared" si="77"/>
        <v>15-302578192012</v>
      </c>
      <c r="B1104" t="s">
        <v>647</v>
      </c>
      <c r="C1104" t="s">
        <v>648</v>
      </c>
      <c r="D1104">
        <v>2012</v>
      </c>
      <c r="E1104" t="s">
        <v>104</v>
      </c>
      <c r="F1104">
        <v>596948.06999999995</v>
      </c>
      <c r="G1104">
        <v>1661</v>
      </c>
      <c r="H1104" s="11" t="str">
        <f t="shared" si="76"/>
        <v>count</v>
      </c>
      <c r="I1104" s="197"/>
      <c r="J1104" s="197"/>
      <c r="K1104" s="197"/>
      <c r="L1104" s="197"/>
      <c r="M1104" s="197"/>
      <c r="N1104" s="197"/>
      <c r="O1104" s="197"/>
      <c r="P1104" s="197"/>
      <c r="Q1104" s="197"/>
      <c r="R1104" s="197"/>
      <c r="S1104" s="197"/>
      <c r="T1104" s="197"/>
      <c r="U1104" s="197"/>
      <c r="V1104" s="197"/>
      <c r="W1104" s="197"/>
      <c r="X1104" s="197"/>
      <c r="Y1104" s="197"/>
      <c r="Z1104" s="197"/>
      <c r="AA1104" s="197"/>
      <c r="AB1104" s="197"/>
      <c r="AC1104" s="197"/>
      <c r="AD1104" s="197"/>
      <c r="AE1104" s="197"/>
      <c r="AF1104" s="197"/>
      <c r="AG1104" s="197"/>
      <c r="AH1104" s="197"/>
      <c r="AI1104" s="197"/>
      <c r="AJ1104" s="197"/>
      <c r="AK1104" s="197"/>
      <c r="AL1104" s="197"/>
    </row>
    <row r="1105" spans="1:38">
      <c r="A1105" s="11" t="str">
        <f t="shared" si="77"/>
        <v>15-302578192013</v>
      </c>
      <c r="B1105" t="s">
        <v>647</v>
      </c>
      <c r="C1105" t="s">
        <v>648</v>
      </c>
      <c r="D1105">
        <v>2013</v>
      </c>
      <c r="E1105" t="s">
        <v>133</v>
      </c>
      <c r="F1105">
        <v>657752.06999999995</v>
      </c>
      <c r="G1105">
        <v>972</v>
      </c>
      <c r="H1105" s="11" t="str">
        <f t="shared" si="76"/>
        <v>count</v>
      </c>
      <c r="I1105" s="197"/>
      <c r="J1105" s="197"/>
      <c r="K1105" s="197"/>
      <c r="L1105" s="197"/>
      <c r="M1105" s="197"/>
      <c r="N1105" s="197"/>
      <c r="O1105" s="197"/>
      <c r="P1105" s="197"/>
      <c r="Q1105" s="197"/>
      <c r="R1105" s="197"/>
      <c r="S1105" s="197"/>
      <c r="T1105" s="197"/>
      <c r="U1105" s="197"/>
      <c r="V1105" s="197"/>
      <c r="W1105" s="197"/>
      <c r="X1105" s="197"/>
      <c r="Y1105" s="197"/>
      <c r="Z1105" s="197"/>
      <c r="AA1105" s="197"/>
      <c r="AB1105" s="197"/>
      <c r="AC1105" s="197"/>
      <c r="AD1105" s="197"/>
      <c r="AE1105" s="197"/>
      <c r="AF1105" s="197"/>
      <c r="AG1105" s="197"/>
      <c r="AH1105" s="197"/>
      <c r="AI1105" s="197"/>
      <c r="AJ1105" s="197"/>
      <c r="AK1105" s="197"/>
      <c r="AL1105" s="197"/>
    </row>
    <row r="1106" spans="1:38">
      <c r="A1106" s="11" t="str">
        <f t="shared" si="77"/>
        <v>15-302578192012</v>
      </c>
      <c r="B1106" t="s">
        <v>647</v>
      </c>
      <c r="C1106" t="s">
        <v>648</v>
      </c>
      <c r="D1106">
        <v>2012</v>
      </c>
      <c r="E1106" t="s">
        <v>63</v>
      </c>
      <c r="F1106">
        <v>688250.08</v>
      </c>
      <c r="G1106">
        <v>1521</v>
      </c>
      <c r="H1106" s="11" t="str">
        <f t="shared" si="76"/>
        <v>count</v>
      </c>
      <c r="I1106" s="197"/>
      <c r="J1106" s="197"/>
      <c r="K1106" s="197"/>
      <c r="L1106" s="197"/>
      <c r="M1106" s="197"/>
      <c r="N1106" s="197"/>
      <c r="O1106" s="197"/>
      <c r="P1106" s="197"/>
      <c r="Q1106" s="197"/>
      <c r="R1106" s="197"/>
      <c r="S1106" s="197"/>
      <c r="T1106" s="197"/>
      <c r="U1106" s="197"/>
      <c r="V1106" s="197"/>
      <c r="W1106" s="197"/>
      <c r="X1106" s="197"/>
      <c r="Y1106" s="197"/>
      <c r="Z1106" s="197"/>
      <c r="AA1106" s="197"/>
      <c r="AB1106" s="197"/>
      <c r="AC1106" s="197"/>
      <c r="AD1106" s="197"/>
      <c r="AE1106" s="197"/>
      <c r="AF1106" s="197"/>
      <c r="AG1106" s="197"/>
      <c r="AH1106" s="197"/>
      <c r="AI1106" s="197"/>
      <c r="AJ1106" s="197"/>
      <c r="AK1106" s="197"/>
      <c r="AL1106" s="197"/>
    </row>
    <row r="1107" spans="1:38">
      <c r="A1107" s="11" t="str">
        <f t="shared" si="77"/>
        <v>15-302578192013</v>
      </c>
      <c r="B1107" t="s">
        <v>647</v>
      </c>
      <c r="C1107" t="s">
        <v>648</v>
      </c>
      <c r="D1107">
        <v>2013</v>
      </c>
      <c r="E1107" t="s">
        <v>105</v>
      </c>
      <c r="F1107">
        <v>108978.82</v>
      </c>
      <c r="G1107">
        <v>182</v>
      </c>
      <c r="H1107" s="11" t="str">
        <f t="shared" si="76"/>
        <v>count</v>
      </c>
      <c r="I1107" s="197"/>
      <c r="J1107" s="197"/>
      <c r="K1107" s="197"/>
      <c r="L1107" s="197"/>
      <c r="M1107" s="197"/>
      <c r="N1107" s="197"/>
      <c r="O1107" s="197"/>
      <c r="P1107" s="197"/>
      <c r="Q1107" s="197"/>
      <c r="R1107" s="197"/>
      <c r="S1107" s="197"/>
      <c r="T1107" s="197"/>
      <c r="U1107" s="197"/>
      <c r="V1107" s="197"/>
      <c r="W1107" s="197"/>
      <c r="X1107" s="197"/>
      <c r="Y1107" s="197"/>
      <c r="Z1107" s="197"/>
      <c r="AA1107" s="197"/>
      <c r="AB1107" s="197"/>
      <c r="AC1107" s="197"/>
      <c r="AD1107" s="197"/>
      <c r="AE1107" s="197"/>
      <c r="AF1107" s="197"/>
      <c r="AG1107" s="197"/>
      <c r="AH1107" s="197"/>
      <c r="AI1107" s="197"/>
      <c r="AJ1107" s="197"/>
      <c r="AK1107" s="197"/>
      <c r="AL1107" s="197"/>
    </row>
    <row r="1108" spans="1:38">
      <c r="A1108" s="11" t="str">
        <f t="shared" si="77"/>
        <v>15-302654142013</v>
      </c>
      <c r="B1108" t="s">
        <v>649</v>
      </c>
      <c r="C1108" t="s">
        <v>650</v>
      </c>
      <c r="D1108">
        <v>2013</v>
      </c>
      <c r="E1108" t="s">
        <v>105</v>
      </c>
      <c r="F1108">
        <v>591533.21</v>
      </c>
      <c r="G1108">
        <v>634</v>
      </c>
      <c r="H1108" s="11" t="str">
        <f t="shared" si="76"/>
        <v>volume</v>
      </c>
      <c r="I1108" s="197"/>
      <c r="J1108" s="197"/>
      <c r="K1108" s="197"/>
      <c r="L1108" s="197"/>
      <c r="M1108" s="197"/>
      <c r="N1108" s="197"/>
      <c r="O1108" s="197"/>
      <c r="P1108" s="197"/>
      <c r="Q1108" s="197"/>
      <c r="R1108" s="197"/>
      <c r="S1108" s="197"/>
      <c r="T1108" s="197"/>
      <c r="U1108" s="197"/>
      <c r="V1108" s="197"/>
      <c r="W1108" s="197"/>
      <c r="X1108" s="197"/>
      <c r="Y1108" s="197"/>
      <c r="Z1108" s="197"/>
      <c r="AA1108" s="197"/>
      <c r="AB1108" s="197"/>
      <c r="AC1108" s="197"/>
      <c r="AD1108" s="197"/>
      <c r="AE1108" s="197"/>
      <c r="AF1108" s="197"/>
      <c r="AG1108" s="197"/>
      <c r="AH1108" s="197"/>
      <c r="AI1108" s="197"/>
      <c r="AJ1108" s="197"/>
      <c r="AK1108" s="197"/>
      <c r="AL1108" s="197"/>
    </row>
    <row r="1109" spans="1:38">
      <c r="A1109" s="11" t="str">
        <f t="shared" si="77"/>
        <v>15-302654142011</v>
      </c>
      <c r="B1109" t="s">
        <v>649</v>
      </c>
      <c r="C1109" t="s">
        <v>650</v>
      </c>
      <c r="D1109">
        <v>2011</v>
      </c>
      <c r="E1109" t="s">
        <v>133</v>
      </c>
      <c r="F1109">
        <v>986691.35</v>
      </c>
      <c r="G1109">
        <v>1163</v>
      </c>
      <c r="H1109" s="11" t="str">
        <f t="shared" si="76"/>
        <v>count</v>
      </c>
      <c r="I1109" s="197"/>
      <c r="J1109" s="197"/>
      <c r="K1109" s="197"/>
      <c r="L1109" s="197"/>
      <c r="M1109" s="197"/>
      <c r="N1109" s="197"/>
      <c r="O1109" s="197"/>
      <c r="P1109" s="197"/>
      <c r="Q1109" s="197"/>
      <c r="R1109" s="197"/>
      <c r="S1109" s="197"/>
      <c r="T1109" s="197"/>
      <c r="U1109" s="197"/>
      <c r="V1109" s="197"/>
      <c r="W1109" s="197"/>
      <c r="X1109" s="197"/>
      <c r="Y1109" s="197"/>
      <c r="Z1109" s="197"/>
      <c r="AA1109" s="197"/>
      <c r="AB1109" s="197"/>
      <c r="AC1109" s="197"/>
      <c r="AD1109" s="197"/>
      <c r="AE1109" s="197"/>
      <c r="AF1109" s="197"/>
      <c r="AG1109" s="197"/>
      <c r="AH1109" s="197"/>
      <c r="AI1109" s="197"/>
      <c r="AJ1109" s="197"/>
      <c r="AK1109" s="197"/>
      <c r="AL1109" s="197"/>
    </row>
    <row r="1110" spans="1:38">
      <c r="A1110" s="11" t="str">
        <f t="shared" si="77"/>
        <v>15-302654142012</v>
      </c>
      <c r="B1110" t="s">
        <v>649</v>
      </c>
      <c r="C1110" t="s">
        <v>650</v>
      </c>
      <c r="D1110">
        <v>2012</v>
      </c>
      <c r="E1110" t="s">
        <v>63</v>
      </c>
      <c r="F1110">
        <v>2961833.99</v>
      </c>
      <c r="G1110">
        <v>3395</v>
      </c>
      <c r="H1110" s="11" t="str">
        <f t="shared" si="76"/>
        <v>count</v>
      </c>
      <c r="I1110" s="197"/>
      <c r="J1110" s="197"/>
      <c r="K1110" s="197"/>
      <c r="L1110" s="197"/>
      <c r="M1110" s="197"/>
      <c r="N1110" s="197"/>
      <c r="O1110" s="197"/>
      <c r="P1110" s="197"/>
      <c r="Q1110" s="197"/>
      <c r="R1110" s="197"/>
      <c r="S1110" s="197"/>
      <c r="T1110" s="197"/>
      <c r="U1110" s="197"/>
      <c r="V1110" s="197"/>
      <c r="W1110" s="197"/>
      <c r="X1110" s="197"/>
      <c r="Y1110" s="197"/>
      <c r="Z1110" s="197"/>
      <c r="AA1110" s="197"/>
      <c r="AB1110" s="197"/>
      <c r="AC1110" s="197"/>
      <c r="AD1110" s="197"/>
      <c r="AE1110" s="197"/>
      <c r="AF1110" s="197"/>
      <c r="AG1110" s="197"/>
      <c r="AH1110" s="197"/>
      <c r="AI1110" s="197"/>
      <c r="AJ1110" s="197"/>
      <c r="AK1110" s="197"/>
      <c r="AL1110" s="197"/>
    </row>
    <row r="1111" spans="1:38">
      <c r="A1111" s="11" t="str">
        <f t="shared" si="77"/>
        <v>15-302654142012</v>
      </c>
      <c r="B1111" t="s">
        <v>649</v>
      </c>
      <c r="C1111" t="s">
        <v>650</v>
      </c>
      <c r="D1111">
        <v>2012</v>
      </c>
      <c r="E1111" t="s">
        <v>104</v>
      </c>
      <c r="F1111">
        <v>1890471.18</v>
      </c>
      <c r="G1111">
        <v>2298</v>
      </c>
      <c r="H1111" s="11" t="str">
        <f t="shared" si="76"/>
        <v>count</v>
      </c>
      <c r="I1111" s="197"/>
      <c r="J1111" s="197"/>
      <c r="K1111" s="197"/>
      <c r="L1111" s="197"/>
      <c r="M1111" s="197"/>
      <c r="N1111" s="197"/>
      <c r="O1111" s="197"/>
      <c r="P1111" s="197"/>
      <c r="Q1111" s="197"/>
      <c r="R1111" s="197"/>
      <c r="S1111" s="197"/>
      <c r="T1111" s="197"/>
      <c r="U1111" s="197"/>
      <c r="V1111" s="197"/>
      <c r="W1111" s="197"/>
      <c r="X1111" s="197"/>
      <c r="Y1111" s="197"/>
      <c r="Z1111" s="197"/>
      <c r="AA1111" s="197"/>
      <c r="AB1111" s="197"/>
      <c r="AC1111" s="197"/>
      <c r="AD1111" s="197"/>
      <c r="AE1111" s="197"/>
      <c r="AF1111" s="197"/>
      <c r="AG1111" s="197"/>
      <c r="AH1111" s="197"/>
      <c r="AI1111" s="197"/>
      <c r="AJ1111" s="197"/>
      <c r="AK1111" s="197"/>
      <c r="AL1111" s="197"/>
    </row>
    <row r="1112" spans="1:38">
      <c r="A1112" s="11" t="str">
        <f t="shared" si="77"/>
        <v>15-302654142011</v>
      </c>
      <c r="B1112" t="s">
        <v>649</v>
      </c>
      <c r="C1112" t="s">
        <v>650</v>
      </c>
      <c r="D1112">
        <v>2011</v>
      </c>
      <c r="E1112" t="s">
        <v>69</v>
      </c>
      <c r="F1112">
        <v>1833.49</v>
      </c>
      <c r="G1112">
        <v>5</v>
      </c>
      <c r="H1112" s="11" t="str">
        <f t="shared" si="76"/>
        <v>count</v>
      </c>
      <c r="I1112" s="197"/>
      <c r="J1112" s="197"/>
      <c r="K1112" s="197"/>
      <c r="L1112" s="197"/>
      <c r="M1112" s="197"/>
      <c r="N1112" s="197"/>
      <c r="O1112" s="197"/>
      <c r="P1112" s="197"/>
      <c r="Q1112" s="197"/>
      <c r="R1112" s="197"/>
      <c r="S1112" s="197"/>
      <c r="T1112" s="197"/>
      <c r="U1112" s="197"/>
      <c r="V1112" s="197"/>
      <c r="W1112" s="197"/>
      <c r="X1112" s="197"/>
      <c r="Y1112" s="197"/>
      <c r="Z1112" s="197"/>
      <c r="AA1112" s="197"/>
      <c r="AB1112" s="197"/>
      <c r="AC1112" s="197"/>
      <c r="AD1112" s="197"/>
      <c r="AE1112" s="197"/>
      <c r="AF1112" s="197"/>
      <c r="AG1112" s="197"/>
      <c r="AH1112" s="197"/>
      <c r="AI1112" s="197"/>
      <c r="AJ1112" s="197"/>
      <c r="AK1112" s="197"/>
      <c r="AL1112" s="197"/>
    </row>
    <row r="1113" spans="1:38">
      <c r="A1113" s="11" t="str">
        <f t="shared" si="77"/>
        <v>15-302654142011</v>
      </c>
      <c r="B1113" t="s">
        <v>649</v>
      </c>
      <c r="C1113" t="s">
        <v>650</v>
      </c>
      <c r="D1113">
        <v>2011</v>
      </c>
      <c r="E1113" t="s">
        <v>104</v>
      </c>
      <c r="F1113">
        <v>1811369.96</v>
      </c>
      <c r="G1113">
        <v>2298</v>
      </c>
      <c r="H1113" s="11" t="str">
        <f t="shared" si="76"/>
        <v>count</v>
      </c>
      <c r="I1113" s="197"/>
      <c r="J1113" s="197"/>
      <c r="K1113" s="197"/>
      <c r="L1113" s="197"/>
      <c r="M1113" s="197"/>
      <c r="N1113" s="197"/>
      <c r="O1113" s="197"/>
      <c r="P1113" s="197"/>
      <c r="Q1113" s="197"/>
      <c r="R1113" s="197"/>
      <c r="S1113" s="197"/>
      <c r="T1113" s="197"/>
      <c r="U1113" s="197"/>
      <c r="V1113" s="197"/>
      <c r="W1113" s="197"/>
      <c r="X1113" s="197"/>
      <c r="Y1113" s="197"/>
      <c r="Z1113" s="197"/>
      <c r="AA1113" s="197"/>
      <c r="AB1113" s="197"/>
      <c r="AC1113" s="197"/>
      <c r="AD1113" s="197"/>
      <c r="AE1113" s="197"/>
      <c r="AF1113" s="197"/>
      <c r="AG1113" s="197"/>
      <c r="AH1113" s="197"/>
      <c r="AI1113" s="197"/>
      <c r="AJ1113" s="197"/>
      <c r="AK1113" s="197"/>
      <c r="AL1113" s="197"/>
    </row>
    <row r="1114" spans="1:38">
      <c r="A1114" s="11" t="str">
        <f t="shared" si="77"/>
        <v>15-302654142011</v>
      </c>
      <c r="B1114" t="s">
        <v>649</v>
      </c>
      <c r="C1114" t="s">
        <v>650</v>
      </c>
      <c r="D1114">
        <v>2011</v>
      </c>
      <c r="E1114" t="s">
        <v>63</v>
      </c>
      <c r="F1114">
        <v>3281342.13</v>
      </c>
      <c r="G1114">
        <v>4294</v>
      </c>
      <c r="H1114" s="11" t="str">
        <f t="shared" si="76"/>
        <v>count</v>
      </c>
      <c r="I1114" s="197"/>
      <c r="J1114" s="197"/>
      <c r="K1114" s="197"/>
      <c r="L1114" s="197"/>
      <c r="M1114" s="197"/>
      <c r="N1114" s="197"/>
      <c r="O1114" s="197"/>
      <c r="P1114" s="197"/>
      <c r="Q1114" s="197"/>
      <c r="R1114" s="197"/>
      <c r="S1114" s="197"/>
      <c r="T1114" s="197"/>
      <c r="U1114" s="197"/>
      <c r="V1114" s="197"/>
      <c r="W1114" s="197"/>
      <c r="X1114" s="197"/>
      <c r="Y1114" s="197"/>
      <c r="Z1114" s="197"/>
      <c r="AA1114" s="197"/>
      <c r="AB1114" s="197"/>
      <c r="AC1114" s="197"/>
      <c r="AD1114" s="197"/>
      <c r="AE1114" s="197"/>
      <c r="AF1114" s="197"/>
      <c r="AG1114" s="197"/>
      <c r="AH1114" s="197"/>
      <c r="AI1114" s="197"/>
      <c r="AJ1114" s="197"/>
      <c r="AK1114" s="197"/>
      <c r="AL1114" s="197"/>
    </row>
    <row r="1115" spans="1:38">
      <c r="A1115" s="11" t="str">
        <f t="shared" si="77"/>
        <v>15-302654142012</v>
      </c>
      <c r="B1115" t="s">
        <v>649</v>
      </c>
      <c r="C1115" t="s">
        <v>650</v>
      </c>
      <c r="D1115">
        <v>2012</v>
      </c>
      <c r="E1115" t="s">
        <v>105</v>
      </c>
      <c r="F1115">
        <v>528397.12</v>
      </c>
      <c r="G1115">
        <v>626</v>
      </c>
      <c r="H1115" s="11" t="str">
        <f t="shared" si="76"/>
        <v>count</v>
      </c>
      <c r="I1115" s="197"/>
      <c r="J1115" s="197"/>
      <c r="K1115" s="197"/>
      <c r="L1115" s="197"/>
      <c r="M1115" s="197"/>
      <c r="N1115" s="197"/>
      <c r="O1115" s="197"/>
      <c r="P1115" s="197"/>
      <c r="Q1115" s="197"/>
      <c r="R1115" s="197"/>
      <c r="S1115" s="197"/>
      <c r="T1115" s="197"/>
      <c r="U1115" s="197"/>
      <c r="V1115" s="197"/>
      <c r="W1115" s="197"/>
      <c r="X1115" s="197"/>
      <c r="Y1115" s="197"/>
      <c r="Z1115" s="197"/>
      <c r="AA1115" s="197"/>
      <c r="AB1115" s="197"/>
      <c r="AC1115" s="197"/>
      <c r="AD1115" s="197"/>
      <c r="AE1115" s="197"/>
      <c r="AF1115" s="197"/>
      <c r="AG1115" s="197"/>
      <c r="AH1115" s="197"/>
      <c r="AI1115" s="197"/>
      <c r="AJ1115" s="197"/>
      <c r="AK1115" s="197"/>
      <c r="AL1115" s="197"/>
    </row>
    <row r="1116" spans="1:38">
      <c r="A1116" s="11" t="str">
        <f t="shared" si="77"/>
        <v>15-302654142013</v>
      </c>
      <c r="B1116" t="s">
        <v>649</v>
      </c>
      <c r="C1116" t="s">
        <v>650</v>
      </c>
      <c r="D1116">
        <v>2013</v>
      </c>
      <c r="E1116" t="s">
        <v>106</v>
      </c>
      <c r="F1116">
        <v>63213.34</v>
      </c>
      <c r="G1116">
        <v>49</v>
      </c>
      <c r="H1116" s="11" t="str">
        <f t="shared" si="76"/>
        <v>count</v>
      </c>
      <c r="I1116" s="197"/>
      <c r="J1116" s="197"/>
      <c r="K1116" s="197"/>
      <c r="L1116" s="197"/>
      <c r="M1116" s="197"/>
      <c r="N1116" s="197"/>
      <c r="O1116" s="197"/>
      <c r="P1116" s="197"/>
      <c r="Q1116" s="197"/>
      <c r="R1116" s="197"/>
      <c r="S1116" s="197"/>
      <c r="T1116" s="197"/>
      <c r="U1116" s="197"/>
      <c r="V1116" s="197"/>
      <c r="W1116" s="197"/>
      <c r="X1116" s="197"/>
      <c r="Y1116" s="197"/>
      <c r="Z1116" s="197"/>
      <c r="AA1116" s="197"/>
      <c r="AB1116" s="197"/>
      <c r="AC1116" s="197"/>
      <c r="AD1116" s="197"/>
      <c r="AE1116" s="197"/>
      <c r="AF1116" s="197"/>
      <c r="AG1116" s="197"/>
      <c r="AH1116" s="197"/>
      <c r="AI1116" s="197"/>
      <c r="AJ1116" s="197"/>
      <c r="AK1116" s="197"/>
      <c r="AL1116" s="197"/>
    </row>
    <row r="1117" spans="1:38">
      <c r="A1117" s="11" t="str">
        <f t="shared" si="77"/>
        <v>15-302654142013</v>
      </c>
      <c r="B1117" t="s">
        <v>649</v>
      </c>
      <c r="C1117" t="s">
        <v>650</v>
      </c>
      <c r="D1117">
        <v>2013</v>
      </c>
      <c r="E1117" t="s">
        <v>63</v>
      </c>
      <c r="F1117">
        <v>3175704.44</v>
      </c>
      <c r="G1117">
        <v>3325</v>
      </c>
      <c r="H1117" s="11" t="str">
        <f t="shared" si="76"/>
        <v>count</v>
      </c>
      <c r="I1117" s="197"/>
      <c r="J1117" s="197"/>
      <c r="K1117" s="197"/>
      <c r="L1117" s="197"/>
      <c r="M1117" s="197"/>
      <c r="N1117" s="197"/>
      <c r="O1117" s="197"/>
      <c r="P1117" s="197"/>
      <c r="Q1117" s="197"/>
      <c r="R1117" s="197"/>
      <c r="S1117" s="197"/>
      <c r="T1117" s="197"/>
      <c r="U1117" s="197"/>
      <c r="V1117" s="197"/>
      <c r="W1117" s="197"/>
      <c r="X1117" s="197"/>
      <c r="Y1117" s="197"/>
      <c r="Z1117" s="197"/>
      <c r="AA1117" s="197"/>
      <c r="AB1117" s="197"/>
      <c r="AC1117" s="197"/>
      <c r="AD1117" s="197"/>
      <c r="AE1117" s="197"/>
      <c r="AF1117" s="197"/>
      <c r="AG1117" s="197"/>
      <c r="AH1117" s="197"/>
      <c r="AI1117" s="197"/>
      <c r="AJ1117" s="197"/>
      <c r="AK1117" s="197"/>
      <c r="AL1117" s="197"/>
    </row>
    <row r="1118" spans="1:38">
      <c r="A1118" s="11" t="str">
        <f t="shared" si="77"/>
        <v>15-302654142012</v>
      </c>
      <c r="B1118" t="s">
        <v>649</v>
      </c>
      <c r="C1118" t="s">
        <v>650</v>
      </c>
      <c r="D1118">
        <v>2012</v>
      </c>
      <c r="E1118" t="s">
        <v>133</v>
      </c>
      <c r="F1118">
        <v>1342974.58</v>
      </c>
      <c r="G1118">
        <v>1461</v>
      </c>
      <c r="H1118" s="11" t="str">
        <f t="shared" si="76"/>
        <v>count</v>
      </c>
      <c r="I1118" s="197"/>
      <c r="J1118" s="197"/>
      <c r="K1118" s="197"/>
      <c r="L1118" s="197"/>
      <c r="M1118" s="197"/>
      <c r="N1118" s="197"/>
      <c r="O1118" s="197"/>
      <c r="P1118" s="197"/>
      <c r="Q1118" s="197"/>
      <c r="R1118" s="197"/>
      <c r="S1118" s="197"/>
      <c r="T1118" s="197"/>
      <c r="U1118" s="197"/>
      <c r="V1118" s="197"/>
      <c r="W1118" s="197"/>
      <c r="X1118" s="197"/>
      <c r="Y1118" s="197"/>
      <c r="Z1118" s="197"/>
      <c r="AA1118" s="197"/>
      <c r="AB1118" s="197"/>
      <c r="AC1118" s="197"/>
      <c r="AD1118" s="197"/>
      <c r="AE1118" s="197"/>
      <c r="AF1118" s="197"/>
      <c r="AG1118" s="197"/>
      <c r="AH1118" s="197"/>
      <c r="AI1118" s="197"/>
      <c r="AJ1118" s="197"/>
      <c r="AK1118" s="197"/>
      <c r="AL1118" s="197"/>
    </row>
    <row r="1119" spans="1:38">
      <c r="A1119" s="11" t="str">
        <f t="shared" si="77"/>
        <v>15-302654142011</v>
      </c>
      <c r="B1119" t="s">
        <v>649</v>
      </c>
      <c r="C1119" t="s">
        <v>650</v>
      </c>
      <c r="D1119">
        <v>2011</v>
      </c>
      <c r="E1119" t="s">
        <v>106</v>
      </c>
      <c r="F1119">
        <v>72716.179999999993</v>
      </c>
      <c r="G1119">
        <v>73</v>
      </c>
      <c r="H1119" s="11" t="str">
        <f t="shared" si="76"/>
        <v>count</v>
      </c>
      <c r="I1119" s="197"/>
      <c r="J1119" s="197"/>
      <c r="K1119" s="197"/>
      <c r="L1119" s="197"/>
      <c r="M1119" s="197"/>
      <c r="N1119" s="197"/>
      <c r="O1119" s="197"/>
      <c r="P1119" s="197"/>
      <c r="Q1119" s="197"/>
      <c r="R1119" s="197"/>
      <c r="S1119" s="197"/>
      <c r="T1119" s="197"/>
      <c r="U1119" s="197"/>
      <c r="V1119" s="197"/>
      <c r="W1119" s="197"/>
      <c r="X1119" s="197"/>
      <c r="Y1119" s="197"/>
      <c r="Z1119" s="197"/>
      <c r="AA1119" s="197"/>
      <c r="AB1119" s="197"/>
      <c r="AC1119" s="197"/>
      <c r="AD1119" s="197"/>
      <c r="AE1119" s="197"/>
      <c r="AF1119" s="197"/>
      <c r="AG1119" s="197"/>
      <c r="AH1119" s="197"/>
      <c r="AI1119" s="197"/>
      <c r="AJ1119" s="197"/>
      <c r="AK1119" s="197"/>
      <c r="AL1119" s="197"/>
    </row>
    <row r="1120" spans="1:38">
      <c r="A1120" s="11" t="str">
        <f t="shared" si="77"/>
        <v>15-302654142013</v>
      </c>
      <c r="B1120" t="s">
        <v>649</v>
      </c>
      <c r="C1120" t="s">
        <v>650</v>
      </c>
      <c r="D1120">
        <v>2013</v>
      </c>
      <c r="E1120" t="s">
        <v>104</v>
      </c>
      <c r="F1120">
        <v>1826381.15</v>
      </c>
      <c r="G1120">
        <v>1953</v>
      </c>
      <c r="H1120" s="11" t="str">
        <f t="shared" si="76"/>
        <v>count</v>
      </c>
      <c r="I1120" s="197"/>
      <c r="J1120" s="197"/>
      <c r="K1120" s="197"/>
      <c r="L1120" s="197"/>
      <c r="M1120" s="197"/>
      <c r="N1120" s="197"/>
      <c r="O1120" s="197"/>
      <c r="P1120" s="197"/>
      <c r="Q1120" s="197"/>
      <c r="R1120" s="197"/>
      <c r="S1120" s="197"/>
      <c r="T1120" s="197"/>
      <c r="U1120" s="197"/>
      <c r="V1120" s="197"/>
      <c r="W1120" s="197"/>
      <c r="X1120" s="197"/>
      <c r="Y1120" s="197"/>
      <c r="Z1120" s="197"/>
      <c r="AA1120" s="197"/>
      <c r="AB1120" s="197"/>
      <c r="AC1120" s="197"/>
      <c r="AD1120" s="197"/>
      <c r="AE1120" s="197"/>
      <c r="AF1120" s="197"/>
      <c r="AG1120" s="197"/>
      <c r="AH1120" s="197"/>
      <c r="AI1120" s="197"/>
      <c r="AJ1120" s="197"/>
      <c r="AK1120" s="197"/>
      <c r="AL1120" s="197"/>
    </row>
    <row r="1121" spans="1:38">
      <c r="A1121" s="11" t="str">
        <f t="shared" si="77"/>
        <v>15-302654142012</v>
      </c>
      <c r="B1121" t="s">
        <v>649</v>
      </c>
      <c r="C1121" t="s">
        <v>650</v>
      </c>
      <c r="D1121">
        <v>2012</v>
      </c>
      <c r="E1121" t="s">
        <v>69</v>
      </c>
      <c r="F1121">
        <v>1232979.0900000001</v>
      </c>
      <c r="G1121">
        <v>1878</v>
      </c>
      <c r="H1121" s="11" t="str">
        <f t="shared" si="76"/>
        <v>count</v>
      </c>
      <c r="I1121" s="197"/>
      <c r="J1121" s="197"/>
      <c r="K1121" s="197"/>
      <c r="L1121" s="197"/>
      <c r="M1121" s="197"/>
      <c r="N1121" s="197"/>
      <c r="O1121" s="197"/>
      <c r="P1121" s="197"/>
      <c r="Q1121" s="197"/>
      <c r="R1121" s="197"/>
      <c r="S1121" s="197"/>
      <c r="T1121" s="197"/>
      <c r="U1121" s="197"/>
      <c r="V1121" s="197"/>
      <c r="W1121" s="197"/>
      <c r="X1121" s="197"/>
      <c r="Y1121" s="197"/>
      <c r="Z1121" s="197"/>
      <c r="AA1121" s="197"/>
      <c r="AB1121" s="197"/>
      <c r="AC1121" s="197"/>
      <c r="AD1121" s="197"/>
      <c r="AE1121" s="197"/>
      <c r="AF1121" s="197"/>
      <c r="AG1121" s="197"/>
      <c r="AH1121" s="197"/>
      <c r="AI1121" s="197"/>
      <c r="AJ1121" s="197"/>
      <c r="AK1121" s="197"/>
      <c r="AL1121" s="197"/>
    </row>
    <row r="1122" spans="1:38">
      <c r="A1122" s="11" t="str">
        <f t="shared" si="77"/>
        <v>15-302654142013</v>
      </c>
      <c r="B1122" t="s">
        <v>649</v>
      </c>
      <c r="C1122" t="s">
        <v>650</v>
      </c>
      <c r="D1122">
        <v>2013</v>
      </c>
      <c r="E1122" t="s">
        <v>69</v>
      </c>
      <c r="F1122">
        <v>1587678.2</v>
      </c>
      <c r="G1122">
        <v>2358</v>
      </c>
      <c r="H1122" s="11" t="str">
        <f t="shared" si="76"/>
        <v>count</v>
      </c>
      <c r="I1122" s="197"/>
      <c r="J1122" s="197"/>
      <c r="K1122" s="197"/>
      <c r="L1122" s="197"/>
      <c r="M1122" s="197"/>
      <c r="N1122" s="197"/>
      <c r="O1122" s="197"/>
      <c r="P1122" s="197"/>
      <c r="Q1122" s="197"/>
      <c r="R1122" s="197"/>
      <c r="S1122" s="197"/>
      <c r="T1122" s="197"/>
      <c r="U1122" s="197"/>
      <c r="V1122" s="197"/>
      <c r="W1122" s="197"/>
      <c r="X1122" s="197"/>
      <c r="Y1122" s="197"/>
      <c r="Z1122" s="197"/>
      <c r="AA1122" s="197"/>
      <c r="AB1122" s="197"/>
      <c r="AC1122" s="197"/>
      <c r="AD1122" s="197"/>
      <c r="AE1122" s="197"/>
      <c r="AF1122" s="197"/>
      <c r="AG1122" s="197"/>
      <c r="AH1122" s="197"/>
      <c r="AI1122" s="197"/>
      <c r="AJ1122" s="197"/>
      <c r="AK1122" s="197"/>
      <c r="AL1122" s="197"/>
    </row>
    <row r="1123" spans="1:38">
      <c r="A1123" s="11" t="str">
        <f t="shared" si="77"/>
        <v>15-302654142012</v>
      </c>
      <c r="B1123" t="s">
        <v>649</v>
      </c>
      <c r="C1123" t="s">
        <v>650</v>
      </c>
      <c r="D1123">
        <v>2012</v>
      </c>
      <c r="E1123" t="s">
        <v>106</v>
      </c>
      <c r="F1123">
        <v>74995.100000000006</v>
      </c>
      <c r="G1123">
        <v>68</v>
      </c>
      <c r="H1123" s="11" t="str">
        <f t="shared" si="76"/>
        <v>count</v>
      </c>
      <c r="I1123" s="197"/>
      <c r="J1123" s="197"/>
      <c r="K1123" s="197"/>
      <c r="L1123" s="197"/>
      <c r="M1123" s="197"/>
      <c r="N1123" s="197"/>
      <c r="O1123" s="197"/>
      <c r="P1123" s="197"/>
      <c r="Q1123" s="197"/>
      <c r="R1123" s="197"/>
      <c r="S1123" s="197"/>
      <c r="T1123" s="197"/>
      <c r="U1123" s="197"/>
      <c r="V1123" s="197"/>
      <c r="W1123" s="197"/>
      <c r="X1123" s="197"/>
      <c r="Y1123" s="197"/>
      <c r="Z1123" s="197"/>
      <c r="AA1123" s="197"/>
      <c r="AB1123" s="197"/>
      <c r="AC1123" s="197"/>
      <c r="AD1123" s="197"/>
      <c r="AE1123" s="197"/>
      <c r="AF1123" s="197"/>
      <c r="AG1123" s="197"/>
      <c r="AH1123" s="197"/>
      <c r="AI1123" s="197"/>
      <c r="AJ1123" s="197"/>
      <c r="AK1123" s="197"/>
      <c r="AL1123" s="197"/>
    </row>
    <row r="1124" spans="1:38">
      <c r="A1124" s="11" t="str">
        <f t="shared" si="77"/>
        <v>15-302654142013</v>
      </c>
      <c r="B1124" t="s">
        <v>649</v>
      </c>
      <c r="C1124" t="s">
        <v>650</v>
      </c>
      <c r="D1124">
        <v>2013</v>
      </c>
      <c r="E1124" t="s">
        <v>133</v>
      </c>
      <c r="F1124">
        <v>1244183.73</v>
      </c>
      <c r="G1124">
        <v>1264</v>
      </c>
      <c r="H1124" s="11" t="str">
        <f t="shared" si="76"/>
        <v>count</v>
      </c>
      <c r="I1124" s="197"/>
      <c r="J1124" s="197"/>
      <c r="K1124" s="197"/>
      <c r="L1124" s="197"/>
      <c r="M1124" s="197"/>
      <c r="N1124" s="197"/>
      <c r="O1124" s="197"/>
      <c r="P1124" s="197"/>
      <c r="Q1124" s="197"/>
      <c r="R1124" s="197"/>
      <c r="S1124" s="197"/>
      <c r="T1124" s="197"/>
      <c r="U1124" s="197"/>
      <c r="V1124" s="197"/>
      <c r="W1124" s="197"/>
      <c r="X1124" s="197"/>
      <c r="Y1124" s="197"/>
      <c r="Z1124" s="197"/>
      <c r="AA1124" s="197"/>
      <c r="AB1124" s="197"/>
      <c r="AC1124" s="197"/>
      <c r="AD1124" s="197"/>
      <c r="AE1124" s="197"/>
      <c r="AF1124" s="197"/>
      <c r="AG1124" s="197"/>
      <c r="AH1124" s="197"/>
      <c r="AI1124" s="197"/>
      <c r="AJ1124" s="197"/>
      <c r="AK1124" s="197"/>
      <c r="AL1124" s="197"/>
    </row>
    <row r="1125" spans="1:38">
      <c r="A1125" s="11" t="str">
        <f t="shared" si="77"/>
        <v>15-302654142011</v>
      </c>
      <c r="B1125" t="s">
        <v>649</v>
      </c>
      <c r="C1125" t="s">
        <v>650</v>
      </c>
      <c r="D1125">
        <v>2011</v>
      </c>
      <c r="E1125" t="s">
        <v>105</v>
      </c>
      <c r="F1125">
        <v>473706.97</v>
      </c>
      <c r="G1125">
        <v>553</v>
      </c>
      <c r="H1125" s="11" t="str">
        <f t="shared" si="76"/>
        <v>count</v>
      </c>
      <c r="I1125" s="197"/>
      <c r="J1125" s="197"/>
      <c r="K1125" s="197"/>
      <c r="L1125" s="197"/>
      <c r="M1125" s="197"/>
      <c r="N1125" s="197"/>
      <c r="O1125" s="197"/>
      <c r="P1125" s="197"/>
      <c r="Q1125" s="197"/>
      <c r="R1125" s="197"/>
      <c r="S1125" s="197"/>
      <c r="T1125" s="197"/>
      <c r="U1125" s="197"/>
      <c r="V1125" s="197"/>
      <c r="W1125" s="197"/>
      <c r="X1125" s="197"/>
      <c r="Y1125" s="197"/>
      <c r="Z1125" s="197"/>
      <c r="AA1125" s="197"/>
      <c r="AB1125" s="197"/>
      <c r="AC1125" s="197"/>
      <c r="AD1125" s="197"/>
      <c r="AE1125" s="197"/>
      <c r="AF1125" s="197"/>
      <c r="AG1125" s="197"/>
      <c r="AH1125" s="197"/>
      <c r="AI1125" s="197"/>
      <c r="AJ1125" s="197"/>
      <c r="AK1125" s="197"/>
      <c r="AL1125" s="197"/>
    </row>
    <row r="1126" spans="1:38">
      <c r="A1126" s="11" t="str">
        <f t="shared" si="77"/>
        <v>15-305061402011</v>
      </c>
      <c r="B1126" t="s">
        <v>656</v>
      </c>
      <c r="C1126" t="s">
        <v>657</v>
      </c>
      <c r="D1126">
        <v>2011</v>
      </c>
      <c r="E1126" t="s">
        <v>63</v>
      </c>
      <c r="F1126">
        <v>1249723.26</v>
      </c>
      <c r="G1126">
        <v>2071</v>
      </c>
      <c r="H1126" s="11" t="str">
        <f t="shared" si="76"/>
        <v>volume</v>
      </c>
      <c r="I1126" s="197"/>
      <c r="J1126" s="197"/>
      <c r="K1126" s="197"/>
      <c r="L1126" s="197"/>
      <c r="M1126" s="197"/>
      <c r="N1126" s="197"/>
      <c r="O1126" s="197"/>
      <c r="P1126" s="197"/>
      <c r="Q1126" s="197"/>
      <c r="R1126" s="197"/>
      <c r="S1126" s="197"/>
      <c r="T1126" s="197"/>
      <c r="U1126" s="197"/>
      <c r="V1126" s="197"/>
      <c r="W1126" s="197"/>
      <c r="X1126" s="197"/>
      <c r="Y1126" s="197"/>
      <c r="Z1126" s="197"/>
      <c r="AA1126" s="197"/>
      <c r="AB1126" s="197"/>
      <c r="AC1126" s="197"/>
      <c r="AD1126" s="197"/>
      <c r="AE1126" s="197"/>
      <c r="AF1126" s="197"/>
      <c r="AG1126" s="197"/>
      <c r="AH1126" s="197"/>
      <c r="AI1126" s="197"/>
      <c r="AJ1126" s="197"/>
      <c r="AK1126" s="197"/>
      <c r="AL1126" s="197"/>
    </row>
    <row r="1127" spans="1:38">
      <c r="A1127" s="11" t="str">
        <f t="shared" si="77"/>
        <v>15-305061402011</v>
      </c>
      <c r="B1127" t="s">
        <v>656</v>
      </c>
      <c r="C1127" t="s">
        <v>657</v>
      </c>
      <c r="D1127">
        <v>2011</v>
      </c>
      <c r="E1127" t="s">
        <v>104</v>
      </c>
      <c r="F1127">
        <v>480041.31</v>
      </c>
      <c r="G1127">
        <v>755</v>
      </c>
      <c r="H1127" s="11" t="str">
        <f t="shared" si="76"/>
        <v>count</v>
      </c>
      <c r="I1127" s="197"/>
      <c r="J1127" s="197"/>
      <c r="K1127" s="197"/>
      <c r="L1127" s="197"/>
      <c r="M1127" s="197"/>
      <c r="N1127" s="197"/>
      <c r="O1127" s="197"/>
      <c r="P1127" s="197"/>
      <c r="Q1127" s="197"/>
      <c r="R1127" s="197"/>
      <c r="S1127" s="197"/>
      <c r="T1127" s="197"/>
      <c r="U1127" s="197"/>
      <c r="V1127" s="197"/>
      <c r="W1127" s="197"/>
      <c r="X1127" s="197"/>
      <c r="Y1127" s="197"/>
      <c r="Z1127" s="197"/>
      <c r="AA1127" s="197"/>
      <c r="AB1127" s="197"/>
      <c r="AC1127" s="197"/>
      <c r="AD1127" s="197"/>
      <c r="AE1127" s="197"/>
      <c r="AF1127" s="197"/>
      <c r="AG1127" s="197"/>
      <c r="AH1127" s="197"/>
      <c r="AI1127" s="197"/>
      <c r="AJ1127" s="197"/>
      <c r="AK1127" s="197"/>
      <c r="AL1127" s="197"/>
    </row>
    <row r="1128" spans="1:38">
      <c r="A1128" s="11" t="str">
        <f t="shared" si="77"/>
        <v>15-305061402013</v>
      </c>
      <c r="B1128" t="s">
        <v>656</v>
      </c>
      <c r="C1128" t="s">
        <v>657</v>
      </c>
      <c r="D1128">
        <v>2013</v>
      </c>
      <c r="E1128" t="s">
        <v>105</v>
      </c>
      <c r="F1128">
        <v>78885.81</v>
      </c>
      <c r="G1128">
        <v>106</v>
      </c>
      <c r="H1128" s="11" t="str">
        <f t="shared" si="76"/>
        <v>count</v>
      </c>
      <c r="I1128" s="197"/>
      <c r="J1128" s="197"/>
      <c r="K1128" s="197"/>
      <c r="L1128" s="197"/>
      <c r="M1128" s="197"/>
      <c r="N1128" s="197"/>
      <c r="O1128" s="197"/>
      <c r="P1128" s="197"/>
      <c r="Q1128" s="197"/>
      <c r="R1128" s="197"/>
      <c r="S1128" s="197"/>
      <c r="T1128" s="197"/>
      <c r="U1128" s="197"/>
      <c r="V1128" s="197"/>
      <c r="W1128" s="197"/>
      <c r="X1128" s="197"/>
      <c r="Y1128" s="197"/>
      <c r="Z1128" s="197"/>
      <c r="AA1128" s="197"/>
      <c r="AB1128" s="197"/>
      <c r="AC1128" s="197"/>
      <c r="AD1128" s="197"/>
      <c r="AE1128" s="197"/>
      <c r="AF1128" s="197"/>
      <c r="AG1128" s="197"/>
      <c r="AH1128" s="197"/>
      <c r="AI1128" s="197"/>
      <c r="AJ1128" s="197"/>
      <c r="AK1128" s="197"/>
      <c r="AL1128" s="197"/>
    </row>
    <row r="1129" spans="1:38">
      <c r="A1129" s="11" t="str">
        <f t="shared" si="77"/>
        <v>15-305061402012</v>
      </c>
      <c r="B1129" t="s">
        <v>656</v>
      </c>
      <c r="C1129" t="s">
        <v>657</v>
      </c>
      <c r="D1129">
        <v>2012</v>
      </c>
      <c r="E1129" t="s">
        <v>69</v>
      </c>
      <c r="F1129">
        <v>488109.93</v>
      </c>
      <c r="G1129">
        <v>932</v>
      </c>
      <c r="H1129" s="11" t="str">
        <f t="shared" si="76"/>
        <v>count</v>
      </c>
      <c r="I1129" s="197"/>
      <c r="J1129" s="197"/>
      <c r="K1129" s="197"/>
      <c r="L1129" s="197"/>
      <c r="M1129" s="197"/>
      <c r="N1129" s="197"/>
      <c r="O1129" s="197"/>
      <c r="P1129" s="197"/>
      <c r="Q1129" s="197"/>
      <c r="R1129" s="197"/>
      <c r="S1129" s="197"/>
      <c r="T1129" s="197"/>
      <c r="U1129" s="197"/>
      <c r="V1129" s="197"/>
      <c r="W1129" s="197"/>
      <c r="X1129" s="197"/>
      <c r="Y1129" s="197"/>
      <c r="Z1129" s="197"/>
      <c r="AA1129" s="197"/>
      <c r="AB1129" s="197"/>
      <c r="AC1129" s="197"/>
      <c r="AD1129" s="197"/>
      <c r="AE1129" s="197"/>
      <c r="AF1129" s="197"/>
      <c r="AG1129" s="197"/>
      <c r="AH1129" s="197"/>
      <c r="AI1129" s="197"/>
      <c r="AJ1129" s="197"/>
      <c r="AK1129" s="197"/>
      <c r="AL1129" s="197"/>
    </row>
    <row r="1130" spans="1:38">
      <c r="A1130" s="11" t="str">
        <f t="shared" si="77"/>
        <v>15-305061402012</v>
      </c>
      <c r="B1130" t="s">
        <v>656</v>
      </c>
      <c r="C1130" t="s">
        <v>657</v>
      </c>
      <c r="D1130">
        <v>2012</v>
      </c>
      <c r="E1130" t="s">
        <v>133</v>
      </c>
      <c r="F1130">
        <v>373417.46</v>
      </c>
      <c r="G1130">
        <v>506</v>
      </c>
      <c r="H1130" s="11" t="str">
        <f t="shared" si="76"/>
        <v>count</v>
      </c>
      <c r="I1130" s="197"/>
      <c r="J1130" s="197"/>
      <c r="K1130" s="197"/>
      <c r="L1130" s="197"/>
      <c r="M1130" s="197"/>
      <c r="N1130" s="197"/>
      <c r="O1130" s="197"/>
      <c r="P1130" s="197"/>
      <c r="Q1130" s="197"/>
      <c r="R1130" s="197"/>
      <c r="S1130" s="197"/>
      <c r="T1130" s="197"/>
      <c r="U1130" s="197"/>
      <c r="V1130" s="197"/>
      <c r="W1130" s="197"/>
      <c r="X1130" s="197"/>
      <c r="Y1130" s="197"/>
      <c r="Z1130" s="197"/>
      <c r="AA1130" s="197"/>
      <c r="AB1130" s="197"/>
      <c r="AC1130" s="197"/>
      <c r="AD1130" s="197"/>
      <c r="AE1130" s="197"/>
      <c r="AF1130" s="197"/>
      <c r="AG1130" s="197"/>
      <c r="AH1130" s="197"/>
      <c r="AI1130" s="197"/>
      <c r="AJ1130" s="197"/>
      <c r="AK1130" s="197"/>
      <c r="AL1130" s="197"/>
    </row>
    <row r="1131" spans="1:38">
      <c r="A1131" s="11" t="str">
        <f t="shared" si="77"/>
        <v>15-305061402011</v>
      </c>
      <c r="B1131" t="s">
        <v>656</v>
      </c>
      <c r="C1131" t="s">
        <v>657</v>
      </c>
      <c r="D1131">
        <v>2011</v>
      </c>
      <c r="E1131" t="s">
        <v>133</v>
      </c>
      <c r="F1131">
        <v>435381.04</v>
      </c>
      <c r="G1131">
        <v>522</v>
      </c>
      <c r="H1131" s="11" t="str">
        <f t="shared" si="76"/>
        <v>count</v>
      </c>
      <c r="I1131" s="197"/>
      <c r="J1131" s="197"/>
      <c r="K1131" s="197"/>
      <c r="L1131" s="197"/>
      <c r="M1131" s="197"/>
      <c r="N1131" s="197"/>
      <c r="O1131" s="197"/>
      <c r="P1131" s="197"/>
      <c r="Q1131" s="197"/>
      <c r="R1131" s="197"/>
      <c r="S1131" s="197"/>
      <c r="T1131" s="197"/>
      <c r="U1131" s="197"/>
      <c r="V1131" s="197"/>
      <c r="W1131" s="197"/>
      <c r="X1131" s="197"/>
      <c r="Y1131" s="197"/>
      <c r="Z1131" s="197"/>
      <c r="AA1131" s="197"/>
      <c r="AB1131" s="197"/>
      <c r="AC1131" s="197"/>
      <c r="AD1131" s="197"/>
      <c r="AE1131" s="197"/>
      <c r="AF1131" s="197"/>
      <c r="AG1131" s="197"/>
      <c r="AH1131" s="197"/>
      <c r="AI1131" s="197"/>
      <c r="AJ1131" s="197"/>
      <c r="AK1131" s="197"/>
      <c r="AL1131" s="197"/>
    </row>
    <row r="1132" spans="1:38">
      <c r="A1132" s="11" t="str">
        <f t="shared" si="77"/>
        <v>15-305061402013</v>
      </c>
      <c r="B1132" t="s">
        <v>656</v>
      </c>
      <c r="C1132" t="s">
        <v>657</v>
      </c>
      <c r="D1132">
        <v>2013</v>
      </c>
      <c r="E1132" t="s">
        <v>106</v>
      </c>
      <c r="F1132">
        <v>4445</v>
      </c>
      <c r="G1132">
        <v>3</v>
      </c>
      <c r="H1132" s="11" t="str">
        <f t="shared" si="76"/>
        <v>count</v>
      </c>
      <c r="I1132" s="197"/>
      <c r="J1132" s="197"/>
      <c r="K1132" s="197"/>
      <c r="L1132" s="197"/>
      <c r="M1132" s="197"/>
      <c r="N1132" s="197"/>
      <c r="O1132" s="197"/>
      <c r="P1132" s="197"/>
      <c r="Q1132" s="197"/>
      <c r="R1132" s="197"/>
      <c r="S1132" s="197"/>
      <c r="T1132" s="197"/>
      <c r="U1132" s="197"/>
      <c r="V1132" s="197"/>
      <c r="W1132" s="197"/>
      <c r="X1132" s="197"/>
      <c r="Y1132" s="197"/>
      <c r="Z1132" s="197"/>
      <c r="AA1132" s="197"/>
      <c r="AB1132" s="197"/>
      <c r="AC1132" s="197"/>
      <c r="AD1132" s="197"/>
      <c r="AE1132" s="197"/>
      <c r="AF1132" s="197"/>
      <c r="AG1132" s="197"/>
      <c r="AH1132" s="197"/>
      <c r="AI1132" s="197"/>
      <c r="AJ1132" s="197"/>
      <c r="AK1132" s="197"/>
      <c r="AL1132" s="197"/>
    </row>
    <row r="1133" spans="1:38">
      <c r="A1133" s="11" t="str">
        <f t="shared" si="77"/>
        <v>15-305061402012</v>
      </c>
      <c r="B1133" t="s">
        <v>656</v>
      </c>
      <c r="C1133" t="s">
        <v>657</v>
      </c>
      <c r="D1133">
        <v>2012</v>
      </c>
      <c r="E1133" t="s">
        <v>63</v>
      </c>
      <c r="F1133">
        <v>933684.75</v>
      </c>
      <c r="G1133">
        <v>1375</v>
      </c>
      <c r="H1133" s="11" t="str">
        <f t="shared" si="76"/>
        <v>count</v>
      </c>
      <c r="I1133" s="197"/>
      <c r="J1133" s="197"/>
      <c r="K1133" s="197"/>
      <c r="L1133" s="197"/>
      <c r="M1133" s="197"/>
      <c r="N1133" s="197"/>
      <c r="O1133" s="197"/>
      <c r="P1133" s="197"/>
      <c r="Q1133" s="197"/>
      <c r="R1133" s="197"/>
      <c r="S1133" s="197"/>
      <c r="T1133" s="197"/>
      <c r="U1133" s="197"/>
      <c r="V1133" s="197"/>
      <c r="W1133" s="197"/>
      <c r="X1133" s="197"/>
      <c r="Y1133" s="197"/>
      <c r="Z1133" s="197"/>
      <c r="AA1133" s="197"/>
      <c r="AB1133" s="197"/>
      <c r="AC1133" s="197"/>
      <c r="AD1133" s="197"/>
      <c r="AE1133" s="197"/>
      <c r="AF1133" s="197"/>
      <c r="AG1133" s="197"/>
      <c r="AH1133" s="197"/>
      <c r="AI1133" s="197"/>
      <c r="AJ1133" s="197"/>
      <c r="AK1133" s="197"/>
      <c r="AL1133" s="197"/>
    </row>
    <row r="1134" spans="1:38">
      <c r="A1134" s="11" t="str">
        <f t="shared" si="77"/>
        <v>15-305061402012</v>
      </c>
      <c r="B1134" t="s">
        <v>656</v>
      </c>
      <c r="C1134" t="s">
        <v>657</v>
      </c>
      <c r="D1134">
        <v>2012</v>
      </c>
      <c r="E1134" t="s">
        <v>104</v>
      </c>
      <c r="F1134">
        <v>446416.2</v>
      </c>
      <c r="G1134">
        <v>665</v>
      </c>
      <c r="H1134" s="11" t="str">
        <f t="shared" si="76"/>
        <v>count</v>
      </c>
      <c r="I1134" s="197"/>
      <c r="J1134" s="197"/>
      <c r="K1134" s="197"/>
      <c r="L1134" s="197"/>
      <c r="M1134" s="197"/>
      <c r="N1134" s="197"/>
      <c r="O1134" s="197"/>
      <c r="P1134" s="197"/>
      <c r="Q1134" s="197"/>
      <c r="R1134" s="197"/>
      <c r="S1134" s="197"/>
      <c r="T1134" s="197"/>
      <c r="U1134" s="197"/>
      <c r="V1134" s="197"/>
      <c r="W1134" s="197"/>
      <c r="X1134" s="197"/>
      <c r="Y1134" s="197"/>
      <c r="Z1134" s="197"/>
      <c r="AA1134" s="197"/>
      <c r="AB1134" s="197"/>
      <c r="AC1134" s="197"/>
      <c r="AD1134" s="197"/>
      <c r="AE1134" s="197"/>
      <c r="AF1134" s="197"/>
      <c r="AG1134" s="197"/>
      <c r="AH1134" s="197"/>
      <c r="AI1134" s="197"/>
      <c r="AJ1134" s="197"/>
      <c r="AK1134" s="197"/>
      <c r="AL1134" s="197"/>
    </row>
    <row r="1135" spans="1:38">
      <c r="A1135" s="11" t="str">
        <f t="shared" si="77"/>
        <v>15-305061402011</v>
      </c>
      <c r="B1135" t="s">
        <v>656</v>
      </c>
      <c r="C1135" t="s">
        <v>657</v>
      </c>
      <c r="D1135">
        <v>2011</v>
      </c>
      <c r="E1135" t="s">
        <v>69</v>
      </c>
      <c r="F1135">
        <v>5126.05</v>
      </c>
      <c r="G1135">
        <v>13</v>
      </c>
      <c r="H1135" s="11" t="str">
        <f t="shared" si="76"/>
        <v>count</v>
      </c>
      <c r="I1135" s="197"/>
      <c r="J1135" s="197"/>
      <c r="K1135" s="197"/>
      <c r="L1135" s="197"/>
      <c r="M1135" s="197"/>
      <c r="N1135" s="197"/>
      <c r="O1135" s="197"/>
      <c r="P1135" s="197"/>
      <c r="Q1135" s="197"/>
      <c r="R1135" s="197"/>
      <c r="S1135" s="197"/>
      <c r="T1135" s="197"/>
      <c r="U1135" s="197"/>
      <c r="V1135" s="197"/>
      <c r="W1135" s="197"/>
      <c r="X1135" s="197"/>
      <c r="Y1135" s="197"/>
      <c r="Z1135" s="197"/>
      <c r="AA1135" s="197"/>
      <c r="AB1135" s="197"/>
      <c r="AC1135" s="197"/>
      <c r="AD1135" s="197"/>
      <c r="AE1135" s="197"/>
      <c r="AF1135" s="197"/>
      <c r="AG1135" s="197"/>
      <c r="AH1135" s="197"/>
      <c r="AI1135" s="197"/>
      <c r="AJ1135" s="197"/>
      <c r="AK1135" s="197"/>
      <c r="AL1135" s="197"/>
    </row>
    <row r="1136" spans="1:38">
      <c r="A1136" s="11" t="str">
        <f t="shared" si="77"/>
        <v>15-305061402013</v>
      </c>
      <c r="B1136" t="s">
        <v>656</v>
      </c>
      <c r="C1136" t="s">
        <v>657</v>
      </c>
      <c r="D1136">
        <v>2013</v>
      </c>
      <c r="E1136" t="s">
        <v>104</v>
      </c>
      <c r="F1136">
        <v>421661.84</v>
      </c>
      <c r="G1136">
        <v>602</v>
      </c>
      <c r="H1136" s="11" t="str">
        <f t="shared" si="76"/>
        <v>count</v>
      </c>
      <c r="I1136" s="197"/>
      <c r="J1136" s="197"/>
      <c r="K1136" s="197"/>
      <c r="L1136" s="197"/>
      <c r="M1136" s="197"/>
      <c r="N1136" s="197"/>
      <c r="O1136" s="197"/>
      <c r="P1136" s="197"/>
      <c r="Q1136" s="197"/>
      <c r="R1136" s="197"/>
      <c r="S1136" s="197"/>
      <c r="T1136" s="197"/>
      <c r="U1136" s="197"/>
      <c r="V1136" s="197"/>
      <c r="W1136" s="197"/>
      <c r="X1136" s="197"/>
      <c r="Y1136" s="197"/>
      <c r="Z1136" s="197"/>
      <c r="AA1136" s="197"/>
      <c r="AB1136" s="197"/>
      <c r="AC1136" s="197"/>
      <c r="AD1136" s="197"/>
      <c r="AE1136" s="197"/>
      <c r="AF1136" s="197"/>
      <c r="AG1136" s="197"/>
      <c r="AH1136" s="197"/>
      <c r="AI1136" s="197"/>
      <c r="AJ1136" s="197"/>
      <c r="AK1136" s="197"/>
      <c r="AL1136" s="197"/>
    </row>
    <row r="1137" spans="1:38">
      <c r="A1137" s="11" t="str">
        <f t="shared" si="77"/>
        <v>15-305061402012</v>
      </c>
      <c r="B1137" t="s">
        <v>656</v>
      </c>
      <c r="C1137" t="s">
        <v>657</v>
      </c>
      <c r="D1137">
        <v>2012</v>
      </c>
      <c r="E1137" t="s">
        <v>106</v>
      </c>
      <c r="F1137">
        <v>4259</v>
      </c>
      <c r="G1137">
        <v>7</v>
      </c>
      <c r="H1137" s="11" t="str">
        <f t="shared" si="76"/>
        <v>count</v>
      </c>
      <c r="I1137" s="197"/>
      <c r="J1137" s="197"/>
      <c r="K1137" s="197"/>
      <c r="L1137" s="197"/>
      <c r="M1137" s="197"/>
      <c r="N1137" s="197"/>
      <c r="O1137" s="197"/>
      <c r="P1137" s="197"/>
      <c r="Q1137" s="197"/>
      <c r="R1137" s="197"/>
      <c r="S1137" s="197"/>
      <c r="T1137" s="197"/>
      <c r="U1137" s="197"/>
      <c r="V1137" s="197"/>
      <c r="W1137" s="197"/>
      <c r="X1137" s="197"/>
      <c r="Y1137" s="197"/>
      <c r="Z1137" s="197"/>
      <c r="AA1137" s="197"/>
      <c r="AB1137" s="197"/>
      <c r="AC1137" s="197"/>
      <c r="AD1137" s="197"/>
      <c r="AE1137" s="197"/>
      <c r="AF1137" s="197"/>
      <c r="AG1137" s="197"/>
      <c r="AH1137" s="197"/>
      <c r="AI1137" s="197"/>
      <c r="AJ1137" s="197"/>
      <c r="AK1137" s="197"/>
      <c r="AL1137" s="197"/>
    </row>
    <row r="1138" spans="1:38">
      <c r="A1138" s="11" t="str">
        <f t="shared" si="77"/>
        <v>15-305061402013</v>
      </c>
      <c r="B1138" t="s">
        <v>656</v>
      </c>
      <c r="C1138" t="s">
        <v>657</v>
      </c>
      <c r="D1138">
        <v>2013</v>
      </c>
      <c r="E1138" t="s">
        <v>63</v>
      </c>
      <c r="F1138">
        <v>994802.87</v>
      </c>
      <c r="G1138">
        <v>1444</v>
      </c>
      <c r="H1138" s="11" t="str">
        <f t="shared" si="76"/>
        <v>count</v>
      </c>
      <c r="I1138" s="197"/>
      <c r="J1138" s="197"/>
      <c r="K1138" s="197"/>
      <c r="L1138" s="197"/>
      <c r="M1138" s="197"/>
      <c r="N1138" s="197"/>
      <c r="O1138" s="197"/>
      <c r="P1138" s="197"/>
      <c r="Q1138" s="197"/>
      <c r="R1138" s="197"/>
      <c r="S1138" s="197"/>
      <c r="T1138" s="197"/>
      <c r="U1138" s="197"/>
      <c r="V1138" s="197"/>
      <c r="W1138" s="197"/>
      <c r="X1138" s="197"/>
      <c r="Y1138" s="197"/>
      <c r="Z1138" s="197"/>
      <c r="AA1138" s="197"/>
      <c r="AB1138" s="197"/>
      <c r="AC1138" s="197"/>
      <c r="AD1138" s="197"/>
      <c r="AE1138" s="197"/>
      <c r="AF1138" s="197"/>
      <c r="AG1138" s="197"/>
      <c r="AH1138" s="197"/>
      <c r="AI1138" s="197"/>
      <c r="AJ1138" s="197"/>
      <c r="AK1138" s="197"/>
      <c r="AL1138" s="197"/>
    </row>
    <row r="1139" spans="1:38">
      <c r="A1139" s="11" t="str">
        <f t="shared" si="77"/>
        <v>15-305061402011</v>
      </c>
      <c r="B1139" t="s">
        <v>656</v>
      </c>
      <c r="C1139" t="s">
        <v>657</v>
      </c>
      <c r="D1139">
        <v>2011</v>
      </c>
      <c r="E1139" t="s">
        <v>105</v>
      </c>
      <c r="F1139">
        <v>73987.399999999994</v>
      </c>
      <c r="G1139">
        <v>105</v>
      </c>
      <c r="H1139" s="11" t="str">
        <f t="shared" si="76"/>
        <v>count</v>
      </c>
      <c r="I1139" s="197"/>
      <c r="J1139" s="197"/>
      <c r="K1139" s="197"/>
      <c r="L1139" s="197"/>
      <c r="M1139" s="197"/>
      <c r="N1139" s="197"/>
      <c r="O1139" s="197"/>
      <c r="P1139" s="197"/>
      <c r="Q1139" s="197"/>
      <c r="R1139" s="197"/>
      <c r="S1139" s="197"/>
      <c r="T1139" s="197"/>
      <c r="U1139" s="197"/>
      <c r="V1139" s="197"/>
      <c r="W1139" s="197"/>
      <c r="X1139" s="197"/>
      <c r="Y1139" s="197"/>
      <c r="Z1139" s="197"/>
      <c r="AA1139" s="197"/>
      <c r="AB1139" s="197"/>
      <c r="AC1139" s="197"/>
      <c r="AD1139" s="197"/>
      <c r="AE1139" s="197"/>
      <c r="AF1139" s="197"/>
      <c r="AG1139" s="197"/>
      <c r="AH1139" s="197"/>
      <c r="AI1139" s="197"/>
      <c r="AJ1139" s="197"/>
      <c r="AK1139" s="197"/>
      <c r="AL1139" s="197"/>
    </row>
    <row r="1140" spans="1:38">
      <c r="A1140" s="11" t="str">
        <f t="shared" si="77"/>
        <v>15-305061402013</v>
      </c>
      <c r="B1140" t="s">
        <v>656</v>
      </c>
      <c r="C1140" t="s">
        <v>657</v>
      </c>
      <c r="D1140">
        <v>2013</v>
      </c>
      <c r="E1140" t="s">
        <v>133</v>
      </c>
      <c r="F1140">
        <v>385680.24</v>
      </c>
      <c r="G1140">
        <v>475</v>
      </c>
      <c r="H1140" s="11" t="str">
        <f t="shared" si="76"/>
        <v>count</v>
      </c>
      <c r="I1140" s="197"/>
      <c r="J1140" s="197"/>
      <c r="K1140" s="197"/>
      <c r="L1140" s="197"/>
      <c r="M1140" s="197"/>
      <c r="N1140" s="197"/>
      <c r="O1140" s="197"/>
      <c r="P1140" s="197"/>
      <c r="Q1140" s="197"/>
      <c r="R1140" s="197"/>
      <c r="S1140" s="197"/>
      <c r="T1140" s="197"/>
      <c r="U1140" s="197"/>
      <c r="V1140" s="197"/>
      <c r="W1140" s="197"/>
      <c r="X1140" s="197"/>
      <c r="Y1140" s="197"/>
      <c r="Z1140" s="197"/>
      <c r="AA1140" s="197"/>
      <c r="AB1140" s="197"/>
      <c r="AC1140" s="197"/>
      <c r="AD1140" s="197"/>
      <c r="AE1140" s="197"/>
      <c r="AF1140" s="197"/>
      <c r="AG1140" s="197"/>
      <c r="AH1140" s="197"/>
      <c r="AI1140" s="197"/>
      <c r="AJ1140" s="197"/>
      <c r="AK1140" s="197"/>
      <c r="AL1140" s="197"/>
    </row>
    <row r="1141" spans="1:38">
      <c r="A1141" s="11" t="str">
        <f t="shared" si="77"/>
        <v>15-305061402012</v>
      </c>
      <c r="B1141" t="s">
        <v>656</v>
      </c>
      <c r="C1141" t="s">
        <v>657</v>
      </c>
      <c r="D1141">
        <v>2012</v>
      </c>
      <c r="E1141" t="s">
        <v>105</v>
      </c>
      <c r="F1141">
        <v>69151.14</v>
      </c>
      <c r="G1141">
        <v>102</v>
      </c>
      <c r="H1141" s="11" t="str">
        <f t="shared" si="76"/>
        <v>count</v>
      </c>
      <c r="I1141" s="197"/>
      <c r="J1141" s="197"/>
      <c r="K1141" s="197"/>
      <c r="L1141" s="197"/>
      <c r="M1141" s="197"/>
      <c r="N1141" s="197"/>
      <c r="O1141" s="197"/>
      <c r="P1141" s="197"/>
      <c r="Q1141" s="197"/>
      <c r="R1141" s="197"/>
      <c r="S1141" s="197"/>
      <c r="T1141" s="197"/>
      <c r="U1141" s="197"/>
      <c r="V1141" s="197"/>
      <c r="W1141" s="197"/>
      <c r="X1141" s="197"/>
      <c r="Y1141" s="197"/>
      <c r="Z1141" s="197"/>
      <c r="AA1141" s="197"/>
      <c r="AB1141" s="197"/>
      <c r="AC1141" s="197"/>
      <c r="AD1141" s="197"/>
      <c r="AE1141" s="197"/>
      <c r="AF1141" s="197"/>
      <c r="AG1141" s="197"/>
      <c r="AH1141" s="197"/>
      <c r="AI1141" s="197"/>
      <c r="AJ1141" s="197"/>
      <c r="AK1141" s="197"/>
      <c r="AL1141" s="197"/>
    </row>
    <row r="1142" spans="1:38">
      <c r="A1142" s="11" t="str">
        <f t="shared" si="77"/>
        <v>15-305061402013</v>
      </c>
      <c r="B1142" t="s">
        <v>656</v>
      </c>
      <c r="C1142" t="s">
        <v>657</v>
      </c>
      <c r="D1142">
        <v>2013</v>
      </c>
      <c r="E1142" t="s">
        <v>69</v>
      </c>
      <c r="F1142">
        <v>551848.92000000004</v>
      </c>
      <c r="G1142">
        <v>1042</v>
      </c>
      <c r="H1142" s="11" t="str">
        <f t="shared" si="76"/>
        <v>count</v>
      </c>
      <c r="I1142" s="197"/>
      <c r="J1142" s="197"/>
      <c r="K1142" s="197"/>
      <c r="L1142" s="197"/>
      <c r="M1142" s="197"/>
      <c r="N1142" s="197"/>
      <c r="O1142" s="197"/>
      <c r="P1142" s="197"/>
      <c r="Q1142" s="197"/>
      <c r="R1142" s="197"/>
      <c r="S1142" s="197"/>
      <c r="T1142" s="197"/>
      <c r="U1142" s="197"/>
      <c r="V1142" s="197"/>
      <c r="W1142" s="197"/>
      <c r="X1142" s="197"/>
      <c r="Y1142" s="197"/>
      <c r="Z1142" s="197"/>
      <c r="AA1142" s="197"/>
      <c r="AB1142" s="197"/>
      <c r="AC1142" s="197"/>
      <c r="AD1142" s="197"/>
      <c r="AE1142" s="197"/>
      <c r="AF1142" s="197"/>
      <c r="AG1142" s="197"/>
      <c r="AH1142" s="197"/>
      <c r="AI1142" s="197"/>
      <c r="AJ1142" s="197"/>
      <c r="AK1142" s="197"/>
      <c r="AL1142" s="197"/>
    </row>
    <row r="1143" spans="1:38">
      <c r="A1143" s="11" t="str">
        <f t="shared" si="77"/>
        <v>15-305061402011</v>
      </c>
      <c r="B1143" t="s">
        <v>656</v>
      </c>
      <c r="C1143" t="s">
        <v>657</v>
      </c>
      <c r="D1143">
        <v>2011</v>
      </c>
      <c r="E1143" t="s">
        <v>106</v>
      </c>
      <c r="F1143">
        <v>7267.5</v>
      </c>
      <c r="G1143">
        <v>5</v>
      </c>
      <c r="H1143" s="11" t="str">
        <f t="shared" si="76"/>
        <v>count</v>
      </c>
      <c r="I1143" s="197"/>
      <c r="J1143" s="197"/>
      <c r="K1143" s="197"/>
      <c r="L1143" s="197"/>
      <c r="M1143" s="197"/>
      <c r="N1143" s="197"/>
      <c r="O1143" s="197"/>
      <c r="P1143" s="197"/>
      <c r="Q1143" s="197"/>
      <c r="R1143" s="197"/>
      <c r="S1143" s="197"/>
      <c r="T1143" s="197"/>
      <c r="U1143" s="197"/>
      <c r="V1143" s="197"/>
      <c r="W1143" s="197"/>
      <c r="X1143" s="197"/>
      <c r="Y1143" s="197"/>
      <c r="Z1143" s="197"/>
      <c r="AA1143" s="197"/>
      <c r="AB1143" s="197"/>
      <c r="AC1143" s="197"/>
      <c r="AD1143" s="197"/>
      <c r="AE1143" s="197"/>
      <c r="AF1143" s="197"/>
      <c r="AG1143" s="197"/>
      <c r="AH1143" s="197"/>
      <c r="AI1143" s="197"/>
      <c r="AJ1143" s="197"/>
      <c r="AK1143" s="197"/>
      <c r="AL1143" s="197"/>
    </row>
    <row r="1144" spans="1:38">
      <c r="A1144" s="11" t="str">
        <f t="shared" si="77"/>
        <v>15-305274082011</v>
      </c>
      <c r="B1144" t="s">
        <v>658</v>
      </c>
      <c r="C1144" t="s">
        <v>659</v>
      </c>
      <c r="D1144">
        <v>2011</v>
      </c>
      <c r="E1144" t="s">
        <v>104</v>
      </c>
      <c r="F1144">
        <v>701833.31</v>
      </c>
      <c r="G1144">
        <v>733</v>
      </c>
      <c r="H1144" s="11" t="str">
        <f t="shared" si="76"/>
        <v>volume</v>
      </c>
      <c r="I1144" s="197"/>
      <c r="J1144" s="197"/>
      <c r="K1144" s="197"/>
      <c r="L1144" s="197"/>
      <c r="M1144" s="197"/>
      <c r="N1144" s="197"/>
      <c r="O1144" s="197"/>
      <c r="P1144" s="197"/>
      <c r="Q1144" s="197"/>
      <c r="R1144" s="197"/>
      <c r="S1144" s="197"/>
      <c r="T1144" s="197"/>
      <c r="U1144" s="197"/>
      <c r="V1144" s="197"/>
      <c r="W1144" s="197"/>
      <c r="X1144" s="197"/>
      <c r="Y1144" s="197"/>
      <c r="Z1144" s="197"/>
      <c r="AA1144" s="197"/>
      <c r="AB1144" s="197"/>
      <c r="AC1144" s="197"/>
      <c r="AD1144" s="197"/>
      <c r="AE1144" s="197"/>
      <c r="AF1144" s="197"/>
      <c r="AG1144" s="197"/>
      <c r="AH1144" s="197"/>
      <c r="AI1144" s="197"/>
      <c r="AJ1144" s="197"/>
      <c r="AK1144" s="197"/>
      <c r="AL1144" s="197"/>
    </row>
    <row r="1145" spans="1:38">
      <c r="A1145" s="11" t="str">
        <f t="shared" si="77"/>
        <v>15-305274082011</v>
      </c>
      <c r="B1145" t="s">
        <v>658</v>
      </c>
      <c r="C1145" t="s">
        <v>659</v>
      </c>
      <c r="D1145">
        <v>2011</v>
      </c>
      <c r="E1145" t="s">
        <v>63</v>
      </c>
      <c r="F1145">
        <v>1426839.45</v>
      </c>
      <c r="G1145">
        <v>1389</v>
      </c>
      <c r="H1145" s="11" t="str">
        <f t="shared" si="76"/>
        <v>count</v>
      </c>
      <c r="I1145" s="197"/>
      <c r="J1145" s="197"/>
      <c r="K1145" s="197"/>
      <c r="L1145" s="197"/>
      <c r="M1145" s="197"/>
      <c r="N1145" s="197"/>
      <c r="O1145" s="197"/>
      <c r="P1145" s="197"/>
      <c r="Q1145" s="197"/>
      <c r="R1145" s="197"/>
      <c r="S1145" s="197"/>
      <c r="T1145" s="197"/>
      <c r="U1145" s="197"/>
      <c r="V1145" s="197"/>
      <c r="W1145" s="197"/>
      <c r="X1145" s="197"/>
      <c r="Y1145" s="197"/>
      <c r="Z1145" s="197"/>
      <c r="AA1145" s="197"/>
      <c r="AB1145" s="197"/>
      <c r="AC1145" s="197"/>
      <c r="AD1145" s="197"/>
      <c r="AE1145" s="197"/>
      <c r="AF1145" s="197"/>
      <c r="AG1145" s="197"/>
      <c r="AH1145" s="197"/>
      <c r="AI1145" s="197"/>
      <c r="AJ1145" s="197"/>
      <c r="AK1145" s="197"/>
      <c r="AL1145" s="197"/>
    </row>
    <row r="1146" spans="1:38">
      <c r="A1146" s="11" t="str">
        <f t="shared" si="77"/>
        <v>15-305274082012</v>
      </c>
      <c r="B1146" t="s">
        <v>658</v>
      </c>
      <c r="C1146" t="s">
        <v>659</v>
      </c>
      <c r="D1146">
        <v>2012</v>
      </c>
      <c r="E1146" t="s">
        <v>106</v>
      </c>
      <c r="F1146">
        <v>50493.46</v>
      </c>
      <c r="G1146">
        <v>16</v>
      </c>
      <c r="H1146" s="11" t="str">
        <f t="shared" si="76"/>
        <v>count</v>
      </c>
      <c r="I1146" s="197"/>
      <c r="J1146" s="197"/>
      <c r="K1146" s="197"/>
      <c r="L1146" s="197"/>
      <c r="M1146" s="197"/>
      <c r="N1146" s="197"/>
      <c r="O1146" s="197"/>
      <c r="P1146" s="197"/>
      <c r="Q1146" s="197"/>
      <c r="R1146" s="197"/>
      <c r="S1146" s="197"/>
      <c r="T1146" s="197"/>
      <c r="U1146" s="197"/>
      <c r="V1146" s="197"/>
      <c r="W1146" s="197"/>
      <c r="X1146" s="197"/>
      <c r="Y1146" s="197"/>
      <c r="Z1146" s="197"/>
      <c r="AA1146" s="197"/>
      <c r="AB1146" s="197"/>
      <c r="AC1146" s="197"/>
      <c r="AD1146" s="197"/>
      <c r="AE1146" s="197"/>
      <c r="AF1146" s="197"/>
      <c r="AG1146" s="197"/>
      <c r="AH1146" s="197"/>
      <c r="AI1146" s="197"/>
      <c r="AJ1146" s="197"/>
      <c r="AK1146" s="197"/>
      <c r="AL1146" s="197"/>
    </row>
    <row r="1147" spans="1:38">
      <c r="A1147" s="11" t="str">
        <f t="shared" si="77"/>
        <v>15-305274082012</v>
      </c>
      <c r="B1147" t="s">
        <v>658</v>
      </c>
      <c r="C1147" t="s">
        <v>659</v>
      </c>
      <c r="D1147">
        <v>2012</v>
      </c>
      <c r="E1147" t="s">
        <v>105</v>
      </c>
      <c r="F1147">
        <v>131783.89000000001</v>
      </c>
      <c r="G1147">
        <v>143</v>
      </c>
      <c r="H1147" s="11" t="str">
        <f t="shared" si="76"/>
        <v>count</v>
      </c>
      <c r="I1147" s="197"/>
      <c r="J1147" s="197"/>
      <c r="K1147" s="197"/>
      <c r="L1147" s="197"/>
      <c r="M1147" s="197"/>
      <c r="N1147" s="197"/>
      <c r="O1147" s="197"/>
      <c r="P1147" s="197"/>
      <c r="Q1147" s="197"/>
      <c r="R1147" s="197"/>
      <c r="S1147" s="197"/>
      <c r="T1147" s="197"/>
      <c r="U1147" s="197"/>
      <c r="V1147" s="197"/>
      <c r="W1147" s="197"/>
      <c r="X1147" s="197"/>
      <c r="Y1147" s="197"/>
      <c r="Z1147" s="197"/>
      <c r="AA1147" s="197"/>
      <c r="AB1147" s="197"/>
      <c r="AC1147" s="197"/>
      <c r="AD1147" s="197"/>
      <c r="AE1147" s="197"/>
      <c r="AF1147" s="197"/>
      <c r="AG1147" s="197"/>
      <c r="AH1147" s="197"/>
      <c r="AI1147" s="197"/>
      <c r="AJ1147" s="197"/>
      <c r="AK1147" s="197"/>
      <c r="AL1147" s="197"/>
    </row>
    <row r="1148" spans="1:38">
      <c r="A1148" s="11" t="str">
        <f t="shared" si="77"/>
        <v>15-305274082011</v>
      </c>
      <c r="B1148" t="s">
        <v>658</v>
      </c>
      <c r="C1148" t="s">
        <v>659</v>
      </c>
      <c r="D1148">
        <v>2011</v>
      </c>
      <c r="E1148" t="s">
        <v>105</v>
      </c>
      <c r="F1148">
        <v>135781.76999999999</v>
      </c>
      <c r="G1148">
        <v>153</v>
      </c>
      <c r="H1148" s="11" t="str">
        <f t="shared" si="76"/>
        <v>count</v>
      </c>
      <c r="I1148" s="197"/>
      <c r="J1148" s="197"/>
      <c r="K1148" s="197"/>
      <c r="L1148" s="197"/>
      <c r="M1148" s="197"/>
      <c r="N1148" s="197"/>
      <c r="O1148" s="197"/>
      <c r="P1148" s="197"/>
      <c r="Q1148" s="197"/>
      <c r="R1148" s="197"/>
      <c r="S1148" s="197"/>
      <c r="T1148" s="197"/>
      <c r="U1148" s="197"/>
      <c r="V1148" s="197"/>
      <c r="W1148" s="197"/>
      <c r="X1148" s="197"/>
      <c r="Y1148" s="197"/>
      <c r="Z1148" s="197"/>
      <c r="AA1148" s="197"/>
      <c r="AB1148" s="197"/>
      <c r="AC1148" s="197"/>
      <c r="AD1148" s="197"/>
      <c r="AE1148" s="197"/>
      <c r="AF1148" s="197"/>
      <c r="AG1148" s="197"/>
      <c r="AH1148" s="197"/>
      <c r="AI1148" s="197"/>
      <c r="AJ1148" s="197"/>
      <c r="AK1148" s="197"/>
      <c r="AL1148" s="197"/>
    </row>
    <row r="1149" spans="1:38">
      <c r="A1149" s="11" t="str">
        <f t="shared" si="77"/>
        <v>15-305274082011</v>
      </c>
      <c r="B1149" t="s">
        <v>658</v>
      </c>
      <c r="C1149" t="s">
        <v>659</v>
      </c>
      <c r="D1149">
        <v>2011</v>
      </c>
      <c r="E1149" t="s">
        <v>69</v>
      </c>
      <c r="F1149">
        <v>2064.29</v>
      </c>
      <c r="G1149">
        <v>4</v>
      </c>
      <c r="H1149" s="11" t="str">
        <f t="shared" si="76"/>
        <v>count</v>
      </c>
      <c r="I1149" s="197"/>
      <c r="J1149" s="197"/>
      <c r="K1149" s="197"/>
      <c r="L1149" s="197"/>
      <c r="M1149" s="197"/>
      <c r="N1149" s="197"/>
      <c r="O1149" s="197"/>
      <c r="P1149" s="197"/>
      <c r="Q1149" s="197"/>
      <c r="R1149" s="197"/>
      <c r="S1149" s="197"/>
      <c r="T1149" s="197"/>
      <c r="U1149" s="197"/>
      <c r="V1149" s="197"/>
      <c r="W1149" s="197"/>
      <c r="X1149" s="197"/>
      <c r="Y1149" s="197"/>
      <c r="Z1149" s="197"/>
      <c r="AA1149" s="197"/>
      <c r="AB1149" s="197"/>
      <c r="AC1149" s="197"/>
      <c r="AD1149" s="197"/>
      <c r="AE1149" s="197"/>
      <c r="AF1149" s="197"/>
      <c r="AG1149" s="197"/>
      <c r="AH1149" s="197"/>
      <c r="AI1149" s="197"/>
      <c r="AJ1149" s="197"/>
      <c r="AK1149" s="197"/>
      <c r="AL1149" s="197"/>
    </row>
    <row r="1150" spans="1:38">
      <c r="A1150" s="11" t="str">
        <f t="shared" si="77"/>
        <v>15-305274082013</v>
      </c>
      <c r="B1150" t="s">
        <v>658</v>
      </c>
      <c r="C1150" t="s">
        <v>659</v>
      </c>
      <c r="D1150">
        <v>2013</v>
      </c>
      <c r="E1150" t="s">
        <v>106</v>
      </c>
      <c r="F1150">
        <v>65990.05</v>
      </c>
      <c r="G1150">
        <v>56</v>
      </c>
      <c r="H1150" s="11" t="str">
        <f t="shared" si="76"/>
        <v>count</v>
      </c>
      <c r="I1150" s="197"/>
      <c r="J1150" s="197"/>
      <c r="K1150" s="197"/>
      <c r="L1150" s="197"/>
      <c r="M1150" s="197"/>
      <c r="N1150" s="197"/>
      <c r="O1150" s="197"/>
      <c r="P1150" s="197"/>
      <c r="Q1150" s="197"/>
      <c r="R1150" s="197"/>
      <c r="S1150" s="197"/>
      <c r="T1150" s="197"/>
      <c r="U1150" s="197"/>
      <c r="V1150" s="197"/>
      <c r="W1150" s="197"/>
      <c r="X1150" s="197"/>
      <c r="Y1150" s="197"/>
      <c r="Z1150" s="197"/>
      <c r="AA1150" s="197"/>
      <c r="AB1150" s="197"/>
      <c r="AC1150" s="197"/>
      <c r="AD1150" s="197"/>
      <c r="AE1150" s="197"/>
      <c r="AF1150" s="197"/>
      <c r="AG1150" s="197"/>
      <c r="AH1150" s="197"/>
      <c r="AI1150" s="197"/>
      <c r="AJ1150" s="197"/>
      <c r="AK1150" s="197"/>
      <c r="AL1150" s="197"/>
    </row>
    <row r="1151" spans="1:38">
      <c r="A1151" s="11" t="str">
        <f t="shared" si="77"/>
        <v>15-305274082013</v>
      </c>
      <c r="B1151" t="s">
        <v>658</v>
      </c>
      <c r="C1151" t="s">
        <v>659</v>
      </c>
      <c r="D1151">
        <v>2013</v>
      </c>
      <c r="E1151" t="s">
        <v>63</v>
      </c>
      <c r="F1151">
        <v>1361430.24</v>
      </c>
      <c r="G1151">
        <v>1242</v>
      </c>
      <c r="H1151" s="11" t="str">
        <f t="shared" si="76"/>
        <v>count</v>
      </c>
      <c r="I1151" s="197"/>
      <c r="J1151" s="197"/>
      <c r="K1151" s="197"/>
      <c r="L1151" s="197"/>
      <c r="M1151" s="197"/>
      <c r="N1151" s="197"/>
      <c r="O1151" s="197"/>
      <c r="P1151" s="197"/>
      <c r="Q1151" s="197"/>
      <c r="R1151" s="197"/>
      <c r="S1151" s="197"/>
      <c r="T1151" s="197"/>
      <c r="U1151" s="197"/>
      <c r="V1151" s="197"/>
      <c r="W1151" s="197"/>
      <c r="X1151" s="197"/>
      <c r="Y1151" s="197"/>
      <c r="Z1151" s="197"/>
      <c r="AA1151" s="197"/>
      <c r="AB1151" s="197"/>
      <c r="AC1151" s="197"/>
      <c r="AD1151" s="197"/>
      <c r="AE1151" s="197"/>
      <c r="AF1151" s="197"/>
      <c r="AG1151" s="197"/>
      <c r="AH1151" s="197"/>
      <c r="AI1151" s="197"/>
      <c r="AJ1151" s="197"/>
      <c r="AK1151" s="197"/>
      <c r="AL1151" s="197"/>
    </row>
    <row r="1152" spans="1:38">
      <c r="A1152" s="11" t="str">
        <f t="shared" si="77"/>
        <v>15-305274082013</v>
      </c>
      <c r="B1152" t="s">
        <v>658</v>
      </c>
      <c r="C1152" t="s">
        <v>659</v>
      </c>
      <c r="D1152">
        <v>2013</v>
      </c>
      <c r="E1152" t="s">
        <v>104</v>
      </c>
      <c r="F1152">
        <v>744884.82</v>
      </c>
      <c r="G1152">
        <v>675</v>
      </c>
      <c r="H1152" s="11" t="str">
        <f t="shared" si="76"/>
        <v>count</v>
      </c>
      <c r="I1152" s="197"/>
      <c r="J1152" s="197"/>
      <c r="K1152" s="197"/>
      <c r="L1152" s="197"/>
      <c r="M1152" s="197"/>
      <c r="N1152" s="197"/>
      <c r="O1152" s="197"/>
      <c r="P1152" s="197"/>
      <c r="Q1152" s="197"/>
      <c r="R1152" s="197"/>
      <c r="S1152" s="197"/>
      <c r="T1152" s="197"/>
      <c r="U1152" s="197"/>
      <c r="V1152" s="197"/>
      <c r="W1152" s="197"/>
      <c r="X1152" s="197"/>
      <c r="Y1152" s="197"/>
      <c r="Z1152" s="197"/>
      <c r="AA1152" s="197"/>
      <c r="AB1152" s="197"/>
      <c r="AC1152" s="197"/>
      <c r="AD1152" s="197"/>
      <c r="AE1152" s="197"/>
      <c r="AF1152" s="197"/>
      <c r="AG1152" s="197"/>
      <c r="AH1152" s="197"/>
      <c r="AI1152" s="197"/>
      <c r="AJ1152" s="197"/>
      <c r="AK1152" s="197"/>
      <c r="AL1152" s="197"/>
    </row>
    <row r="1153" spans="1:38">
      <c r="A1153" s="11" t="str">
        <f t="shared" si="77"/>
        <v>15-305274082012</v>
      </c>
      <c r="B1153" t="s">
        <v>658</v>
      </c>
      <c r="C1153" t="s">
        <v>659</v>
      </c>
      <c r="D1153">
        <v>2012</v>
      </c>
      <c r="E1153" t="s">
        <v>69</v>
      </c>
      <c r="F1153">
        <v>195371.65</v>
      </c>
      <c r="G1153">
        <v>277</v>
      </c>
      <c r="H1153" s="11" t="str">
        <f t="shared" si="76"/>
        <v>count</v>
      </c>
      <c r="I1153" s="197"/>
      <c r="J1153" s="197"/>
      <c r="K1153" s="197"/>
      <c r="L1153" s="197"/>
      <c r="M1153" s="197"/>
      <c r="N1153" s="197"/>
      <c r="O1153" s="197"/>
      <c r="P1153" s="197"/>
      <c r="Q1153" s="197"/>
      <c r="R1153" s="197"/>
      <c r="S1153" s="197"/>
      <c r="T1153" s="197"/>
      <c r="U1153" s="197"/>
      <c r="V1153" s="197"/>
      <c r="W1153" s="197"/>
      <c r="X1153" s="197"/>
      <c r="Y1153" s="197"/>
      <c r="Z1153" s="197"/>
      <c r="AA1153" s="197"/>
      <c r="AB1153" s="197"/>
      <c r="AC1153" s="197"/>
      <c r="AD1153" s="197"/>
      <c r="AE1153" s="197"/>
      <c r="AF1153" s="197"/>
      <c r="AG1153" s="197"/>
      <c r="AH1153" s="197"/>
      <c r="AI1153" s="197"/>
      <c r="AJ1153" s="197"/>
      <c r="AK1153" s="197"/>
      <c r="AL1153" s="197"/>
    </row>
    <row r="1154" spans="1:38">
      <c r="A1154" s="11" t="str">
        <f t="shared" si="77"/>
        <v>15-305274082012</v>
      </c>
      <c r="B1154" t="s">
        <v>658</v>
      </c>
      <c r="C1154" t="s">
        <v>659</v>
      </c>
      <c r="D1154">
        <v>2012</v>
      </c>
      <c r="E1154" t="s">
        <v>104</v>
      </c>
      <c r="F1154">
        <v>828651.3</v>
      </c>
      <c r="G1154">
        <v>774</v>
      </c>
      <c r="H1154" s="11" t="str">
        <f t="shared" ref="H1154:H1217" si="78">IF(B1154=B1153,"count","volume")</f>
        <v>count</v>
      </c>
      <c r="I1154" s="197"/>
      <c r="J1154" s="197"/>
      <c r="K1154" s="197"/>
      <c r="L1154" s="197"/>
      <c r="M1154" s="197"/>
      <c r="N1154" s="197"/>
      <c r="O1154" s="197"/>
      <c r="P1154" s="197"/>
      <c r="Q1154" s="197"/>
      <c r="R1154" s="197"/>
      <c r="S1154" s="197"/>
      <c r="T1154" s="197"/>
      <c r="U1154" s="197"/>
      <c r="V1154" s="197"/>
      <c r="W1154" s="197"/>
      <c r="X1154" s="197"/>
      <c r="Y1154" s="197"/>
      <c r="Z1154" s="197"/>
      <c r="AA1154" s="197"/>
      <c r="AB1154" s="197"/>
      <c r="AC1154" s="197"/>
      <c r="AD1154" s="197"/>
      <c r="AE1154" s="197"/>
      <c r="AF1154" s="197"/>
      <c r="AG1154" s="197"/>
      <c r="AH1154" s="197"/>
      <c r="AI1154" s="197"/>
      <c r="AJ1154" s="197"/>
      <c r="AK1154" s="197"/>
      <c r="AL1154" s="197"/>
    </row>
    <row r="1155" spans="1:38">
      <c r="A1155" s="11" t="str">
        <f t="shared" ref="A1155:A1218" si="79">B1155&amp;D1155</f>
        <v>15-305274082013</v>
      </c>
      <c r="B1155" t="s">
        <v>658</v>
      </c>
      <c r="C1155" t="s">
        <v>659</v>
      </c>
      <c r="D1155">
        <v>2013</v>
      </c>
      <c r="E1155" t="s">
        <v>69</v>
      </c>
      <c r="F1155">
        <v>212775.14</v>
      </c>
      <c r="G1155">
        <v>302</v>
      </c>
      <c r="H1155" s="11" t="str">
        <f t="shared" si="78"/>
        <v>count</v>
      </c>
      <c r="I1155" s="197"/>
      <c r="J1155" s="197"/>
      <c r="K1155" s="197"/>
      <c r="L1155" s="197"/>
      <c r="M1155" s="197"/>
      <c r="N1155" s="197"/>
      <c r="O1155" s="197"/>
      <c r="P1155" s="197"/>
      <c r="Q1155" s="197"/>
      <c r="R1155" s="197"/>
      <c r="S1155" s="197"/>
      <c r="T1155" s="197"/>
      <c r="U1155" s="197"/>
      <c r="V1155" s="197"/>
      <c r="W1155" s="197"/>
      <c r="X1155" s="197"/>
      <c r="Y1155" s="197"/>
      <c r="Z1155" s="197"/>
      <c r="AA1155" s="197"/>
      <c r="AB1155" s="197"/>
      <c r="AC1155" s="197"/>
      <c r="AD1155" s="197"/>
      <c r="AE1155" s="197"/>
      <c r="AF1155" s="197"/>
      <c r="AG1155" s="197"/>
      <c r="AH1155" s="197"/>
      <c r="AI1155" s="197"/>
      <c r="AJ1155" s="197"/>
      <c r="AK1155" s="197"/>
      <c r="AL1155" s="197"/>
    </row>
    <row r="1156" spans="1:38">
      <c r="A1156" s="11" t="str">
        <f t="shared" si="79"/>
        <v>15-305274082011</v>
      </c>
      <c r="B1156" t="s">
        <v>658</v>
      </c>
      <c r="C1156" t="s">
        <v>659</v>
      </c>
      <c r="D1156">
        <v>2011</v>
      </c>
      <c r="E1156" t="s">
        <v>106</v>
      </c>
      <c r="F1156">
        <v>2612.94</v>
      </c>
      <c r="G1156">
        <v>2</v>
      </c>
      <c r="H1156" s="11" t="str">
        <f t="shared" si="78"/>
        <v>count</v>
      </c>
      <c r="I1156" s="197"/>
      <c r="J1156" s="197"/>
      <c r="K1156" s="197"/>
      <c r="L1156" s="197"/>
      <c r="M1156" s="197"/>
      <c r="N1156" s="197"/>
      <c r="O1156" s="197"/>
      <c r="P1156" s="197"/>
      <c r="Q1156" s="197"/>
      <c r="R1156" s="197"/>
      <c r="S1156" s="197"/>
      <c r="T1156" s="197"/>
      <c r="U1156" s="197"/>
      <c r="V1156" s="197"/>
      <c r="W1156" s="197"/>
      <c r="X1156" s="197"/>
      <c r="Y1156" s="197"/>
      <c r="Z1156" s="197"/>
      <c r="AA1156" s="197"/>
      <c r="AB1156" s="197"/>
      <c r="AC1156" s="197"/>
      <c r="AD1156" s="197"/>
      <c r="AE1156" s="197"/>
      <c r="AF1156" s="197"/>
      <c r="AG1156" s="197"/>
      <c r="AH1156" s="197"/>
      <c r="AI1156" s="197"/>
      <c r="AJ1156" s="197"/>
      <c r="AK1156" s="197"/>
      <c r="AL1156" s="197"/>
    </row>
    <row r="1157" spans="1:38">
      <c r="A1157" s="11" t="str">
        <f t="shared" si="79"/>
        <v>15-305274082013</v>
      </c>
      <c r="B1157" t="s">
        <v>658</v>
      </c>
      <c r="C1157" t="s">
        <v>659</v>
      </c>
      <c r="D1157">
        <v>2013</v>
      </c>
      <c r="E1157" t="s">
        <v>105</v>
      </c>
      <c r="F1157">
        <v>160824.9</v>
      </c>
      <c r="G1157">
        <v>168</v>
      </c>
      <c r="H1157" s="11" t="str">
        <f t="shared" si="78"/>
        <v>count</v>
      </c>
      <c r="I1157" s="197"/>
      <c r="J1157" s="197"/>
      <c r="K1157" s="197"/>
      <c r="L1157" s="197"/>
      <c r="M1157" s="197"/>
      <c r="N1157" s="197"/>
      <c r="O1157" s="197"/>
      <c r="P1157" s="197"/>
      <c r="Q1157" s="197"/>
      <c r="R1157" s="197"/>
      <c r="S1157" s="197"/>
      <c r="T1157" s="197"/>
      <c r="U1157" s="197"/>
      <c r="V1157" s="197"/>
      <c r="W1157" s="197"/>
      <c r="X1157" s="197"/>
      <c r="Y1157" s="197"/>
      <c r="Z1157" s="197"/>
      <c r="AA1157" s="197"/>
      <c r="AB1157" s="197"/>
      <c r="AC1157" s="197"/>
      <c r="AD1157" s="197"/>
      <c r="AE1157" s="197"/>
      <c r="AF1157" s="197"/>
      <c r="AG1157" s="197"/>
      <c r="AH1157" s="197"/>
      <c r="AI1157" s="197"/>
      <c r="AJ1157" s="197"/>
      <c r="AK1157" s="197"/>
      <c r="AL1157" s="197"/>
    </row>
    <row r="1158" spans="1:38">
      <c r="A1158" s="11" t="str">
        <f t="shared" si="79"/>
        <v>15-305274082012</v>
      </c>
      <c r="B1158" t="s">
        <v>658</v>
      </c>
      <c r="C1158" t="s">
        <v>659</v>
      </c>
      <c r="D1158">
        <v>2012</v>
      </c>
      <c r="E1158" t="s">
        <v>63</v>
      </c>
      <c r="F1158">
        <v>1506364.92</v>
      </c>
      <c r="G1158">
        <v>1270</v>
      </c>
      <c r="H1158" s="11" t="str">
        <f t="shared" si="78"/>
        <v>count</v>
      </c>
      <c r="I1158" s="197"/>
      <c r="J1158" s="197"/>
      <c r="K1158" s="197"/>
      <c r="L1158" s="197"/>
      <c r="M1158" s="197"/>
      <c r="N1158" s="197"/>
      <c r="O1158" s="197"/>
      <c r="P1158" s="197"/>
      <c r="Q1158" s="197"/>
      <c r="R1158" s="197"/>
      <c r="S1158" s="197"/>
      <c r="T1158" s="197"/>
      <c r="U1158" s="197"/>
      <c r="V1158" s="197"/>
      <c r="W1158" s="197"/>
      <c r="X1158" s="197"/>
      <c r="Y1158" s="197"/>
      <c r="Z1158" s="197"/>
      <c r="AA1158" s="197"/>
      <c r="AB1158" s="197"/>
      <c r="AC1158" s="197"/>
      <c r="AD1158" s="197"/>
      <c r="AE1158" s="197"/>
      <c r="AF1158" s="197"/>
      <c r="AG1158" s="197"/>
      <c r="AH1158" s="197"/>
      <c r="AI1158" s="197"/>
      <c r="AJ1158" s="197"/>
      <c r="AK1158" s="197"/>
      <c r="AL1158" s="197"/>
    </row>
    <row r="1159" spans="1:38">
      <c r="A1159" s="11" t="str">
        <f t="shared" si="79"/>
        <v>15-305946682011</v>
      </c>
      <c r="B1159" t="s">
        <v>660</v>
      </c>
      <c r="C1159" t="s">
        <v>661</v>
      </c>
      <c r="D1159">
        <v>2011</v>
      </c>
      <c r="E1159" t="s">
        <v>105</v>
      </c>
      <c r="F1159">
        <v>64698.65</v>
      </c>
      <c r="G1159">
        <v>114</v>
      </c>
      <c r="H1159" s="11" t="str">
        <f t="shared" si="78"/>
        <v>volume</v>
      </c>
      <c r="I1159" s="197"/>
      <c r="J1159" s="197"/>
      <c r="K1159" s="197"/>
      <c r="L1159" s="197"/>
      <c r="M1159" s="197"/>
      <c r="N1159" s="197"/>
      <c r="O1159" s="197"/>
      <c r="P1159" s="197"/>
      <c r="Q1159" s="197"/>
      <c r="R1159" s="197"/>
      <c r="S1159" s="197"/>
      <c r="T1159" s="197"/>
      <c r="U1159" s="197"/>
      <c r="V1159" s="197"/>
      <c r="W1159" s="197"/>
      <c r="X1159" s="197"/>
      <c r="Y1159" s="197"/>
      <c r="Z1159" s="197"/>
      <c r="AA1159" s="197"/>
      <c r="AB1159" s="197"/>
      <c r="AC1159" s="197"/>
      <c r="AD1159" s="197"/>
      <c r="AE1159" s="197"/>
      <c r="AF1159" s="197"/>
      <c r="AG1159" s="197"/>
      <c r="AH1159" s="197"/>
      <c r="AI1159" s="197"/>
      <c r="AJ1159" s="197"/>
      <c r="AK1159" s="197"/>
      <c r="AL1159" s="197"/>
    </row>
    <row r="1160" spans="1:38">
      <c r="A1160" s="11" t="str">
        <f t="shared" si="79"/>
        <v>15-305946682013</v>
      </c>
      <c r="B1160" t="s">
        <v>660</v>
      </c>
      <c r="C1160" t="s">
        <v>661</v>
      </c>
      <c r="D1160">
        <v>2013</v>
      </c>
      <c r="E1160" t="s">
        <v>63</v>
      </c>
      <c r="F1160">
        <v>589544.65</v>
      </c>
      <c r="G1160">
        <v>907</v>
      </c>
      <c r="H1160" s="11" t="str">
        <f t="shared" si="78"/>
        <v>count</v>
      </c>
      <c r="I1160" s="197"/>
      <c r="J1160" s="197"/>
      <c r="K1160" s="197"/>
      <c r="L1160" s="197"/>
      <c r="M1160" s="197"/>
      <c r="N1160" s="197"/>
      <c r="O1160" s="197"/>
      <c r="P1160" s="197"/>
      <c r="Q1160" s="197"/>
      <c r="R1160" s="197"/>
      <c r="S1160" s="197"/>
      <c r="T1160" s="197"/>
      <c r="U1160" s="197"/>
      <c r="V1160" s="197"/>
      <c r="W1160" s="197"/>
      <c r="X1160" s="197"/>
      <c r="Y1160" s="197"/>
      <c r="Z1160" s="197"/>
      <c r="AA1160" s="197"/>
      <c r="AB1160" s="197"/>
      <c r="AC1160" s="197"/>
      <c r="AD1160" s="197"/>
      <c r="AE1160" s="197"/>
      <c r="AF1160" s="197"/>
      <c r="AG1160" s="197"/>
      <c r="AH1160" s="197"/>
      <c r="AI1160" s="197"/>
      <c r="AJ1160" s="197"/>
      <c r="AK1160" s="197"/>
      <c r="AL1160" s="197"/>
    </row>
    <row r="1161" spans="1:38">
      <c r="A1161" s="11" t="str">
        <f t="shared" si="79"/>
        <v>15-305946682011</v>
      </c>
      <c r="B1161" t="s">
        <v>660</v>
      </c>
      <c r="C1161" t="s">
        <v>661</v>
      </c>
      <c r="D1161">
        <v>2011</v>
      </c>
      <c r="E1161" t="s">
        <v>69</v>
      </c>
      <c r="F1161">
        <v>1294.1400000000001</v>
      </c>
      <c r="G1161">
        <v>5</v>
      </c>
      <c r="H1161" s="11" t="str">
        <f t="shared" si="78"/>
        <v>count</v>
      </c>
      <c r="I1161" s="197"/>
      <c r="J1161" s="197"/>
      <c r="K1161" s="197"/>
      <c r="L1161" s="197"/>
      <c r="M1161" s="197"/>
      <c r="N1161" s="197"/>
      <c r="O1161" s="197"/>
      <c r="P1161" s="197"/>
      <c r="Q1161" s="197"/>
      <c r="R1161" s="197"/>
      <c r="S1161" s="197"/>
      <c r="T1161" s="197"/>
      <c r="U1161" s="197"/>
      <c r="V1161" s="197"/>
      <c r="W1161" s="197"/>
      <c r="X1161" s="197"/>
      <c r="Y1161" s="197"/>
      <c r="Z1161" s="197"/>
      <c r="AA1161" s="197"/>
      <c r="AB1161" s="197"/>
      <c r="AC1161" s="197"/>
      <c r="AD1161" s="197"/>
      <c r="AE1161" s="197"/>
      <c r="AF1161" s="197"/>
      <c r="AG1161" s="197"/>
      <c r="AH1161" s="197"/>
      <c r="AI1161" s="197"/>
      <c r="AJ1161" s="197"/>
      <c r="AK1161" s="197"/>
      <c r="AL1161" s="197"/>
    </row>
    <row r="1162" spans="1:38">
      <c r="A1162" s="11" t="str">
        <f t="shared" si="79"/>
        <v>15-305946682013</v>
      </c>
      <c r="B1162" t="s">
        <v>660</v>
      </c>
      <c r="C1162" t="s">
        <v>661</v>
      </c>
      <c r="D1162">
        <v>2013</v>
      </c>
      <c r="E1162" t="s">
        <v>104</v>
      </c>
      <c r="F1162">
        <v>297872.23</v>
      </c>
      <c r="G1162">
        <v>475</v>
      </c>
      <c r="H1162" s="11" t="str">
        <f t="shared" si="78"/>
        <v>count</v>
      </c>
      <c r="I1162" s="197"/>
      <c r="J1162" s="197"/>
      <c r="K1162" s="197"/>
      <c r="L1162" s="197"/>
      <c r="M1162" s="197"/>
      <c r="N1162" s="197"/>
      <c r="O1162" s="197"/>
      <c r="P1162" s="197"/>
      <c r="Q1162" s="197"/>
      <c r="R1162" s="197"/>
      <c r="S1162" s="197"/>
      <c r="T1162" s="197"/>
      <c r="U1162" s="197"/>
      <c r="V1162" s="197"/>
      <c r="W1162" s="197"/>
      <c r="X1162" s="197"/>
      <c r="Y1162" s="197"/>
      <c r="Z1162" s="197"/>
      <c r="AA1162" s="197"/>
      <c r="AB1162" s="197"/>
      <c r="AC1162" s="197"/>
      <c r="AD1162" s="197"/>
      <c r="AE1162" s="197"/>
      <c r="AF1162" s="197"/>
      <c r="AG1162" s="197"/>
      <c r="AH1162" s="197"/>
      <c r="AI1162" s="197"/>
      <c r="AJ1162" s="197"/>
      <c r="AK1162" s="197"/>
      <c r="AL1162" s="197"/>
    </row>
    <row r="1163" spans="1:38">
      <c r="A1163" s="11" t="str">
        <f t="shared" si="79"/>
        <v>15-305946682011</v>
      </c>
      <c r="B1163" t="s">
        <v>660</v>
      </c>
      <c r="C1163" t="s">
        <v>661</v>
      </c>
      <c r="D1163">
        <v>2011</v>
      </c>
      <c r="E1163" t="s">
        <v>133</v>
      </c>
      <c r="F1163">
        <v>131438.57</v>
      </c>
      <c r="G1163">
        <v>211</v>
      </c>
      <c r="H1163" s="11" t="str">
        <f t="shared" si="78"/>
        <v>count</v>
      </c>
      <c r="I1163" s="197"/>
      <c r="J1163" s="197"/>
      <c r="K1163" s="197"/>
      <c r="L1163" s="197"/>
      <c r="M1163" s="197"/>
      <c r="N1163" s="197"/>
      <c r="O1163" s="197"/>
      <c r="P1163" s="197"/>
      <c r="Q1163" s="197"/>
      <c r="R1163" s="197"/>
      <c r="S1163" s="197"/>
      <c r="T1163" s="197"/>
      <c r="U1163" s="197"/>
      <c r="V1163" s="197"/>
      <c r="W1163" s="197"/>
      <c r="X1163" s="197"/>
      <c r="Y1163" s="197"/>
      <c r="Z1163" s="197"/>
      <c r="AA1163" s="197"/>
      <c r="AB1163" s="197"/>
      <c r="AC1163" s="197"/>
      <c r="AD1163" s="197"/>
      <c r="AE1163" s="197"/>
      <c r="AF1163" s="197"/>
      <c r="AG1163" s="197"/>
      <c r="AH1163" s="197"/>
      <c r="AI1163" s="197"/>
      <c r="AJ1163" s="197"/>
      <c r="AK1163" s="197"/>
      <c r="AL1163" s="197"/>
    </row>
    <row r="1164" spans="1:38">
      <c r="A1164" s="11" t="str">
        <f t="shared" si="79"/>
        <v>15-305946682011</v>
      </c>
      <c r="B1164" t="s">
        <v>660</v>
      </c>
      <c r="C1164" t="s">
        <v>661</v>
      </c>
      <c r="D1164">
        <v>2011</v>
      </c>
      <c r="E1164" t="s">
        <v>63</v>
      </c>
      <c r="F1164">
        <v>684243.29</v>
      </c>
      <c r="G1164">
        <v>1653</v>
      </c>
      <c r="H1164" s="11" t="str">
        <f t="shared" si="78"/>
        <v>count</v>
      </c>
      <c r="I1164" s="197"/>
      <c r="J1164" s="197"/>
      <c r="K1164" s="197"/>
      <c r="L1164" s="197"/>
      <c r="M1164" s="197"/>
      <c r="N1164" s="197"/>
      <c r="O1164" s="197"/>
      <c r="P1164" s="197"/>
      <c r="Q1164" s="197"/>
      <c r="R1164" s="197"/>
      <c r="S1164" s="197"/>
      <c r="T1164" s="197"/>
      <c r="U1164" s="197"/>
      <c r="V1164" s="197"/>
      <c r="W1164" s="197"/>
      <c r="X1164" s="197"/>
      <c r="Y1164" s="197"/>
      <c r="Z1164" s="197"/>
      <c r="AA1164" s="197"/>
      <c r="AB1164" s="197"/>
      <c r="AC1164" s="197"/>
      <c r="AD1164" s="197"/>
      <c r="AE1164" s="197"/>
      <c r="AF1164" s="197"/>
      <c r="AG1164" s="197"/>
      <c r="AH1164" s="197"/>
      <c r="AI1164" s="197"/>
      <c r="AJ1164" s="197"/>
      <c r="AK1164" s="197"/>
      <c r="AL1164" s="197"/>
    </row>
    <row r="1165" spans="1:38">
      <c r="A1165" s="11" t="str">
        <f t="shared" si="79"/>
        <v>15-305946682012</v>
      </c>
      <c r="B1165" t="s">
        <v>660</v>
      </c>
      <c r="C1165" t="s">
        <v>661</v>
      </c>
      <c r="D1165">
        <v>2012</v>
      </c>
      <c r="E1165" t="s">
        <v>105</v>
      </c>
      <c r="F1165">
        <v>54014.73</v>
      </c>
      <c r="G1165">
        <v>107</v>
      </c>
      <c r="H1165" s="11" t="str">
        <f t="shared" si="78"/>
        <v>count</v>
      </c>
      <c r="I1165" s="197"/>
      <c r="J1165" s="197"/>
      <c r="K1165" s="197"/>
      <c r="L1165" s="197"/>
      <c r="M1165" s="197"/>
      <c r="N1165" s="197"/>
      <c r="O1165" s="197"/>
      <c r="P1165" s="197"/>
      <c r="Q1165" s="197"/>
      <c r="R1165" s="197"/>
      <c r="S1165" s="197"/>
      <c r="T1165" s="197"/>
      <c r="U1165" s="197"/>
      <c r="V1165" s="197"/>
      <c r="W1165" s="197"/>
      <c r="X1165" s="197"/>
      <c r="Y1165" s="197"/>
      <c r="Z1165" s="197"/>
      <c r="AA1165" s="197"/>
      <c r="AB1165" s="197"/>
      <c r="AC1165" s="197"/>
      <c r="AD1165" s="197"/>
      <c r="AE1165" s="197"/>
      <c r="AF1165" s="197"/>
      <c r="AG1165" s="197"/>
      <c r="AH1165" s="197"/>
      <c r="AI1165" s="197"/>
      <c r="AJ1165" s="197"/>
      <c r="AK1165" s="197"/>
      <c r="AL1165" s="197"/>
    </row>
    <row r="1166" spans="1:38">
      <c r="A1166" s="11" t="str">
        <f t="shared" si="79"/>
        <v>15-305946682013</v>
      </c>
      <c r="B1166" t="s">
        <v>660</v>
      </c>
      <c r="C1166" t="s">
        <v>661</v>
      </c>
      <c r="D1166">
        <v>2013</v>
      </c>
      <c r="E1166" t="s">
        <v>105</v>
      </c>
      <c r="F1166">
        <v>80175.179999999993</v>
      </c>
      <c r="G1166">
        <v>119</v>
      </c>
      <c r="H1166" s="11" t="str">
        <f t="shared" si="78"/>
        <v>count</v>
      </c>
      <c r="I1166" s="197"/>
      <c r="J1166" s="197"/>
      <c r="K1166" s="197"/>
      <c r="L1166" s="197"/>
      <c r="M1166" s="197"/>
      <c r="N1166" s="197"/>
      <c r="O1166" s="197"/>
      <c r="P1166" s="197"/>
      <c r="Q1166" s="197"/>
      <c r="R1166" s="197"/>
      <c r="S1166" s="197"/>
      <c r="T1166" s="197"/>
      <c r="U1166" s="197"/>
      <c r="V1166" s="197"/>
      <c r="W1166" s="197"/>
      <c r="X1166" s="197"/>
      <c r="Y1166" s="197"/>
      <c r="Z1166" s="197"/>
      <c r="AA1166" s="197"/>
      <c r="AB1166" s="197"/>
      <c r="AC1166" s="197"/>
      <c r="AD1166" s="197"/>
      <c r="AE1166" s="197"/>
      <c r="AF1166" s="197"/>
      <c r="AG1166" s="197"/>
      <c r="AH1166" s="197"/>
      <c r="AI1166" s="197"/>
      <c r="AJ1166" s="197"/>
      <c r="AK1166" s="197"/>
      <c r="AL1166" s="197"/>
    </row>
    <row r="1167" spans="1:38">
      <c r="A1167" s="11" t="str">
        <f t="shared" si="79"/>
        <v>15-305946682013</v>
      </c>
      <c r="B1167" t="s">
        <v>660</v>
      </c>
      <c r="C1167" t="s">
        <v>661</v>
      </c>
      <c r="D1167">
        <v>2013</v>
      </c>
      <c r="E1167" t="s">
        <v>133</v>
      </c>
      <c r="F1167">
        <v>254197.52</v>
      </c>
      <c r="G1167">
        <v>342</v>
      </c>
      <c r="H1167" s="11" t="str">
        <f t="shared" si="78"/>
        <v>count</v>
      </c>
      <c r="I1167" s="197"/>
      <c r="J1167" s="197"/>
      <c r="K1167" s="197"/>
      <c r="L1167" s="197"/>
      <c r="M1167" s="197"/>
      <c r="N1167" s="197"/>
      <c r="O1167" s="197"/>
      <c r="P1167" s="197"/>
      <c r="Q1167" s="197"/>
      <c r="R1167" s="197"/>
      <c r="S1167" s="197"/>
      <c r="T1167" s="197"/>
      <c r="U1167" s="197"/>
      <c r="V1167" s="197"/>
      <c r="W1167" s="197"/>
      <c r="X1167" s="197"/>
      <c r="Y1167" s="197"/>
      <c r="Z1167" s="197"/>
      <c r="AA1167" s="197"/>
      <c r="AB1167" s="197"/>
      <c r="AC1167" s="197"/>
      <c r="AD1167" s="197"/>
      <c r="AE1167" s="197"/>
      <c r="AF1167" s="197"/>
      <c r="AG1167" s="197"/>
      <c r="AH1167" s="197"/>
      <c r="AI1167" s="197"/>
      <c r="AJ1167" s="197"/>
      <c r="AK1167" s="197"/>
      <c r="AL1167" s="197"/>
    </row>
    <row r="1168" spans="1:38">
      <c r="A1168" s="11" t="str">
        <f t="shared" si="79"/>
        <v>15-305946682013</v>
      </c>
      <c r="B1168" t="s">
        <v>660</v>
      </c>
      <c r="C1168" t="s">
        <v>661</v>
      </c>
      <c r="D1168">
        <v>2013</v>
      </c>
      <c r="E1168" t="s">
        <v>69</v>
      </c>
      <c r="F1168">
        <v>496047.96</v>
      </c>
      <c r="G1168">
        <v>1077</v>
      </c>
      <c r="H1168" s="11" t="str">
        <f t="shared" si="78"/>
        <v>count</v>
      </c>
      <c r="I1168" s="197"/>
      <c r="J1168" s="197"/>
      <c r="K1168" s="197"/>
      <c r="L1168" s="197"/>
      <c r="M1168" s="197"/>
      <c r="N1168" s="197"/>
      <c r="O1168" s="197"/>
      <c r="P1168" s="197"/>
      <c r="Q1168" s="197"/>
      <c r="R1168" s="197"/>
      <c r="S1168" s="197"/>
      <c r="T1168" s="197"/>
      <c r="U1168" s="197"/>
      <c r="V1168" s="197"/>
      <c r="W1168" s="197"/>
      <c r="X1168" s="197"/>
      <c r="Y1168" s="197"/>
      <c r="Z1168" s="197"/>
      <c r="AA1168" s="197"/>
      <c r="AB1168" s="197"/>
      <c r="AC1168" s="197"/>
      <c r="AD1168" s="197"/>
      <c r="AE1168" s="197"/>
      <c r="AF1168" s="197"/>
      <c r="AG1168" s="197"/>
      <c r="AH1168" s="197"/>
      <c r="AI1168" s="197"/>
      <c r="AJ1168" s="197"/>
      <c r="AK1168" s="197"/>
      <c r="AL1168" s="197"/>
    </row>
    <row r="1169" spans="1:38">
      <c r="A1169" s="11" t="str">
        <f t="shared" si="79"/>
        <v>15-305946682011</v>
      </c>
      <c r="B1169" t="s">
        <v>660</v>
      </c>
      <c r="C1169" t="s">
        <v>661</v>
      </c>
      <c r="D1169">
        <v>2011</v>
      </c>
      <c r="E1169" t="s">
        <v>104</v>
      </c>
      <c r="F1169">
        <v>284757.46000000002</v>
      </c>
      <c r="G1169">
        <v>654</v>
      </c>
      <c r="H1169" s="11" t="str">
        <f t="shared" si="78"/>
        <v>count</v>
      </c>
      <c r="I1169" s="197"/>
      <c r="J1169" s="197"/>
      <c r="K1169" s="197"/>
      <c r="L1169" s="197"/>
      <c r="M1169" s="197"/>
      <c r="N1169" s="197"/>
      <c r="O1169" s="197"/>
      <c r="P1169" s="197"/>
      <c r="Q1169" s="197"/>
      <c r="R1169" s="197"/>
      <c r="S1169" s="197"/>
      <c r="T1169" s="197"/>
      <c r="U1169" s="197"/>
      <c r="V1169" s="197"/>
      <c r="W1169" s="197"/>
      <c r="X1169" s="197"/>
      <c r="Y1169" s="197"/>
      <c r="Z1169" s="197"/>
      <c r="AA1169" s="197"/>
      <c r="AB1169" s="197"/>
      <c r="AC1169" s="197"/>
      <c r="AD1169" s="197"/>
      <c r="AE1169" s="197"/>
      <c r="AF1169" s="197"/>
      <c r="AG1169" s="197"/>
      <c r="AH1169" s="197"/>
      <c r="AI1169" s="197"/>
      <c r="AJ1169" s="197"/>
      <c r="AK1169" s="197"/>
      <c r="AL1169" s="197"/>
    </row>
    <row r="1170" spans="1:38">
      <c r="A1170" s="11" t="str">
        <f t="shared" si="79"/>
        <v>15-305946682012</v>
      </c>
      <c r="B1170" t="s">
        <v>660</v>
      </c>
      <c r="C1170" t="s">
        <v>661</v>
      </c>
      <c r="D1170">
        <v>2012</v>
      </c>
      <c r="E1170" t="s">
        <v>104</v>
      </c>
      <c r="F1170">
        <v>318925.52</v>
      </c>
      <c r="G1170">
        <v>632</v>
      </c>
      <c r="H1170" s="11" t="str">
        <f t="shared" si="78"/>
        <v>count</v>
      </c>
      <c r="I1170" s="197"/>
      <c r="J1170" s="197"/>
      <c r="K1170" s="197"/>
      <c r="L1170" s="197"/>
      <c r="M1170" s="197"/>
      <c r="N1170" s="197"/>
      <c r="O1170" s="197"/>
      <c r="P1170" s="197"/>
      <c r="Q1170" s="197"/>
      <c r="R1170" s="197"/>
      <c r="S1170" s="197"/>
      <c r="T1170" s="197"/>
      <c r="U1170" s="197"/>
      <c r="V1170" s="197"/>
      <c r="W1170" s="197"/>
      <c r="X1170" s="197"/>
      <c r="Y1170" s="197"/>
      <c r="Z1170" s="197"/>
      <c r="AA1170" s="197"/>
      <c r="AB1170" s="197"/>
      <c r="AC1170" s="197"/>
      <c r="AD1170" s="197"/>
      <c r="AE1170" s="197"/>
      <c r="AF1170" s="197"/>
      <c r="AG1170" s="197"/>
      <c r="AH1170" s="197"/>
      <c r="AI1170" s="197"/>
      <c r="AJ1170" s="197"/>
      <c r="AK1170" s="197"/>
      <c r="AL1170" s="197"/>
    </row>
    <row r="1171" spans="1:38">
      <c r="A1171" s="11" t="str">
        <f t="shared" si="79"/>
        <v>15-305946682012</v>
      </c>
      <c r="B1171" t="s">
        <v>660</v>
      </c>
      <c r="C1171" t="s">
        <v>661</v>
      </c>
      <c r="D1171">
        <v>2012</v>
      </c>
      <c r="E1171" t="s">
        <v>69</v>
      </c>
      <c r="F1171">
        <v>373240.26</v>
      </c>
      <c r="G1171">
        <v>906</v>
      </c>
      <c r="H1171" s="11" t="str">
        <f t="shared" si="78"/>
        <v>count</v>
      </c>
      <c r="I1171" s="197"/>
      <c r="J1171" s="197"/>
      <c r="K1171" s="197"/>
      <c r="L1171" s="197"/>
      <c r="M1171" s="197"/>
      <c r="N1171" s="197"/>
      <c r="O1171" s="197"/>
      <c r="P1171" s="197"/>
      <c r="Q1171" s="197"/>
      <c r="R1171" s="197"/>
      <c r="S1171" s="197"/>
      <c r="T1171" s="197"/>
      <c r="U1171" s="197"/>
      <c r="V1171" s="197"/>
      <c r="W1171" s="197"/>
      <c r="X1171" s="197"/>
      <c r="Y1171" s="197"/>
      <c r="Z1171" s="197"/>
      <c r="AA1171" s="197"/>
      <c r="AB1171" s="197"/>
      <c r="AC1171" s="197"/>
      <c r="AD1171" s="197"/>
      <c r="AE1171" s="197"/>
      <c r="AF1171" s="197"/>
      <c r="AG1171" s="197"/>
      <c r="AH1171" s="197"/>
      <c r="AI1171" s="197"/>
      <c r="AJ1171" s="197"/>
      <c r="AK1171" s="197"/>
      <c r="AL1171" s="197"/>
    </row>
    <row r="1172" spans="1:38">
      <c r="A1172" s="11" t="str">
        <f t="shared" si="79"/>
        <v>15-305946682012</v>
      </c>
      <c r="B1172" t="s">
        <v>660</v>
      </c>
      <c r="C1172" t="s">
        <v>661</v>
      </c>
      <c r="D1172">
        <v>2012</v>
      </c>
      <c r="E1172" t="s">
        <v>133</v>
      </c>
      <c r="F1172">
        <v>144538.43</v>
      </c>
      <c r="G1172">
        <v>242</v>
      </c>
      <c r="H1172" s="11" t="str">
        <f t="shared" si="78"/>
        <v>count</v>
      </c>
      <c r="I1172" s="197"/>
      <c r="J1172" s="197"/>
      <c r="K1172" s="197"/>
      <c r="L1172" s="197"/>
      <c r="M1172" s="197"/>
      <c r="N1172" s="197"/>
      <c r="O1172" s="197"/>
      <c r="P1172" s="197"/>
      <c r="Q1172" s="197"/>
      <c r="R1172" s="197"/>
      <c r="S1172" s="197"/>
      <c r="T1172" s="197"/>
      <c r="U1172" s="197"/>
      <c r="V1172" s="197"/>
      <c r="W1172" s="197"/>
      <c r="X1172" s="197"/>
      <c r="Y1172" s="197"/>
      <c r="Z1172" s="197"/>
      <c r="AA1172" s="197"/>
      <c r="AB1172" s="197"/>
      <c r="AC1172" s="197"/>
      <c r="AD1172" s="197"/>
      <c r="AE1172" s="197"/>
      <c r="AF1172" s="197"/>
      <c r="AG1172" s="197"/>
      <c r="AH1172" s="197"/>
      <c r="AI1172" s="197"/>
      <c r="AJ1172" s="197"/>
      <c r="AK1172" s="197"/>
      <c r="AL1172" s="197"/>
    </row>
    <row r="1173" spans="1:38">
      <c r="A1173" s="11" t="str">
        <f t="shared" si="79"/>
        <v>15-305946682012</v>
      </c>
      <c r="B1173" t="s">
        <v>660</v>
      </c>
      <c r="C1173" t="s">
        <v>661</v>
      </c>
      <c r="D1173">
        <v>2012</v>
      </c>
      <c r="E1173" t="s">
        <v>63</v>
      </c>
      <c r="F1173">
        <v>443574.12</v>
      </c>
      <c r="G1173">
        <v>873</v>
      </c>
      <c r="H1173" s="11" t="str">
        <f t="shared" si="78"/>
        <v>count</v>
      </c>
      <c r="I1173" s="197"/>
      <c r="J1173" s="197"/>
      <c r="K1173" s="197"/>
      <c r="L1173" s="197"/>
      <c r="M1173" s="197"/>
      <c r="N1173" s="197"/>
      <c r="O1173" s="197"/>
      <c r="P1173" s="197"/>
      <c r="Q1173" s="197"/>
      <c r="R1173" s="197"/>
      <c r="S1173" s="197"/>
      <c r="T1173" s="197"/>
      <c r="U1173" s="197"/>
      <c r="V1173" s="197"/>
      <c r="W1173" s="197"/>
      <c r="X1173" s="197"/>
      <c r="Y1173" s="197"/>
      <c r="Z1173" s="197"/>
      <c r="AA1173" s="197"/>
      <c r="AB1173" s="197"/>
      <c r="AC1173" s="197"/>
      <c r="AD1173" s="197"/>
      <c r="AE1173" s="197"/>
      <c r="AF1173" s="197"/>
      <c r="AG1173" s="197"/>
      <c r="AH1173" s="197"/>
      <c r="AI1173" s="197"/>
      <c r="AJ1173" s="197"/>
      <c r="AK1173" s="197"/>
      <c r="AL1173" s="197"/>
    </row>
    <row r="1174" spans="1:38">
      <c r="A1174" s="11" t="str">
        <f t="shared" si="79"/>
        <v>15-306034292012</v>
      </c>
      <c r="B1174" t="s">
        <v>662</v>
      </c>
      <c r="C1174" t="s">
        <v>663</v>
      </c>
      <c r="D1174">
        <v>2012</v>
      </c>
      <c r="E1174" t="s">
        <v>69</v>
      </c>
      <c r="F1174">
        <v>1314046.8500000001</v>
      </c>
      <c r="G1174">
        <v>2261</v>
      </c>
      <c r="H1174" s="11" t="str">
        <f t="shared" si="78"/>
        <v>volume</v>
      </c>
      <c r="I1174" s="197"/>
      <c r="J1174" s="197"/>
      <c r="K1174" s="197"/>
      <c r="L1174" s="197"/>
      <c r="M1174" s="197"/>
      <c r="N1174" s="197"/>
      <c r="O1174" s="197"/>
      <c r="P1174" s="197"/>
      <c r="Q1174" s="197"/>
      <c r="R1174" s="197"/>
      <c r="S1174" s="197"/>
      <c r="T1174" s="197"/>
      <c r="U1174" s="197"/>
      <c r="V1174" s="197"/>
      <c r="W1174" s="197"/>
      <c r="X1174" s="197"/>
      <c r="Y1174" s="197"/>
      <c r="Z1174" s="197"/>
      <c r="AA1174" s="197"/>
      <c r="AB1174" s="197"/>
      <c r="AC1174" s="197"/>
      <c r="AD1174" s="197"/>
      <c r="AE1174" s="197"/>
      <c r="AF1174" s="197"/>
      <c r="AG1174" s="197"/>
      <c r="AH1174" s="197"/>
      <c r="AI1174" s="197"/>
      <c r="AJ1174" s="197"/>
      <c r="AK1174" s="197"/>
      <c r="AL1174" s="197"/>
    </row>
    <row r="1175" spans="1:38">
      <c r="A1175" s="11" t="str">
        <f t="shared" si="79"/>
        <v>15-306034292013</v>
      </c>
      <c r="B1175" t="s">
        <v>662</v>
      </c>
      <c r="C1175" t="s">
        <v>663</v>
      </c>
      <c r="D1175">
        <v>2013</v>
      </c>
      <c r="E1175" t="s">
        <v>63</v>
      </c>
      <c r="F1175">
        <v>2345807.48</v>
      </c>
      <c r="G1175">
        <v>2647</v>
      </c>
      <c r="H1175" s="11" t="str">
        <f t="shared" si="78"/>
        <v>count</v>
      </c>
      <c r="I1175" s="197"/>
      <c r="J1175" s="197"/>
      <c r="K1175" s="197"/>
      <c r="L1175" s="197"/>
      <c r="M1175" s="197"/>
      <c r="N1175" s="197"/>
      <c r="O1175" s="197"/>
      <c r="P1175" s="197"/>
      <c r="Q1175" s="197"/>
      <c r="R1175" s="197"/>
      <c r="S1175" s="197"/>
      <c r="T1175" s="197"/>
      <c r="U1175" s="197"/>
      <c r="V1175" s="197"/>
      <c r="W1175" s="197"/>
      <c r="X1175" s="197"/>
      <c r="Y1175" s="197"/>
      <c r="Z1175" s="197"/>
      <c r="AA1175" s="197"/>
      <c r="AB1175" s="197"/>
      <c r="AC1175" s="197"/>
      <c r="AD1175" s="197"/>
      <c r="AE1175" s="197"/>
      <c r="AF1175" s="197"/>
      <c r="AG1175" s="197"/>
      <c r="AH1175" s="197"/>
      <c r="AI1175" s="197"/>
      <c r="AJ1175" s="197"/>
      <c r="AK1175" s="197"/>
      <c r="AL1175" s="197"/>
    </row>
    <row r="1176" spans="1:38">
      <c r="A1176" s="11" t="str">
        <f t="shared" si="79"/>
        <v>15-306034292012</v>
      </c>
      <c r="B1176" t="s">
        <v>662</v>
      </c>
      <c r="C1176" t="s">
        <v>663</v>
      </c>
      <c r="D1176">
        <v>2012</v>
      </c>
      <c r="E1176" t="s">
        <v>104</v>
      </c>
      <c r="F1176">
        <v>1572618.78</v>
      </c>
      <c r="G1176">
        <v>2264</v>
      </c>
      <c r="H1176" s="11" t="str">
        <f t="shared" si="78"/>
        <v>count</v>
      </c>
      <c r="I1176" s="197"/>
      <c r="J1176" s="197"/>
      <c r="K1176" s="197"/>
      <c r="L1176" s="197"/>
      <c r="M1176" s="197"/>
      <c r="N1176" s="197"/>
      <c r="O1176" s="197"/>
      <c r="P1176" s="197"/>
      <c r="Q1176" s="197"/>
      <c r="R1176" s="197"/>
      <c r="S1176" s="197"/>
      <c r="T1176" s="197"/>
      <c r="U1176" s="197"/>
      <c r="V1176" s="197"/>
      <c r="W1176" s="197"/>
      <c r="X1176" s="197"/>
      <c r="Y1176" s="197"/>
      <c r="Z1176" s="197"/>
      <c r="AA1176" s="197"/>
      <c r="AB1176" s="197"/>
      <c r="AC1176" s="197"/>
      <c r="AD1176" s="197"/>
      <c r="AE1176" s="197"/>
      <c r="AF1176" s="197"/>
      <c r="AG1176" s="197"/>
      <c r="AH1176" s="197"/>
      <c r="AI1176" s="197"/>
      <c r="AJ1176" s="197"/>
      <c r="AK1176" s="197"/>
      <c r="AL1176" s="197"/>
    </row>
    <row r="1177" spans="1:38">
      <c r="A1177" s="11" t="str">
        <f t="shared" si="79"/>
        <v>15-306034292012</v>
      </c>
      <c r="B1177" t="s">
        <v>662</v>
      </c>
      <c r="C1177" t="s">
        <v>663</v>
      </c>
      <c r="D1177">
        <v>2012</v>
      </c>
      <c r="E1177" t="s">
        <v>133</v>
      </c>
      <c r="F1177">
        <v>1023375.98</v>
      </c>
      <c r="G1177">
        <v>1188</v>
      </c>
      <c r="H1177" s="11" t="str">
        <f t="shared" si="78"/>
        <v>count</v>
      </c>
      <c r="I1177" s="197"/>
      <c r="J1177" s="197"/>
      <c r="K1177" s="197"/>
      <c r="L1177" s="197"/>
      <c r="M1177" s="197"/>
      <c r="N1177" s="197"/>
      <c r="O1177" s="197"/>
      <c r="P1177" s="197"/>
      <c r="Q1177" s="197"/>
      <c r="R1177" s="197"/>
      <c r="S1177" s="197"/>
      <c r="T1177" s="197"/>
      <c r="U1177" s="197"/>
      <c r="V1177" s="197"/>
      <c r="W1177" s="197"/>
      <c r="X1177" s="197"/>
      <c r="Y1177" s="197"/>
      <c r="Z1177" s="197"/>
      <c r="AA1177" s="197"/>
      <c r="AB1177" s="197"/>
      <c r="AC1177" s="197"/>
      <c r="AD1177" s="197"/>
      <c r="AE1177" s="197"/>
      <c r="AF1177" s="197"/>
      <c r="AG1177" s="197"/>
      <c r="AH1177" s="197"/>
      <c r="AI1177" s="197"/>
      <c r="AJ1177" s="197"/>
      <c r="AK1177" s="197"/>
      <c r="AL1177" s="197"/>
    </row>
    <row r="1178" spans="1:38">
      <c r="A1178" s="11" t="str">
        <f t="shared" si="79"/>
        <v>15-306034292011</v>
      </c>
      <c r="B1178" t="s">
        <v>662</v>
      </c>
      <c r="C1178" t="s">
        <v>663</v>
      </c>
      <c r="D1178">
        <v>2011</v>
      </c>
      <c r="E1178" t="s">
        <v>106</v>
      </c>
      <c r="F1178">
        <v>40005.06</v>
      </c>
      <c r="G1178">
        <v>30</v>
      </c>
      <c r="H1178" s="11" t="str">
        <f t="shared" si="78"/>
        <v>count</v>
      </c>
      <c r="I1178" s="197"/>
      <c r="J1178" s="197"/>
      <c r="K1178" s="197"/>
      <c r="L1178" s="197"/>
      <c r="M1178" s="197"/>
      <c r="N1178" s="197"/>
      <c r="O1178" s="197"/>
      <c r="P1178" s="197"/>
      <c r="Q1178" s="197"/>
      <c r="R1178" s="197"/>
      <c r="S1178" s="197"/>
      <c r="T1178" s="197"/>
      <c r="U1178" s="197"/>
      <c r="V1178" s="197"/>
      <c r="W1178" s="197"/>
      <c r="X1178" s="197"/>
      <c r="Y1178" s="197"/>
      <c r="Z1178" s="197"/>
      <c r="AA1178" s="197"/>
      <c r="AB1178" s="197"/>
      <c r="AC1178" s="197"/>
      <c r="AD1178" s="197"/>
      <c r="AE1178" s="197"/>
      <c r="AF1178" s="197"/>
      <c r="AG1178" s="197"/>
      <c r="AH1178" s="197"/>
      <c r="AI1178" s="197"/>
      <c r="AJ1178" s="197"/>
      <c r="AK1178" s="197"/>
      <c r="AL1178" s="197"/>
    </row>
    <row r="1179" spans="1:38">
      <c r="A1179" s="11" t="str">
        <f t="shared" si="79"/>
        <v>15-306034292011</v>
      </c>
      <c r="B1179" t="s">
        <v>662</v>
      </c>
      <c r="C1179" t="s">
        <v>663</v>
      </c>
      <c r="D1179">
        <v>2011</v>
      </c>
      <c r="E1179" t="s">
        <v>104</v>
      </c>
      <c r="F1179">
        <v>1663094.7</v>
      </c>
      <c r="G1179">
        <v>2476</v>
      </c>
      <c r="H1179" s="11" t="str">
        <f t="shared" si="78"/>
        <v>count</v>
      </c>
      <c r="I1179" s="197"/>
      <c r="J1179" s="197"/>
      <c r="K1179" s="197"/>
      <c r="L1179" s="197"/>
      <c r="M1179" s="197"/>
      <c r="N1179" s="197"/>
      <c r="O1179" s="197"/>
      <c r="P1179" s="197"/>
      <c r="Q1179" s="197"/>
      <c r="R1179" s="197"/>
      <c r="S1179" s="197"/>
      <c r="T1179" s="197"/>
      <c r="U1179" s="197"/>
      <c r="V1179" s="197"/>
      <c r="W1179" s="197"/>
      <c r="X1179" s="197"/>
      <c r="Y1179" s="197"/>
      <c r="Z1179" s="197"/>
      <c r="AA1179" s="197"/>
      <c r="AB1179" s="197"/>
      <c r="AC1179" s="197"/>
      <c r="AD1179" s="197"/>
      <c r="AE1179" s="197"/>
      <c r="AF1179" s="197"/>
      <c r="AG1179" s="197"/>
      <c r="AH1179" s="197"/>
      <c r="AI1179" s="197"/>
      <c r="AJ1179" s="197"/>
      <c r="AK1179" s="197"/>
      <c r="AL1179" s="197"/>
    </row>
    <row r="1180" spans="1:38">
      <c r="A1180" s="11" t="str">
        <f t="shared" si="79"/>
        <v>15-306034292012</v>
      </c>
      <c r="B1180" t="s">
        <v>662</v>
      </c>
      <c r="C1180" t="s">
        <v>663</v>
      </c>
      <c r="D1180">
        <v>2012</v>
      </c>
      <c r="E1180" t="s">
        <v>63</v>
      </c>
      <c r="F1180">
        <v>2167067.71</v>
      </c>
      <c r="G1180">
        <v>3081</v>
      </c>
      <c r="H1180" s="11" t="str">
        <f t="shared" si="78"/>
        <v>count</v>
      </c>
      <c r="I1180" s="197"/>
      <c r="J1180" s="197"/>
      <c r="K1180" s="197"/>
      <c r="L1180" s="197"/>
      <c r="M1180" s="197"/>
      <c r="N1180" s="197"/>
      <c r="O1180" s="197"/>
      <c r="P1180" s="197"/>
      <c r="Q1180" s="197"/>
      <c r="R1180" s="197"/>
      <c r="S1180" s="197"/>
      <c r="T1180" s="197"/>
      <c r="U1180" s="197"/>
      <c r="V1180" s="197"/>
      <c r="W1180" s="197"/>
      <c r="X1180" s="197"/>
      <c r="Y1180" s="197"/>
      <c r="Z1180" s="197"/>
      <c r="AA1180" s="197"/>
      <c r="AB1180" s="197"/>
      <c r="AC1180" s="197"/>
      <c r="AD1180" s="197"/>
      <c r="AE1180" s="197"/>
      <c r="AF1180" s="197"/>
      <c r="AG1180" s="197"/>
      <c r="AH1180" s="197"/>
      <c r="AI1180" s="197"/>
      <c r="AJ1180" s="197"/>
      <c r="AK1180" s="197"/>
      <c r="AL1180" s="197"/>
    </row>
    <row r="1181" spans="1:38">
      <c r="A1181" s="11" t="str">
        <f t="shared" si="79"/>
        <v>15-306034292013</v>
      </c>
      <c r="B1181" t="s">
        <v>662</v>
      </c>
      <c r="C1181" t="s">
        <v>663</v>
      </c>
      <c r="D1181">
        <v>2013</v>
      </c>
      <c r="E1181" t="s">
        <v>69</v>
      </c>
      <c r="F1181">
        <v>1499139.37</v>
      </c>
      <c r="G1181">
        <v>2239</v>
      </c>
      <c r="H1181" s="11" t="str">
        <f t="shared" si="78"/>
        <v>count</v>
      </c>
      <c r="I1181" s="197"/>
      <c r="J1181" s="197"/>
      <c r="K1181" s="197"/>
      <c r="L1181" s="197"/>
      <c r="M1181" s="197"/>
      <c r="N1181" s="197"/>
      <c r="O1181" s="197"/>
      <c r="P1181" s="197"/>
      <c r="Q1181" s="197"/>
      <c r="R1181" s="197"/>
      <c r="S1181" s="197"/>
      <c r="T1181" s="197"/>
      <c r="U1181" s="197"/>
      <c r="V1181" s="197"/>
      <c r="W1181" s="197"/>
      <c r="X1181" s="197"/>
      <c r="Y1181" s="197"/>
      <c r="Z1181" s="197"/>
      <c r="AA1181" s="197"/>
      <c r="AB1181" s="197"/>
      <c r="AC1181" s="197"/>
      <c r="AD1181" s="197"/>
      <c r="AE1181" s="197"/>
      <c r="AF1181" s="197"/>
      <c r="AG1181" s="197"/>
      <c r="AH1181" s="197"/>
      <c r="AI1181" s="197"/>
      <c r="AJ1181" s="197"/>
      <c r="AK1181" s="197"/>
      <c r="AL1181" s="197"/>
    </row>
    <row r="1182" spans="1:38">
      <c r="A1182" s="11" t="str">
        <f t="shared" si="79"/>
        <v>15-306034292013</v>
      </c>
      <c r="B1182" t="s">
        <v>662</v>
      </c>
      <c r="C1182" t="s">
        <v>663</v>
      </c>
      <c r="D1182">
        <v>2013</v>
      </c>
      <c r="E1182" t="s">
        <v>133</v>
      </c>
      <c r="F1182">
        <v>988216.67</v>
      </c>
      <c r="G1182">
        <v>968</v>
      </c>
      <c r="H1182" s="11" t="str">
        <f t="shared" si="78"/>
        <v>count</v>
      </c>
      <c r="I1182" s="197"/>
      <c r="J1182" s="197"/>
      <c r="K1182" s="197"/>
      <c r="L1182" s="197"/>
      <c r="M1182" s="197"/>
      <c r="N1182" s="197"/>
      <c r="O1182" s="197"/>
      <c r="P1182" s="197"/>
      <c r="Q1182" s="197"/>
      <c r="R1182" s="197"/>
      <c r="S1182" s="197"/>
      <c r="T1182" s="197"/>
      <c r="U1182" s="197"/>
      <c r="V1182" s="197"/>
      <c r="W1182" s="197"/>
      <c r="X1182" s="197"/>
      <c r="Y1182" s="197"/>
      <c r="Z1182" s="197"/>
      <c r="AA1182" s="197"/>
      <c r="AB1182" s="197"/>
      <c r="AC1182" s="197"/>
      <c r="AD1182" s="197"/>
      <c r="AE1182" s="197"/>
      <c r="AF1182" s="197"/>
      <c r="AG1182" s="197"/>
      <c r="AH1182" s="197"/>
      <c r="AI1182" s="197"/>
      <c r="AJ1182" s="197"/>
      <c r="AK1182" s="197"/>
      <c r="AL1182" s="197"/>
    </row>
    <row r="1183" spans="1:38">
      <c r="A1183" s="11" t="str">
        <f t="shared" si="79"/>
        <v>15-306034292013</v>
      </c>
      <c r="B1183" t="s">
        <v>662</v>
      </c>
      <c r="C1183" t="s">
        <v>663</v>
      </c>
      <c r="D1183">
        <v>2013</v>
      </c>
      <c r="E1183" t="s">
        <v>105</v>
      </c>
      <c r="F1183">
        <v>520871.89</v>
      </c>
      <c r="G1183">
        <v>525</v>
      </c>
      <c r="H1183" s="11" t="str">
        <f t="shared" si="78"/>
        <v>count</v>
      </c>
      <c r="I1183" s="197"/>
      <c r="J1183" s="197"/>
      <c r="K1183" s="197"/>
      <c r="L1183" s="197"/>
      <c r="M1183" s="197"/>
      <c r="N1183" s="197"/>
      <c r="O1183" s="197"/>
      <c r="P1183" s="197"/>
      <c r="Q1183" s="197"/>
      <c r="R1183" s="197"/>
      <c r="S1183" s="197"/>
      <c r="T1183" s="197"/>
      <c r="U1183" s="197"/>
      <c r="V1183" s="197"/>
      <c r="W1183" s="197"/>
      <c r="X1183" s="197"/>
      <c r="Y1183" s="197"/>
      <c r="Z1183" s="197"/>
      <c r="AA1183" s="197"/>
      <c r="AB1183" s="197"/>
      <c r="AC1183" s="197"/>
      <c r="AD1183" s="197"/>
      <c r="AE1183" s="197"/>
      <c r="AF1183" s="197"/>
      <c r="AG1183" s="197"/>
      <c r="AH1183" s="197"/>
      <c r="AI1183" s="197"/>
      <c r="AJ1183" s="197"/>
      <c r="AK1183" s="197"/>
      <c r="AL1183" s="197"/>
    </row>
    <row r="1184" spans="1:38">
      <c r="A1184" s="11" t="str">
        <f t="shared" si="79"/>
        <v>15-306034292012</v>
      </c>
      <c r="B1184" t="s">
        <v>662</v>
      </c>
      <c r="C1184" t="s">
        <v>663</v>
      </c>
      <c r="D1184">
        <v>2012</v>
      </c>
      <c r="E1184" t="s">
        <v>105</v>
      </c>
      <c r="F1184">
        <v>493603.21</v>
      </c>
      <c r="G1184">
        <v>672</v>
      </c>
      <c r="H1184" s="11" t="str">
        <f t="shared" si="78"/>
        <v>count</v>
      </c>
      <c r="I1184" s="197"/>
      <c r="J1184" s="197"/>
      <c r="K1184" s="197"/>
      <c r="L1184" s="197"/>
      <c r="M1184" s="197"/>
      <c r="N1184" s="197"/>
      <c r="O1184" s="197"/>
      <c r="P1184" s="197"/>
      <c r="Q1184" s="197"/>
      <c r="R1184" s="197"/>
      <c r="S1184" s="197"/>
      <c r="T1184" s="197"/>
      <c r="U1184" s="197"/>
      <c r="V1184" s="197"/>
      <c r="W1184" s="197"/>
      <c r="X1184" s="197"/>
      <c r="Y1184" s="197"/>
      <c r="Z1184" s="197"/>
      <c r="AA1184" s="197"/>
      <c r="AB1184" s="197"/>
      <c r="AC1184" s="197"/>
      <c r="AD1184" s="197"/>
      <c r="AE1184" s="197"/>
      <c r="AF1184" s="197"/>
      <c r="AG1184" s="197"/>
      <c r="AH1184" s="197"/>
      <c r="AI1184" s="197"/>
      <c r="AJ1184" s="197"/>
      <c r="AK1184" s="197"/>
      <c r="AL1184" s="197"/>
    </row>
    <row r="1185" spans="1:38">
      <c r="A1185" s="11" t="str">
        <f t="shared" si="79"/>
        <v>15-306034292012</v>
      </c>
      <c r="B1185" t="s">
        <v>662</v>
      </c>
      <c r="C1185" t="s">
        <v>663</v>
      </c>
      <c r="D1185">
        <v>2012</v>
      </c>
      <c r="E1185" t="s">
        <v>106</v>
      </c>
      <c r="F1185">
        <v>44506.03</v>
      </c>
      <c r="G1185">
        <v>53</v>
      </c>
      <c r="H1185" s="11" t="str">
        <f t="shared" si="78"/>
        <v>count</v>
      </c>
      <c r="I1185" s="197"/>
      <c r="J1185" s="197"/>
      <c r="K1185" s="197"/>
      <c r="L1185" s="197"/>
      <c r="M1185" s="197"/>
      <c r="N1185" s="197"/>
      <c r="O1185" s="197"/>
      <c r="P1185" s="197"/>
      <c r="Q1185" s="197"/>
      <c r="R1185" s="197"/>
      <c r="S1185" s="197"/>
      <c r="T1185" s="197"/>
      <c r="U1185" s="197"/>
      <c r="V1185" s="197"/>
      <c r="W1185" s="197"/>
      <c r="X1185" s="197"/>
      <c r="Y1185" s="197"/>
      <c r="Z1185" s="197"/>
      <c r="AA1185" s="197"/>
      <c r="AB1185" s="197"/>
      <c r="AC1185" s="197"/>
      <c r="AD1185" s="197"/>
      <c r="AE1185" s="197"/>
      <c r="AF1185" s="197"/>
      <c r="AG1185" s="197"/>
      <c r="AH1185" s="197"/>
      <c r="AI1185" s="197"/>
      <c r="AJ1185" s="197"/>
      <c r="AK1185" s="197"/>
      <c r="AL1185" s="197"/>
    </row>
    <row r="1186" spans="1:38">
      <c r="A1186" s="11" t="str">
        <f t="shared" si="79"/>
        <v>15-306034292011</v>
      </c>
      <c r="B1186" t="s">
        <v>662</v>
      </c>
      <c r="C1186" t="s">
        <v>663</v>
      </c>
      <c r="D1186">
        <v>2011</v>
      </c>
      <c r="E1186" t="s">
        <v>63</v>
      </c>
      <c r="F1186">
        <v>3142200.95</v>
      </c>
      <c r="G1186">
        <v>4759</v>
      </c>
      <c r="H1186" s="11" t="str">
        <f t="shared" si="78"/>
        <v>count</v>
      </c>
      <c r="I1186" s="197"/>
      <c r="J1186" s="197"/>
      <c r="K1186" s="197"/>
      <c r="L1186" s="197"/>
      <c r="M1186" s="197"/>
      <c r="N1186" s="197"/>
      <c r="O1186" s="197"/>
      <c r="P1186" s="197"/>
      <c r="Q1186" s="197"/>
      <c r="R1186" s="197"/>
      <c r="S1186" s="197"/>
      <c r="T1186" s="197"/>
      <c r="U1186" s="197"/>
      <c r="V1186" s="197"/>
      <c r="W1186" s="197"/>
      <c r="X1186" s="197"/>
      <c r="Y1186" s="197"/>
      <c r="Z1186" s="197"/>
      <c r="AA1186" s="197"/>
      <c r="AB1186" s="197"/>
      <c r="AC1186" s="197"/>
      <c r="AD1186" s="197"/>
      <c r="AE1186" s="197"/>
      <c r="AF1186" s="197"/>
      <c r="AG1186" s="197"/>
      <c r="AH1186" s="197"/>
      <c r="AI1186" s="197"/>
      <c r="AJ1186" s="197"/>
      <c r="AK1186" s="197"/>
      <c r="AL1186" s="197"/>
    </row>
    <row r="1187" spans="1:38">
      <c r="A1187" s="11" t="str">
        <f t="shared" si="79"/>
        <v>15-306034292011</v>
      </c>
      <c r="B1187" t="s">
        <v>662</v>
      </c>
      <c r="C1187" t="s">
        <v>663</v>
      </c>
      <c r="D1187">
        <v>2011</v>
      </c>
      <c r="E1187" t="s">
        <v>69</v>
      </c>
      <c r="F1187">
        <v>889.87</v>
      </c>
      <c r="G1187">
        <v>4</v>
      </c>
      <c r="H1187" s="11" t="str">
        <f t="shared" si="78"/>
        <v>count</v>
      </c>
      <c r="I1187" s="197"/>
      <c r="J1187" s="197"/>
      <c r="K1187" s="197"/>
      <c r="L1187" s="197"/>
      <c r="M1187" s="197"/>
      <c r="N1187" s="197"/>
      <c r="O1187" s="197"/>
      <c r="P1187" s="197"/>
      <c r="Q1187" s="197"/>
      <c r="R1187" s="197"/>
      <c r="S1187" s="197"/>
      <c r="T1187" s="197"/>
      <c r="U1187" s="197"/>
      <c r="V1187" s="197"/>
      <c r="W1187" s="197"/>
      <c r="X1187" s="197"/>
      <c r="Y1187" s="197"/>
      <c r="Z1187" s="197"/>
      <c r="AA1187" s="197"/>
      <c r="AB1187" s="197"/>
      <c r="AC1187" s="197"/>
      <c r="AD1187" s="197"/>
      <c r="AE1187" s="197"/>
      <c r="AF1187" s="197"/>
      <c r="AG1187" s="197"/>
      <c r="AH1187" s="197"/>
      <c r="AI1187" s="197"/>
      <c r="AJ1187" s="197"/>
      <c r="AK1187" s="197"/>
      <c r="AL1187" s="197"/>
    </row>
    <row r="1188" spans="1:38">
      <c r="A1188" s="11" t="str">
        <f t="shared" si="79"/>
        <v>15-306034292011</v>
      </c>
      <c r="B1188" t="s">
        <v>662</v>
      </c>
      <c r="C1188" t="s">
        <v>663</v>
      </c>
      <c r="D1188">
        <v>2011</v>
      </c>
      <c r="E1188" t="s">
        <v>133</v>
      </c>
      <c r="F1188">
        <v>875989.02</v>
      </c>
      <c r="G1188">
        <v>1091</v>
      </c>
      <c r="H1188" s="11" t="str">
        <f t="shared" si="78"/>
        <v>count</v>
      </c>
      <c r="I1188" s="197"/>
      <c r="J1188" s="197"/>
      <c r="K1188" s="197"/>
      <c r="L1188" s="197"/>
      <c r="M1188" s="197"/>
      <c r="N1188" s="197"/>
      <c r="O1188" s="197"/>
      <c r="P1188" s="197"/>
      <c r="Q1188" s="197"/>
      <c r="R1188" s="197"/>
      <c r="S1188" s="197"/>
      <c r="T1188" s="197"/>
      <c r="U1188" s="197"/>
      <c r="V1188" s="197"/>
      <c r="W1188" s="197"/>
      <c r="X1188" s="197"/>
      <c r="Y1188" s="197"/>
      <c r="Z1188" s="197"/>
      <c r="AA1188" s="197"/>
      <c r="AB1188" s="197"/>
      <c r="AC1188" s="197"/>
      <c r="AD1188" s="197"/>
      <c r="AE1188" s="197"/>
      <c r="AF1188" s="197"/>
      <c r="AG1188" s="197"/>
      <c r="AH1188" s="197"/>
      <c r="AI1188" s="197"/>
      <c r="AJ1188" s="197"/>
      <c r="AK1188" s="197"/>
      <c r="AL1188" s="197"/>
    </row>
    <row r="1189" spans="1:38">
      <c r="A1189" s="11" t="str">
        <f t="shared" si="79"/>
        <v>15-306034292011</v>
      </c>
      <c r="B1189" t="s">
        <v>662</v>
      </c>
      <c r="C1189" t="s">
        <v>663</v>
      </c>
      <c r="D1189">
        <v>2011</v>
      </c>
      <c r="E1189" t="s">
        <v>105</v>
      </c>
      <c r="F1189">
        <v>381909.11</v>
      </c>
      <c r="G1189">
        <v>544</v>
      </c>
      <c r="H1189" s="11" t="str">
        <f t="shared" si="78"/>
        <v>count</v>
      </c>
      <c r="I1189" s="197"/>
      <c r="J1189" s="197"/>
      <c r="K1189" s="197"/>
      <c r="L1189" s="197"/>
      <c r="M1189" s="197"/>
      <c r="N1189" s="197"/>
      <c r="O1189" s="197"/>
      <c r="P1189" s="197"/>
      <c r="Q1189" s="197"/>
      <c r="R1189" s="197"/>
      <c r="S1189" s="197"/>
      <c r="T1189" s="197"/>
      <c r="U1189" s="197"/>
      <c r="V1189" s="197"/>
      <c r="W1189" s="197"/>
      <c r="X1189" s="197"/>
      <c r="Y1189" s="197"/>
      <c r="Z1189" s="197"/>
      <c r="AA1189" s="197"/>
      <c r="AB1189" s="197"/>
      <c r="AC1189" s="197"/>
      <c r="AD1189" s="197"/>
      <c r="AE1189" s="197"/>
      <c r="AF1189" s="197"/>
      <c r="AG1189" s="197"/>
      <c r="AH1189" s="197"/>
      <c r="AI1189" s="197"/>
      <c r="AJ1189" s="197"/>
      <c r="AK1189" s="197"/>
      <c r="AL1189" s="197"/>
    </row>
    <row r="1190" spans="1:38">
      <c r="A1190" s="11" t="str">
        <f t="shared" si="79"/>
        <v>15-306034292013</v>
      </c>
      <c r="B1190" t="s">
        <v>662</v>
      </c>
      <c r="C1190" t="s">
        <v>663</v>
      </c>
      <c r="D1190">
        <v>2013</v>
      </c>
      <c r="E1190" t="s">
        <v>106</v>
      </c>
      <c r="F1190">
        <v>68036.17</v>
      </c>
      <c r="G1190">
        <v>74</v>
      </c>
      <c r="H1190" s="11" t="str">
        <f t="shared" si="78"/>
        <v>count</v>
      </c>
      <c r="I1190" s="197"/>
      <c r="J1190" s="197"/>
      <c r="K1190" s="197"/>
      <c r="L1190" s="197"/>
      <c r="M1190" s="197"/>
      <c r="N1190" s="197"/>
      <c r="O1190" s="197"/>
      <c r="P1190" s="197"/>
      <c r="Q1190" s="197"/>
      <c r="R1190" s="197"/>
      <c r="S1190" s="197"/>
      <c r="T1190" s="197"/>
      <c r="U1190" s="197"/>
      <c r="V1190" s="197"/>
      <c r="W1190" s="197"/>
      <c r="X1190" s="197"/>
      <c r="Y1190" s="197"/>
      <c r="Z1190" s="197"/>
      <c r="AA1190" s="197"/>
      <c r="AB1190" s="197"/>
      <c r="AC1190" s="197"/>
      <c r="AD1190" s="197"/>
      <c r="AE1190" s="197"/>
      <c r="AF1190" s="197"/>
      <c r="AG1190" s="197"/>
      <c r="AH1190" s="197"/>
      <c r="AI1190" s="197"/>
      <c r="AJ1190" s="197"/>
      <c r="AK1190" s="197"/>
      <c r="AL1190" s="197"/>
    </row>
    <row r="1191" spans="1:38">
      <c r="A1191" s="11" t="str">
        <f t="shared" si="79"/>
        <v>15-306034292013</v>
      </c>
      <c r="B1191" t="s">
        <v>662</v>
      </c>
      <c r="C1191" t="s">
        <v>663</v>
      </c>
      <c r="D1191">
        <v>2013</v>
      </c>
      <c r="E1191" t="s">
        <v>104</v>
      </c>
      <c r="F1191">
        <v>1372953.15</v>
      </c>
      <c r="G1191">
        <v>1600</v>
      </c>
      <c r="H1191" s="11" t="str">
        <f t="shared" si="78"/>
        <v>count</v>
      </c>
      <c r="I1191" s="197"/>
      <c r="J1191" s="197"/>
      <c r="K1191" s="197"/>
      <c r="L1191" s="197"/>
      <c r="M1191" s="197"/>
      <c r="N1191" s="197"/>
      <c r="O1191" s="197"/>
      <c r="P1191" s="197"/>
      <c r="Q1191" s="197"/>
      <c r="R1191" s="197"/>
      <c r="S1191" s="197"/>
      <c r="T1191" s="197"/>
      <c r="U1191" s="197"/>
      <c r="V1191" s="197"/>
      <c r="W1191" s="197"/>
      <c r="X1191" s="197"/>
      <c r="Y1191" s="197"/>
      <c r="Z1191" s="197"/>
      <c r="AA1191" s="197"/>
      <c r="AB1191" s="197"/>
      <c r="AC1191" s="197"/>
      <c r="AD1191" s="197"/>
      <c r="AE1191" s="197"/>
      <c r="AF1191" s="197"/>
      <c r="AG1191" s="197"/>
      <c r="AH1191" s="197"/>
      <c r="AI1191" s="197"/>
      <c r="AJ1191" s="197"/>
      <c r="AK1191" s="197"/>
      <c r="AL1191" s="197"/>
    </row>
    <row r="1192" spans="1:38">
      <c r="A1192" s="11" t="str">
        <f t="shared" si="79"/>
        <v>15-306808512013</v>
      </c>
      <c r="B1192" t="s">
        <v>664</v>
      </c>
      <c r="C1192" t="s">
        <v>665</v>
      </c>
      <c r="D1192">
        <v>2013</v>
      </c>
      <c r="E1192" t="s">
        <v>63</v>
      </c>
      <c r="F1192">
        <v>276336.59000000003</v>
      </c>
      <c r="G1192">
        <v>1029</v>
      </c>
      <c r="H1192" s="11" t="str">
        <f t="shared" si="78"/>
        <v>volume</v>
      </c>
      <c r="I1192" s="197"/>
      <c r="J1192" s="197"/>
      <c r="K1192" s="197"/>
      <c r="L1192" s="197"/>
      <c r="M1192" s="197"/>
      <c r="N1192" s="197"/>
      <c r="O1192" s="197"/>
      <c r="P1192" s="197"/>
      <c r="Q1192" s="197"/>
      <c r="R1192" s="197"/>
      <c r="S1192" s="197"/>
      <c r="T1192" s="197"/>
      <c r="U1192" s="197"/>
      <c r="V1192" s="197"/>
      <c r="W1192" s="197"/>
      <c r="X1192" s="197"/>
      <c r="Y1192" s="197"/>
      <c r="Z1192" s="197"/>
      <c r="AA1192" s="197"/>
      <c r="AB1192" s="197"/>
      <c r="AC1192" s="197"/>
      <c r="AD1192" s="197"/>
      <c r="AE1192" s="197"/>
      <c r="AF1192" s="197"/>
      <c r="AG1192" s="197"/>
      <c r="AH1192" s="197"/>
      <c r="AI1192" s="197"/>
      <c r="AJ1192" s="197"/>
      <c r="AK1192" s="197"/>
      <c r="AL1192" s="197"/>
    </row>
    <row r="1193" spans="1:38">
      <c r="A1193" s="11" t="str">
        <f t="shared" si="79"/>
        <v>15-306808512011</v>
      </c>
      <c r="B1193" t="s">
        <v>664</v>
      </c>
      <c r="C1193" t="s">
        <v>665</v>
      </c>
      <c r="D1193">
        <v>2011</v>
      </c>
      <c r="E1193" t="s">
        <v>69</v>
      </c>
      <c r="F1193">
        <v>1451.01</v>
      </c>
      <c r="G1193">
        <v>1</v>
      </c>
      <c r="H1193" s="11" t="str">
        <f t="shared" si="78"/>
        <v>count</v>
      </c>
      <c r="I1193" s="197"/>
      <c r="J1193" s="197"/>
      <c r="K1193" s="197"/>
      <c r="L1193" s="197"/>
      <c r="M1193" s="197"/>
      <c r="N1193" s="197"/>
      <c r="O1193" s="197"/>
      <c r="P1193" s="197"/>
      <c r="Q1193" s="197"/>
      <c r="R1193" s="197"/>
      <c r="S1193" s="197"/>
      <c r="T1193" s="197"/>
      <c r="U1193" s="197"/>
      <c r="V1193" s="197"/>
      <c r="W1193" s="197"/>
      <c r="X1193" s="197"/>
      <c r="Y1193" s="197"/>
      <c r="Z1193" s="197"/>
      <c r="AA1193" s="197"/>
      <c r="AB1193" s="197"/>
      <c r="AC1193" s="197"/>
      <c r="AD1193" s="197"/>
      <c r="AE1193" s="197"/>
      <c r="AF1193" s="197"/>
      <c r="AG1193" s="197"/>
      <c r="AH1193" s="197"/>
      <c r="AI1193" s="197"/>
      <c r="AJ1193" s="197"/>
      <c r="AK1193" s="197"/>
      <c r="AL1193" s="197"/>
    </row>
    <row r="1194" spans="1:38">
      <c r="A1194" s="11" t="str">
        <f t="shared" si="79"/>
        <v>15-306808512013</v>
      </c>
      <c r="B1194" t="s">
        <v>664</v>
      </c>
      <c r="C1194" t="s">
        <v>665</v>
      </c>
      <c r="D1194">
        <v>2013</v>
      </c>
      <c r="E1194" t="s">
        <v>104</v>
      </c>
      <c r="F1194">
        <v>331437.21000000002</v>
      </c>
      <c r="G1194">
        <v>1654</v>
      </c>
      <c r="H1194" s="11" t="str">
        <f t="shared" si="78"/>
        <v>count</v>
      </c>
      <c r="I1194" s="197"/>
      <c r="J1194" s="197"/>
      <c r="K1194" s="197"/>
      <c r="L1194" s="197"/>
      <c r="M1194" s="197"/>
      <c r="N1194" s="197"/>
      <c r="O1194" s="197"/>
      <c r="P1194" s="197"/>
      <c r="Q1194" s="197"/>
      <c r="R1194" s="197"/>
      <c r="S1194" s="197"/>
      <c r="T1194" s="197"/>
      <c r="U1194" s="197"/>
      <c r="V1194" s="197"/>
      <c r="W1194" s="197"/>
      <c r="X1194" s="197"/>
      <c r="Y1194" s="197"/>
      <c r="Z1194" s="197"/>
      <c r="AA1194" s="197"/>
      <c r="AB1194" s="197"/>
      <c r="AC1194" s="197"/>
      <c r="AD1194" s="197"/>
      <c r="AE1194" s="197"/>
      <c r="AF1194" s="197"/>
      <c r="AG1194" s="197"/>
      <c r="AH1194" s="197"/>
      <c r="AI1194" s="197"/>
      <c r="AJ1194" s="197"/>
      <c r="AK1194" s="197"/>
      <c r="AL1194" s="197"/>
    </row>
    <row r="1195" spans="1:38">
      <c r="A1195" s="11" t="str">
        <f t="shared" si="79"/>
        <v>15-306808512011</v>
      </c>
      <c r="B1195" t="s">
        <v>664</v>
      </c>
      <c r="C1195" t="s">
        <v>665</v>
      </c>
      <c r="D1195">
        <v>2011</v>
      </c>
      <c r="E1195" t="s">
        <v>133</v>
      </c>
      <c r="F1195">
        <v>134438.15</v>
      </c>
      <c r="G1195">
        <v>253</v>
      </c>
      <c r="H1195" s="11" t="str">
        <f t="shared" si="78"/>
        <v>count</v>
      </c>
      <c r="I1195" s="197"/>
      <c r="J1195" s="197"/>
      <c r="K1195" s="197"/>
      <c r="L1195" s="197"/>
      <c r="M1195" s="197"/>
      <c r="N1195" s="197"/>
      <c r="O1195" s="197"/>
      <c r="P1195" s="197"/>
      <c r="Q1195" s="197"/>
      <c r="R1195" s="197"/>
      <c r="S1195" s="197"/>
      <c r="T1195" s="197"/>
      <c r="U1195" s="197"/>
      <c r="V1195" s="197"/>
      <c r="W1195" s="197"/>
      <c r="X1195" s="197"/>
      <c r="Y1195" s="197"/>
      <c r="Z1195" s="197"/>
      <c r="AA1195" s="197"/>
      <c r="AB1195" s="197"/>
      <c r="AC1195" s="197"/>
      <c r="AD1195" s="197"/>
      <c r="AE1195" s="197"/>
      <c r="AF1195" s="197"/>
      <c r="AG1195" s="197"/>
      <c r="AH1195" s="197"/>
      <c r="AI1195" s="197"/>
      <c r="AJ1195" s="197"/>
      <c r="AK1195" s="197"/>
      <c r="AL1195" s="197"/>
    </row>
    <row r="1196" spans="1:38">
      <c r="A1196" s="11" t="str">
        <f t="shared" si="79"/>
        <v>15-306808512011</v>
      </c>
      <c r="B1196" t="s">
        <v>664</v>
      </c>
      <c r="C1196" t="s">
        <v>665</v>
      </c>
      <c r="D1196">
        <v>2011</v>
      </c>
      <c r="E1196" t="s">
        <v>105</v>
      </c>
      <c r="F1196">
        <v>9072.26</v>
      </c>
      <c r="G1196">
        <v>29</v>
      </c>
      <c r="H1196" s="11" t="str">
        <f t="shared" si="78"/>
        <v>count</v>
      </c>
      <c r="I1196" s="197"/>
      <c r="J1196" s="197"/>
      <c r="K1196" s="197"/>
      <c r="L1196" s="197"/>
      <c r="M1196" s="197"/>
      <c r="N1196" s="197"/>
      <c r="O1196" s="197"/>
      <c r="P1196" s="197"/>
      <c r="Q1196" s="197"/>
      <c r="R1196" s="197"/>
      <c r="S1196" s="197"/>
      <c r="T1196" s="197"/>
      <c r="U1196" s="197"/>
      <c r="V1196" s="197"/>
      <c r="W1196" s="197"/>
      <c r="X1196" s="197"/>
      <c r="Y1196" s="197"/>
      <c r="Z1196" s="197"/>
      <c r="AA1196" s="197"/>
      <c r="AB1196" s="197"/>
      <c r="AC1196" s="197"/>
      <c r="AD1196" s="197"/>
      <c r="AE1196" s="197"/>
      <c r="AF1196" s="197"/>
      <c r="AG1196" s="197"/>
      <c r="AH1196" s="197"/>
      <c r="AI1196" s="197"/>
      <c r="AJ1196" s="197"/>
      <c r="AK1196" s="197"/>
      <c r="AL1196" s="197"/>
    </row>
    <row r="1197" spans="1:38">
      <c r="A1197" s="11" t="str">
        <f t="shared" si="79"/>
        <v>15-306808512012</v>
      </c>
      <c r="B1197" t="s">
        <v>664</v>
      </c>
      <c r="C1197" t="s">
        <v>665</v>
      </c>
      <c r="D1197">
        <v>2012</v>
      </c>
      <c r="E1197" t="s">
        <v>63</v>
      </c>
      <c r="F1197">
        <v>299294.52</v>
      </c>
      <c r="G1197">
        <v>801</v>
      </c>
      <c r="H1197" s="11" t="str">
        <f t="shared" si="78"/>
        <v>count</v>
      </c>
      <c r="I1197" s="197"/>
      <c r="J1197" s="197"/>
      <c r="K1197" s="197"/>
      <c r="L1197" s="197"/>
      <c r="M1197" s="197"/>
      <c r="N1197" s="197"/>
      <c r="O1197" s="197"/>
      <c r="P1197" s="197"/>
      <c r="Q1197" s="197"/>
      <c r="R1197" s="197"/>
      <c r="S1197" s="197"/>
      <c r="T1197" s="197"/>
      <c r="U1197" s="197"/>
      <c r="V1197" s="197"/>
      <c r="W1197" s="197"/>
      <c r="X1197" s="197"/>
      <c r="Y1197" s="197"/>
      <c r="Z1197" s="197"/>
      <c r="AA1197" s="197"/>
      <c r="AB1197" s="197"/>
      <c r="AC1197" s="197"/>
      <c r="AD1197" s="197"/>
      <c r="AE1197" s="197"/>
      <c r="AF1197" s="197"/>
      <c r="AG1197" s="197"/>
      <c r="AH1197" s="197"/>
      <c r="AI1197" s="197"/>
      <c r="AJ1197" s="197"/>
      <c r="AK1197" s="197"/>
      <c r="AL1197" s="197"/>
    </row>
    <row r="1198" spans="1:38">
      <c r="A1198" s="11" t="str">
        <f t="shared" si="79"/>
        <v>15-306808512013</v>
      </c>
      <c r="B1198" t="s">
        <v>664</v>
      </c>
      <c r="C1198" t="s">
        <v>665</v>
      </c>
      <c r="D1198">
        <v>2013</v>
      </c>
      <c r="E1198" t="s">
        <v>105</v>
      </c>
      <c r="F1198">
        <v>4146.2</v>
      </c>
      <c r="G1198">
        <v>15</v>
      </c>
      <c r="H1198" s="11" t="str">
        <f t="shared" si="78"/>
        <v>count</v>
      </c>
      <c r="I1198" s="197"/>
      <c r="J1198" s="197"/>
      <c r="K1198" s="197"/>
      <c r="L1198" s="197"/>
      <c r="M1198" s="197"/>
      <c r="N1198" s="197"/>
      <c r="O1198" s="197"/>
      <c r="P1198" s="197"/>
      <c r="Q1198" s="197"/>
      <c r="R1198" s="197"/>
      <c r="S1198" s="197"/>
      <c r="T1198" s="197"/>
      <c r="U1198" s="197"/>
      <c r="V1198" s="197"/>
      <c r="W1198" s="197"/>
      <c r="X1198" s="197"/>
      <c r="Y1198" s="197"/>
      <c r="Z1198" s="197"/>
      <c r="AA1198" s="197"/>
      <c r="AB1198" s="197"/>
      <c r="AC1198" s="197"/>
      <c r="AD1198" s="197"/>
      <c r="AE1198" s="197"/>
      <c r="AF1198" s="197"/>
      <c r="AG1198" s="197"/>
      <c r="AH1198" s="197"/>
      <c r="AI1198" s="197"/>
      <c r="AJ1198" s="197"/>
      <c r="AK1198" s="197"/>
      <c r="AL1198" s="197"/>
    </row>
    <row r="1199" spans="1:38">
      <c r="A1199" s="11" t="str">
        <f t="shared" si="79"/>
        <v>15-306808512012</v>
      </c>
      <c r="B1199" t="s">
        <v>664</v>
      </c>
      <c r="C1199" t="s">
        <v>665</v>
      </c>
      <c r="D1199">
        <v>2012</v>
      </c>
      <c r="E1199" t="s">
        <v>133</v>
      </c>
      <c r="F1199">
        <v>134254.09</v>
      </c>
      <c r="G1199">
        <v>250</v>
      </c>
      <c r="H1199" s="11" t="str">
        <f t="shared" si="78"/>
        <v>count</v>
      </c>
      <c r="I1199" s="197"/>
      <c r="J1199" s="197"/>
      <c r="K1199" s="197"/>
      <c r="L1199" s="197"/>
      <c r="M1199" s="197"/>
      <c r="N1199" s="197"/>
      <c r="O1199" s="197"/>
      <c r="P1199" s="197"/>
      <c r="Q1199" s="197"/>
      <c r="R1199" s="197"/>
      <c r="S1199" s="197"/>
      <c r="T1199" s="197"/>
      <c r="U1199" s="197"/>
      <c r="V1199" s="197"/>
      <c r="W1199" s="197"/>
      <c r="X1199" s="197"/>
      <c r="Y1199" s="197"/>
      <c r="Z1199" s="197"/>
      <c r="AA1199" s="197"/>
      <c r="AB1199" s="197"/>
      <c r="AC1199" s="197"/>
      <c r="AD1199" s="197"/>
      <c r="AE1199" s="197"/>
      <c r="AF1199" s="197"/>
      <c r="AG1199" s="197"/>
      <c r="AH1199" s="197"/>
      <c r="AI1199" s="197"/>
      <c r="AJ1199" s="197"/>
      <c r="AK1199" s="197"/>
      <c r="AL1199" s="197"/>
    </row>
    <row r="1200" spans="1:38">
      <c r="A1200" s="11" t="str">
        <f t="shared" si="79"/>
        <v>15-306808512012</v>
      </c>
      <c r="B1200" t="s">
        <v>664</v>
      </c>
      <c r="C1200" t="s">
        <v>665</v>
      </c>
      <c r="D1200">
        <v>2012</v>
      </c>
      <c r="E1200" t="s">
        <v>69</v>
      </c>
      <c r="F1200">
        <v>99140.05</v>
      </c>
      <c r="G1200">
        <v>259</v>
      </c>
      <c r="H1200" s="11" t="str">
        <f t="shared" si="78"/>
        <v>count</v>
      </c>
      <c r="I1200" s="197"/>
      <c r="J1200" s="197"/>
      <c r="K1200" s="197"/>
      <c r="L1200" s="197"/>
      <c r="M1200" s="197"/>
      <c r="N1200" s="197"/>
      <c r="O1200" s="197"/>
      <c r="P1200" s="197"/>
      <c r="Q1200" s="197"/>
      <c r="R1200" s="197"/>
      <c r="S1200" s="197"/>
      <c r="T1200" s="197"/>
      <c r="U1200" s="197"/>
      <c r="V1200" s="197"/>
      <c r="W1200" s="197"/>
      <c r="X1200" s="197"/>
      <c r="Y1200" s="197"/>
      <c r="Z1200" s="197"/>
      <c r="AA1200" s="197"/>
      <c r="AB1200" s="197"/>
      <c r="AC1200" s="197"/>
      <c r="AD1200" s="197"/>
      <c r="AE1200" s="197"/>
      <c r="AF1200" s="197"/>
      <c r="AG1200" s="197"/>
      <c r="AH1200" s="197"/>
      <c r="AI1200" s="197"/>
      <c r="AJ1200" s="197"/>
      <c r="AK1200" s="197"/>
      <c r="AL1200" s="197"/>
    </row>
    <row r="1201" spans="1:38">
      <c r="A1201" s="11" t="str">
        <f t="shared" si="79"/>
        <v>15-306808512012</v>
      </c>
      <c r="B1201" t="s">
        <v>664</v>
      </c>
      <c r="C1201" t="s">
        <v>665</v>
      </c>
      <c r="D1201">
        <v>2012</v>
      </c>
      <c r="E1201" t="s">
        <v>104</v>
      </c>
      <c r="F1201">
        <v>243626.4</v>
      </c>
      <c r="G1201">
        <v>988</v>
      </c>
      <c r="H1201" s="11" t="str">
        <f t="shared" si="78"/>
        <v>count</v>
      </c>
      <c r="I1201" s="197"/>
      <c r="J1201" s="197"/>
      <c r="K1201" s="197"/>
      <c r="L1201" s="197"/>
      <c r="M1201" s="197"/>
      <c r="N1201" s="197"/>
      <c r="O1201" s="197"/>
      <c r="P1201" s="197"/>
      <c r="Q1201" s="197"/>
      <c r="R1201" s="197"/>
      <c r="S1201" s="197"/>
      <c r="T1201" s="197"/>
      <c r="U1201" s="197"/>
      <c r="V1201" s="197"/>
      <c r="W1201" s="197"/>
      <c r="X1201" s="197"/>
      <c r="Y1201" s="197"/>
      <c r="Z1201" s="197"/>
      <c r="AA1201" s="197"/>
      <c r="AB1201" s="197"/>
      <c r="AC1201" s="197"/>
      <c r="AD1201" s="197"/>
      <c r="AE1201" s="197"/>
      <c r="AF1201" s="197"/>
      <c r="AG1201" s="197"/>
      <c r="AH1201" s="197"/>
      <c r="AI1201" s="197"/>
      <c r="AJ1201" s="197"/>
      <c r="AK1201" s="197"/>
      <c r="AL1201" s="197"/>
    </row>
    <row r="1202" spans="1:38">
      <c r="A1202" s="11" t="str">
        <f t="shared" si="79"/>
        <v>15-306808512011</v>
      </c>
      <c r="B1202" t="s">
        <v>664</v>
      </c>
      <c r="C1202" t="s">
        <v>665</v>
      </c>
      <c r="D1202">
        <v>2011</v>
      </c>
      <c r="E1202" t="s">
        <v>104</v>
      </c>
      <c r="F1202">
        <v>399411.25</v>
      </c>
      <c r="G1202">
        <v>1101</v>
      </c>
      <c r="H1202" s="11" t="str">
        <f t="shared" si="78"/>
        <v>count</v>
      </c>
      <c r="I1202" s="197"/>
      <c r="J1202" s="197"/>
      <c r="K1202" s="197"/>
      <c r="L1202" s="197"/>
      <c r="M1202" s="197"/>
      <c r="N1202" s="197"/>
      <c r="O1202" s="197"/>
      <c r="P1202" s="197"/>
      <c r="Q1202" s="197"/>
      <c r="R1202" s="197"/>
      <c r="S1202" s="197"/>
      <c r="T1202" s="197"/>
      <c r="U1202" s="197"/>
      <c r="V1202" s="197"/>
      <c r="W1202" s="197"/>
      <c r="X1202" s="197"/>
      <c r="Y1202" s="197"/>
      <c r="Z1202" s="197"/>
      <c r="AA1202" s="197"/>
      <c r="AB1202" s="197"/>
      <c r="AC1202" s="197"/>
      <c r="AD1202" s="197"/>
      <c r="AE1202" s="197"/>
      <c r="AF1202" s="197"/>
      <c r="AG1202" s="197"/>
      <c r="AH1202" s="197"/>
      <c r="AI1202" s="197"/>
      <c r="AJ1202" s="197"/>
      <c r="AK1202" s="197"/>
      <c r="AL1202" s="197"/>
    </row>
    <row r="1203" spans="1:38">
      <c r="A1203" s="11" t="str">
        <f t="shared" si="79"/>
        <v>15-306808512011</v>
      </c>
      <c r="B1203" t="s">
        <v>664</v>
      </c>
      <c r="C1203" t="s">
        <v>665</v>
      </c>
      <c r="D1203">
        <v>2011</v>
      </c>
      <c r="E1203" t="s">
        <v>63</v>
      </c>
      <c r="F1203">
        <v>415516.08</v>
      </c>
      <c r="G1203">
        <v>1069</v>
      </c>
      <c r="H1203" s="11" t="str">
        <f t="shared" si="78"/>
        <v>count</v>
      </c>
      <c r="I1203" s="197"/>
      <c r="J1203" s="197"/>
      <c r="K1203" s="197"/>
      <c r="L1203" s="197"/>
      <c r="M1203" s="197"/>
      <c r="N1203" s="197"/>
      <c r="O1203" s="197"/>
      <c r="P1203" s="197"/>
      <c r="Q1203" s="197"/>
      <c r="R1203" s="197"/>
      <c r="S1203" s="197"/>
      <c r="T1203" s="197"/>
      <c r="U1203" s="197"/>
      <c r="V1203" s="197"/>
      <c r="W1203" s="197"/>
      <c r="X1203" s="197"/>
      <c r="Y1203" s="197"/>
      <c r="Z1203" s="197"/>
      <c r="AA1203" s="197"/>
      <c r="AB1203" s="197"/>
      <c r="AC1203" s="197"/>
      <c r="AD1203" s="197"/>
      <c r="AE1203" s="197"/>
      <c r="AF1203" s="197"/>
      <c r="AG1203" s="197"/>
      <c r="AH1203" s="197"/>
      <c r="AI1203" s="197"/>
      <c r="AJ1203" s="197"/>
      <c r="AK1203" s="197"/>
      <c r="AL1203" s="197"/>
    </row>
    <row r="1204" spans="1:38">
      <c r="A1204" s="11" t="str">
        <f t="shared" si="79"/>
        <v>15-306808512013</v>
      </c>
      <c r="B1204" t="s">
        <v>664</v>
      </c>
      <c r="C1204" t="s">
        <v>665</v>
      </c>
      <c r="D1204">
        <v>2013</v>
      </c>
      <c r="E1204" t="s">
        <v>69</v>
      </c>
      <c r="F1204">
        <v>151669.38</v>
      </c>
      <c r="G1204">
        <v>429</v>
      </c>
      <c r="H1204" s="11" t="str">
        <f t="shared" si="78"/>
        <v>count</v>
      </c>
      <c r="I1204" s="197"/>
      <c r="J1204" s="197"/>
      <c r="K1204" s="197"/>
      <c r="L1204" s="197"/>
      <c r="M1204" s="197"/>
      <c r="N1204" s="197"/>
      <c r="O1204" s="197"/>
      <c r="P1204" s="197"/>
      <c r="Q1204" s="197"/>
      <c r="R1204" s="197"/>
      <c r="S1204" s="197"/>
      <c r="T1204" s="197"/>
      <c r="U1204" s="197"/>
      <c r="V1204" s="197"/>
      <c r="W1204" s="197"/>
      <c r="X1204" s="197"/>
      <c r="Y1204" s="197"/>
      <c r="Z1204" s="197"/>
      <c r="AA1204" s="197"/>
      <c r="AB1204" s="197"/>
      <c r="AC1204" s="197"/>
      <c r="AD1204" s="197"/>
      <c r="AE1204" s="197"/>
      <c r="AF1204" s="197"/>
      <c r="AG1204" s="197"/>
      <c r="AH1204" s="197"/>
      <c r="AI1204" s="197"/>
      <c r="AJ1204" s="197"/>
      <c r="AK1204" s="197"/>
      <c r="AL1204" s="197"/>
    </row>
    <row r="1205" spans="1:38">
      <c r="A1205" s="11" t="str">
        <f t="shared" si="79"/>
        <v>15-306808512013</v>
      </c>
      <c r="B1205" t="s">
        <v>664</v>
      </c>
      <c r="C1205" t="s">
        <v>665</v>
      </c>
      <c r="D1205">
        <v>2013</v>
      </c>
      <c r="E1205" t="s">
        <v>133</v>
      </c>
      <c r="F1205">
        <v>152397.09</v>
      </c>
      <c r="G1205">
        <v>347</v>
      </c>
      <c r="H1205" s="11" t="str">
        <f t="shared" si="78"/>
        <v>count</v>
      </c>
      <c r="I1205" s="197"/>
      <c r="J1205" s="197"/>
      <c r="K1205" s="197"/>
      <c r="L1205" s="197"/>
      <c r="M1205" s="197"/>
      <c r="N1205" s="197"/>
      <c r="O1205" s="197"/>
      <c r="P1205" s="197"/>
      <c r="Q1205" s="197"/>
      <c r="R1205" s="197"/>
      <c r="S1205" s="197"/>
      <c r="T1205" s="197"/>
      <c r="U1205" s="197"/>
      <c r="V1205" s="197"/>
      <c r="W1205" s="197"/>
      <c r="X1205" s="197"/>
      <c r="Y1205" s="197"/>
      <c r="Z1205" s="197"/>
      <c r="AA1205" s="197"/>
      <c r="AB1205" s="197"/>
      <c r="AC1205" s="197"/>
      <c r="AD1205" s="197"/>
      <c r="AE1205" s="197"/>
      <c r="AF1205" s="197"/>
      <c r="AG1205" s="197"/>
      <c r="AH1205" s="197"/>
      <c r="AI1205" s="197"/>
      <c r="AJ1205" s="197"/>
      <c r="AK1205" s="197"/>
      <c r="AL1205" s="197"/>
    </row>
    <row r="1206" spans="1:38">
      <c r="A1206" s="11" t="str">
        <f t="shared" si="79"/>
        <v>15-306808512012</v>
      </c>
      <c r="B1206" t="s">
        <v>664</v>
      </c>
      <c r="C1206" t="s">
        <v>665</v>
      </c>
      <c r="D1206">
        <v>2012</v>
      </c>
      <c r="E1206" t="s">
        <v>105</v>
      </c>
      <c r="F1206">
        <v>6907.46</v>
      </c>
      <c r="G1206">
        <v>17</v>
      </c>
      <c r="H1206" s="11" t="str">
        <f t="shared" si="78"/>
        <v>count</v>
      </c>
      <c r="I1206" s="197"/>
      <c r="J1206" s="197"/>
      <c r="K1206" s="197"/>
      <c r="L1206" s="197"/>
      <c r="M1206" s="197"/>
      <c r="N1206" s="197"/>
      <c r="O1206" s="197"/>
      <c r="P1206" s="197"/>
      <c r="Q1206" s="197"/>
      <c r="R1206" s="197"/>
      <c r="S1206" s="197"/>
      <c r="T1206" s="197"/>
      <c r="U1206" s="197"/>
      <c r="V1206" s="197"/>
      <c r="W1206" s="197"/>
      <c r="X1206" s="197"/>
      <c r="Y1206" s="197"/>
      <c r="Z1206" s="197"/>
      <c r="AA1206" s="197"/>
      <c r="AB1206" s="197"/>
      <c r="AC1206" s="197"/>
      <c r="AD1206" s="197"/>
      <c r="AE1206" s="197"/>
      <c r="AF1206" s="197"/>
      <c r="AG1206" s="197"/>
      <c r="AH1206" s="197"/>
      <c r="AI1206" s="197"/>
      <c r="AJ1206" s="197"/>
      <c r="AK1206" s="197"/>
      <c r="AL1206" s="197"/>
    </row>
    <row r="1207" spans="1:38">
      <c r="A1207" s="11" t="str">
        <f t="shared" si="79"/>
        <v>15-307448382012</v>
      </c>
      <c r="B1207" t="s">
        <v>669</v>
      </c>
      <c r="C1207" t="s">
        <v>670</v>
      </c>
      <c r="D1207">
        <v>2012</v>
      </c>
      <c r="E1207" t="s">
        <v>69</v>
      </c>
      <c r="F1207">
        <v>23512.639999999999</v>
      </c>
      <c r="G1207">
        <v>70</v>
      </c>
      <c r="H1207" s="11" t="str">
        <f t="shared" si="78"/>
        <v>volume</v>
      </c>
      <c r="I1207" s="197"/>
      <c r="J1207" s="197"/>
      <c r="K1207" s="197"/>
      <c r="L1207" s="197"/>
      <c r="M1207" s="197"/>
      <c r="N1207" s="197"/>
      <c r="O1207" s="197"/>
      <c r="P1207" s="197"/>
      <c r="Q1207" s="197"/>
      <c r="R1207" s="197"/>
      <c r="S1207" s="197"/>
      <c r="T1207" s="197"/>
      <c r="U1207" s="197"/>
      <c r="V1207" s="197"/>
      <c r="W1207" s="197"/>
      <c r="X1207" s="197"/>
      <c r="Y1207" s="197"/>
      <c r="Z1207" s="197"/>
      <c r="AA1207" s="197"/>
      <c r="AB1207" s="197"/>
      <c r="AC1207" s="197"/>
      <c r="AD1207" s="197"/>
      <c r="AE1207" s="197"/>
      <c r="AF1207" s="197"/>
      <c r="AG1207" s="197"/>
      <c r="AH1207" s="197"/>
      <c r="AI1207" s="197"/>
      <c r="AJ1207" s="197"/>
      <c r="AK1207" s="197"/>
      <c r="AL1207" s="197"/>
    </row>
    <row r="1208" spans="1:38">
      <c r="A1208" s="11" t="str">
        <f t="shared" si="79"/>
        <v>15-307448382011</v>
      </c>
      <c r="B1208" t="s">
        <v>669</v>
      </c>
      <c r="C1208" t="s">
        <v>670</v>
      </c>
      <c r="D1208">
        <v>2011</v>
      </c>
      <c r="E1208" t="s">
        <v>105</v>
      </c>
      <c r="F1208">
        <v>133857.57999999999</v>
      </c>
      <c r="G1208">
        <v>330</v>
      </c>
      <c r="H1208" s="11" t="str">
        <f t="shared" si="78"/>
        <v>count</v>
      </c>
      <c r="I1208" s="197"/>
      <c r="J1208" s="197"/>
      <c r="K1208" s="197"/>
      <c r="L1208" s="197"/>
      <c r="M1208" s="197"/>
      <c r="N1208" s="197"/>
      <c r="O1208" s="197"/>
      <c r="P1208" s="197"/>
      <c r="Q1208" s="197"/>
      <c r="R1208" s="197"/>
      <c r="S1208" s="197"/>
      <c r="T1208" s="197"/>
      <c r="U1208" s="197"/>
      <c r="V1208" s="197"/>
      <c r="W1208" s="197"/>
      <c r="X1208" s="197"/>
      <c r="Y1208" s="197"/>
      <c r="Z1208" s="197"/>
      <c r="AA1208" s="197"/>
      <c r="AB1208" s="197"/>
      <c r="AC1208" s="197"/>
      <c r="AD1208" s="197"/>
      <c r="AE1208" s="197"/>
      <c r="AF1208" s="197"/>
      <c r="AG1208" s="197"/>
      <c r="AH1208" s="197"/>
      <c r="AI1208" s="197"/>
      <c r="AJ1208" s="197"/>
      <c r="AK1208" s="197"/>
      <c r="AL1208" s="197"/>
    </row>
    <row r="1209" spans="1:38">
      <c r="A1209" s="11" t="str">
        <f t="shared" si="79"/>
        <v>15-307448382012</v>
      </c>
      <c r="B1209" t="s">
        <v>669</v>
      </c>
      <c r="C1209" t="s">
        <v>670</v>
      </c>
      <c r="D1209">
        <v>2012</v>
      </c>
      <c r="E1209" t="s">
        <v>104</v>
      </c>
      <c r="F1209">
        <v>22550.1</v>
      </c>
      <c r="G1209">
        <v>61</v>
      </c>
      <c r="H1209" s="11" t="str">
        <f t="shared" si="78"/>
        <v>count</v>
      </c>
      <c r="I1209" s="197"/>
      <c r="J1209" s="197"/>
      <c r="K1209" s="197"/>
      <c r="L1209" s="197"/>
      <c r="M1209" s="197"/>
      <c r="N1209" s="197"/>
      <c r="O1209" s="197"/>
      <c r="P1209" s="197"/>
      <c r="Q1209" s="197"/>
      <c r="R1209" s="197"/>
      <c r="S1209" s="197"/>
      <c r="T1209" s="197"/>
      <c r="U1209" s="197"/>
      <c r="V1209" s="197"/>
      <c r="W1209" s="197"/>
      <c r="X1209" s="197"/>
      <c r="Y1209" s="197"/>
      <c r="Z1209" s="197"/>
      <c r="AA1209" s="197"/>
      <c r="AB1209" s="197"/>
      <c r="AC1209" s="197"/>
      <c r="AD1209" s="197"/>
      <c r="AE1209" s="197"/>
      <c r="AF1209" s="197"/>
      <c r="AG1209" s="197"/>
      <c r="AH1209" s="197"/>
      <c r="AI1209" s="197"/>
      <c r="AJ1209" s="197"/>
      <c r="AK1209" s="197"/>
      <c r="AL1209" s="197"/>
    </row>
    <row r="1210" spans="1:38">
      <c r="A1210" s="11" t="str">
        <f t="shared" si="79"/>
        <v>15-307448382011</v>
      </c>
      <c r="B1210" t="s">
        <v>669</v>
      </c>
      <c r="C1210" t="s">
        <v>670</v>
      </c>
      <c r="D1210">
        <v>2011</v>
      </c>
      <c r="E1210" t="s">
        <v>69</v>
      </c>
      <c r="F1210">
        <v>2401.58</v>
      </c>
      <c r="G1210">
        <v>6</v>
      </c>
      <c r="H1210" s="11" t="str">
        <f t="shared" si="78"/>
        <v>count</v>
      </c>
      <c r="I1210" s="197"/>
      <c r="J1210" s="197"/>
      <c r="K1210" s="197"/>
      <c r="L1210" s="197"/>
      <c r="M1210" s="197"/>
      <c r="N1210" s="197"/>
      <c r="O1210" s="197"/>
      <c r="P1210" s="197"/>
      <c r="Q1210" s="197"/>
      <c r="R1210" s="197"/>
      <c r="S1210" s="197"/>
      <c r="T1210" s="197"/>
      <c r="U1210" s="197"/>
      <c r="V1210" s="197"/>
      <c r="W1210" s="197"/>
      <c r="X1210" s="197"/>
      <c r="Y1210" s="197"/>
      <c r="Z1210" s="197"/>
      <c r="AA1210" s="197"/>
      <c r="AB1210" s="197"/>
      <c r="AC1210" s="197"/>
      <c r="AD1210" s="197"/>
      <c r="AE1210" s="197"/>
      <c r="AF1210" s="197"/>
      <c r="AG1210" s="197"/>
      <c r="AH1210" s="197"/>
      <c r="AI1210" s="197"/>
      <c r="AJ1210" s="197"/>
      <c r="AK1210" s="197"/>
      <c r="AL1210" s="197"/>
    </row>
    <row r="1211" spans="1:38">
      <c r="A1211" s="11" t="str">
        <f t="shared" si="79"/>
        <v>15-307448382012</v>
      </c>
      <c r="B1211" t="s">
        <v>669</v>
      </c>
      <c r="C1211" t="s">
        <v>670</v>
      </c>
      <c r="D1211">
        <v>2012</v>
      </c>
      <c r="E1211" t="s">
        <v>63</v>
      </c>
      <c r="F1211">
        <v>23912.45</v>
      </c>
      <c r="G1211">
        <v>67</v>
      </c>
      <c r="H1211" s="11" t="str">
        <f t="shared" si="78"/>
        <v>count</v>
      </c>
      <c r="I1211" s="197"/>
      <c r="J1211" s="197"/>
      <c r="K1211" s="197"/>
      <c r="L1211" s="197"/>
      <c r="M1211" s="197"/>
      <c r="N1211" s="197"/>
      <c r="O1211" s="197"/>
      <c r="P1211" s="197"/>
      <c r="Q1211" s="197"/>
      <c r="R1211" s="197"/>
      <c r="S1211" s="197"/>
      <c r="T1211" s="197"/>
      <c r="U1211" s="197"/>
      <c r="V1211" s="197"/>
      <c r="W1211" s="197"/>
      <c r="X1211" s="197"/>
      <c r="Y1211" s="197"/>
      <c r="Z1211" s="197"/>
      <c r="AA1211" s="197"/>
      <c r="AB1211" s="197"/>
      <c r="AC1211" s="197"/>
      <c r="AD1211" s="197"/>
      <c r="AE1211" s="197"/>
      <c r="AF1211" s="197"/>
      <c r="AG1211" s="197"/>
      <c r="AH1211" s="197"/>
      <c r="AI1211" s="197"/>
      <c r="AJ1211" s="197"/>
      <c r="AK1211" s="197"/>
      <c r="AL1211" s="197"/>
    </row>
    <row r="1212" spans="1:38">
      <c r="A1212" s="11" t="str">
        <f t="shared" si="79"/>
        <v>15-307448382012</v>
      </c>
      <c r="B1212" t="s">
        <v>669</v>
      </c>
      <c r="C1212" t="s">
        <v>670</v>
      </c>
      <c r="D1212">
        <v>2012</v>
      </c>
      <c r="E1212" t="s">
        <v>105</v>
      </c>
      <c r="F1212">
        <v>4377.25</v>
      </c>
      <c r="G1212">
        <v>16</v>
      </c>
      <c r="H1212" s="11" t="str">
        <f t="shared" si="78"/>
        <v>count</v>
      </c>
      <c r="I1212" s="197"/>
      <c r="J1212" s="197"/>
      <c r="K1212" s="197"/>
      <c r="L1212" s="197"/>
      <c r="M1212" s="197"/>
      <c r="N1212" s="197"/>
      <c r="O1212" s="197"/>
      <c r="P1212" s="197"/>
      <c r="Q1212" s="197"/>
      <c r="R1212" s="197"/>
      <c r="S1212" s="197"/>
      <c r="T1212" s="197"/>
      <c r="U1212" s="197"/>
      <c r="V1212" s="197"/>
      <c r="W1212" s="197"/>
      <c r="X1212" s="197"/>
      <c r="Y1212" s="197"/>
      <c r="Z1212" s="197"/>
      <c r="AA1212" s="197"/>
      <c r="AB1212" s="197"/>
      <c r="AC1212" s="197"/>
      <c r="AD1212" s="197"/>
      <c r="AE1212" s="197"/>
      <c r="AF1212" s="197"/>
      <c r="AG1212" s="197"/>
      <c r="AH1212" s="197"/>
      <c r="AI1212" s="197"/>
      <c r="AJ1212" s="197"/>
      <c r="AK1212" s="197"/>
      <c r="AL1212" s="197"/>
    </row>
    <row r="1213" spans="1:38">
      <c r="A1213" s="11" t="str">
        <f t="shared" si="79"/>
        <v>15-307448382011</v>
      </c>
      <c r="B1213" t="s">
        <v>669</v>
      </c>
      <c r="C1213" t="s">
        <v>670</v>
      </c>
      <c r="D1213">
        <v>2011</v>
      </c>
      <c r="E1213" t="s">
        <v>63</v>
      </c>
      <c r="F1213">
        <v>886252.69</v>
      </c>
      <c r="G1213">
        <v>2451</v>
      </c>
      <c r="H1213" s="11" t="str">
        <f t="shared" si="78"/>
        <v>count</v>
      </c>
      <c r="I1213" s="197"/>
      <c r="J1213" s="197"/>
      <c r="K1213" s="197"/>
      <c r="L1213" s="197"/>
      <c r="M1213" s="197"/>
      <c r="N1213" s="197"/>
      <c r="O1213" s="197"/>
      <c r="P1213" s="197"/>
      <c r="Q1213" s="197"/>
      <c r="R1213" s="197"/>
      <c r="S1213" s="197"/>
      <c r="T1213" s="197"/>
      <c r="U1213" s="197"/>
      <c r="V1213" s="197"/>
      <c r="W1213" s="197"/>
      <c r="X1213" s="197"/>
      <c r="Y1213" s="197"/>
      <c r="Z1213" s="197"/>
      <c r="AA1213" s="197"/>
      <c r="AB1213" s="197"/>
      <c r="AC1213" s="197"/>
      <c r="AD1213" s="197"/>
      <c r="AE1213" s="197"/>
      <c r="AF1213" s="197"/>
      <c r="AG1213" s="197"/>
      <c r="AH1213" s="197"/>
      <c r="AI1213" s="197"/>
      <c r="AJ1213" s="197"/>
      <c r="AK1213" s="197"/>
      <c r="AL1213" s="197"/>
    </row>
    <row r="1214" spans="1:38">
      <c r="A1214" s="11" t="str">
        <f t="shared" si="79"/>
        <v>15-307448382011</v>
      </c>
      <c r="B1214" t="s">
        <v>669</v>
      </c>
      <c r="C1214" t="s">
        <v>670</v>
      </c>
      <c r="D1214">
        <v>2011</v>
      </c>
      <c r="E1214" t="s">
        <v>104</v>
      </c>
      <c r="F1214">
        <v>407715.15</v>
      </c>
      <c r="G1214">
        <v>1167</v>
      </c>
      <c r="H1214" s="11" t="str">
        <f t="shared" si="78"/>
        <v>count</v>
      </c>
      <c r="I1214" s="197"/>
      <c r="J1214" s="197"/>
      <c r="K1214" s="197"/>
      <c r="L1214" s="197"/>
      <c r="M1214" s="197"/>
      <c r="N1214" s="197"/>
      <c r="O1214" s="197"/>
      <c r="P1214" s="197"/>
      <c r="Q1214" s="197"/>
      <c r="R1214" s="197"/>
      <c r="S1214" s="197"/>
      <c r="T1214" s="197"/>
      <c r="U1214" s="197"/>
      <c r="V1214" s="197"/>
      <c r="W1214" s="197"/>
      <c r="X1214" s="197"/>
      <c r="Y1214" s="197"/>
      <c r="Z1214" s="197"/>
      <c r="AA1214" s="197"/>
      <c r="AB1214" s="197"/>
      <c r="AC1214" s="197"/>
      <c r="AD1214" s="197"/>
      <c r="AE1214" s="197"/>
      <c r="AF1214" s="197"/>
      <c r="AG1214" s="197"/>
      <c r="AH1214" s="197"/>
      <c r="AI1214" s="197"/>
      <c r="AJ1214" s="197"/>
      <c r="AK1214" s="197"/>
      <c r="AL1214" s="197"/>
    </row>
    <row r="1215" spans="1:38">
      <c r="A1215" s="11" t="str">
        <f t="shared" si="79"/>
        <v>15-307448382011</v>
      </c>
      <c r="B1215" t="s">
        <v>669</v>
      </c>
      <c r="C1215" t="s">
        <v>670</v>
      </c>
      <c r="D1215">
        <v>2011</v>
      </c>
      <c r="E1215" t="s">
        <v>133</v>
      </c>
      <c r="F1215">
        <v>27278.49</v>
      </c>
      <c r="G1215">
        <v>90</v>
      </c>
      <c r="H1215" s="11" t="str">
        <f t="shared" si="78"/>
        <v>count</v>
      </c>
      <c r="I1215" s="197"/>
      <c r="J1215" s="197"/>
      <c r="K1215" s="197"/>
      <c r="L1215" s="197"/>
      <c r="M1215" s="197"/>
      <c r="N1215" s="197"/>
      <c r="O1215" s="197"/>
      <c r="P1215" s="197"/>
      <c r="Q1215" s="197"/>
      <c r="R1215" s="197"/>
      <c r="S1215" s="197"/>
      <c r="T1215" s="197"/>
      <c r="U1215" s="197"/>
      <c r="V1215" s="197"/>
      <c r="W1215" s="197"/>
      <c r="X1215" s="197"/>
      <c r="Y1215" s="197"/>
      <c r="Z1215" s="197"/>
      <c r="AA1215" s="197"/>
      <c r="AB1215" s="197"/>
      <c r="AC1215" s="197"/>
      <c r="AD1215" s="197"/>
      <c r="AE1215" s="197"/>
      <c r="AF1215" s="197"/>
      <c r="AG1215" s="197"/>
      <c r="AH1215" s="197"/>
      <c r="AI1215" s="197"/>
      <c r="AJ1215" s="197"/>
      <c r="AK1215" s="197"/>
      <c r="AL1215" s="197"/>
    </row>
    <row r="1216" spans="1:38">
      <c r="A1216" s="11" t="str">
        <f t="shared" si="79"/>
        <v>15-307626272013</v>
      </c>
      <c r="B1216" t="s">
        <v>672</v>
      </c>
      <c r="C1216" t="s">
        <v>673</v>
      </c>
      <c r="D1216">
        <v>2013</v>
      </c>
      <c r="E1216" t="s">
        <v>63</v>
      </c>
      <c r="F1216">
        <v>573011.81999999995</v>
      </c>
      <c r="G1216">
        <v>703</v>
      </c>
      <c r="H1216" s="11" t="str">
        <f t="shared" si="78"/>
        <v>volume</v>
      </c>
      <c r="I1216" s="197"/>
      <c r="J1216" s="197"/>
      <c r="K1216" s="197"/>
      <c r="L1216" s="197"/>
      <c r="M1216" s="197"/>
      <c r="N1216" s="197"/>
      <c r="O1216" s="197"/>
      <c r="P1216" s="197"/>
      <c r="Q1216" s="197"/>
      <c r="R1216" s="197"/>
      <c r="S1216" s="197"/>
      <c r="T1216" s="197"/>
      <c r="U1216" s="197"/>
      <c r="V1216" s="197"/>
      <c r="W1216" s="197"/>
      <c r="X1216" s="197"/>
      <c r="Y1216" s="197"/>
      <c r="Z1216" s="197"/>
      <c r="AA1216" s="197"/>
      <c r="AB1216" s="197"/>
      <c r="AC1216" s="197"/>
      <c r="AD1216" s="197"/>
      <c r="AE1216" s="197"/>
      <c r="AF1216" s="197"/>
      <c r="AG1216" s="197"/>
      <c r="AH1216" s="197"/>
      <c r="AI1216" s="197"/>
      <c r="AJ1216" s="197"/>
      <c r="AK1216" s="197"/>
      <c r="AL1216" s="197"/>
    </row>
    <row r="1217" spans="1:38">
      <c r="A1217" s="11" t="str">
        <f t="shared" si="79"/>
        <v>15-307626272013</v>
      </c>
      <c r="B1217" t="s">
        <v>672</v>
      </c>
      <c r="C1217" t="s">
        <v>673</v>
      </c>
      <c r="D1217">
        <v>2013</v>
      </c>
      <c r="E1217" t="s">
        <v>104</v>
      </c>
      <c r="F1217">
        <v>275526.49</v>
      </c>
      <c r="G1217">
        <v>354</v>
      </c>
      <c r="H1217" s="11" t="str">
        <f t="shared" si="78"/>
        <v>count</v>
      </c>
      <c r="I1217" s="197"/>
      <c r="J1217" s="197"/>
      <c r="K1217" s="197"/>
      <c r="L1217" s="197"/>
      <c r="M1217" s="197"/>
      <c r="N1217" s="197"/>
      <c r="O1217" s="197"/>
      <c r="P1217" s="197"/>
      <c r="Q1217" s="197"/>
      <c r="R1217" s="197"/>
      <c r="S1217" s="197"/>
      <c r="T1217" s="197"/>
      <c r="U1217" s="197"/>
      <c r="V1217" s="197"/>
      <c r="W1217" s="197"/>
      <c r="X1217" s="197"/>
      <c r="Y1217" s="197"/>
      <c r="Z1217" s="197"/>
      <c r="AA1217" s="197"/>
      <c r="AB1217" s="197"/>
      <c r="AC1217" s="197"/>
      <c r="AD1217" s="197"/>
      <c r="AE1217" s="197"/>
      <c r="AF1217" s="197"/>
      <c r="AG1217" s="197"/>
      <c r="AH1217" s="197"/>
      <c r="AI1217" s="197"/>
      <c r="AJ1217" s="197"/>
      <c r="AK1217" s="197"/>
      <c r="AL1217" s="197"/>
    </row>
    <row r="1218" spans="1:38">
      <c r="A1218" s="11" t="str">
        <f t="shared" si="79"/>
        <v>15-307626272011</v>
      </c>
      <c r="B1218" t="s">
        <v>672</v>
      </c>
      <c r="C1218" t="s">
        <v>673</v>
      </c>
      <c r="D1218">
        <v>2011</v>
      </c>
      <c r="E1218" t="s">
        <v>105</v>
      </c>
      <c r="F1218">
        <v>132406</v>
      </c>
      <c r="G1218">
        <v>158</v>
      </c>
      <c r="H1218" s="11" t="str">
        <f t="shared" ref="H1218:H1281" si="80">IF(B1218=B1217,"count","volume")</f>
        <v>count</v>
      </c>
      <c r="I1218" s="197"/>
      <c r="J1218" s="197"/>
      <c r="K1218" s="197"/>
      <c r="L1218" s="197"/>
      <c r="M1218" s="197"/>
      <c r="N1218" s="197"/>
      <c r="O1218" s="197"/>
      <c r="P1218" s="197"/>
      <c r="Q1218" s="197"/>
      <c r="R1218" s="197"/>
      <c r="S1218" s="197"/>
      <c r="T1218" s="197"/>
      <c r="U1218" s="197"/>
      <c r="V1218" s="197"/>
      <c r="W1218" s="197"/>
      <c r="X1218" s="197"/>
      <c r="Y1218" s="197"/>
      <c r="Z1218" s="197"/>
      <c r="AA1218" s="197"/>
      <c r="AB1218" s="197"/>
      <c r="AC1218" s="197"/>
      <c r="AD1218" s="197"/>
      <c r="AE1218" s="197"/>
      <c r="AF1218" s="197"/>
      <c r="AG1218" s="197"/>
      <c r="AH1218" s="197"/>
      <c r="AI1218" s="197"/>
      <c r="AJ1218" s="197"/>
      <c r="AK1218" s="197"/>
      <c r="AL1218" s="197"/>
    </row>
    <row r="1219" spans="1:38">
      <c r="A1219" s="11" t="str">
        <f t="shared" ref="A1219:A1282" si="81">B1219&amp;D1219</f>
        <v>15-307626272012</v>
      </c>
      <c r="B1219" t="s">
        <v>672</v>
      </c>
      <c r="C1219" t="s">
        <v>673</v>
      </c>
      <c r="D1219">
        <v>2012</v>
      </c>
      <c r="E1219" t="s">
        <v>104</v>
      </c>
      <c r="F1219">
        <v>398539.52000000002</v>
      </c>
      <c r="G1219">
        <v>462</v>
      </c>
      <c r="H1219" s="11" t="str">
        <f t="shared" si="80"/>
        <v>count</v>
      </c>
      <c r="I1219" s="197"/>
      <c r="J1219" s="197"/>
      <c r="K1219" s="197"/>
      <c r="L1219" s="197"/>
      <c r="M1219" s="197"/>
      <c r="N1219" s="197"/>
      <c r="O1219" s="197"/>
      <c r="P1219" s="197"/>
      <c r="Q1219" s="197"/>
      <c r="R1219" s="197"/>
      <c r="S1219" s="197"/>
      <c r="T1219" s="197"/>
      <c r="U1219" s="197"/>
      <c r="V1219" s="197"/>
      <c r="W1219" s="197"/>
      <c r="X1219" s="197"/>
      <c r="Y1219" s="197"/>
      <c r="Z1219" s="197"/>
      <c r="AA1219" s="197"/>
      <c r="AB1219" s="197"/>
      <c r="AC1219" s="197"/>
      <c r="AD1219" s="197"/>
      <c r="AE1219" s="197"/>
      <c r="AF1219" s="197"/>
      <c r="AG1219" s="197"/>
      <c r="AH1219" s="197"/>
      <c r="AI1219" s="197"/>
      <c r="AJ1219" s="197"/>
      <c r="AK1219" s="197"/>
      <c r="AL1219" s="197"/>
    </row>
    <row r="1220" spans="1:38">
      <c r="A1220" s="11" t="str">
        <f t="shared" si="81"/>
        <v>15-307626272011</v>
      </c>
      <c r="B1220" t="s">
        <v>672</v>
      </c>
      <c r="C1220" t="s">
        <v>673</v>
      </c>
      <c r="D1220">
        <v>2011</v>
      </c>
      <c r="E1220" t="s">
        <v>69</v>
      </c>
      <c r="F1220">
        <v>4048.09</v>
      </c>
      <c r="G1220">
        <v>4</v>
      </c>
      <c r="H1220" s="11" t="str">
        <f t="shared" si="80"/>
        <v>count</v>
      </c>
      <c r="I1220" s="197"/>
      <c r="J1220" s="197"/>
      <c r="K1220" s="197"/>
      <c r="L1220" s="197"/>
      <c r="M1220" s="197"/>
      <c r="N1220" s="197"/>
      <c r="O1220" s="197"/>
      <c r="P1220" s="197"/>
      <c r="Q1220" s="197"/>
      <c r="R1220" s="197"/>
      <c r="S1220" s="197"/>
      <c r="T1220" s="197"/>
      <c r="U1220" s="197"/>
      <c r="V1220" s="197"/>
      <c r="W1220" s="197"/>
      <c r="X1220" s="197"/>
      <c r="Y1220" s="197"/>
      <c r="Z1220" s="197"/>
      <c r="AA1220" s="197"/>
      <c r="AB1220" s="197"/>
      <c r="AC1220" s="197"/>
      <c r="AD1220" s="197"/>
      <c r="AE1220" s="197"/>
      <c r="AF1220" s="197"/>
      <c r="AG1220" s="197"/>
      <c r="AH1220" s="197"/>
      <c r="AI1220" s="197"/>
      <c r="AJ1220" s="197"/>
      <c r="AK1220" s="197"/>
      <c r="AL1220" s="197"/>
    </row>
    <row r="1221" spans="1:38">
      <c r="A1221" s="11" t="str">
        <f t="shared" si="81"/>
        <v>15-307626272012</v>
      </c>
      <c r="B1221" t="s">
        <v>672</v>
      </c>
      <c r="C1221" t="s">
        <v>673</v>
      </c>
      <c r="D1221">
        <v>2012</v>
      </c>
      <c r="E1221" t="s">
        <v>63</v>
      </c>
      <c r="F1221">
        <v>555535.93000000005</v>
      </c>
      <c r="G1221">
        <v>666</v>
      </c>
      <c r="H1221" s="11" t="str">
        <f t="shared" si="80"/>
        <v>count</v>
      </c>
      <c r="I1221" s="197"/>
      <c r="J1221" s="197"/>
      <c r="K1221" s="197"/>
      <c r="L1221" s="197"/>
      <c r="M1221" s="197"/>
      <c r="N1221" s="197"/>
      <c r="O1221" s="197"/>
      <c r="P1221" s="197"/>
      <c r="Q1221" s="197"/>
      <c r="R1221" s="197"/>
      <c r="S1221" s="197"/>
      <c r="T1221" s="197"/>
      <c r="U1221" s="197"/>
      <c r="V1221" s="197"/>
      <c r="W1221" s="197"/>
      <c r="X1221" s="197"/>
      <c r="Y1221" s="197"/>
      <c r="Z1221" s="197"/>
      <c r="AA1221" s="197"/>
      <c r="AB1221" s="197"/>
      <c r="AC1221" s="197"/>
      <c r="AD1221" s="197"/>
      <c r="AE1221" s="197"/>
      <c r="AF1221" s="197"/>
      <c r="AG1221" s="197"/>
      <c r="AH1221" s="197"/>
      <c r="AI1221" s="197"/>
      <c r="AJ1221" s="197"/>
      <c r="AK1221" s="197"/>
      <c r="AL1221" s="197"/>
    </row>
    <row r="1222" spans="1:38">
      <c r="A1222" s="11" t="str">
        <f t="shared" si="81"/>
        <v>15-307626272013</v>
      </c>
      <c r="B1222" t="s">
        <v>672</v>
      </c>
      <c r="C1222" t="s">
        <v>673</v>
      </c>
      <c r="D1222">
        <v>2013</v>
      </c>
      <c r="E1222" t="s">
        <v>105</v>
      </c>
      <c r="F1222">
        <v>87672.86</v>
      </c>
      <c r="G1222">
        <v>115</v>
      </c>
      <c r="H1222" s="11" t="str">
        <f t="shared" si="80"/>
        <v>count</v>
      </c>
      <c r="I1222" s="197"/>
      <c r="J1222" s="197"/>
      <c r="K1222" s="197"/>
      <c r="L1222" s="197"/>
      <c r="M1222" s="197"/>
      <c r="N1222" s="197"/>
      <c r="O1222" s="197"/>
      <c r="P1222" s="197"/>
      <c r="Q1222" s="197"/>
      <c r="R1222" s="197"/>
      <c r="S1222" s="197"/>
      <c r="T1222" s="197"/>
      <c r="U1222" s="197"/>
      <c r="V1222" s="197"/>
      <c r="W1222" s="197"/>
      <c r="X1222" s="197"/>
      <c r="Y1222" s="197"/>
      <c r="Z1222" s="197"/>
      <c r="AA1222" s="197"/>
      <c r="AB1222" s="197"/>
      <c r="AC1222" s="197"/>
      <c r="AD1222" s="197"/>
      <c r="AE1222" s="197"/>
      <c r="AF1222" s="197"/>
      <c r="AG1222" s="197"/>
      <c r="AH1222" s="197"/>
      <c r="AI1222" s="197"/>
      <c r="AJ1222" s="197"/>
      <c r="AK1222" s="197"/>
      <c r="AL1222" s="197"/>
    </row>
    <row r="1223" spans="1:38">
      <c r="A1223" s="11" t="str">
        <f t="shared" si="81"/>
        <v>15-307626272011</v>
      </c>
      <c r="B1223" t="s">
        <v>672</v>
      </c>
      <c r="C1223" t="s">
        <v>673</v>
      </c>
      <c r="D1223">
        <v>2011</v>
      </c>
      <c r="E1223" t="s">
        <v>104</v>
      </c>
      <c r="F1223">
        <v>418403.8</v>
      </c>
      <c r="G1223">
        <v>547</v>
      </c>
      <c r="H1223" s="11" t="str">
        <f t="shared" si="80"/>
        <v>count</v>
      </c>
      <c r="I1223" s="197"/>
      <c r="J1223" s="197"/>
      <c r="K1223" s="197"/>
      <c r="L1223" s="197"/>
      <c r="M1223" s="197"/>
      <c r="N1223" s="197"/>
      <c r="O1223" s="197"/>
      <c r="P1223" s="197"/>
      <c r="Q1223" s="197"/>
      <c r="R1223" s="197"/>
      <c r="S1223" s="197"/>
      <c r="T1223" s="197"/>
      <c r="U1223" s="197"/>
      <c r="V1223" s="197"/>
      <c r="W1223" s="197"/>
      <c r="X1223" s="197"/>
      <c r="Y1223" s="197"/>
      <c r="Z1223" s="197"/>
      <c r="AA1223" s="197"/>
      <c r="AB1223" s="197"/>
      <c r="AC1223" s="197"/>
      <c r="AD1223" s="197"/>
      <c r="AE1223" s="197"/>
      <c r="AF1223" s="197"/>
      <c r="AG1223" s="197"/>
      <c r="AH1223" s="197"/>
      <c r="AI1223" s="197"/>
      <c r="AJ1223" s="197"/>
      <c r="AK1223" s="197"/>
      <c r="AL1223" s="197"/>
    </row>
    <row r="1224" spans="1:38">
      <c r="A1224" s="11" t="str">
        <f t="shared" si="81"/>
        <v>15-307626272012</v>
      </c>
      <c r="B1224" t="s">
        <v>672</v>
      </c>
      <c r="C1224" t="s">
        <v>673</v>
      </c>
      <c r="D1224">
        <v>2012</v>
      </c>
      <c r="E1224" t="s">
        <v>69</v>
      </c>
      <c r="F1224">
        <v>282117.44</v>
      </c>
      <c r="G1224">
        <v>360</v>
      </c>
      <c r="H1224" s="11" t="str">
        <f t="shared" si="80"/>
        <v>count</v>
      </c>
      <c r="I1224" s="197"/>
      <c r="J1224" s="197"/>
      <c r="K1224" s="197"/>
      <c r="L1224" s="197"/>
      <c r="M1224" s="197"/>
      <c r="N1224" s="197"/>
      <c r="O1224" s="197"/>
      <c r="P1224" s="197"/>
      <c r="Q1224" s="197"/>
      <c r="R1224" s="197"/>
      <c r="S1224" s="197"/>
      <c r="T1224" s="197"/>
      <c r="U1224" s="197"/>
      <c r="V1224" s="197"/>
      <c r="W1224" s="197"/>
      <c r="X1224" s="197"/>
      <c r="Y1224" s="197"/>
      <c r="Z1224" s="197"/>
      <c r="AA1224" s="197"/>
      <c r="AB1224" s="197"/>
      <c r="AC1224" s="197"/>
      <c r="AD1224" s="197"/>
      <c r="AE1224" s="197"/>
      <c r="AF1224" s="197"/>
      <c r="AG1224" s="197"/>
      <c r="AH1224" s="197"/>
      <c r="AI1224" s="197"/>
      <c r="AJ1224" s="197"/>
      <c r="AK1224" s="197"/>
      <c r="AL1224" s="197"/>
    </row>
    <row r="1225" spans="1:38">
      <c r="A1225" s="11" t="str">
        <f t="shared" si="81"/>
        <v>15-307626272013</v>
      </c>
      <c r="B1225" t="s">
        <v>672</v>
      </c>
      <c r="C1225" t="s">
        <v>673</v>
      </c>
      <c r="D1225">
        <v>2013</v>
      </c>
      <c r="E1225" t="s">
        <v>69</v>
      </c>
      <c r="F1225">
        <v>304922.21999999997</v>
      </c>
      <c r="G1225">
        <v>494</v>
      </c>
      <c r="H1225" s="11" t="str">
        <f t="shared" si="80"/>
        <v>count</v>
      </c>
      <c r="I1225" s="197"/>
      <c r="J1225" s="197"/>
      <c r="K1225" s="197"/>
      <c r="L1225" s="197"/>
      <c r="M1225" s="197"/>
      <c r="N1225" s="197"/>
      <c r="O1225" s="197"/>
      <c r="P1225" s="197"/>
      <c r="Q1225" s="197"/>
      <c r="R1225" s="197"/>
      <c r="S1225" s="197"/>
      <c r="T1225" s="197"/>
      <c r="U1225" s="197"/>
      <c r="V1225" s="197"/>
      <c r="W1225" s="197"/>
      <c r="X1225" s="197"/>
      <c r="Y1225" s="197"/>
      <c r="Z1225" s="197"/>
      <c r="AA1225" s="197"/>
      <c r="AB1225" s="197"/>
      <c r="AC1225" s="197"/>
      <c r="AD1225" s="197"/>
      <c r="AE1225" s="197"/>
      <c r="AF1225" s="197"/>
      <c r="AG1225" s="197"/>
      <c r="AH1225" s="197"/>
      <c r="AI1225" s="197"/>
      <c r="AJ1225" s="197"/>
      <c r="AK1225" s="197"/>
      <c r="AL1225" s="197"/>
    </row>
    <row r="1226" spans="1:38">
      <c r="A1226" s="11" t="str">
        <f t="shared" si="81"/>
        <v>15-307626272012</v>
      </c>
      <c r="B1226" t="s">
        <v>672</v>
      </c>
      <c r="C1226" t="s">
        <v>673</v>
      </c>
      <c r="D1226">
        <v>2012</v>
      </c>
      <c r="E1226" t="s">
        <v>105</v>
      </c>
      <c r="F1226">
        <v>129650.72</v>
      </c>
      <c r="G1226">
        <v>146</v>
      </c>
      <c r="H1226" s="11" t="str">
        <f t="shared" si="80"/>
        <v>count</v>
      </c>
      <c r="I1226" s="197"/>
      <c r="J1226" s="197"/>
      <c r="K1226" s="197"/>
      <c r="L1226" s="197"/>
      <c r="M1226" s="197"/>
      <c r="N1226" s="197"/>
      <c r="O1226" s="197"/>
      <c r="P1226" s="197"/>
      <c r="Q1226" s="197"/>
      <c r="R1226" s="197"/>
      <c r="S1226" s="197"/>
      <c r="T1226" s="197"/>
      <c r="U1226" s="197"/>
      <c r="V1226" s="197"/>
      <c r="W1226" s="197"/>
      <c r="X1226" s="197"/>
      <c r="Y1226" s="197"/>
      <c r="Z1226" s="197"/>
      <c r="AA1226" s="197"/>
      <c r="AB1226" s="197"/>
      <c r="AC1226" s="197"/>
      <c r="AD1226" s="197"/>
      <c r="AE1226" s="197"/>
      <c r="AF1226" s="197"/>
      <c r="AG1226" s="197"/>
      <c r="AH1226" s="197"/>
      <c r="AI1226" s="197"/>
      <c r="AJ1226" s="197"/>
      <c r="AK1226" s="197"/>
      <c r="AL1226" s="197"/>
    </row>
    <row r="1227" spans="1:38">
      <c r="A1227" s="11" t="str">
        <f t="shared" si="81"/>
        <v>15-307626272011</v>
      </c>
      <c r="B1227" t="s">
        <v>672</v>
      </c>
      <c r="C1227" t="s">
        <v>673</v>
      </c>
      <c r="D1227">
        <v>2011</v>
      </c>
      <c r="E1227" t="s">
        <v>63</v>
      </c>
      <c r="F1227">
        <v>807204.55</v>
      </c>
      <c r="G1227">
        <v>1089</v>
      </c>
      <c r="H1227" s="11" t="str">
        <f t="shared" si="80"/>
        <v>count</v>
      </c>
      <c r="I1227" s="197"/>
      <c r="J1227" s="197"/>
      <c r="K1227" s="197"/>
      <c r="L1227" s="197"/>
      <c r="M1227" s="197"/>
      <c r="N1227" s="197"/>
      <c r="O1227" s="197"/>
      <c r="P1227" s="197"/>
      <c r="Q1227" s="197"/>
      <c r="R1227" s="197"/>
      <c r="S1227" s="197"/>
      <c r="T1227" s="197"/>
      <c r="U1227" s="197"/>
      <c r="V1227" s="197"/>
      <c r="W1227" s="197"/>
      <c r="X1227" s="197"/>
      <c r="Y1227" s="197"/>
      <c r="Z1227" s="197"/>
      <c r="AA1227" s="197"/>
      <c r="AB1227" s="197"/>
      <c r="AC1227" s="197"/>
      <c r="AD1227" s="197"/>
      <c r="AE1227" s="197"/>
      <c r="AF1227" s="197"/>
      <c r="AG1227" s="197"/>
      <c r="AH1227" s="197"/>
      <c r="AI1227" s="197"/>
      <c r="AJ1227" s="197"/>
      <c r="AK1227" s="197"/>
      <c r="AL1227" s="197"/>
    </row>
    <row r="1228" spans="1:38">
      <c r="A1228" s="11" t="str">
        <f t="shared" si="81"/>
        <v>15-308440172012</v>
      </c>
      <c r="B1228" t="s">
        <v>676</v>
      </c>
      <c r="C1228" t="s">
        <v>677</v>
      </c>
      <c r="D1228">
        <v>2012</v>
      </c>
      <c r="E1228" t="s">
        <v>63</v>
      </c>
      <c r="F1228">
        <v>553177.78</v>
      </c>
      <c r="G1228">
        <v>474</v>
      </c>
      <c r="H1228" s="11" t="str">
        <f t="shared" si="80"/>
        <v>volume</v>
      </c>
      <c r="I1228" s="197"/>
      <c r="J1228" s="197"/>
      <c r="K1228" s="197"/>
      <c r="L1228" s="197"/>
      <c r="M1228" s="197"/>
      <c r="N1228" s="197"/>
      <c r="O1228" s="197"/>
      <c r="P1228" s="197"/>
      <c r="Q1228" s="197"/>
      <c r="R1228" s="197"/>
      <c r="S1228" s="197"/>
      <c r="T1228" s="197"/>
      <c r="U1228" s="197"/>
      <c r="V1228" s="197"/>
      <c r="W1228" s="197"/>
      <c r="X1228" s="197"/>
      <c r="Y1228" s="197"/>
      <c r="Z1228" s="197"/>
      <c r="AA1228" s="197"/>
      <c r="AB1228" s="197"/>
      <c r="AC1228" s="197"/>
      <c r="AD1228" s="197"/>
      <c r="AE1228" s="197"/>
      <c r="AF1228" s="197"/>
      <c r="AG1228" s="197"/>
      <c r="AH1228" s="197"/>
      <c r="AI1228" s="197"/>
      <c r="AJ1228" s="197"/>
      <c r="AK1228" s="197"/>
      <c r="AL1228" s="197"/>
    </row>
    <row r="1229" spans="1:38">
      <c r="A1229" s="11" t="str">
        <f t="shared" si="81"/>
        <v>15-308440172012</v>
      </c>
      <c r="B1229" t="s">
        <v>676</v>
      </c>
      <c r="C1229" t="s">
        <v>677</v>
      </c>
      <c r="D1229">
        <v>2012</v>
      </c>
      <c r="E1229" t="s">
        <v>104</v>
      </c>
      <c r="F1229">
        <v>166797.06</v>
      </c>
      <c r="G1229">
        <v>150</v>
      </c>
      <c r="H1229" s="11" t="str">
        <f t="shared" si="80"/>
        <v>count</v>
      </c>
      <c r="I1229" s="197"/>
      <c r="J1229" s="197"/>
      <c r="K1229" s="197"/>
      <c r="L1229" s="197"/>
      <c r="M1229" s="197"/>
      <c r="N1229" s="197"/>
      <c r="O1229" s="197"/>
      <c r="P1229" s="197"/>
      <c r="Q1229" s="197"/>
      <c r="R1229" s="197"/>
      <c r="S1229" s="197"/>
      <c r="T1229" s="197"/>
      <c r="U1229" s="197"/>
      <c r="V1229" s="197"/>
      <c r="W1229" s="197"/>
      <c r="X1229" s="197"/>
      <c r="Y1229" s="197"/>
      <c r="Z1229" s="197"/>
      <c r="AA1229" s="197"/>
      <c r="AB1229" s="197"/>
      <c r="AC1229" s="197"/>
      <c r="AD1229" s="197"/>
      <c r="AE1229" s="197"/>
      <c r="AF1229" s="197"/>
      <c r="AG1229" s="197"/>
      <c r="AH1229" s="197"/>
      <c r="AI1229" s="197"/>
      <c r="AJ1229" s="197"/>
      <c r="AK1229" s="197"/>
      <c r="AL1229" s="197"/>
    </row>
    <row r="1230" spans="1:38">
      <c r="A1230" s="11" t="str">
        <f t="shared" si="81"/>
        <v>15-308440172013</v>
      </c>
      <c r="B1230" t="s">
        <v>676</v>
      </c>
      <c r="C1230" t="s">
        <v>677</v>
      </c>
      <c r="D1230">
        <v>2013</v>
      </c>
      <c r="E1230" t="s">
        <v>63</v>
      </c>
      <c r="F1230">
        <v>28084.959999999999</v>
      </c>
      <c r="G1230">
        <v>17</v>
      </c>
      <c r="H1230" s="11" t="str">
        <f t="shared" si="80"/>
        <v>count</v>
      </c>
      <c r="I1230" s="197"/>
      <c r="J1230" s="197"/>
      <c r="K1230" s="197"/>
      <c r="L1230" s="197"/>
      <c r="M1230" s="197"/>
      <c r="N1230" s="197"/>
      <c r="O1230" s="197"/>
      <c r="P1230" s="197"/>
      <c r="Q1230" s="197"/>
      <c r="R1230" s="197"/>
      <c r="S1230" s="197"/>
      <c r="T1230" s="197"/>
      <c r="U1230" s="197"/>
      <c r="V1230" s="197"/>
      <c r="W1230" s="197"/>
      <c r="X1230" s="197"/>
      <c r="Y1230" s="197"/>
      <c r="Z1230" s="197"/>
      <c r="AA1230" s="197"/>
      <c r="AB1230" s="197"/>
      <c r="AC1230" s="197"/>
      <c r="AD1230" s="197"/>
      <c r="AE1230" s="197"/>
      <c r="AF1230" s="197"/>
      <c r="AG1230" s="197"/>
      <c r="AH1230" s="197"/>
      <c r="AI1230" s="197"/>
      <c r="AJ1230" s="197"/>
      <c r="AK1230" s="197"/>
      <c r="AL1230" s="197"/>
    </row>
    <row r="1231" spans="1:38">
      <c r="A1231" s="11" t="str">
        <f t="shared" si="81"/>
        <v>15-308440172013</v>
      </c>
      <c r="B1231" t="s">
        <v>676</v>
      </c>
      <c r="C1231" t="s">
        <v>677</v>
      </c>
      <c r="D1231">
        <v>2013</v>
      </c>
      <c r="E1231" t="s">
        <v>104</v>
      </c>
      <c r="F1231">
        <v>577.46</v>
      </c>
      <c r="G1231">
        <v>1</v>
      </c>
      <c r="H1231" s="11" t="str">
        <f t="shared" si="80"/>
        <v>count</v>
      </c>
      <c r="I1231" s="197"/>
      <c r="J1231" s="197"/>
      <c r="K1231" s="197"/>
      <c r="L1231" s="197"/>
      <c r="M1231" s="197"/>
      <c r="N1231" s="197"/>
      <c r="O1231" s="197"/>
      <c r="P1231" s="197"/>
      <c r="Q1231" s="197"/>
      <c r="R1231" s="197"/>
      <c r="S1231" s="197"/>
      <c r="T1231" s="197"/>
      <c r="U1231" s="197"/>
      <c r="V1231" s="197"/>
      <c r="W1231" s="197"/>
      <c r="X1231" s="197"/>
      <c r="Y1231" s="197"/>
      <c r="Z1231" s="197"/>
      <c r="AA1231" s="197"/>
      <c r="AB1231" s="197"/>
      <c r="AC1231" s="197"/>
      <c r="AD1231" s="197"/>
      <c r="AE1231" s="197"/>
      <c r="AF1231" s="197"/>
      <c r="AG1231" s="197"/>
      <c r="AH1231" s="197"/>
      <c r="AI1231" s="197"/>
      <c r="AJ1231" s="197"/>
      <c r="AK1231" s="197"/>
      <c r="AL1231" s="197"/>
    </row>
    <row r="1232" spans="1:38">
      <c r="A1232" s="11" t="str">
        <f t="shared" si="81"/>
        <v>15-308440172012</v>
      </c>
      <c r="B1232" t="s">
        <v>676</v>
      </c>
      <c r="C1232" t="s">
        <v>677</v>
      </c>
      <c r="D1232">
        <v>2012</v>
      </c>
      <c r="E1232" t="s">
        <v>69</v>
      </c>
      <c r="F1232">
        <v>36446.89</v>
      </c>
      <c r="G1232">
        <v>42</v>
      </c>
      <c r="H1232" s="11" t="str">
        <f t="shared" si="80"/>
        <v>count</v>
      </c>
      <c r="I1232" s="197"/>
      <c r="J1232" s="197"/>
      <c r="K1232" s="197"/>
      <c r="L1232" s="197"/>
      <c r="M1232" s="197"/>
      <c r="N1232" s="197"/>
      <c r="O1232" s="197"/>
      <c r="P1232" s="197"/>
      <c r="Q1232" s="197"/>
      <c r="R1232" s="197"/>
      <c r="S1232" s="197"/>
      <c r="T1232" s="197"/>
      <c r="U1232" s="197"/>
      <c r="V1232" s="197"/>
      <c r="W1232" s="197"/>
      <c r="X1232" s="197"/>
      <c r="Y1232" s="197"/>
      <c r="Z1232" s="197"/>
      <c r="AA1232" s="197"/>
      <c r="AB1232" s="197"/>
      <c r="AC1232" s="197"/>
      <c r="AD1232" s="197"/>
      <c r="AE1232" s="197"/>
      <c r="AF1232" s="197"/>
      <c r="AG1232" s="197"/>
      <c r="AH1232" s="197"/>
      <c r="AI1232" s="197"/>
      <c r="AJ1232" s="197"/>
      <c r="AK1232" s="197"/>
      <c r="AL1232" s="197"/>
    </row>
    <row r="1233" spans="1:38">
      <c r="A1233" s="11" t="str">
        <f t="shared" si="81"/>
        <v>15-308440172011</v>
      </c>
      <c r="B1233" t="s">
        <v>676</v>
      </c>
      <c r="C1233" t="s">
        <v>677</v>
      </c>
      <c r="D1233">
        <v>2011</v>
      </c>
      <c r="E1233" t="s">
        <v>106</v>
      </c>
      <c r="F1233">
        <v>4110.37</v>
      </c>
      <c r="G1233">
        <v>3</v>
      </c>
      <c r="H1233" s="11" t="str">
        <f t="shared" si="80"/>
        <v>count</v>
      </c>
      <c r="I1233" s="197"/>
      <c r="J1233" s="197"/>
      <c r="K1233" s="197"/>
      <c r="L1233" s="197"/>
      <c r="M1233" s="197"/>
      <c r="N1233" s="197"/>
      <c r="O1233" s="197"/>
      <c r="P1233" s="197"/>
      <c r="Q1233" s="197"/>
      <c r="R1233" s="197"/>
      <c r="S1233" s="197"/>
      <c r="T1233" s="197"/>
      <c r="U1233" s="197"/>
      <c r="V1233" s="197"/>
      <c r="W1233" s="197"/>
      <c r="X1233" s="197"/>
      <c r="Y1233" s="197"/>
      <c r="Z1233" s="197"/>
      <c r="AA1233" s="197"/>
      <c r="AB1233" s="197"/>
      <c r="AC1233" s="197"/>
      <c r="AD1233" s="197"/>
      <c r="AE1233" s="197"/>
      <c r="AF1233" s="197"/>
      <c r="AG1233" s="197"/>
      <c r="AH1233" s="197"/>
      <c r="AI1233" s="197"/>
      <c r="AJ1233" s="197"/>
      <c r="AK1233" s="197"/>
      <c r="AL1233" s="197"/>
    </row>
    <row r="1234" spans="1:38">
      <c r="A1234" s="11" t="str">
        <f t="shared" si="81"/>
        <v>15-308440172011</v>
      </c>
      <c r="B1234" t="s">
        <v>676</v>
      </c>
      <c r="C1234" t="s">
        <v>677</v>
      </c>
      <c r="D1234">
        <v>2011</v>
      </c>
      <c r="E1234" t="s">
        <v>104</v>
      </c>
      <c r="F1234">
        <v>163140.69</v>
      </c>
      <c r="G1234">
        <v>154</v>
      </c>
      <c r="H1234" s="11" t="str">
        <f t="shared" si="80"/>
        <v>count</v>
      </c>
      <c r="I1234" s="197"/>
      <c r="J1234" s="197"/>
      <c r="K1234" s="197"/>
      <c r="L1234" s="197"/>
      <c r="M1234" s="197"/>
      <c r="N1234" s="197"/>
      <c r="O1234" s="197"/>
      <c r="P1234" s="197"/>
      <c r="Q1234" s="197"/>
      <c r="R1234" s="197"/>
      <c r="S1234" s="197"/>
      <c r="T1234" s="197"/>
      <c r="U1234" s="197"/>
      <c r="V1234" s="197"/>
      <c r="W1234" s="197"/>
      <c r="X1234" s="197"/>
      <c r="Y1234" s="197"/>
      <c r="Z1234" s="197"/>
      <c r="AA1234" s="197"/>
      <c r="AB1234" s="197"/>
      <c r="AC1234" s="197"/>
      <c r="AD1234" s="197"/>
      <c r="AE1234" s="197"/>
      <c r="AF1234" s="197"/>
      <c r="AG1234" s="197"/>
      <c r="AH1234" s="197"/>
      <c r="AI1234" s="197"/>
      <c r="AJ1234" s="197"/>
      <c r="AK1234" s="197"/>
      <c r="AL1234" s="197"/>
    </row>
    <row r="1235" spans="1:38">
      <c r="A1235" s="11" t="str">
        <f t="shared" si="81"/>
        <v>15-308440172011</v>
      </c>
      <c r="B1235" t="s">
        <v>676</v>
      </c>
      <c r="C1235" t="s">
        <v>677</v>
      </c>
      <c r="D1235">
        <v>2011</v>
      </c>
      <c r="E1235" t="s">
        <v>63</v>
      </c>
      <c r="F1235">
        <v>512442.9</v>
      </c>
      <c r="G1235">
        <v>471</v>
      </c>
      <c r="H1235" s="11" t="str">
        <f t="shared" si="80"/>
        <v>count</v>
      </c>
      <c r="I1235" s="197"/>
      <c r="J1235" s="197"/>
      <c r="K1235" s="197"/>
      <c r="L1235" s="197"/>
      <c r="M1235" s="197"/>
      <c r="N1235" s="197"/>
      <c r="O1235" s="197"/>
      <c r="P1235" s="197"/>
      <c r="Q1235" s="197"/>
      <c r="R1235" s="197"/>
      <c r="S1235" s="197"/>
      <c r="T1235" s="197"/>
      <c r="U1235" s="197"/>
      <c r="V1235" s="197"/>
      <c r="W1235" s="197"/>
      <c r="X1235" s="197"/>
      <c r="Y1235" s="197"/>
      <c r="Z1235" s="197"/>
      <c r="AA1235" s="197"/>
      <c r="AB1235" s="197"/>
      <c r="AC1235" s="197"/>
      <c r="AD1235" s="197"/>
      <c r="AE1235" s="197"/>
      <c r="AF1235" s="197"/>
      <c r="AG1235" s="197"/>
      <c r="AH1235" s="197"/>
      <c r="AI1235" s="197"/>
      <c r="AJ1235" s="197"/>
      <c r="AK1235" s="197"/>
      <c r="AL1235" s="197"/>
    </row>
    <row r="1236" spans="1:38">
      <c r="A1236" s="11" t="str">
        <f t="shared" si="81"/>
        <v>15-309223602012</v>
      </c>
      <c r="B1236" t="s">
        <v>686</v>
      </c>
      <c r="C1236" t="s">
        <v>687</v>
      </c>
      <c r="D1236">
        <v>2012</v>
      </c>
      <c r="E1236" t="s">
        <v>69</v>
      </c>
      <c r="F1236">
        <v>113860.88</v>
      </c>
      <c r="G1236">
        <v>107</v>
      </c>
      <c r="H1236" s="11" t="str">
        <f t="shared" si="80"/>
        <v>volume</v>
      </c>
      <c r="I1236" s="197"/>
      <c r="J1236" s="197"/>
      <c r="K1236" s="197"/>
      <c r="L1236" s="197"/>
      <c r="M1236" s="197"/>
      <c r="N1236" s="197"/>
      <c r="O1236" s="197"/>
      <c r="P1236" s="197"/>
      <c r="Q1236" s="197"/>
      <c r="R1236" s="197"/>
      <c r="S1236" s="197"/>
      <c r="T1236" s="197"/>
      <c r="U1236" s="197"/>
      <c r="V1236" s="197"/>
      <c r="W1236" s="197"/>
      <c r="X1236" s="197"/>
      <c r="Y1236" s="197"/>
      <c r="Z1236" s="197"/>
      <c r="AA1236" s="197"/>
      <c r="AB1236" s="197"/>
      <c r="AC1236" s="197"/>
      <c r="AD1236" s="197"/>
      <c r="AE1236" s="197"/>
      <c r="AF1236" s="197"/>
      <c r="AG1236" s="197"/>
      <c r="AH1236" s="197"/>
      <c r="AI1236" s="197"/>
      <c r="AJ1236" s="197"/>
      <c r="AK1236" s="197"/>
      <c r="AL1236" s="197"/>
    </row>
    <row r="1237" spans="1:38">
      <c r="A1237" s="11" t="str">
        <f t="shared" si="81"/>
        <v>15-309223602012</v>
      </c>
      <c r="B1237" t="s">
        <v>686</v>
      </c>
      <c r="C1237" t="s">
        <v>687</v>
      </c>
      <c r="D1237">
        <v>2012</v>
      </c>
      <c r="E1237" t="s">
        <v>63</v>
      </c>
      <c r="F1237">
        <v>333598.13</v>
      </c>
      <c r="G1237">
        <v>271</v>
      </c>
      <c r="H1237" s="11" t="str">
        <f t="shared" si="80"/>
        <v>count</v>
      </c>
      <c r="I1237" s="197"/>
      <c r="J1237" s="197"/>
      <c r="K1237" s="197"/>
      <c r="L1237" s="197"/>
      <c r="M1237" s="197"/>
      <c r="N1237" s="197"/>
      <c r="O1237" s="197"/>
      <c r="P1237" s="197"/>
      <c r="Q1237" s="197"/>
      <c r="R1237" s="197"/>
      <c r="S1237" s="197"/>
      <c r="T1237" s="197"/>
      <c r="U1237" s="197"/>
      <c r="V1237" s="197"/>
      <c r="W1237" s="197"/>
      <c r="X1237" s="197"/>
      <c r="Y1237" s="197"/>
      <c r="Z1237" s="197"/>
      <c r="AA1237" s="197"/>
      <c r="AB1237" s="197"/>
      <c r="AC1237" s="197"/>
      <c r="AD1237" s="197"/>
      <c r="AE1237" s="197"/>
      <c r="AF1237" s="197"/>
      <c r="AG1237" s="197"/>
      <c r="AH1237" s="197"/>
      <c r="AI1237" s="197"/>
      <c r="AJ1237" s="197"/>
      <c r="AK1237" s="197"/>
      <c r="AL1237" s="197"/>
    </row>
    <row r="1238" spans="1:38">
      <c r="A1238" s="11" t="str">
        <f t="shared" si="81"/>
        <v>15-309223602011</v>
      </c>
      <c r="B1238" t="s">
        <v>686</v>
      </c>
      <c r="C1238" t="s">
        <v>687</v>
      </c>
      <c r="D1238">
        <v>2011</v>
      </c>
      <c r="E1238" t="s">
        <v>69</v>
      </c>
      <c r="F1238">
        <v>4818.7700000000004</v>
      </c>
      <c r="G1238">
        <v>4</v>
      </c>
      <c r="H1238" s="11" t="str">
        <f t="shared" si="80"/>
        <v>count</v>
      </c>
      <c r="I1238" s="197"/>
      <c r="J1238" s="197"/>
      <c r="K1238" s="197"/>
      <c r="L1238" s="197"/>
      <c r="M1238" s="197"/>
      <c r="N1238" s="197"/>
      <c r="O1238" s="197"/>
      <c r="P1238" s="197"/>
      <c r="Q1238" s="197"/>
      <c r="R1238" s="197"/>
      <c r="S1238" s="197"/>
      <c r="T1238" s="197"/>
      <c r="U1238" s="197"/>
      <c r="V1238" s="197"/>
      <c r="W1238" s="197"/>
      <c r="X1238" s="197"/>
      <c r="Y1238" s="197"/>
      <c r="Z1238" s="197"/>
      <c r="AA1238" s="197"/>
      <c r="AB1238" s="197"/>
      <c r="AC1238" s="197"/>
      <c r="AD1238" s="197"/>
      <c r="AE1238" s="197"/>
      <c r="AF1238" s="197"/>
      <c r="AG1238" s="197"/>
      <c r="AH1238" s="197"/>
      <c r="AI1238" s="197"/>
      <c r="AJ1238" s="197"/>
      <c r="AK1238" s="197"/>
      <c r="AL1238" s="197"/>
    </row>
    <row r="1239" spans="1:38">
      <c r="A1239" s="11" t="str">
        <f t="shared" si="81"/>
        <v>15-309223602012</v>
      </c>
      <c r="B1239" t="s">
        <v>686</v>
      </c>
      <c r="C1239" t="s">
        <v>687</v>
      </c>
      <c r="D1239">
        <v>2012</v>
      </c>
      <c r="E1239" t="s">
        <v>104</v>
      </c>
      <c r="F1239">
        <v>165131.46</v>
      </c>
      <c r="G1239">
        <v>121</v>
      </c>
      <c r="H1239" s="11" t="str">
        <f t="shared" si="80"/>
        <v>count</v>
      </c>
      <c r="I1239" s="197"/>
      <c r="J1239" s="197"/>
      <c r="K1239" s="197"/>
      <c r="L1239" s="197"/>
      <c r="M1239" s="197"/>
      <c r="N1239" s="197"/>
      <c r="O1239" s="197"/>
      <c r="P1239" s="197"/>
      <c r="Q1239" s="197"/>
      <c r="R1239" s="197"/>
      <c r="S1239" s="197"/>
      <c r="T1239" s="197"/>
      <c r="U1239" s="197"/>
      <c r="V1239" s="197"/>
      <c r="W1239" s="197"/>
      <c r="X1239" s="197"/>
      <c r="Y1239" s="197"/>
      <c r="Z1239" s="197"/>
      <c r="AA1239" s="197"/>
      <c r="AB1239" s="197"/>
      <c r="AC1239" s="197"/>
      <c r="AD1239" s="197"/>
      <c r="AE1239" s="197"/>
      <c r="AF1239" s="197"/>
      <c r="AG1239" s="197"/>
      <c r="AH1239" s="197"/>
      <c r="AI1239" s="197"/>
      <c r="AJ1239" s="197"/>
      <c r="AK1239" s="197"/>
      <c r="AL1239" s="197"/>
    </row>
    <row r="1240" spans="1:38">
      <c r="A1240" s="11" t="str">
        <f t="shared" si="81"/>
        <v>15-309223602013</v>
      </c>
      <c r="B1240" t="s">
        <v>686</v>
      </c>
      <c r="C1240" t="s">
        <v>687</v>
      </c>
      <c r="D1240">
        <v>2013</v>
      </c>
      <c r="E1240" t="s">
        <v>104</v>
      </c>
      <c r="F1240">
        <v>203551.55</v>
      </c>
      <c r="G1240">
        <v>171</v>
      </c>
      <c r="H1240" s="11" t="str">
        <f t="shared" si="80"/>
        <v>count</v>
      </c>
      <c r="I1240" s="197"/>
      <c r="J1240" s="197"/>
      <c r="K1240" s="197"/>
      <c r="L1240" s="197"/>
      <c r="M1240" s="197"/>
      <c r="N1240" s="197"/>
      <c r="O1240" s="197"/>
      <c r="P1240" s="197"/>
      <c r="Q1240" s="197"/>
      <c r="R1240" s="197"/>
      <c r="S1240" s="197"/>
      <c r="T1240" s="197"/>
      <c r="U1240" s="197"/>
      <c r="V1240" s="197"/>
      <c r="W1240" s="197"/>
      <c r="X1240" s="197"/>
      <c r="Y1240" s="197"/>
      <c r="Z1240" s="197"/>
      <c r="AA1240" s="197"/>
      <c r="AB1240" s="197"/>
      <c r="AC1240" s="197"/>
      <c r="AD1240" s="197"/>
      <c r="AE1240" s="197"/>
      <c r="AF1240" s="197"/>
      <c r="AG1240" s="197"/>
      <c r="AH1240" s="197"/>
      <c r="AI1240" s="197"/>
      <c r="AJ1240" s="197"/>
      <c r="AK1240" s="197"/>
      <c r="AL1240" s="197"/>
    </row>
    <row r="1241" spans="1:38">
      <c r="A1241" s="11" t="str">
        <f t="shared" si="81"/>
        <v>15-309223602013</v>
      </c>
      <c r="B1241" t="s">
        <v>686</v>
      </c>
      <c r="C1241" t="s">
        <v>687</v>
      </c>
      <c r="D1241">
        <v>2013</v>
      </c>
      <c r="E1241" t="s">
        <v>63</v>
      </c>
      <c r="F1241">
        <v>304099.64</v>
      </c>
      <c r="G1241">
        <v>275</v>
      </c>
      <c r="H1241" s="11" t="str">
        <f t="shared" si="80"/>
        <v>count</v>
      </c>
      <c r="I1241" s="197"/>
      <c r="J1241" s="197"/>
      <c r="K1241" s="197"/>
      <c r="L1241" s="197"/>
      <c r="M1241" s="197"/>
      <c r="N1241" s="197"/>
      <c r="O1241" s="197"/>
      <c r="P1241" s="197"/>
      <c r="Q1241" s="197"/>
      <c r="R1241" s="197"/>
      <c r="S1241" s="197"/>
      <c r="T1241" s="197"/>
      <c r="U1241" s="197"/>
      <c r="V1241" s="197"/>
      <c r="W1241" s="197"/>
      <c r="X1241" s="197"/>
      <c r="Y1241" s="197"/>
      <c r="Z1241" s="197"/>
      <c r="AA1241" s="197"/>
      <c r="AB1241" s="197"/>
      <c r="AC1241" s="197"/>
      <c r="AD1241" s="197"/>
      <c r="AE1241" s="197"/>
      <c r="AF1241" s="197"/>
      <c r="AG1241" s="197"/>
      <c r="AH1241" s="197"/>
      <c r="AI1241" s="197"/>
      <c r="AJ1241" s="197"/>
      <c r="AK1241" s="197"/>
      <c r="AL1241" s="197"/>
    </row>
    <row r="1242" spans="1:38">
      <c r="A1242" s="11" t="str">
        <f t="shared" si="81"/>
        <v>15-309223602011</v>
      </c>
      <c r="B1242" t="s">
        <v>686</v>
      </c>
      <c r="C1242" t="s">
        <v>687</v>
      </c>
      <c r="D1242">
        <v>2011</v>
      </c>
      <c r="E1242" t="s">
        <v>63</v>
      </c>
      <c r="F1242">
        <v>149159.20000000001</v>
      </c>
      <c r="G1242">
        <v>115</v>
      </c>
      <c r="H1242" s="11" t="str">
        <f t="shared" si="80"/>
        <v>count</v>
      </c>
      <c r="I1242" s="197"/>
      <c r="J1242" s="197"/>
      <c r="K1242" s="197"/>
      <c r="L1242" s="197"/>
      <c r="M1242" s="197"/>
      <c r="N1242" s="197"/>
      <c r="O1242" s="197"/>
      <c r="P1242" s="197"/>
      <c r="Q1242" s="197"/>
      <c r="R1242" s="197"/>
      <c r="S1242" s="197"/>
      <c r="T1242" s="197"/>
      <c r="U1242" s="197"/>
      <c r="V1242" s="197"/>
      <c r="W1242" s="197"/>
      <c r="X1242" s="197"/>
      <c r="Y1242" s="197"/>
      <c r="Z1242" s="197"/>
      <c r="AA1242" s="197"/>
      <c r="AB1242" s="197"/>
      <c r="AC1242" s="197"/>
      <c r="AD1242" s="197"/>
      <c r="AE1242" s="197"/>
      <c r="AF1242" s="197"/>
      <c r="AG1242" s="197"/>
      <c r="AH1242" s="197"/>
      <c r="AI1242" s="197"/>
      <c r="AJ1242" s="197"/>
      <c r="AK1242" s="197"/>
      <c r="AL1242" s="197"/>
    </row>
    <row r="1243" spans="1:38">
      <c r="A1243" s="11" t="str">
        <f t="shared" si="81"/>
        <v>15-309223602013</v>
      </c>
      <c r="B1243" t="s">
        <v>686</v>
      </c>
      <c r="C1243" t="s">
        <v>687</v>
      </c>
      <c r="D1243">
        <v>2013</v>
      </c>
      <c r="E1243" t="s">
        <v>69</v>
      </c>
      <c r="F1243">
        <v>131190.32999999999</v>
      </c>
      <c r="G1243">
        <v>126</v>
      </c>
      <c r="H1243" s="11" t="str">
        <f t="shared" si="80"/>
        <v>count</v>
      </c>
      <c r="I1243" s="197"/>
      <c r="J1243" s="197"/>
      <c r="K1243" s="197"/>
      <c r="L1243" s="197"/>
      <c r="M1243" s="197"/>
      <c r="N1243" s="197"/>
      <c r="O1243" s="197"/>
      <c r="P1243" s="197"/>
      <c r="Q1243" s="197"/>
      <c r="R1243" s="197"/>
      <c r="S1243" s="197"/>
      <c r="T1243" s="197"/>
      <c r="U1243" s="197"/>
      <c r="V1243" s="197"/>
      <c r="W1243" s="197"/>
      <c r="X1243" s="197"/>
      <c r="Y1243" s="197"/>
      <c r="Z1243" s="197"/>
      <c r="AA1243" s="197"/>
      <c r="AB1243" s="197"/>
      <c r="AC1243" s="197"/>
      <c r="AD1243" s="197"/>
      <c r="AE1243" s="197"/>
      <c r="AF1243" s="197"/>
      <c r="AG1243" s="197"/>
      <c r="AH1243" s="197"/>
      <c r="AI1243" s="197"/>
      <c r="AJ1243" s="197"/>
      <c r="AK1243" s="197"/>
      <c r="AL1243" s="197"/>
    </row>
    <row r="1244" spans="1:38">
      <c r="A1244" s="11" t="str">
        <f t="shared" si="81"/>
        <v>15-309223602011</v>
      </c>
      <c r="B1244" t="s">
        <v>686</v>
      </c>
      <c r="C1244" t="s">
        <v>687</v>
      </c>
      <c r="D1244">
        <v>2011</v>
      </c>
      <c r="E1244" t="s">
        <v>104</v>
      </c>
      <c r="F1244">
        <v>73356.27</v>
      </c>
      <c r="G1244">
        <v>64</v>
      </c>
      <c r="H1244" s="11" t="str">
        <f t="shared" si="80"/>
        <v>count</v>
      </c>
      <c r="I1244" s="197"/>
      <c r="J1244" s="197"/>
      <c r="K1244" s="197"/>
      <c r="L1244" s="197"/>
      <c r="M1244" s="197"/>
      <c r="N1244" s="197"/>
      <c r="O1244" s="197"/>
      <c r="P1244" s="197"/>
      <c r="Q1244" s="197"/>
      <c r="R1244" s="197"/>
      <c r="S1244" s="197"/>
      <c r="T1244" s="197"/>
      <c r="U1244" s="197"/>
      <c r="V1244" s="197"/>
      <c r="W1244" s="197"/>
      <c r="X1244" s="197"/>
      <c r="Y1244" s="197"/>
      <c r="Z1244" s="197"/>
      <c r="AA1244" s="197"/>
      <c r="AB1244" s="197"/>
      <c r="AC1244" s="197"/>
      <c r="AD1244" s="197"/>
      <c r="AE1244" s="197"/>
      <c r="AF1244" s="197"/>
      <c r="AG1244" s="197"/>
      <c r="AH1244" s="197"/>
      <c r="AI1244" s="197"/>
      <c r="AJ1244" s="197"/>
      <c r="AK1244" s="197"/>
      <c r="AL1244" s="197"/>
    </row>
    <row r="1245" spans="1:38">
      <c r="A1245" s="11" t="str">
        <f t="shared" si="81"/>
        <v>15-309807882012</v>
      </c>
      <c r="B1245" t="s">
        <v>691</v>
      </c>
      <c r="C1245" t="s">
        <v>692</v>
      </c>
      <c r="D1245">
        <v>2012</v>
      </c>
      <c r="E1245" t="s">
        <v>1074</v>
      </c>
      <c r="F1245">
        <v>16888.66</v>
      </c>
      <c r="G1245">
        <v>22</v>
      </c>
      <c r="H1245" s="11" t="str">
        <f t="shared" si="80"/>
        <v>volume</v>
      </c>
      <c r="I1245" s="197"/>
      <c r="J1245" s="197"/>
      <c r="K1245" s="197"/>
      <c r="L1245" s="197"/>
      <c r="M1245" s="197"/>
      <c r="N1245" s="197"/>
      <c r="O1245" s="197"/>
      <c r="P1245" s="197"/>
      <c r="Q1245" s="197"/>
      <c r="R1245" s="197"/>
      <c r="S1245" s="197"/>
      <c r="T1245" s="197"/>
      <c r="U1245" s="197"/>
      <c r="V1245" s="197"/>
      <c r="W1245" s="197"/>
      <c r="X1245" s="197"/>
      <c r="Y1245" s="197"/>
      <c r="Z1245" s="197"/>
      <c r="AA1245" s="197"/>
      <c r="AB1245" s="197"/>
      <c r="AC1245" s="197"/>
      <c r="AD1245" s="197"/>
      <c r="AE1245" s="197"/>
      <c r="AF1245" s="197"/>
      <c r="AG1245" s="197"/>
      <c r="AH1245" s="197"/>
      <c r="AI1245" s="197"/>
      <c r="AJ1245" s="197"/>
      <c r="AK1245" s="197"/>
      <c r="AL1245" s="197"/>
    </row>
    <row r="1246" spans="1:38">
      <c r="A1246" s="11" t="str">
        <f t="shared" si="81"/>
        <v>15-309807882012</v>
      </c>
      <c r="B1246" t="s">
        <v>691</v>
      </c>
      <c r="C1246" t="s">
        <v>692</v>
      </c>
      <c r="D1246">
        <v>2012</v>
      </c>
      <c r="E1246" t="s">
        <v>63</v>
      </c>
      <c r="F1246">
        <v>164391.51999999999</v>
      </c>
      <c r="G1246">
        <v>233</v>
      </c>
      <c r="H1246" s="11" t="str">
        <f t="shared" si="80"/>
        <v>count</v>
      </c>
      <c r="I1246" s="197"/>
      <c r="J1246" s="197"/>
      <c r="K1246" s="197"/>
      <c r="L1246" s="197"/>
      <c r="M1246" s="197"/>
      <c r="N1246" s="197"/>
      <c r="O1246" s="197"/>
      <c r="P1246" s="197"/>
      <c r="Q1246" s="197"/>
      <c r="R1246" s="197"/>
      <c r="S1246" s="197"/>
      <c r="T1246" s="197"/>
      <c r="U1246" s="197"/>
      <c r="V1246" s="197"/>
      <c r="W1246" s="197"/>
      <c r="X1246" s="197"/>
      <c r="Y1246" s="197"/>
      <c r="Z1246" s="197"/>
      <c r="AA1246" s="197"/>
      <c r="AB1246" s="197"/>
      <c r="AC1246" s="197"/>
      <c r="AD1246" s="197"/>
      <c r="AE1246" s="197"/>
      <c r="AF1246" s="197"/>
      <c r="AG1246" s="197"/>
      <c r="AH1246" s="197"/>
      <c r="AI1246" s="197"/>
      <c r="AJ1246" s="197"/>
      <c r="AK1246" s="197"/>
      <c r="AL1246" s="197"/>
    </row>
    <row r="1247" spans="1:38">
      <c r="A1247" s="11" t="str">
        <f t="shared" si="81"/>
        <v>15-309807882012</v>
      </c>
      <c r="B1247" t="s">
        <v>691</v>
      </c>
      <c r="C1247" t="s">
        <v>692</v>
      </c>
      <c r="D1247">
        <v>2012</v>
      </c>
      <c r="E1247" t="s">
        <v>104</v>
      </c>
      <c r="F1247">
        <v>124898.89</v>
      </c>
      <c r="G1247">
        <v>176</v>
      </c>
      <c r="H1247" s="11" t="str">
        <f t="shared" si="80"/>
        <v>count</v>
      </c>
      <c r="I1247" s="197"/>
      <c r="J1247" s="197"/>
      <c r="K1247" s="197"/>
      <c r="L1247" s="197"/>
      <c r="M1247" s="197"/>
      <c r="N1247" s="197"/>
      <c r="O1247" s="197"/>
      <c r="P1247" s="197"/>
      <c r="Q1247" s="197"/>
      <c r="R1247" s="197"/>
      <c r="S1247" s="197"/>
      <c r="T1247" s="197"/>
      <c r="U1247" s="197"/>
      <c r="V1247" s="197"/>
      <c r="W1247" s="197"/>
      <c r="X1247" s="197"/>
      <c r="Y1247" s="197"/>
      <c r="Z1247" s="197"/>
      <c r="AA1247" s="197"/>
      <c r="AB1247" s="197"/>
      <c r="AC1247" s="197"/>
      <c r="AD1247" s="197"/>
      <c r="AE1247" s="197"/>
      <c r="AF1247" s="197"/>
      <c r="AG1247" s="197"/>
      <c r="AH1247" s="197"/>
      <c r="AI1247" s="197"/>
      <c r="AJ1247" s="197"/>
      <c r="AK1247" s="197"/>
      <c r="AL1247" s="197"/>
    </row>
    <row r="1248" spans="1:38">
      <c r="A1248" s="11" t="str">
        <f t="shared" si="81"/>
        <v>15-309807882012</v>
      </c>
      <c r="B1248" t="s">
        <v>691</v>
      </c>
      <c r="C1248" t="s">
        <v>692</v>
      </c>
      <c r="D1248">
        <v>2012</v>
      </c>
      <c r="E1248" t="s">
        <v>69</v>
      </c>
      <c r="F1248">
        <v>53577.81</v>
      </c>
      <c r="G1248">
        <v>77</v>
      </c>
      <c r="H1248" s="11" t="str">
        <f t="shared" si="80"/>
        <v>count</v>
      </c>
      <c r="I1248" s="197"/>
      <c r="J1248" s="197"/>
      <c r="K1248" s="197"/>
      <c r="L1248" s="197"/>
      <c r="M1248" s="197"/>
      <c r="N1248" s="197"/>
      <c r="O1248" s="197"/>
      <c r="P1248" s="197"/>
      <c r="Q1248" s="197"/>
      <c r="R1248" s="197"/>
      <c r="S1248" s="197"/>
      <c r="T1248" s="197"/>
      <c r="U1248" s="197"/>
      <c r="V1248" s="197"/>
      <c r="W1248" s="197"/>
      <c r="X1248" s="197"/>
      <c r="Y1248" s="197"/>
      <c r="Z1248" s="197"/>
      <c r="AA1248" s="197"/>
      <c r="AB1248" s="197"/>
      <c r="AC1248" s="197"/>
      <c r="AD1248" s="197"/>
      <c r="AE1248" s="197"/>
      <c r="AF1248" s="197"/>
      <c r="AG1248" s="197"/>
      <c r="AH1248" s="197"/>
      <c r="AI1248" s="197"/>
      <c r="AJ1248" s="197"/>
      <c r="AK1248" s="197"/>
      <c r="AL1248" s="197"/>
    </row>
    <row r="1249" spans="1:38">
      <c r="A1249" s="11" t="str">
        <f t="shared" si="81"/>
        <v>15-309807882012</v>
      </c>
      <c r="B1249" t="s">
        <v>691</v>
      </c>
      <c r="C1249" t="s">
        <v>692</v>
      </c>
      <c r="D1249">
        <v>2012</v>
      </c>
      <c r="E1249" t="s">
        <v>133</v>
      </c>
      <c r="F1249">
        <v>245344.4</v>
      </c>
      <c r="G1249">
        <v>253</v>
      </c>
      <c r="H1249" s="11" t="str">
        <f t="shared" si="80"/>
        <v>count</v>
      </c>
      <c r="I1249" s="197"/>
      <c r="J1249" s="197"/>
      <c r="K1249" s="197"/>
      <c r="L1249" s="197"/>
      <c r="M1249" s="197"/>
      <c r="N1249" s="197"/>
      <c r="O1249" s="197"/>
      <c r="P1249" s="197"/>
      <c r="Q1249" s="197"/>
      <c r="R1249" s="197"/>
      <c r="S1249" s="197"/>
      <c r="T1249" s="197"/>
      <c r="U1249" s="197"/>
      <c r="V1249" s="197"/>
      <c r="W1249" s="197"/>
      <c r="X1249" s="197"/>
      <c r="Y1249" s="197"/>
      <c r="Z1249" s="197"/>
      <c r="AA1249" s="197"/>
      <c r="AB1249" s="197"/>
      <c r="AC1249" s="197"/>
      <c r="AD1249" s="197"/>
      <c r="AE1249" s="197"/>
      <c r="AF1249" s="197"/>
      <c r="AG1249" s="197"/>
      <c r="AH1249" s="197"/>
      <c r="AI1249" s="197"/>
      <c r="AJ1249" s="197"/>
      <c r="AK1249" s="197"/>
      <c r="AL1249" s="197"/>
    </row>
    <row r="1250" spans="1:38">
      <c r="A1250" s="11" t="str">
        <f t="shared" si="81"/>
        <v>15-309807882012</v>
      </c>
      <c r="B1250" t="s">
        <v>691</v>
      </c>
      <c r="C1250" t="s">
        <v>692</v>
      </c>
      <c r="D1250">
        <v>2012</v>
      </c>
      <c r="E1250" t="s">
        <v>1076</v>
      </c>
      <c r="F1250">
        <v>6046.35</v>
      </c>
      <c r="G1250">
        <v>13</v>
      </c>
      <c r="H1250" s="11" t="str">
        <f t="shared" si="80"/>
        <v>count</v>
      </c>
      <c r="I1250" s="197"/>
      <c r="J1250" s="197"/>
      <c r="K1250" s="197"/>
      <c r="L1250" s="197"/>
      <c r="M1250" s="197"/>
      <c r="N1250" s="197"/>
      <c r="O1250" s="197"/>
      <c r="P1250" s="197"/>
      <c r="Q1250" s="197"/>
      <c r="R1250" s="197"/>
      <c r="S1250" s="197"/>
      <c r="T1250" s="197"/>
      <c r="U1250" s="197"/>
      <c r="V1250" s="197"/>
      <c r="W1250" s="197"/>
      <c r="X1250" s="197"/>
      <c r="Y1250" s="197"/>
      <c r="Z1250" s="197"/>
      <c r="AA1250" s="197"/>
      <c r="AB1250" s="197"/>
      <c r="AC1250" s="197"/>
      <c r="AD1250" s="197"/>
      <c r="AE1250" s="197"/>
      <c r="AF1250" s="197"/>
      <c r="AG1250" s="197"/>
      <c r="AH1250" s="197"/>
      <c r="AI1250" s="197"/>
      <c r="AJ1250" s="197"/>
      <c r="AK1250" s="197"/>
      <c r="AL1250" s="197"/>
    </row>
    <row r="1251" spans="1:38">
      <c r="A1251" s="11" t="str">
        <f t="shared" si="81"/>
        <v>15-309807882012</v>
      </c>
      <c r="B1251" t="s">
        <v>691</v>
      </c>
      <c r="C1251" t="s">
        <v>692</v>
      </c>
      <c r="D1251">
        <v>2012</v>
      </c>
      <c r="E1251" t="s">
        <v>1075</v>
      </c>
      <c r="F1251">
        <v>38511.29</v>
      </c>
      <c r="G1251">
        <v>48</v>
      </c>
      <c r="H1251" s="11" t="str">
        <f t="shared" si="80"/>
        <v>count</v>
      </c>
      <c r="I1251" s="197"/>
      <c r="J1251" s="197"/>
      <c r="K1251" s="197"/>
      <c r="L1251" s="197"/>
      <c r="M1251" s="197"/>
      <c r="N1251" s="197"/>
      <c r="O1251" s="197"/>
      <c r="P1251" s="197"/>
      <c r="Q1251" s="197"/>
      <c r="R1251" s="197"/>
      <c r="S1251" s="197"/>
      <c r="T1251" s="197"/>
      <c r="U1251" s="197"/>
      <c r="V1251" s="197"/>
      <c r="W1251" s="197"/>
      <c r="X1251" s="197"/>
      <c r="Y1251" s="197"/>
      <c r="Z1251" s="197"/>
      <c r="AA1251" s="197"/>
      <c r="AB1251" s="197"/>
      <c r="AC1251" s="197"/>
      <c r="AD1251" s="197"/>
      <c r="AE1251" s="197"/>
      <c r="AF1251" s="197"/>
      <c r="AG1251" s="197"/>
      <c r="AH1251" s="197"/>
      <c r="AI1251" s="197"/>
      <c r="AJ1251" s="197"/>
      <c r="AK1251" s="197"/>
      <c r="AL1251" s="197"/>
    </row>
    <row r="1252" spans="1:38">
      <c r="A1252" s="11" t="str">
        <f t="shared" si="81"/>
        <v>15-309865882013</v>
      </c>
      <c r="B1252" t="s">
        <v>693</v>
      </c>
      <c r="C1252" t="s">
        <v>694</v>
      </c>
      <c r="D1252">
        <v>2013</v>
      </c>
      <c r="E1252" t="s">
        <v>106</v>
      </c>
      <c r="F1252">
        <v>1445</v>
      </c>
      <c r="G1252">
        <v>1</v>
      </c>
      <c r="H1252" s="11" t="str">
        <f t="shared" si="80"/>
        <v>volume</v>
      </c>
      <c r="I1252" s="197"/>
      <c r="J1252" s="197"/>
      <c r="K1252" s="197"/>
      <c r="L1252" s="197"/>
      <c r="M1252" s="197"/>
      <c r="N1252" s="197"/>
      <c r="O1252" s="197"/>
      <c r="P1252" s="197"/>
      <c r="Q1252" s="197"/>
      <c r="R1252" s="197"/>
      <c r="S1252" s="197"/>
      <c r="T1252" s="197"/>
      <c r="U1252" s="197"/>
      <c r="V1252" s="197"/>
      <c r="W1252" s="197"/>
      <c r="X1252" s="197"/>
      <c r="Y1252" s="197"/>
      <c r="Z1252" s="197"/>
      <c r="AA1252" s="197"/>
      <c r="AB1252" s="197"/>
      <c r="AC1252" s="197"/>
      <c r="AD1252" s="197"/>
      <c r="AE1252" s="197"/>
      <c r="AF1252" s="197"/>
      <c r="AG1252" s="197"/>
      <c r="AH1252" s="197"/>
      <c r="AI1252" s="197"/>
      <c r="AJ1252" s="197"/>
      <c r="AK1252" s="197"/>
      <c r="AL1252" s="197"/>
    </row>
    <row r="1253" spans="1:38">
      <c r="A1253" s="11" t="str">
        <f t="shared" si="81"/>
        <v>15-309865882012</v>
      </c>
      <c r="B1253" t="s">
        <v>693</v>
      </c>
      <c r="C1253" t="s">
        <v>694</v>
      </c>
      <c r="D1253">
        <v>2012</v>
      </c>
      <c r="E1253" t="s">
        <v>105</v>
      </c>
      <c r="F1253">
        <v>2266.1999999999998</v>
      </c>
      <c r="G1253">
        <v>4</v>
      </c>
      <c r="H1253" s="11" t="str">
        <f t="shared" si="80"/>
        <v>count</v>
      </c>
      <c r="I1253" s="197"/>
      <c r="J1253" s="197"/>
      <c r="K1253" s="197"/>
      <c r="L1253" s="197"/>
      <c r="M1253" s="197"/>
      <c r="N1253" s="197"/>
      <c r="O1253" s="197"/>
      <c r="P1253" s="197"/>
      <c r="Q1253" s="197"/>
      <c r="R1253" s="197"/>
      <c r="S1253" s="197"/>
      <c r="T1253" s="197"/>
      <c r="U1253" s="197"/>
      <c r="V1253" s="197"/>
      <c r="W1253" s="197"/>
      <c r="X1253" s="197"/>
      <c r="Y1253" s="197"/>
      <c r="Z1253" s="197"/>
      <c r="AA1253" s="197"/>
      <c r="AB1253" s="197"/>
      <c r="AC1253" s="197"/>
      <c r="AD1253" s="197"/>
      <c r="AE1253" s="197"/>
      <c r="AF1253" s="197"/>
      <c r="AG1253" s="197"/>
      <c r="AH1253" s="197"/>
      <c r="AI1253" s="197"/>
      <c r="AJ1253" s="197"/>
      <c r="AK1253" s="197"/>
      <c r="AL1253" s="197"/>
    </row>
    <row r="1254" spans="1:38">
      <c r="A1254" s="11" t="str">
        <f t="shared" si="81"/>
        <v>15-309865882013</v>
      </c>
      <c r="B1254" t="s">
        <v>693</v>
      </c>
      <c r="C1254" t="s">
        <v>694</v>
      </c>
      <c r="D1254">
        <v>2013</v>
      </c>
      <c r="E1254" t="s">
        <v>105</v>
      </c>
      <c r="F1254">
        <v>4351.47</v>
      </c>
      <c r="G1254">
        <v>15</v>
      </c>
      <c r="H1254" s="11" t="str">
        <f t="shared" si="80"/>
        <v>count</v>
      </c>
      <c r="I1254" s="197"/>
      <c r="J1254" s="197"/>
      <c r="K1254" s="197"/>
      <c r="L1254" s="197"/>
      <c r="M1254" s="197"/>
      <c r="N1254" s="197"/>
      <c r="O1254" s="197"/>
      <c r="P1254" s="197"/>
      <c r="Q1254" s="197"/>
      <c r="R1254" s="197"/>
      <c r="S1254" s="197"/>
      <c r="T1254" s="197"/>
      <c r="U1254" s="197"/>
      <c r="V1254" s="197"/>
      <c r="W1254" s="197"/>
      <c r="X1254" s="197"/>
      <c r="Y1254" s="197"/>
      <c r="Z1254" s="197"/>
      <c r="AA1254" s="197"/>
      <c r="AB1254" s="197"/>
      <c r="AC1254" s="197"/>
      <c r="AD1254" s="197"/>
      <c r="AE1254" s="197"/>
      <c r="AF1254" s="197"/>
      <c r="AG1254" s="197"/>
      <c r="AH1254" s="197"/>
      <c r="AI1254" s="197"/>
      <c r="AJ1254" s="197"/>
      <c r="AK1254" s="197"/>
      <c r="AL1254" s="197"/>
    </row>
    <row r="1255" spans="1:38">
      <c r="A1255" s="11" t="str">
        <f t="shared" si="81"/>
        <v>15-309865882013</v>
      </c>
      <c r="B1255" t="s">
        <v>693</v>
      </c>
      <c r="C1255" t="s">
        <v>694</v>
      </c>
      <c r="D1255">
        <v>2013</v>
      </c>
      <c r="E1255" t="s">
        <v>133</v>
      </c>
      <c r="F1255">
        <v>24763.13</v>
      </c>
      <c r="G1255">
        <v>44</v>
      </c>
      <c r="H1255" s="11" t="str">
        <f t="shared" si="80"/>
        <v>count</v>
      </c>
      <c r="I1255" s="197"/>
      <c r="J1255" s="197"/>
      <c r="K1255" s="197"/>
      <c r="L1255" s="197"/>
      <c r="M1255" s="197"/>
      <c r="N1255" s="197"/>
      <c r="O1255" s="197"/>
      <c r="P1255" s="197"/>
      <c r="Q1255" s="197"/>
      <c r="R1255" s="197"/>
      <c r="S1255" s="197"/>
      <c r="T1255" s="197"/>
      <c r="U1255" s="197"/>
      <c r="V1255" s="197"/>
      <c r="W1255" s="197"/>
      <c r="X1255" s="197"/>
      <c r="Y1255" s="197"/>
      <c r="Z1255" s="197"/>
      <c r="AA1255" s="197"/>
      <c r="AB1255" s="197"/>
      <c r="AC1255" s="197"/>
      <c r="AD1255" s="197"/>
      <c r="AE1255" s="197"/>
      <c r="AF1255" s="197"/>
      <c r="AG1255" s="197"/>
      <c r="AH1255" s="197"/>
      <c r="AI1255" s="197"/>
      <c r="AJ1255" s="197"/>
      <c r="AK1255" s="197"/>
      <c r="AL1255" s="197"/>
    </row>
    <row r="1256" spans="1:38">
      <c r="A1256" s="11" t="str">
        <f t="shared" si="81"/>
        <v>15-309865882013</v>
      </c>
      <c r="B1256" t="s">
        <v>693</v>
      </c>
      <c r="C1256" t="s">
        <v>694</v>
      </c>
      <c r="D1256">
        <v>2013</v>
      </c>
      <c r="E1256" t="s">
        <v>69</v>
      </c>
      <c r="F1256">
        <v>38353.22</v>
      </c>
      <c r="G1256">
        <v>119</v>
      </c>
      <c r="H1256" s="11" t="str">
        <f t="shared" si="80"/>
        <v>count</v>
      </c>
      <c r="I1256" s="197"/>
      <c r="J1256" s="197"/>
      <c r="K1256" s="197"/>
      <c r="L1256" s="197"/>
      <c r="M1256" s="197"/>
      <c r="N1256" s="197"/>
      <c r="O1256" s="197"/>
      <c r="P1256" s="197"/>
      <c r="Q1256" s="197"/>
      <c r="R1256" s="197"/>
      <c r="S1256" s="197"/>
      <c r="T1256" s="197"/>
      <c r="U1256" s="197"/>
      <c r="V1256" s="197"/>
      <c r="W1256" s="197"/>
      <c r="X1256" s="197"/>
      <c r="Y1256" s="197"/>
      <c r="Z1256" s="197"/>
      <c r="AA1256" s="197"/>
      <c r="AB1256" s="197"/>
      <c r="AC1256" s="197"/>
      <c r="AD1256" s="197"/>
      <c r="AE1256" s="197"/>
      <c r="AF1256" s="197"/>
      <c r="AG1256" s="197"/>
      <c r="AH1256" s="197"/>
      <c r="AI1256" s="197"/>
      <c r="AJ1256" s="197"/>
      <c r="AK1256" s="197"/>
      <c r="AL1256" s="197"/>
    </row>
    <row r="1257" spans="1:38">
      <c r="A1257" s="11" t="str">
        <f t="shared" si="81"/>
        <v>15-309865882012</v>
      </c>
      <c r="B1257" t="s">
        <v>693</v>
      </c>
      <c r="C1257" t="s">
        <v>694</v>
      </c>
      <c r="D1257">
        <v>2012</v>
      </c>
      <c r="E1257" t="s">
        <v>104</v>
      </c>
      <c r="F1257">
        <v>33393.99</v>
      </c>
      <c r="G1257">
        <v>74</v>
      </c>
      <c r="H1257" s="11" t="str">
        <f t="shared" si="80"/>
        <v>count</v>
      </c>
      <c r="I1257" s="197"/>
      <c r="J1257" s="197"/>
      <c r="K1257" s="197"/>
      <c r="L1257" s="197"/>
      <c r="M1257" s="197"/>
      <c r="N1257" s="197"/>
      <c r="O1257" s="197"/>
      <c r="P1257" s="197"/>
      <c r="Q1257" s="197"/>
      <c r="R1257" s="197"/>
      <c r="S1257" s="197"/>
      <c r="T1257" s="197"/>
      <c r="U1257" s="197"/>
      <c r="V1257" s="197"/>
      <c r="W1257" s="197"/>
      <c r="X1257" s="197"/>
      <c r="Y1257" s="197"/>
      <c r="Z1257" s="197"/>
      <c r="AA1257" s="197"/>
      <c r="AB1257" s="197"/>
      <c r="AC1257" s="197"/>
      <c r="AD1257" s="197"/>
      <c r="AE1257" s="197"/>
      <c r="AF1257" s="197"/>
      <c r="AG1257" s="197"/>
      <c r="AH1257" s="197"/>
      <c r="AI1257" s="197"/>
      <c r="AJ1257" s="197"/>
      <c r="AK1257" s="197"/>
      <c r="AL1257" s="197"/>
    </row>
    <row r="1258" spans="1:38">
      <c r="A1258" s="11" t="str">
        <f t="shared" si="81"/>
        <v>15-309865882012</v>
      </c>
      <c r="B1258" t="s">
        <v>693</v>
      </c>
      <c r="C1258" t="s">
        <v>694</v>
      </c>
      <c r="D1258">
        <v>2012</v>
      </c>
      <c r="E1258" t="s">
        <v>63</v>
      </c>
      <c r="F1258">
        <v>34842.82</v>
      </c>
      <c r="G1258">
        <v>96</v>
      </c>
      <c r="H1258" s="11" t="str">
        <f t="shared" si="80"/>
        <v>count</v>
      </c>
      <c r="I1258" s="197"/>
      <c r="J1258" s="197"/>
      <c r="K1258" s="197"/>
      <c r="L1258" s="197"/>
      <c r="M1258" s="197"/>
      <c r="N1258" s="197"/>
      <c r="O1258" s="197"/>
      <c r="P1258" s="197"/>
      <c r="Q1258" s="197"/>
      <c r="R1258" s="197"/>
      <c r="S1258" s="197"/>
      <c r="T1258" s="197"/>
      <c r="U1258" s="197"/>
      <c r="V1258" s="197"/>
      <c r="W1258" s="197"/>
      <c r="X1258" s="197"/>
      <c r="Y1258" s="197"/>
      <c r="Z1258" s="197"/>
      <c r="AA1258" s="197"/>
      <c r="AB1258" s="197"/>
      <c r="AC1258" s="197"/>
      <c r="AD1258" s="197"/>
      <c r="AE1258" s="197"/>
      <c r="AF1258" s="197"/>
      <c r="AG1258" s="197"/>
      <c r="AH1258" s="197"/>
      <c r="AI1258" s="197"/>
      <c r="AJ1258" s="197"/>
      <c r="AK1258" s="197"/>
      <c r="AL1258" s="197"/>
    </row>
    <row r="1259" spans="1:38">
      <c r="A1259" s="11" t="str">
        <f t="shared" si="81"/>
        <v>15-309865882013</v>
      </c>
      <c r="B1259" t="s">
        <v>693</v>
      </c>
      <c r="C1259" t="s">
        <v>694</v>
      </c>
      <c r="D1259">
        <v>2013</v>
      </c>
      <c r="E1259" t="s">
        <v>104</v>
      </c>
      <c r="F1259">
        <v>66873.02</v>
      </c>
      <c r="G1259">
        <v>149</v>
      </c>
      <c r="H1259" s="11" t="str">
        <f t="shared" si="80"/>
        <v>count</v>
      </c>
      <c r="I1259" s="197"/>
      <c r="J1259" s="197"/>
      <c r="K1259" s="197"/>
      <c r="L1259" s="197"/>
      <c r="M1259" s="197"/>
      <c r="N1259" s="197"/>
      <c r="O1259" s="197"/>
      <c r="P1259" s="197"/>
      <c r="Q1259" s="197"/>
      <c r="R1259" s="197"/>
      <c r="S1259" s="197"/>
      <c r="T1259" s="197"/>
      <c r="U1259" s="197"/>
      <c r="V1259" s="197"/>
      <c r="W1259" s="197"/>
      <c r="X1259" s="197"/>
      <c r="Y1259" s="197"/>
      <c r="Z1259" s="197"/>
      <c r="AA1259" s="197"/>
      <c r="AB1259" s="197"/>
      <c r="AC1259" s="197"/>
      <c r="AD1259" s="197"/>
      <c r="AE1259" s="197"/>
      <c r="AF1259" s="197"/>
      <c r="AG1259" s="197"/>
      <c r="AH1259" s="197"/>
      <c r="AI1259" s="197"/>
      <c r="AJ1259" s="197"/>
      <c r="AK1259" s="197"/>
      <c r="AL1259" s="197"/>
    </row>
    <row r="1260" spans="1:38">
      <c r="A1260" s="11" t="str">
        <f t="shared" si="81"/>
        <v>15-309865882013</v>
      </c>
      <c r="B1260" t="s">
        <v>693</v>
      </c>
      <c r="C1260" t="s">
        <v>694</v>
      </c>
      <c r="D1260">
        <v>2013</v>
      </c>
      <c r="E1260" t="s">
        <v>63</v>
      </c>
      <c r="F1260">
        <v>60878.97</v>
      </c>
      <c r="G1260">
        <v>142</v>
      </c>
      <c r="H1260" s="11" t="str">
        <f t="shared" si="80"/>
        <v>count</v>
      </c>
      <c r="I1260" s="197"/>
      <c r="J1260" s="197"/>
      <c r="K1260" s="197"/>
      <c r="L1260" s="197"/>
      <c r="M1260" s="197"/>
      <c r="N1260" s="197"/>
      <c r="O1260" s="197"/>
      <c r="P1260" s="197"/>
      <c r="Q1260" s="197"/>
      <c r="R1260" s="197"/>
      <c r="S1260" s="197"/>
      <c r="T1260" s="197"/>
      <c r="U1260" s="197"/>
      <c r="V1260" s="197"/>
      <c r="W1260" s="197"/>
      <c r="X1260" s="197"/>
      <c r="Y1260" s="197"/>
      <c r="Z1260" s="197"/>
      <c r="AA1260" s="197"/>
      <c r="AB1260" s="197"/>
      <c r="AC1260" s="197"/>
      <c r="AD1260" s="197"/>
      <c r="AE1260" s="197"/>
      <c r="AF1260" s="197"/>
      <c r="AG1260" s="197"/>
      <c r="AH1260" s="197"/>
      <c r="AI1260" s="197"/>
      <c r="AJ1260" s="197"/>
      <c r="AK1260" s="197"/>
      <c r="AL1260" s="197"/>
    </row>
    <row r="1261" spans="1:38">
      <c r="A1261" s="11" t="str">
        <f t="shared" si="81"/>
        <v>15-309865882012</v>
      </c>
      <c r="B1261" t="s">
        <v>693</v>
      </c>
      <c r="C1261" t="s">
        <v>694</v>
      </c>
      <c r="D1261">
        <v>2012</v>
      </c>
      <c r="E1261" t="s">
        <v>69</v>
      </c>
      <c r="F1261">
        <v>14705.12</v>
      </c>
      <c r="G1261">
        <v>43</v>
      </c>
      <c r="H1261" s="11" t="str">
        <f t="shared" si="80"/>
        <v>count</v>
      </c>
      <c r="I1261" s="197"/>
      <c r="J1261" s="197"/>
      <c r="K1261" s="197"/>
      <c r="L1261" s="197"/>
      <c r="M1261" s="197"/>
      <c r="N1261" s="197"/>
      <c r="O1261" s="197"/>
      <c r="P1261" s="197"/>
      <c r="Q1261" s="197"/>
      <c r="R1261" s="197"/>
      <c r="S1261" s="197"/>
      <c r="T1261" s="197"/>
      <c r="U1261" s="197"/>
      <c r="V1261" s="197"/>
      <c r="W1261" s="197"/>
      <c r="X1261" s="197"/>
      <c r="Y1261" s="197"/>
      <c r="Z1261" s="197"/>
      <c r="AA1261" s="197"/>
      <c r="AB1261" s="197"/>
      <c r="AC1261" s="197"/>
      <c r="AD1261" s="197"/>
      <c r="AE1261" s="197"/>
      <c r="AF1261" s="197"/>
      <c r="AG1261" s="197"/>
      <c r="AH1261" s="197"/>
      <c r="AI1261" s="197"/>
      <c r="AJ1261" s="197"/>
      <c r="AK1261" s="197"/>
      <c r="AL1261" s="197"/>
    </row>
    <row r="1262" spans="1:38">
      <c r="A1262" s="11" t="str">
        <f t="shared" si="81"/>
        <v>15-309865882012</v>
      </c>
      <c r="B1262" t="s">
        <v>693</v>
      </c>
      <c r="C1262" t="s">
        <v>694</v>
      </c>
      <c r="D1262">
        <v>2012</v>
      </c>
      <c r="E1262" t="s">
        <v>164</v>
      </c>
      <c r="F1262">
        <v>6534.95</v>
      </c>
      <c r="G1262">
        <v>17</v>
      </c>
      <c r="H1262" s="11" t="str">
        <f t="shared" si="80"/>
        <v>count</v>
      </c>
      <c r="I1262" s="197"/>
      <c r="J1262" s="197"/>
      <c r="K1262" s="197"/>
      <c r="L1262" s="197"/>
      <c r="M1262" s="197"/>
      <c r="N1262" s="197"/>
      <c r="O1262" s="197"/>
      <c r="P1262" s="197"/>
      <c r="Q1262" s="197"/>
      <c r="R1262" s="197"/>
      <c r="S1262" s="197"/>
      <c r="T1262" s="197"/>
      <c r="U1262" s="197"/>
      <c r="V1262" s="197"/>
      <c r="W1262" s="197"/>
      <c r="X1262" s="197"/>
      <c r="Y1262" s="197"/>
      <c r="Z1262" s="197"/>
      <c r="AA1262" s="197"/>
      <c r="AB1262" s="197"/>
      <c r="AC1262" s="197"/>
      <c r="AD1262" s="197"/>
      <c r="AE1262" s="197"/>
      <c r="AF1262" s="197"/>
      <c r="AG1262" s="197"/>
      <c r="AH1262" s="197"/>
      <c r="AI1262" s="197"/>
      <c r="AJ1262" s="197"/>
      <c r="AK1262" s="197"/>
      <c r="AL1262" s="197"/>
    </row>
    <row r="1263" spans="1:38">
      <c r="A1263" s="11" t="str">
        <f t="shared" si="81"/>
        <v>15-309865882012</v>
      </c>
      <c r="B1263" t="s">
        <v>693</v>
      </c>
      <c r="C1263" t="s">
        <v>694</v>
      </c>
      <c r="D1263">
        <v>2012</v>
      </c>
      <c r="E1263" t="s">
        <v>133</v>
      </c>
      <c r="F1263">
        <v>10014.030000000001</v>
      </c>
      <c r="G1263">
        <v>31</v>
      </c>
      <c r="H1263" s="11" t="str">
        <f t="shared" si="80"/>
        <v>count</v>
      </c>
      <c r="I1263" s="197"/>
      <c r="J1263" s="197"/>
      <c r="K1263" s="197"/>
      <c r="L1263" s="197"/>
      <c r="M1263" s="197"/>
      <c r="N1263" s="197"/>
      <c r="O1263" s="197"/>
      <c r="P1263" s="197"/>
      <c r="Q1263" s="197"/>
      <c r="R1263" s="197"/>
      <c r="S1263" s="197"/>
      <c r="T1263" s="197"/>
      <c r="U1263" s="197"/>
      <c r="V1263" s="197"/>
      <c r="W1263" s="197"/>
      <c r="X1263" s="197"/>
      <c r="Y1263" s="197"/>
      <c r="Z1263" s="197"/>
      <c r="AA1263" s="197"/>
      <c r="AB1263" s="197"/>
      <c r="AC1263" s="197"/>
      <c r="AD1263" s="197"/>
      <c r="AE1263" s="197"/>
      <c r="AF1263" s="197"/>
      <c r="AG1263" s="197"/>
      <c r="AH1263" s="197"/>
      <c r="AI1263" s="197"/>
      <c r="AJ1263" s="197"/>
      <c r="AK1263" s="197"/>
      <c r="AL1263" s="197"/>
    </row>
    <row r="1264" spans="1:38">
      <c r="A1264" s="11" t="str">
        <f t="shared" si="81"/>
        <v>15-421809072011</v>
      </c>
      <c r="B1264" t="s">
        <v>717</v>
      </c>
      <c r="C1264" t="s">
        <v>718</v>
      </c>
      <c r="D1264">
        <v>2011</v>
      </c>
      <c r="E1264" t="s">
        <v>105</v>
      </c>
      <c r="F1264">
        <v>3651.5</v>
      </c>
      <c r="G1264">
        <v>4</v>
      </c>
      <c r="H1264" s="11" t="str">
        <f t="shared" si="80"/>
        <v>volume</v>
      </c>
      <c r="I1264" s="197"/>
      <c r="J1264" s="197"/>
      <c r="K1264" s="197"/>
      <c r="L1264" s="197"/>
      <c r="M1264" s="197"/>
      <c r="N1264" s="197"/>
      <c r="O1264" s="197"/>
      <c r="P1264" s="197"/>
      <c r="Q1264" s="197"/>
      <c r="R1264" s="197"/>
      <c r="S1264" s="197"/>
      <c r="T1264" s="197"/>
      <c r="U1264" s="197"/>
      <c r="V1264" s="197"/>
      <c r="W1264" s="197"/>
      <c r="X1264" s="197"/>
      <c r="Y1264" s="197"/>
      <c r="Z1264" s="197"/>
      <c r="AA1264" s="197"/>
      <c r="AB1264" s="197"/>
      <c r="AC1264" s="197"/>
      <c r="AD1264" s="197"/>
      <c r="AE1264" s="197"/>
      <c r="AF1264" s="197"/>
      <c r="AG1264" s="197"/>
      <c r="AH1264" s="197"/>
      <c r="AI1264" s="197"/>
      <c r="AJ1264" s="197"/>
      <c r="AK1264" s="197"/>
      <c r="AL1264" s="197"/>
    </row>
    <row r="1265" spans="1:38">
      <c r="A1265" s="11" t="str">
        <f t="shared" si="81"/>
        <v>15-421809072013</v>
      </c>
      <c r="B1265" t="s">
        <v>717</v>
      </c>
      <c r="C1265" t="s">
        <v>718</v>
      </c>
      <c r="D1265">
        <v>2013</v>
      </c>
      <c r="E1265" t="s">
        <v>104</v>
      </c>
      <c r="F1265">
        <v>222272.56</v>
      </c>
      <c r="G1265">
        <v>348</v>
      </c>
      <c r="H1265" s="11" t="str">
        <f t="shared" si="80"/>
        <v>count</v>
      </c>
      <c r="I1265" s="197"/>
      <c r="J1265" s="197"/>
      <c r="K1265" s="197"/>
      <c r="L1265" s="197"/>
      <c r="M1265" s="197"/>
      <c r="N1265" s="197"/>
      <c r="O1265" s="197"/>
      <c r="P1265" s="197"/>
      <c r="Q1265" s="197"/>
      <c r="R1265" s="197"/>
      <c r="S1265" s="197"/>
      <c r="T1265" s="197"/>
      <c r="U1265" s="197"/>
      <c r="V1265" s="197"/>
      <c r="W1265" s="197"/>
      <c r="X1265" s="197"/>
      <c r="Y1265" s="197"/>
      <c r="Z1265" s="197"/>
      <c r="AA1265" s="197"/>
      <c r="AB1265" s="197"/>
      <c r="AC1265" s="197"/>
      <c r="AD1265" s="197"/>
      <c r="AE1265" s="197"/>
      <c r="AF1265" s="197"/>
      <c r="AG1265" s="197"/>
      <c r="AH1265" s="197"/>
      <c r="AI1265" s="197"/>
      <c r="AJ1265" s="197"/>
      <c r="AK1265" s="197"/>
      <c r="AL1265" s="197"/>
    </row>
    <row r="1266" spans="1:38">
      <c r="A1266" s="11" t="str">
        <f t="shared" si="81"/>
        <v>15-421809072013</v>
      </c>
      <c r="B1266" t="s">
        <v>717</v>
      </c>
      <c r="C1266" t="s">
        <v>718</v>
      </c>
      <c r="D1266">
        <v>2013</v>
      </c>
      <c r="E1266" t="s">
        <v>133</v>
      </c>
      <c r="F1266">
        <v>93776.22</v>
      </c>
      <c r="G1266">
        <v>127</v>
      </c>
      <c r="H1266" s="11" t="str">
        <f t="shared" si="80"/>
        <v>count</v>
      </c>
      <c r="I1266" s="197"/>
      <c r="J1266" s="197"/>
      <c r="K1266" s="197"/>
      <c r="L1266" s="197"/>
      <c r="M1266" s="197"/>
      <c r="N1266" s="197"/>
      <c r="O1266" s="197"/>
      <c r="P1266" s="197"/>
      <c r="Q1266" s="197"/>
      <c r="R1266" s="197"/>
      <c r="S1266" s="197"/>
      <c r="T1266" s="197"/>
      <c r="U1266" s="197"/>
      <c r="V1266" s="197"/>
      <c r="W1266" s="197"/>
      <c r="X1266" s="197"/>
      <c r="Y1266" s="197"/>
      <c r="Z1266" s="197"/>
      <c r="AA1266" s="197"/>
      <c r="AB1266" s="197"/>
      <c r="AC1266" s="197"/>
      <c r="AD1266" s="197"/>
      <c r="AE1266" s="197"/>
      <c r="AF1266" s="197"/>
      <c r="AG1266" s="197"/>
      <c r="AH1266" s="197"/>
      <c r="AI1266" s="197"/>
      <c r="AJ1266" s="197"/>
      <c r="AK1266" s="197"/>
      <c r="AL1266" s="197"/>
    </row>
    <row r="1267" spans="1:38">
      <c r="A1267" s="11" t="str">
        <f t="shared" si="81"/>
        <v>15-421809072013</v>
      </c>
      <c r="B1267" t="s">
        <v>717</v>
      </c>
      <c r="C1267" t="s">
        <v>718</v>
      </c>
      <c r="D1267">
        <v>2013</v>
      </c>
      <c r="E1267" t="s">
        <v>63</v>
      </c>
      <c r="F1267">
        <v>328391.02</v>
      </c>
      <c r="G1267">
        <v>480</v>
      </c>
      <c r="H1267" s="11" t="str">
        <f t="shared" si="80"/>
        <v>count</v>
      </c>
      <c r="I1267" s="197"/>
      <c r="J1267" s="197"/>
      <c r="K1267" s="197"/>
      <c r="L1267" s="197"/>
      <c r="M1267" s="197"/>
      <c r="N1267" s="197"/>
      <c r="O1267" s="197"/>
      <c r="P1267" s="197"/>
      <c r="Q1267" s="197"/>
      <c r="R1267" s="197"/>
      <c r="S1267" s="197"/>
      <c r="T1267" s="197"/>
      <c r="U1267" s="197"/>
      <c r="V1267" s="197"/>
      <c r="W1267" s="197"/>
      <c r="X1267" s="197"/>
      <c r="Y1267" s="197"/>
      <c r="Z1267" s="197"/>
      <c r="AA1267" s="197"/>
      <c r="AB1267" s="197"/>
      <c r="AC1267" s="197"/>
      <c r="AD1267" s="197"/>
      <c r="AE1267" s="197"/>
      <c r="AF1267" s="197"/>
      <c r="AG1267" s="197"/>
      <c r="AH1267" s="197"/>
      <c r="AI1267" s="197"/>
      <c r="AJ1267" s="197"/>
      <c r="AK1267" s="197"/>
      <c r="AL1267" s="197"/>
    </row>
    <row r="1268" spans="1:38">
      <c r="A1268" s="11" t="str">
        <f t="shared" si="81"/>
        <v>15-421809072013</v>
      </c>
      <c r="B1268" t="s">
        <v>717</v>
      </c>
      <c r="C1268" t="s">
        <v>718</v>
      </c>
      <c r="D1268">
        <v>2013</v>
      </c>
      <c r="E1268" t="s">
        <v>69</v>
      </c>
      <c r="F1268">
        <v>287750.92</v>
      </c>
      <c r="G1268">
        <v>486</v>
      </c>
      <c r="H1268" s="11" t="str">
        <f t="shared" si="80"/>
        <v>count</v>
      </c>
      <c r="I1268" s="197"/>
      <c r="J1268" s="197"/>
      <c r="K1268" s="197"/>
      <c r="L1268" s="197"/>
      <c r="M1268" s="197"/>
      <c r="N1268" s="197"/>
      <c r="O1268" s="197"/>
      <c r="P1268" s="197"/>
      <c r="Q1268" s="197"/>
      <c r="R1268" s="197"/>
      <c r="S1268" s="197"/>
      <c r="T1268" s="197"/>
      <c r="U1268" s="197"/>
      <c r="V1268" s="197"/>
      <c r="W1268" s="197"/>
      <c r="X1268" s="197"/>
      <c r="Y1268" s="197"/>
      <c r="Z1268" s="197"/>
      <c r="AA1268" s="197"/>
      <c r="AB1268" s="197"/>
      <c r="AC1268" s="197"/>
      <c r="AD1268" s="197"/>
      <c r="AE1268" s="197"/>
      <c r="AF1268" s="197"/>
      <c r="AG1268" s="197"/>
      <c r="AH1268" s="197"/>
      <c r="AI1268" s="197"/>
      <c r="AJ1268" s="197"/>
      <c r="AK1268" s="197"/>
      <c r="AL1268" s="197"/>
    </row>
    <row r="1269" spans="1:38">
      <c r="A1269" s="11" t="str">
        <f t="shared" si="81"/>
        <v>15-421809072012</v>
      </c>
      <c r="B1269" t="s">
        <v>717</v>
      </c>
      <c r="C1269" t="s">
        <v>718</v>
      </c>
      <c r="D1269">
        <v>2012</v>
      </c>
      <c r="E1269" t="s">
        <v>133</v>
      </c>
      <c r="F1269">
        <v>90088.12</v>
      </c>
      <c r="G1269">
        <v>146</v>
      </c>
      <c r="H1269" s="11" t="str">
        <f t="shared" si="80"/>
        <v>count</v>
      </c>
      <c r="I1269" s="197"/>
      <c r="J1269" s="197"/>
      <c r="K1269" s="197"/>
      <c r="L1269" s="197"/>
      <c r="M1269" s="197"/>
      <c r="N1269" s="197"/>
      <c r="O1269" s="197"/>
      <c r="P1269" s="197"/>
      <c r="Q1269" s="197"/>
      <c r="R1269" s="197"/>
      <c r="S1269" s="197"/>
      <c r="T1269" s="197"/>
      <c r="U1269" s="197"/>
      <c r="V1269" s="197"/>
      <c r="W1269" s="197"/>
      <c r="X1269" s="197"/>
      <c r="Y1269" s="197"/>
      <c r="Z1269" s="197"/>
      <c r="AA1269" s="197"/>
      <c r="AB1269" s="197"/>
      <c r="AC1269" s="197"/>
      <c r="AD1269" s="197"/>
      <c r="AE1269" s="197"/>
      <c r="AF1269" s="197"/>
      <c r="AG1269" s="197"/>
      <c r="AH1269" s="197"/>
      <c r="AI1269" s="197"/>
      <c r="AJ1269" s="197"/>
      <c r="AK1269" s="197"/>
      <c r="AL1269" s="197"/>
    </row>
    <row r="1270" spans="1:38">
      <c r="A1270" s="11" t="str">
        <f t="shared" si="81"/>
        <v>15-421809072012</v>
      </c>
      <c r="B1270" t="s">
        <v>717</v>
      </c>
      <c r="C1270" t="s">
        <v>718</v>
      </c>
      <c r="D1270">
        <v>2012</v>
      </c>
      <c r="E1270" t="s">
        <v>1076</v>
      </c>
      <c r="F1270">
        <v>17754.88</v>
      </c>
      <c r="G1270">
        <v>31</v>
      </c>
      <c r="H1270" s="11" t="str">
        <f t="shared" si="80"/>
        <v>count</v>
      </c>
      <c r="I1270" s="197"/>
      <c r="J1270" s="197"/>
      <c r="K1270" s="197"/>
      <c r="L1270" s="197"/>
      <c r="M1270" s="197"/>
      <c r="N1270" s="197"/>
      <c r="O1270" s="197"/>
      <c r="P1270" s="197"/>
      <c r="Q1270" s="197"/>
      <c r="R1270" s="197"/>
      <c r="S1270" s="197"/>
      <c r="T1270" s="197"/>
      <c r="U1270" s="197"/>
      <c r="V1270" s="197"/>
      <c r="W1270" s="197"/>
      <c r="X1270" s="197"/>
      <c r="Y1270" s="197"/>
      <c r="Z1270" s="197"/>
      <c r="AA1270" s="197"/>
      <c r="AB1270" s="197"/>
      <c r="AC1270" s="197"/>
      <c r="AD1270" s="197"/>
      <c r="AE1270" s="197"/>
      <c r="AF1270" s="197"/>
      <c r="AG1270" s="197"/>
      <c r="AH1270" s="197"/>
      <c r="AI1270" s="197"/>
      <c r="AJ1270" s="197"/>
      <c r="AK1270" s="197"/>
      <c r="AL1270" s="197"/>
    </row>
    <row r="1271" spans="1:38">
      <c r="A1271" s="11" t="str">
        <f t="shared" si="81"/>
        <v>15-421809072012</v>
      </c>
      <c r="B1271" t="s">
        <v>717</v>
      </c>
      <c r="C1271" t="s">
        <v>718</v>
      </c>
      <c r="D1271">
        <v>2012</v>
      </c>
      <c r="E1271" t="s">
        <v>1075</v>
      </c>
      <c r="F1271">
        <v>36768.239999999998</v>
      </c>
      <c r="G1271">
        <v>74</v>
      </c>
      <c r="H1271" s="11" t="str">
        <f t="shared" si="80"/>
        <v>count</v>
      </c>
      <c r="I1271" s="197"/>
      <c r="J1271" s="197"/>
      <c r="K1271" s="197"/>
      <c r="L1271" s="197"/>
      <c r="M1271" s="197"/>
      <c r="N1271" s="197"/>
      <c r="O1271" s="197"/>
      <c r="P1271" s="197"/>
      <c r="Q1271" s="197"/>
      <c r="R1271" s="197"/>
      <c r="S1271" s="197"/>
      <c r="T1271" s="197"/>
      <c r="U1271" s="197"/>
      <c r="V1271" s="197"/>
      <c r="W1271" s="197"/>
      <c r="X1271" s="197"/>
      <c r="Y1271" s="197"/>
      <c r="Z1271" s="197"/>
      <c r="AA1271" s="197"/>
      <c r="AB1271" s="197"/>
      <c r="AC1271" s="197"/>
      <c r="AD1271" s="197"/>
      <c r="AE1271" s="197"/>
      <c r="AF1271" s="197"/>
      <c r="AG1271" s="197"/>
      <c r="AH1271" s="197"/>
      <c r="AI1271" s="197"/>
      <c r="AJ1271" s="197"/>
      <c r="AK1271" s="197"/>
      <c r="AL1271" s="197"/>
    </row>
    <row r="1272" spans="1:38">
      <c r="A1272" s="11" t="str">
        <f t="shared" si="81"/>
        <v>15-421809072012</v>
      </c>
      <c r="B1272" t="s">
        <v>717</v>
      </c>
      <c r="C1272" t="s">
        <v>718</v>
      </c>
      <c r="D1272">
        <v>2012</v>
      </c>
      <c r="E1272" t="s">
        <v>105</v>
      </c>
      <c r="F1272">
        <v>69626.850000000006</v>
      </c>
      <c r="G1272">
        <v>111</v>
      </c>
      <c r="H1272" s="11" t="str">
        <f t="shared" si="80"/>
        <v>count</v>
      </c>
      <c r="I1272" s="197"/>
      <c r="J1272" s="197"/>
      <c r="K1272" s="197"/>
      <c r="L1272" s="197"/>
      <c r="M1272" s="197"/>
      <c r="N1272" s="197"/>
      <c r="O1272" s="197"/>
      <c r="P1272" s="197"/>
      <c r="Q1272" s="197"/>
      <c r="R1272" s="197"/>
      <c r="S1272" s="197"/>
      <c r="T1272" s="197"/>
      <c r="U1272" s="197"/>
      <c r="V1272" s="197"/>
      <c r="W1272" s="197"/>
      <c r="X1272" s="197"/>
      <c r="Y1272" s="197"/>
      <c r="Z1272" s="197"/>
      <c r="AA1272" s="197"/>
      <c r="AB1272" s="197"/>
      <c r="AC1272" s="197"/>
      <c r="AD1272" s="197"/>
      <c r="AE1272" s="197"/>
      <c r="AF1272" s="197"/>
      <c r="AG1272" s="197"/>
      <c r="AH1272" s="197"/>
      <c r="AI1272" s="197"/>
      <c r="AJ1272" s="197"/>
      <c r="AK1272" s="197"/>
      <c r="AL1272" s="197"/>
    </row>
    <row r="1273" spans="1:38">
      <c r="A1273" s="11" t="str">
        <f t="shared" si="81"/>
        <v>15-421809072012</v>
      </c>
      <c r="B1273" t="s">
        <v>717</v>
      </c>
      <c r="C1273" t="s">
        <v>718</v>
      </c>
      <c r="D1273">
        <v>2012</v>
      </c>
      <c r="E1273" t="s">
        <v>69</v>
      </c>
      <c r="F1273">
        <v>225323.71</v>
      </c>
      <c r="G1273">
        <v>394</v>
      </c>
      <c r="H1273" s="11" t="str">
        <f t="shared" si="80"/>
        <v>count</v>
      </c>
      <c r="I1273" s="197"/>
      <c r="J1273" s="197"/>
      <c r="K1273" s="197"/>
      <c r="L1273" s="197"/>
      <c r="M1273" s="197"/>
      <c r="N1273" s="197"/>
      <c r="O1273" s="197"/>
      <c r="P1273" s="197"/>
      <c r="Q1273" s="197"/>
      <c r="R1273" s="197"/>
      <c r="S1273" s="197"/>
      <c r="T1273" s="197"/>
      <c r="U1273" s="197"/>
      <c r="V1273" s="197"/>
      <c r="W1273" s="197"/>
      <c r="X1273" s="197"/>
      <c r="Y1273" s="197"/>
      <c r="Z1273" s="197"/>
      <c r="AA1273" s="197"/>
      <c r="AB1273" s="197"/>
      <c r="AC1273" s="197"/>
      <c r="AD1273" s="197"/>
      <c r="AE1273" s="197"/>
      <c r="AF1273" s="197"/>
      <c r="AG1273" s="197"/>
      <c r="AH1273" s="197"/>
      <c r="AI1273" s="197"/>
      <c r="AJ1273" s="197"/>
      <c r="AK1273" s="197"/>
      <c r="AL1273" s="197"/>
    </row>
    <row r="1274" spans="1:38">
      <c r="A1274" s="11" t="str">
        <f t="shared" si="81"/>
        <v>15-421809072011</v>
      </c>
      <c r="B1274" t="s">
        <v>717</v>
      </c>
      <c r="C1274" t="s">
        <v>718</v>
      </c>
      <c r="D1274">
        <v>2011</v>
      </c>
      <c r="E1274" t="s">
        <v>1075</v>
      </c>
      <c r="F1274">
        <v>909</v>
      </c>
      <c r="G1274">
        <v>2</v>
      </c>
      <c r="H1274" s="11" t="str">
        <f t="shared" si="80"/>
        <v>count</v>
      </c>
      <c r="I1274" s="197"/>
      <c r="J1274" s="197"/>
      <c r="K1274" s="197"/>
      <c r="L1274" s="197"/>
      <c r="M1274" s="197"/>
      <c r="N1274" s="197"/>
      <c r="O1274" s="197"/>
      <c r="P1274" s="197"/>
      <c r="Q1274" s="197"/>
      <c r="R1274" s="197"/>
      <c r="S1274" s="197"/>
      <c r="T1274" s="197"/>
      <c r="U1274" s="197"/>
      <c r="V1274" s="197"/>
      <c r="W1274" s="197"/>
      <c r="X1274" s="197"/>
      <c r="Y1274" s="197"/>
      <c r="Z1274" s="197"/>
      <c r="AA1274" s="197"/>
      <c r="AB1274" s="197"/>
      <c r="AC1274" s="197"/>
      <c r="AD1274" s="197"/>
      <c r="AE1274" s="197"/>
      <c r="AF1274" s="197"/>
      <c r="AG1274" s="197"/>
      <c r="AH1274" s="197"/>
      <c r="AI1274" s="197"/>
      <c r="AJ1274" s="197"/>
      <c r="AK1274" s="197"/>
      <c r="AL1274" s="197"/>
    </row>
    <row r="1275" spans="1:38">
      <c r="A1275" s="11" t="str">
        <f t="shared" si="81"/>
        <v>15-421809072011</v>
      </c>
      <c r="B1275" t="s">
        <v>717</v>
      </c>
      <c r="C1275" t="s">
        <v>718</v>
      </c>
      <c r="D1275">
        <v>2011</v>
      </c>
      <c r="E1275" t="s">
        <v>104</v>
      </c>
      <c r="F1275">
        <v>4361.42</v>
      </c>
      <c r="G1275">
        <v>8</v>
      </c>
      <c r="H1275" s="11" t="str">
        <f t="shared" si="80"/>
        <v>count</v>
      </c>
      <c r="I1275" s="197"/>
      <c r="J1275" s="197"/>
      <c r="K1275" s="197"/>
      <c r="L1275" s="197"/>
      <c r="M1275" s="197"/>
      <c r="N1275" s="197"/>
      <c r="O1275" s="197"/>
      <c r="P1275" s="197"/>
      <c r="Q1275" s="197"/>
      <c r="R1275" s="197"/>
      <c r="S1275" s="197"/>
      <c r="T1275" s="197"/>
      <c r="U1275" s="197"/>
      <c r="V1275" s="197"/>
      <c r="W1275" s="197"/>
      <c r="X1275" s="197"/>
      <c r="Y1275" s="197"/>
      <c r="Z1275" s="197"/>
      <c r="AA1275" s="197"/>
      <c r="AB1275" s="197"/>
      <c r="AC1275" s="197"/>
      <c r="AD1275" s="197"/>
      <c r="AE1275" s="197"/>
      <c r="AF1275" s="197"/>
      <c r="AG1275" s="197"/>
      <c r="AH1275" s="197"/>
      <c r="AI1275" s="197"/>
      <c r="AJ1275" s="197"/>
      <c r="AK1275" s="197"/>
      <c r="AL1275" s="197"/>
    </row>
    <row r="1276" spans="1:38">
      <c r="A1276" s="11" t="str">
        <f t="shared" si="81"/>
        <v>15-421809072011</v>
      </c>
      <c r="B1276" t="s">
        <v>717</v>
      </c>
      <c r="C1276" t="s">
        <v>718</v>
      </c>
      <c r="D1276">
        <v>2011</v>
      </c>
      <c r="E1276" t="s">
        <v>1074</v>
      </c>
      <c r="F1276">
        <v>511.1</v>
      </c>
      <c r="G1276">
        <v>1</v>
      </c>
      <c r="H1276" s="11" t="str">
        <f t="shared" si="80"/>
        <v>count</v>
      </c>
      <c r="I1276" s="197"/>
      <c r="J1276" s="197"/>
      <c r="K1276" s="197"/>
      <c r="L1276" s="197"/>
      <c r="M1276" s="197"/>
      <c r="N1276" s="197"/>
      <c r="O1276" s="197"/>
      <c r="P1276" s="197"/>
      <c r="Q1276" s="197"/>
      <c r="R1276" s="197"/>
      <c r="S1276" s="197"/>
      <c r="T1276" s="197"/>
      <c r="U1276" s="197"/>
      <c r="V1276" s="197"/>
      <c r="W1276" s="197"/>
      <c r="X1276" s="197"/>
      <c r="Y1276" s="197"/>
      <c r="Z1276" s="197"/>
      <c r="AA1276" s="197"/>
      <c r="AB1276" s="197"/>
      <c r="AC1276" s="197"/>
      <c r="AD1276" s="197"/>
      <c r="AE1276" s="197"/>
      <c r="AF1276" s="197"/>
      <c r="AG1276" s="197"/>
      <c r="AH1276" s="197"/>
      <c r="AI1276" s="197"/>
      <c r="AJ1276" s="197"/>
      <c r="AK1276" s="197"/>
      <c r="AL1276" s="197"/>
    </row>
    <row r="1277" spans="1:38">
      <c r="A1277" s="11" t="str">
        <f t="shared" si="81"/>
        <v>15-421809072011</v>
      </c>
      <c r="B1277" t="s">
        <v>717</v>
      </c>
      <c r="C1277" t="s">
        <v>718</v>
      </c>
      <c r="D1277">
        <v>2011</v>
      </c>
      <c r="E1277" t="s">
        <v>133</v>
      </c>
      <c r="F1277">
        <v>240.21</v>
      </c>
      <c r="G1277">
        <v>1</v>
      </c>
      <c r="H1277" s="11" t="str">
        <f t="shared" si="80"/>
        <v>count</v>
      </c>
      <c r="I1277" s="197"/>
      <c r="J1277" s="197"/>
      <c r="K1277" s="197"/>
      <c r="L1277" s="197"/>
      <c r="M1277" s="197"/>
      <c r="N1277" s="197"/>
      <c r="O1277" s="197"/>
      <c r="P1277" s="197"/>
      <c r="Q1277" s="197"/>
      <c r="R1277" s="197"/>
      <c r="S1277" s="197"/>
      <c r="T1277" s="197"/>
      <c r="U1277" s="197"/>
      <c r="V1277" s="197"/>
      <c r="W1277" s="197"/>
      <c r="X1277" s="197"/>
      <c r="Y1277" s="197"/>
      <c r="Z1277" s="197"/>
      <c r="AA1277" s="197"/>
      <c r="AB1277" s="197"/>
      <c r="AC1277" s="197"/>
      <c r="AD1277" s="197"/>
      <c r="AE1277" s="197"/>
      <c r="AF1277" s="197"/>
      <c r="AG1277" s="197"/>
      <c r="AH1277" s="197"/>
      <c r="AI1277" s="197"/>
      <c r="AJ1277" s="197"/>
      <c r="AK1277" s="197"/>
      <c r="AL1277" s="197"/>
    </row>
    <row r="1278" spans="1:38">
      <c r="A1278" s="11" t="str">
        <f t="shared" si="81"/>
        <v>15-421809072012</v>
      </c>
      <c r="B1278" t="s">
        <v>717</v>
      </c>
      <c r="C1278" t="s">
        <v>718</v>
      </c>
      <c r="D1278">
        <v>2012</v>
      </c>
      <c r="E1278" t="s">
        <v>106</v>
      </c>
      <c r="F1278">
        <v>5296.02</v>
      </c>
      <c r="G1278">
        <v>6</v>
      </c>
      <c r="H1278" s="11" t="str">
        <f t="shared" si="80"/>
        <v>count</v>
      </c>
      <c r="I1278" s="197"/>
      <c r="J1278" s="197"/>
      <c r="K1278" s="197"/>
      <c r="L1278" s="197"/>
      <c r="M1278" s="197"/>
      <c r="N1278" s="197"/>
      <c r="O1278" s="197"/>
      <c r="P1278" s="197"/>
      <c r="Q1278" s="197"/>
      <c r="R1278" s="197"/>
      <c r="S1278" s="197"/>
      <c r="T1278" s="197"/>
      <c r="U1278" s="197"/>
      <c r="V1278" s="197"/>
      <c r="W1278" s="197"/>
      <c r="X1278" s="197"/>
      <c r="Y1278" s="197"/>
      <c r="Z1278" s="197"/>
      <c r="AA1278" s="197"/>
      <c r="AB1278" s="197"/>
      <c r="AC1278" s="197"/>
      <c r="AD1278" s="197"/>
      <c r="AE1278" s="197"/>
      <c r="AF1278" s="197"/>
      <c r="AG1278" s="197"/>
      <c r="AH1278" s="197"/>
      <c r="AI1278" s="197"/>
      <c r="AJ1278" s="197"/>
      <c r="AK1278" s="197"/>
      <c r="AL1278" s="197"/>
    </row>
    <row r="1279" spans="1:38">
      <c r="A1279" s="11" t="str">
        <f t="shared" si="81"/>
        <v>15-421809072011</v>
      </c>
      <c r="B1279" t="s">
        <v>717</v>
      </c>
      <c r="C1279" t="s">
        <v>718</v>
      </c>
      <c r="D1279">
        <v>2011</v>
      </c>
      <c r="E1279" t="s">
        <v>63</v>
      </c>
      <c r="F1279">
        <v>7289.32</v>
      </c>
      <c r="G1279">
        <v>14</v>
      </c>
      <c r="H1279" s="11" t="str">
        <f t="shared" si="80"/>
        <v>count</v>
      </c>
      <c r="I1279" s="197"/>
      <c r="J1279" s="197"/>
      <c r="K1279" s="197"/>
      <c r="L1279" s="197"/>
      <c r="M1279" s="197"/>
      <c r="N1279" s="197"/>
      <c r="O1279" s="197"/>
      <c r="P1279" s="197"/>
      <c r="Q1279" s="197"/>
      <c r="R1279" s="197"/>
      <c r="S1279" s="197"/>
      <c r="T1279" s="197"/>
      <c r="U1279" s="197"/>
      <c r="V1279" s="197"/>
      <c r="W1279" s="197"/>
      <c r="X1279" s="197"/>
      <c r="Y1279" s="197"/>
      <c r="Z1279" s="197"/>
      <c r="AA1279" s="197"/>
      <c r="AB1279" s="197"/>
      <c r="AC1279" s="197"/>
      <c r="AD1279" s="197"/>
      <c r="AE1279" s="197"/>
      <c r="AF1279" s="197"/>
      <c r="AG1279" s="197"/>
      <c r="AH1279" s="197"/>
      <c r="AI1279" s="197"/>
      <c r="AJ1279" s="197"/>
      <c r="AK1279" s="197"/>
      <c r="AL1279" s="197"/>
    </row>
    <row r="1280" spans="1:38">
      <c r="A1280" s="11" t="str">
        <f t="shared" si="81"/>
        <v>15-421809072013</v>
      </c>
      <c r="B1280" t="s">
        <v>717</v>
      </c>
      <c r="C1280" t="s">
        <v>718</v>
      </c>
      <c r="D1280">
        <v>2013</v>
      </c>
      <c r="E1280" t="s">
        <v>105</v>
      </c>
      <c r="F1280">
        <v>72656.39</v>
      </c>
      <c r="G1280">
        <v>96</v>
      </c>
      <c r="H1280" s="11" t="str">
        <f t="shared" si="80"/>
        <v>count</v>
      </c>
      <c r="I1280" s="197"/>
      <c r="J1280" s="197"/>
      <c r="K1280" s="197"/>
      <c r="L1280" s="197"/>
      <c r="M1280" s="197"/>
      <c r="N1280" s="197"/>
      <c r="O1280" s="197"/>
      <c r="P1280" s="197"/>
      <c r="Q1280" s="197"/>
      <c r="R1280" s="197"/>
      <c r="S1280" s="197"/>
      <c r="T1280" s="197"/>
      <c r="U1280" s="197"/>
      <c r="V1280" s="197"/>
      <c r="W1280" s="197"/>
      <c r="X1280" s="197"/>
      <c r="Y1280" s="197"/>
      <c r="Z1280" s="197"/>
      <c r="AA1280" s="197"/>
      <c r="AB1280" s="197"/>
      <c r="AC1280" s="197"/>
      <c r="AD1280" s="197"/>
      <c r="AE1280" s="197"/>
      <c r="AF1280" s="197"/>
      <c r="AG1280" s="197"/>
      <c r="AH1280" s="197"/>
      <c r="AI1280" s="197"/>
      <c r="AJ1280" s="197"/>
      <c r="AK1280" s="197"/>
      <c r="AL1280" s="197"/>
    </row>
    <row r="1281" spans="1:38">
      <c r="A1281" s="11" t="str">
        <f t="shared" si="81"/>
        <v>15-421809072012</v>
      </c>
      <c r="B1281" t="s">
        <v>717</v>
      </c>
      <c r="C1281" t="s">
        <v>718</v>
      </c>
      <c r="D1281">
        <v>2012</v>
      </c>
      <c r="E1281" t="s">
        <v>104</v>
      </c>
      <c r="F1281">
        <v>221124.13</v>
      </c>
      <c r="G1281">
        <v>376</v>
      </c>
      <c r="H1281" s="11" t="str">
        <f t="shared" si="80"/>
        <v>count</v>
      </c>
      <c r="I1281" s="197"/>
      <c r="J1281" s="197"/>
      <c r="K1281" s="197"/>
      <c r="L1281" s="197"/>
      <c r="M1281" s="197"/>
      <c r="N1281" s="197"/>
      <c r="O1281" s="197"/>
      <c r="P1281" s="197"/>
      <c r="Q1281" s="197"/>
      <c r="R1281" s="197"/>
      <c r="S1281" s="197"/>
      <c r="T1281" s="197"/>
      <c r="U1281" s="197"/>
      <c r="V1281" s="197"/>
      <c r="W1281" s="197"/>
      <c r="X1281" s="197"/>
      <c r="Y1281" s="197"/>
      <c r="Z1281" s="197"/>
      <c r="AA1281" s="197"/>
      <c r="AB1281" s="197"/>
      <c r="AC1281" s="197"/>
      <c r="AD1281" s="197"/>
      <c r="AE1281" s="197"/>
      <c r="AF1281" s="197"/>
      <c r="AG1281" s="197"/>
      <c r="AH1281" s="197"/>
      <c r="AI1281" s="197"/>
      <c r="AJ1281" s="197"/>
      <c r="AK1281" s="197"/>
      <c r="AL1281" s="197"/>
    </row>
    <row r="1282" spans="1:38">
      <c r="A1282" s="11" t="str">
        <f t="shared" si="81"/>
        <v>15-421809072011</v>
      </c>
      <c r="B1282" t="s">
        <v>717</v>
      </c>
      <c r="C1282" t="s">
        <v>718</v>
      </c>
      <c r="D1282">
        <v>2011</v>
      </c>
      <c r="E1282" t="s">
        <v>1076</v>
      </c>
      <c r="F1282">
        <v>1643</v>
      </c>
      <c r="G1282">
        <v>2</v>
      </c>
      <c r="H1282" s="11" t="str">
        <f t="shared" ref="H1282:H1345" si="82">IF(B1282=B1281,"count","volume")</f>
        <v>count</v>
      </c>
      <c r="I1282" s="197"/>
      <c r="J1282" s="197"/>
      <c r="K1282" s="197"/>
      <c r="L1282" s="197"/>
      <c r="M1282" s="197"/>
      <c r="N1282" s="197"/>
      <c r="O1282" s="197"/>
      <c r="P1282" s="197"/>
      <c r="Q1282" s="197"/>
      <c r="R1282" s="197"/>
      <c r="S1282" s="197"/>
      <c r="T1282" s="197"/>
      <c r="U1282" s="197"/>
      <c r="V1282" s="197"/>
      <c r="W1282" s="197"/>
      <c r="X1282" s="197"/>
      <c r="Y1282" s="197"/>
      <c r="Z1282" s="197"/>
      <c r="AA1282" s="197"/>
      <c r="AB1282" s="197"/>
      <c r="AC1282" s="197"/>
      <c r="AD1282" s="197"/>
      <c r="AE1282" s="197"/>
      <c r="AF1282" s="197"/>
      <c r="AG1282" s="197"/>
      <c r="AH1282" s="197"/>
      <c r="AI1282" s="197"/>
      <c r="AJ1282" s="197"/>
      <c r="AK1282" s="197"/>
      <c r="AL1282" s="197"/>
    </row>
    <row r="1283" spans="1:38">
      <c r="A1283" s="11" t="str">
        <f t="shared" ref="A1283:A1346" si="83">B1283&amp;D1283</f>
        <v>15-421809072012</v>
      </c>
      <c r="B1283" t="s">
        <v>717</v>
      </c>
      <c r="C1283" t="s">
        <v>718</v>
      </c>
      <c r="D1283">
        <v>2012</v>
      </c>
      <c r="E1283" t="s">
        <v>1074</v>
      </c>
      <c r="F1283">
        <v>30464.080000000002</v>
      </c>
      <c r="G1283">
        <v>50</v>
      </c>
      <c r="H1283" s="11" t="str">
        <f t="shared" si="82"/>
        <v>count</v>
      </c>
      <c r="I1283" s="197"/>
      <c r="J1283" s="197"/>
      <c r="K1283" s="197"/>
      <c r="L1283" s="197"/>
      <c r="M1283" s="197"/>
      <c r="N1283" s="197"/>
      <c r="O1283" s="197"/>
      <c r="P1283" s="197"/>
      <c r="Q1283" s="197"/>
      <c r="R1283" s="197"/>
      <c r="S1283" s="197"/>
      <c r="T1283" s="197"/>
      <c r="U1283" s="197"/>
      <c r="V1283" s="197"/>
      <c r="W1283" s="197"/>
      <c r="X1283" s="197"/>
      <c r="Y1283" s="197"/>
      <c r="Z1283" s="197"/>
      <c r="AA1283" s="197"/>
      <c r="AB1283" s="197"/>
      <c r="AC1283" s="197"/>
      <c r="AD1283" s="197"/>
      <c r="AE1283" s="197"/>
      <c r="AF1283" s="197"/>
      <c r="AG1283" s="197"/>
      <c r="AH1283" s="197"/>
      <c r="AI1283" s="197"/>
      <c r="AJ1283" s="197"/>
      <c r="AK1283" s="197"/>
      <c r="AL1283" s="197"/>
    </row>
    <row r="1284" spans="1:38">
      <c r="A1284" s="11" t="str">
        <f t="shared" si="83"/>
        <v>15-421809072012</v>
      </c>
      <c r="B1284" t="s">
        <v>717</v>
      </c>
      <c r="C1284" t="s">
        <v>718</v>
      </c>
      <c r="D1284">
        <v>2012</v>
      </c>
      <c r="E1284" t="s">
        <v>63</v>
      </c>
      <c r="F1284">
        <v>367048.83</v>
      </c>
      <c r="G1284">
        <v>623</v>
      </c>
      <c r="H1284" s="11" t="str">
        <f t="shared" si="82"/>
        <v>count</v>
      </c>
      <c r="I1284" s="197"/>
      <c r="J1284" s="197"/>
      <c r="K1284" s="197"/>
      <c r="L1284" s="197"/>
      <c r="M1284" s="197"/>
      <c r="N1284" s="197"/>
      <c r="O1284" s="197"/>
      <c r="P1284" s="197"/>
      <c r="Q1284" s="197"/>
      <c r="R1284" s="197"/>
      <c r="S1284" s="197"/>
      <c r="T1284" s="197"/>
      <c r="U1284" s="197"/>
      <c r="V1284" s="197"/>
      <c r="W1284" s="197"/>
      <c r="X1284" s="197"/>
      <c r="Y1284" s="197"/>
      <c r="Z1284" s="197"/>
      <c r="AA1284" s="197"/>
      <c r="AB1284" s="197"/>
      <c r="AC1284" s="197"/>
      <c r="AD1284" s="197"/>
      <c r="AE1284" s="197"/>
      <c r="AF1284" s="197"/>
      <c r="AG1284" s="197"/>
      <c r="AH1284" s="197"/>
      <c r="AI1284" s="197"/>
      <c r="AJ1284" s="197"/>
      <c r="AK1284" s="197"/>
      <c r="AL1284" s="197"/>
    </row>
    <row r="1285" spans="1:38">
      <c r="A1285" s="11" t="str">
        <f t="shared" si="83"/>
        <v>15-422034532012</v>
      </c>
      <c r="B1285" t="s">
        <v>719</v>
      </c>
      <c r="C1285" t="s">
        <v>720</v>
      </c>
      <c r="D1285">
        <v>2012</v>
      </c>
      <c r="E1285" t="s">
        <v>104</v>
      </c>
      <c r="F1285">
        <v>1822310.57</v>
      </c>
      <c r="G1285">
        <v>2362</v>
      </c>
      <c r="H1285" s="11" t="str">
        <f t="shared" si="82"/>
        <v>volume</v>
      </c>
      <c r="I1285" s="197"/>
      <c r="J1285" s="197"/>
      <c r="K1285" s="197"/>
      <c r="L1285" s="197"/>
      <c r="M1285" s="197"/>
      <c r="N1285" s="197"/>
      <c r="O1285" s="197"/>
      <c r="P1285" s="197"/>
      <c r="Q1285" s="197"/>
      <c r="R1285" s="197"/>
      <c r="S1285" s="197"/>
      <c r="T1285" s="197"/>
      <c r="U1285" s="197"/>
      <c r="V1285" s="197"/>
      <c r="W1285" s="197"/>
      <c r="X1285" s="197"/>
      <c r="Y1285" s="197"/>
      <c r="Z1285" s="197"/>
      <c r="AA1285" s="197"/>
      <c r="AB1285" s="197"/>
      <c r="AC1285" s="197"/>
      <c r="AD1285" s="197"/>
      <c r="AE1285" s="197"/>
      <c r="AF1285" s="197"/>
      <c r="AG1285" s="197"/>
      <c r="AH1285" s="197"/>
      <c r="AI1285" s="197"/>
      <c r="AJ1285" s="197"/>
      <c r="AK1285" s="197"/>
      <c r="AL1285" s="197"/>
    </row>
    <row r="1286" spans="1:38">
      <c r="A1286" s="11" t="str">
        <f t="shared" si="83"/>
        <v>15-422034532013</v>
      </c>
      <c r="B1286" t="s">
        <v>719</v>
      </c>
      <c r="C1286" t="s">
        <v>720</v>
      </c>
      <c r="D1286">
        <v>2013</v>
      </c>
      <c r="E1286" t="s">
        <v>69</v>
      </c>
      <c r="F1286">
        <v>1409219.67</v>
      </c>
      <c r="G1286">
        <v>3076</v>
      </c>
      <c r="H1286" s="11" t="str">
        <f t="shared" si="82"/>
        <v>count</v>
      </c>
      <c r="I1286" s="197"/>
      <c r="J1286" s="197"/>
      <c r="K1286" s="197"/>
      <c r="L1286" s="197"/>
      <c r="M1286" s="197"/>
      <c r="N1286" s="197"/>
      <c r="O1286" s="197"/>
      <c r="P1286" s="197"/>
      <c r="Q1286" s="197"/>
      <c r="R1286" s="197"/>
      <c r="S1286" s="197"/>
      <c r="T1286" s="197"/>
      <c r="U1286" s="197"/>
      <c r="V1286" s="197"/>
      <c r="W1286" s="197"/>
      <c r="X1286" s="197"/>
      <c r="Y1286" s="197"/>
      <c r="Z1286" s="197"/>
      <c r="AA1286" s="197"/>
      <c r="AB1286" s="197"/>
      <c r="AC1286" s="197"/>
      <c r="AD1286" s="197"/>
      <c r="AE1286" s="197"/>
      <c r="AF1286" s="197"/>
      <c r="AG1286" s="197"/>
      <c r="AH1286" s="197"/>
      <c r="AI1286" s="197"/>
      <c r="AJ1286" s="197"/>
      <c r="AK1286" s="197"/>
      <c r="AL1286" s="197"/>
    </row>
    <row r="1287" spans="1:38">
      <c r="A1287" s="11" t="str">
        <f t="shared" si="83"/>
        <v>15-422034532012</v>
      </c>
      <c r="B1287" t="s">
        <v>719</v>
      </c>
      <c r="C1287" t="s">
        <v>720</v>
      </c>
      <c r="D1287">
        <v>2012</v>
      </c>
      <c r="E1287" t="s">
        <v>63</v>
      </c>
      <c r="F1287">
        <v>2837617</v>
      </c>
      <c r="G1287">
        <v>3688</v>
      </c>
      <c r="H1287" s="11" t="str">
        <f t="shared" si="82"/>
        <v>count</v>
      </c>
      <c r="I1287" s="197"/>
      <c r="J1287" s="197"/>
      <c r="K1287" s="197"/>
      <c r="L1287" s="197"/>
      <c r="M1287" s="197"/>
      <c r="N1287" s="197"/>
      <c r="O1287" s="197"/>
      <c r="P1287" s="197"/>
      <c r="Q1287" s="197"/>
      <c r="R1287" s="197"/>
      <c r="S1287" s="197"/>
      <c r="T1287" s="197"/>
      <c r="U1287" s="197"/>
      <c r="V1287" s="197"/>
      <c r="W1287" s="197"/>
      <c r="X1287" s="197"/>
      <c r="Y1287" s="197"/>
      <c r="Z1287" s="197"/>
      <c r="AA1287" s="197"/>
      <c r="AB1287" s="197"/>
      <c r="AC1287" s="197"/>
      <c r="AD1287" s="197"/>
      <c r="AE1287" s="197"/>
      <c r="AF1287" s="197"/>
      <c r="AG1287" s="197"/>
      <c r="AH1287" s="197"/>
      <c r="AI1287" s="197"/>
      <c r="AJ1287" s="197"/>
      <c r="AK1287" s="197"/>
      <c r="AL1287" s="197"/>
    </row>
    <row r="1288" spans="1:38">
      <c r="A1288" s="11" t="str">
        <f t="shared" si="83"/>
        <v>15-422034532011</v>
      </c>
      <c r="B1288" t="s">
        <v>719</v>
      </c>
      <c r="C1288" t="s">
        <v>720</v>
      </c>
      <c r="D1288">
        <v>2011</v>
      </c>
      <c r="E1288" t="s">
        <v>106</v>
      </c>
      <c r="F1288">
        <v>43646.73</v>
      </c>
      <c r="G1288">
        <v>57</v>
      </c>
      <c r="H1288" s="11" t="str">
        <f t="shared" si="82"/>
        <v>count</v>
      </c>
      <c r="I1288" s="197"/>
      <c r="J1288" s="197"/>
      <c r="K1288" s="197"/>
      <c r="L1288" s="197"/>
      <c r="M1288" s="197"/>
      <c r="N1288" s="197"/>
      <c r="O1288" s="197"/>
      <c r="P1288" s="197"/>
      <c r="Q1288" s="197"/>
      <c r="R1288" s="197"/>
      <c r="S1288" s="197"/>
      <c r="T1288" s="197"/>
      <c r="U1288" s="197"/>
      <c r="V1288" s="197"/>
      <c r="W1288" s="197"/>
      <c r="X1288" s="197"/>
      <c r="Y1288" s="197"/>
      <c r="Z1288" s="197"/>
      <c r="AA1288" s="197"/>
      <c r="AB1288" s="197"/>
      <c r="AC1288" s="197"/>
      <c r="AD1288" s="197"/>
      <c r="AE1288" s="197"/>
      <c r="AF1288" s="197"/>
      <c r="AG1288" s="197"/>
      <c r="AH1288" s="197"/>
      <c r="AI1288" s="197"/>
      <c r="AJ1288" s="197"/>
      <c r="AK1288" s="197"/>
      <c r="AL1288" s="197"/>
    </row>
    <row r="1289" spans="1:38">
      <c r="A1289" s="11" t="str">
        <f t="shared" si="83"/>
        <v>15-422034532013</v>
      </c>
      <c r="B1289" t="s">
        <v>719</v>
      </c>
      <c r="C1289" t="s">
        <v>720</v>
      </c>
      <c r="D1289">
        <v>2013</v>
      </c>
      <c r="E1289" t="s">
        <v>133</v>
      </c>
      <c r="F1289">
        <v>876784.37</v>
      </c>
      <c r="G1289">
        <v>1189</v>
      </c>
      <c r="H1289" s="11" t="str">
        <f t="shared" si="82"/>
        <v>count</v>
      </c>
      <c r="I1289" s="197"/>
      <c r="J1289" s="197"/>
      <c r="K1289" s="197"/>
      <c r="L1289" s="197"/>
      <c r="M1289" s="197"/>
      <c r="N1289" s="197"/>
      <c r="O1289" s="197"/>
      <c r="P1289" s="197"/>
      <c r="Q1289" s="197"/>
      <c r="R1289" s="197"/>
      <c r="S1289" s="197"/>
      <c r="T1289" s="197"/>
      <c r="U1289" s="197"/>
      <c r="V1289" s="197"/>
      <c r="W1289" s="197"/>
      <c r="X1289" s="197"/>
      <c r="Y1289" s="197"/>
      <c r="Z1289" s="197"/>
      <c r="AA1289" s="197"/>
      <c r="AB1289" s="197"/>
      <c r="AC1289" s="197"/>
      <c r="AD1289" s="197"/>
      <c r="AE1289" s="197"/>
      <c r="AF1289" s="197"/>
      <c r="AG1289" s="197"/>
      <c r="AH1289" s="197"/>
      <c r="AI1289" s="197"/>
      <c r="AJ1289" s="197"/>
      <c r="AK1289" s="197"/>
      <c r="AL1289" s="197"/>
    </row>
    <row r="1290" spans="1:38">
      <c r="A1290" s="11" t="str">
        <f t="shared" si="83"/>
        <v>15-422034532011</v>
      </c>
      <c r="B1290" t="s">
        <v>719</v>
      </c>
      <c r="C1290" t="s">
        <v>720</v>
      </c>
      <c r="D1290">
        <v>2011</v>
      </c>
      <c r="E1290" t="s">
        <v>133</v>
      </c>
      <c r="F1290">
        <v>219355.77</v>
      </c>
      <c r="G1290">
        <v>261</v>
      </c>
      <c r="H1290" s="11" t="str">
        <f t="shared" si="82"/>
        <v>count</v>
      </c>
      <c r="I1290" s="197"/>
      <c r="J1290" s="197"/>
      <c r="K1290" s="197"/>
      <c r="L1290" s="197"/>
      <c r="M1290" s="197"/>
      <c r="N1290" s="197"/>
      <c r="O1290" s="197"/>
      <c r="P1290" s="197"/>
      <c r="Q1290" s="197"/>
      <c r="R1290" s="197"/>
      <c r="S1290" s="197"/>
      <c r="T1290" s="197"/>
      <c r="U1290" s="197"/>
      <c r="V1290" s="197"/>
      <c r="W1290" s="197"/>
      <c r="X1290" s="197"/>
      <c r="Y1290" s="197"/>
      <c r="Z1290" s="197"/>
      <c r="AA1290" s="197"/>
      <c r="AB1290" s="197"/>
      <c r="AC1290" s="197"/>
      <c r="AD1290" s="197"/>
      <c r="AE1290" s="197"/>
      <c r="AF1290" s="197"/>
      <c r="AG1290" s="197"/>
      <c r="AH1290" s="197"/>
      <c r="AI1290" s="197"/>
      <c r="AJ1290" s="197"/>
      <c r="AK1290" s="197"/>
      <c r="AL1290" s="197"/>
    </row>
    <row r="1291" spans="1:38">
      <c r="A1291" s="11" t="str">
        <f t="shared" si="83"/>
        <v>15-422034532011</v>
      </c>
      <c r="B1291" t="s">
        <v>719</v>
      </c>
      <c r="C1291" t="s">
        <v>720</v>
      </c>
      <c r="D1291">
        <v>2011</v>
      </c>
      <c r="E1291" t="s">
        <v>104</v>
      </c>
      <c r="F1291">
        <v>1587343.64</v>
      </c>
      <c r="G1291">
        <v>2130</v>
      </c>
      <c r="H1291" s="11" t="str">
        <f t="shared" si="82"/>
        <v>count</v>
      </c>
      <c r="I1291" s="197"/>
      <c r="J1291" s="197"/>
      <c r="K1291" s="197"/>
      <c r="L1291" s="197"/>
      <c r="M1291" s="197"/>
      <c r="N1291" s="197"/>
      <c r="O1291" s="197"/>
      <c r="P1291" s="197"/>
      <c r="Q1291" s="197"/>
      <c r="R1291" s="197"/>
      <c r="S1291" s="197"/>
      <c r="T1291" s="197"/>
      <c r="U1291" s="197"/>
      <c r="V1291" s="197"/>
      <c r="W1291" s="197"/>
      <c r="X1291" s="197"/>
      <c r="Y1291" s="197"/>
      <c r="Z1291" s="197"/>
      <c r="AA1291" s="197"/>
      <c r="AB1291" s="197"/>
      <c r="AC1291" s="197"/>
      <c r="AD1291" s="197"/>
      <c r="AE1291" s="197"/>
      <c r="AF1291" s="197"/>
      <c r="AG1291" s="197"/>
      <c r="AH1291" s="197"/>
      <c r="AI1291" s="197"/>
      <c r="AJ1291" s="197"/>
      <c r="AK1291" s="197"/>
      <c r="AL1291" s="197"/>
    </row>
    <row r="1292" spans="1:38">
      <c r="A1292" s="11" t="str">
        <f t="shared" si="83"/>
        <v>15-422034532011</v>
      </c>
      <c r="B1292" t="s">
        <v>719</v>
      </c>
      <c r="C1292" t="s">
        <v>720</v>
      </c>
      <c r="D1292">
        <v>2011</v>
      </c>
      <c r="E1292" t="s">
        <v>63</v>
      </c>
      <c r="F1292">
        <v>3132801.15</v>
      </c>
      <c r="G1292">
        <v>4340</v>
      </c>
      <c r="H1292" s="11" t="str">
        <f t="shared" si="82"/>
        <v>count</v>
      </c>
      <c r="I1292" s="197"/>
      <c r="J1292" s="197"/>
      <c r="K1292" s="197"/>
      <c r="L1292" s="197"/>
      <c r="M1292" s="197"/>
      <c r="N1292" s="197"/>
      <c r="O1292" s="197"/>
      <c r="P1292" s="197"/>
      <c r="Q1292" s="197"/>
      <c r="R1292" s="197"/>
      <c r="S1292" s="197"/>
      <c r="T1292" s="197"/>
      <c r="U1292" s="197"/>
      <c r="V1292" s="197"/>
      <c r="W1292" s="197"/>
      <c r="X1292" s="197"/>
      <c r="Y1292" s="197"/>
      <c r="Z1292" s="197"/>
      <c r="AA1292" s="197"/>
      <c r="AB1292" s="197"/>
      <c r="AC1292" s="197"/>
      <c r="AD1292" s="197"/>
      <c r="AE1292" s="197"/>
      <c r="AF1292" s="197"/>
      <c r="AG1292" s="197"/>
      <c r="AH1292" s="197"/>
      <c r="AI1292" s="197"/>
      <c r="AJ1292" s="197"/>
      <c r="AK1292" s="197"/>
      <c r="AL1292" s="197"/>
    </row>
    <row r="1293" spans="1:38">
      <c r="A1293" s="11" t="str">
        <f t="shared" si="83"/>
        <v>15-422034532013</v>
      </c>
      <c r="B1293" t="s">
        <v>719</v>
      </c>
      <c r="C1293" t="s">
        <v>720</v>
      </c>
      <c r="D1293">
        <v>2013</v>
      </c>
      <c r="E1293" t="s">
        <v>105</v>
      </c>
      <c r="F1293">
        <v>452074.82</v>
      </c>
      <c r="G1293">
        <v>824</v>
      </c>
      <c r="H1293" s="11" t="str">
        <f t="shared" si="82"/>
        <v>count</v>
      </c>
      <c r="I1293" s="197"/>
      <c r="J1293" s="197"/>
      <c r="K1293" s="197"/>
      <c r="L1293" s="197"/>
      <c r="M1293" s="197"/>
      <c r="N1293" s="197"/>
      <c r="O1293" s="197"/>
      <c r="P1293" s="197"/>
      <c r="Q1293" s="197"/>
      <c r="R1293" s="197"/>
      <c r="S1293" s="197"/>
      <c r="T1293" s="197"/>
      <c r="U1293" s="197"/>
      <c r="V1293" s="197"/>
      <c r="W1293" s="197"/>
      <c r="X1293" s="197"/>
      <c r="Y1293" s="197"/>
      <c r="Z1293" s="197"/>
      <c r="AA1293" s="197"/>
      <c r="AB1293" s="197"/>
      <c r="AC1293" s="197"/>
      <c r="AD1293" s="197"/>
      <c r="AE1293" s="197"/>
      <c r="AF1293" s="197"/>
      <c r="AG1293" s="197"/>
      <c r="AH1293" s="197"/>
      <c r="AI1293" s="197"/>
      <c r="AJ1293" s="197"/>
      <c r="AK1293" s="197"/>
      <c r="AL1293" s="197"/>
    </row>
    <row r="1294" spans="1:38">
      <c r="A1294" s="11" t="str">
        <f t="shared" si="83"/>
        <v>15-422034532012</v>
      </c>
      <c r="B1294" t="s">
        <v>719</v>
      </c>
      <c r="C1294" t="s">
        <v>720</v>
      </c>
      <c r="D1294">
        <v>2012</v>
      </c>
      <c r="E1294" t="s">
        <v>106</v>
      </c>
      <c r="F1294">
        <v>62756.09</v>
      </c>
      <c r="G1294">
        <v>60</v>
      </c>
      <c r="H1294" s="11" t="str">
        <f t="shared" si="82"/>
        <v>count</v>
      </c>
      <c r="I1294" s="197"/>
      <c r="J1294" s="197"/>
      <c r="K1294" s="197"/>
      <c r="L1294" s="197"/>
      <c r="M1294" s="197"/>
      <c r="N1294" s="197"/>
      <c r="O1294" s="197"/>
      <c r="P1294" s="197"/>
      <c r="Q1294" s="197"/>
      <c r="R1294" s="197"/>
      <c r="S1294" s="197"/>
      <c r="T1294" s="197"/>
      <c r="U1294" s="197"/>
      <c r="V1294" s="197"/>
      <c r="W1294" s="197"/>
      <c r="X1294" s="197"/>
      <c r="Y1294" s="197"/>
      <c r="Z1294" s="197"/>
      <c r="AA1294" s="197"/>
      <c r="AB1294" s="197"/>
      <c r="AC1294" s="197"/>
      <c r="AD1294" s="197"/>
      <c r="AE1294" s="197"/>
      <c r="AF1294" s="197"/>
      <c r="AG1294" s="197"/>
      <c r="AH1294" s="197"/>
      <c r="AI1294" s="197"/>
      <c r="AJ1294" s="197"/>
      <c r="AK1294" s="197"/>
      <c r="AL1294" s="197"/>
    </row>
    <row r="1295" spans="1:38">
      <c r="A1295" s="11" t="str">
        <f t="shared" si="83"/>
        <v>15-422034532011</v>
      </c>
      <c r="B1295" t="s">
        <v>719</v>
      </c>
      <c r="C1295" t="s">
        <v>720</v>
      </c>
      <c r="D1295">
        <v>2011</v>
      </c>
      <c r="E1295" t="s">
        <v>69</v>
      </c>
      <c r="F1295">
        <v>7433.78</v>
      </c>
      <c r="G1295">
        <v>8</v>
      </c>
      <c r="H1295" s="11" t="str">
        <f t="shared" si="82"/>
        <v>count</v>
      </c>
      <c r="I1295" s="197"/>
      <c r="J1295" s="197"/>
      <c r="K1295" s="197"/>
      <c r="L1295" s="197"/>
      <c r="M1295" s="197"/>
      <c r="N1295" s="197"/>
      <c r="O1295" s="197"/>
      <c r="P1295" s="197"/>
      <c r="Q1295" s="197"/>
      <c r="R1295" s="197"/>
      <c r="S1295" s="197"/>
      <c r="T1295" s="197"/>
      <c r="U1295" s="197"/>
      <c r="V1295" s="197"/>
      <c r="W1295" s="197"/>
      <c r="X1295" s="197"/>
      <c r="Y1295" s="197"/>
      <c r="Z1295" s="197"/>
      <c r="AA1295" s="197"/>
      <c r="AB1295" s="197"/>
      <c r="AC1295" s="197"/>
      <c r="AD1295" s="197"/>
      <c r="AE1295" s="197"/>
      <c r="AF1295" s="197"/>
      <c r="AG1295" s="197"/>
      <c r="AH1295" s="197"/>
      <c r="AI1295" s="197"/>
      <c r="AJ1295" s="197"/>
      <c r="AK1295" s="197"/>
      <c r="AL1295" s="197"/>
    </row>
    <row r="1296" spans="1:38">
      <c r="A1296" s="11" t="str">
        <f t="shared" si="83"/>
        <v>15-422034532013</v>
      </c>
      <c r="B1296" t="s">
        <v>719</v>
      </c>
      <c r="C1296" t="s">
        <v>720</v>
      </c>
      <c r="D1296">
        <v>2013</v>
      </c>
      <c r="E1296" t="s">
        <v>106</v>
      </c>
      <c r="F1296">
        <v>646131.80000000005</v>
      </c>
      <c r="G1296">
        <v>910</v>
      </c>
      <c r="H1296" s="11" t="str">
        <f t="shared" si="82"/>
        <v>count</v>
      </c>
      <c r="I1296" s="197"/>
      <c r="J1296" s="197"/>
      <c r="K1296" s="197"/>
      <c r="L1296" s="197"/>
      <c r="M1296" s="197"/>
      <c r="N1296" s="197"/>
      <c r="O1296" s="197"/>
      <c r="P1296" s="197"/>
      <c r="Q1296" s="197"/>
      <c r="R1296" s="197"/>
      <c r="S1296" s="197"/>
      <c r="T1296" s="197"/>
      <c r="U1296" s="197"/>
      <c r="V1296" s="197"/>
      <c r="W1296" s="197"/>
      <c r="X1296" s="197"/>
      <c r="Y1296" s="197"/>
      <c r="Z1296" s="197"/>
      <c r="AA1296" s="197"/>
      <c r="AB1296" s="197"/>
      <c r="AC1296" s="197"/>
      <c r="AD1296" s="197"/>
      <c r="AE1296" s="197"/>
      <c r="AF1296" s="197"/>
      <c r="AG1296" s="197"/>
      <c r="AH1296" s="197"/>
      <c r="AI1296" s="197"/>
      <c r="AJ1296" s="197"/>
      <c r="AK1296" s="197"/>
      <c r="AL1296" s="197"/>
    </row>
    <row r="1297" spans="1:38">
      <c r="A1297" s="11" t="str">
        <f t="shared" si="83"/>
        <v>15-422034532012</v>
      </c>
      <c r="B1297" t="s">
        <v>719</v>
      </c>
      <c r="C1297" t="s">
        <v>720</v>
      </c>
      <c r="D1297">
        <v>2012</v>
      </c>
      <c r="E1297" t="s">
        <v>69</v>
      </c>
      <c r="F1297">
        <v>1222931.28</v>
      </c>
      <c r="G1297">
        <v>1979</v>
      </c>
      <c r="H1297" s="11" t="str">
        <f t="shared" si="82"/>
        <v>count</v>
      </c>
      <c r="I1297" s="197"/>
      <c r="J1297" s="197"/>
      <c r="K1297" s="197"/>
      <c r="L1297" s="197"/>
      <c r="M1297" s="197"/>
      <c r="N1297" s="197"/>
      <c r="O1297" s="197"/>
      <c r="P1297" s="197"/>
      <c r="Q1297" s="197"/>
      <c r="R1297" s="197"/>
      <c r="S1297" s="197"/>
      <c r="T1297" s="197"/>
      <c r="U1297" s="197"/>
      <c r="V1297" s="197"/>
      <c r="W1297" s="197"/>
      <c r="X1297" s="197"/>
      <c r="Y1297" s="197"/>
      <c r="Z1297" s="197"/>
      <c r="AA1297" s="197"/>
      <c r="AB1297" s="197"/>
      <c r="AC1297" s="197"/>
      <c r="AD1297" s="197"/>
      <c r="AE1297" s="197"/>
      <c r="AF1297" s="197"/>
      <c r="AG1297" s="197"/>
      <c r="AH1297" s="197"/>
      <c r="AI1297" s="197"/>
      <c r="AJ1297" s="197"/>
      <c r="AK1297" s="197"/>
      <c r="AL1297" s="197"/>
    </row>
    <row r="1298" spans="1:38">
      <c r="A1298" s="11" t="str">
        <f t="shared" si="83"/>
        <v>15-422034532012</v>
      </c>
      <c r="B1298" t="s">
        <v>719</v>
      </c>
      <c r="C1298" t="s">
        <v>720</v>
      </c>
      <c r="D1298">
        <v>2012</v>
      </c>
      <c r="E1298" t="s">
        <v>105</v>
      </c>
      <c r="F1298">
        <v>440581.21</v>
      </c>
      <c r="G1298">
        <v>570</v>
      </c>
      <c r="H1298" s="11" t="str">
        <f t="shared" si="82"/>
        <v>count</v>
      </c>
      <c r="I1298" s="197"/>
      <c r="J1298" s="197"/>
      <c r="K1298" s="197"/>
      <c r="L1298" s="197"/>
      <c r="M1298" s="197"/>
      <c r="N1298" s="197"/>
      <c r="O1298" s="197"/>
      <c r="P1298" s="197"/>
      <c r="Q1298" s="197"/>
      <c r="R1298" s="197"/>
      <c r="S1298" s="197"/>
      <c r="T1298" s="197"/>
      <c r="U1298" s="197"/>
      <c r="V1298" s="197"/>
      <c r="W1298" s="197"/>
      <c r="X1298" s="197"/>
      <c r="Y1298" s="197"/>
      <c r="Z1298" s="197"/>
      <c r="AA1298" s="197"/>
      <c r="AB1298" s="197"/>
      <c r="AC1298" s="197"/>
      <c r="AD1298" s="197"/>
      <c r="AE1298" s="197"/>
      <c r="AF1298" s="197"/>
      <c r="AG1298" s="197"/>
      <c r="AH1298" s="197"/>
      <c r="AI1298" s="197"/>
      <c r="AJ1298" s="197"/>
      <c r="AK1298" s="197"/>
      <c r="AL1298" s="197"/>
    </row>
    <row r="1299" spans="1:38">
      <c r="A1299" s="11" t="str">
        <f t="shared" si="83"/>
        <v>15-422034532012</v>
      </c>
      <c r="B1299" t="s">
        <v>719</v>
      </c>
      <c r="C1299" t="s">
        <v>720</v>
      </c>
      <c r="D1299">
        <v>2012</v>
      </c>
      <c r="E1299" t="s">
        <v>133</v>
      </c>
      <c r="F1299">
        <v>671816.49</v>
      </c>
      <c r="G1299">
        <v>764</v>
      </c>
      <c r="H1299" s="11" t="str">
        <f t="shared" si="82"/>
        <v>count</v>
      </c>
      <c r="I1299" s="197"/>
      <c r="J1299" s="197"/>
      <c r="K1299" s="197"/>
      <c r="L1299" s="197"/>
      <c r="M1299" s="197"/>
      <c r="N1299" s="197"/>
      <c r="O1299" s="197"/>
      <c r="P1299" s="197"/>
      <c r="Q1299" s="197"/>
      <c r="R1299" s="197"/>
      <c r="S1299" s="197"/>
      <c r="T1299" s="197"/>
      <c r="U1299" s="197"/>
      <c r="V1299" s="197"/>
      <c r="W1299" s="197"/>
      <c r="X1299" s="197"/>
      <c r="Y1299" s="197"/>
      <c r="Z1299" s="197"/>
      <c r="AA1299" s="197"/>
      <c r="AB1299" s="197"/>
      <c r="AC1299" s="197"/>
      <c r="AD1299" s="197"/>
      <c r="AE1299" s="197"/>
      <c r="AF1299" s="197"/>
      <c r="AG1299" s="197"/>
      <c r="AH1299" s="197"/>
      <c r="AI1299" s="197"/>
      <c r="AJ1299" s="197"/>
      <c r="AK1299" s="197"/>
      <c r="AL1299" s="197"/>
    </row>
    <row r="1300" spans="1:38">
      <c r="A1300" s="11" t="str">
        <f t="shared" si="83"/>
        <v>15-422034532013</v>
      </c>
      <c r="B1300" t="s">
        <v>719</v>
      </c>
      <c r="C1300" t="s">
        <v>720</v>
      </c>
      <c r="D1300">
        <v>2013</v>
      </c>
      <c r="E1300" t="s">
        <v>104</v>
      </c>
      <c r="F1300">
        <v>1532697.34</v>
      </c>
      <c r="G1300">
        <v>2566</v>
      </c>
      <c r="H1300" s="11" t="str">
        <f t="shared" si="82"/>
        <v>count</v>
      </c>
      <c r="I1300" s="197"/>
      <c r="J1300" s="197"/>
      <c r="K1300" s="197"/>
      <c r="L1300" s="197"/>
      <c r="M1300" s="197"/>
      <c r="N1300" s="197"/>
      <c r="O1300" s="197"/>
      <c r="P1300" s="197"/>
      <c r="Q1300" s="197"/>
      <c r="R1300" s="197"/>
      <c r="S1300" s="197"/>
      <c r="T1300" s="197"/>
      <c r="U1300" s="197"/>
      <c r="V1300" s="197"/>
      <c r="W1300" s="197"/>
      <c r="X1300" s="197"/>
      <c r="Y1300" s="197"/>
      <c r="Z1300" s="197"/>
      <c r="AA1300" s="197"/>
      <c r="AB1300" s="197"/>
      <c r="AC1300" s="197"/>
      <c r="AD1300" s="197"/>
      <c r="AE1300" s="197"/>
      <c r="AF1300" s="197"/>
      <c r="AG1300" s="197"/>
      <c r="AH1300" s="197"/>
      <c r="AI1300" s="197"/>
      <c r="AJ1300" s="197"/>
      <c r="AK1300" s="197"/>
      <c r="AL1300" s="197"/>
    </row>
    <row r="1301" spans="1:38">
      <c r="A1301" s="11" t="str">
        <f t="shared" si="83"/>
        <v>15-422034532011</v>
      </c>
      <c r="B1301" t="s">
        <v>719</v>
      </c>
      <c r="C1301" t="s">
        <v>720</v>
      </c>
      <c r="D1301">
        <v>2011</v>
      </c>
      <c r="E1301" t="s">
        <v>105</v>
      </c>
      <c r="F1301">
        <v>323886.38</v>
      </c>
      <c r="G1301">
        <v>457</v>
      </c>
      <c r="H1301" s="11" t="str">
        <f t="shared" si="82"/>
        <v>count</v>
      </c>
      <c r="I1301" s="197"/>
      <c r="J1301" s="197"/>
      <c r="K1301" s="197"/>
      <c r="L1301" s="197"/>
      <c r="M1301" s="197"/>
      <c r="N1301" s="197"/>
      <c r="O1301" s="197"/>
      <c r="P1301" s="197"/>
      <c r="Q1301" s="197"/>
      <c r="R1301" s="197"/>
      <c r="S1301" s="197"/>
      <c r="T1301" s="197"/>
      <c r="U1301" s="197"/>
      <c r="V1301" s="197"/>
      <c r="W1301" s="197"/>
      <c r="X1301" s="197"/>
      <c r="Y1301" s="197"/>
      <c r="Z1301" s="197"/>
      <c r="AA1301" s="197"/>
      <c r="AB1301" s="197"/>
      <c r="AC1301" s="197"/>
      <c r="AD1301" s="197"/>
      <c r="AE1301" s="197"/>
      <c r="AF1301" s="197"/>
      <c r="AG1301" s="197"/>
      <c r="AH1301" s="197"/>
      <c r="AI1301" s="197"/>
      <c r="AJ1301" s="197"/>
      <c r="AK1301" s="197"/>
      <c r="AL1301" s="197"/>
    </row>
    <row r="1302" spans="1:38">
      <c r="A1302" s="11" t="str">
        <f t="shared" si="83"/>
        <v>15-422034532013</v>
      </c>
      <c r="B1302" t="s">
        <v>719</v>
      </c>
      <c r="C1302" t="s">
        <v>720</v>
      </c>
      <c r="D1302">
        <v>2013</v>
      </c>
      <c r="E1302" t="s">
        <v>63</v>
      </c>
      <c r="F1302">
        <v>2903241.54</v>
      </c>
      <c r="G1302">
        <v>4862</v>
      </c>
      <c r="H1302" s="11" t="str">
        <f t="shared" si="82"/>
        <v>count</v>
      </c>
      <c r="I1302" s="197"/>
      <c r="J1302" s="197"/>
      <c r="K1302" s="197"/>
      <c r="L1302" s="197"/>
      <c r="M1302" s="197"/>
      <c r="N1302" s="197"/>
      <c r="O1302" s="197"/>
      <c r="P1302" s="197"/>
      <c r="Q1302" s="197"/>
      <c r="R1302" s="197"/>
      <c r="S1302" s="197"/>
      <c r="T1302" s="197"/>
      <c r="U1302" s="197"/>
      <c r="V1302" s="197"/>
      <c r="W1302" s="197"/>
      <c r="X1302" s="197"/>
      <c r="Y1302" s="197"/>
      <c r="Z1302" s="197"/>
      <c r="AA1302" s="197"/>
      <c r="AB1302" s="197"/>
      <c r="AC1302" s="197"/>
      <c r="AD1302" s="197"/>
      <c r="AE1302" s="197"/>
      <c r="AF1302" s="197"/>
      <c r="AG1302" s="197"/>
      <c r="AH1302" s="197"/>
      <c r="AI1302" s="197"/>
      <c r="AJ1302" s="197"/>
      <c r="AK1302" s="197"/>
      <c r="AL1302" s="197"/>
    </row>
    <row r="1303" spans="1:38">
      <c r="A1303" s="11" t="str">
        <f t="shared" si="83"/>
        <v>15-422102192011</v>
      </c>
      <c r="B1303" t="s">
        <v>721</v>
      </c>
      <c r="C1303" t="s">
        <v>722</v>
      </c>
      <c r="D1303">
        <v>2011</v>
      </c>
      <c r="E1303" t="s">
        <v>69</v>
      </c>
      <c r="F1303">
        <v>1300.19</v>
      </c>
      <c r="G1303">
        <v>2</v>
      </c>
      <c r="H1303" s="11" t="str">
        <f t="shared" si="82"/>
        <v>volume</v>
      </c>
      <c r="I1303" s="197"/>
      <c r="J1303" s="197"/>
      <c r="K1303" s="197"/>
      <c r="L1303" s="197"/>
      <c r="M1303" s="197"/>
      <c r="N1303" s="197"/>
      <c r="O1303" s="197"/>
      <c r="P1303" s="197"/>
      <c r="Q1303" s="197"/>
      <c r="R1303" s="197"/>
      <c r="S1303" s="197"/>
      <c r="T1303" s="197"/>
      <c r="U1303" s="197"/>
      <c r="V1303" s="197"/>
      <c r="W1303" s="197"/>
      <c r="X1303" s="197"/>
      <c r="Y1303" s="197"/>
      <c r="Z1303" s="197"/>
      <c r="AA1303" s="197"/>
      <c r="AB1303" s="197"/>
      <c r="AC1303" s="197"/>
      <c r="AD1303" s="197"/>
      <c r="AE1303" s="197"/>
      <c r="AF1303" s="197"/>
      <c r="AG1303" s="197"/>
      <c r="AH1303" s="197"/>
      <c r="AI1303" s="197"/>
      <c r="AJ1303" s="197"/>
      <c r="AK1303" s="197"/>
      <c r="AL1303" s="197"/>
    </row>
    <row r="1304" spans="1:38">
      <c r="A1304" s="11" t="str">
        <f t="shared" si="83"/>
        <v>15-422102192012</v>
      </c>
      <c r="B1304" t="s">
        <v>721</v>
      </c>
      <c r="C1304" t="s">
        <v>722</v>
      </c>
      <c r="D1304">
        <v>2012</v>
      </c>
      <c r="E1304" t="s">
        <v>105</v>
      </c>
      <c r="F1304">
        <v>21617.01</v>
      </c>
      <c r="G1304">
        <v>15</v>
      </c>
      <c r="H1304" s="11" t="str">
        <f t="shared" si="82"/>
        <v>count</v>
      </c>
      <c r="I1304" s="197"/>
      <c r="J1304" s="197"/>
      <c r="K1304" s="197"/>
      <c r="L1304" s="197"/>
      <c r="M1304" s="197"/>
      <c r="N1304" s="197"/>
      <c r="O1304" s="197"/>
      <c r="P1304" s="197"/>
      <c r="Q1304" s="197"/>
      <c r="R1304" s="197"/>
      <c r="S1304" s="197"/>
      <c r="T1304" s="197"/>
      <c r="U1304" s="197"/>
      <c r="V1304" s="197"/>
      <c r="W1304" s="197"/>
      <c r="X1304" s="197"/>
      <c r="Y1304" s="197"/>
      <c r="Z1304" s="197"/>
      <c r="AA1304" s="197"/>
      <c r="AB1304" s="197"/>
      <c r="AC1304" s="197"/>
      <c r="AD1304" s="197"/>
      <c r="AE1304" s="197"/>
      <c r="AF1304" s="197"/>
      <c r="AG1304" s="197"/>
      <c r="AH1304" s="197"/>
      <c r="AI1304" s="197"/>
      <c r="AJ1304" s="197"/>
      <c r="AK1304" s="197"/>
      <c r="AL1304" s="197"/>
    </row>
    <row r="1305" spans="1:38">
      <c r="A1305" s="11" t="str">
        <f t="shared" si="83"/>
        <v>15-422102192012</v>
      </c>
      <c r="B1305" t="s">
        <v>721</v>
      </c>
      <c r="C1305" t="s">
        <v>722</v>
      </c>
      <c r="D1305">
        <v>2012</v>
      </c>
      <c r="E1305" t="s">
        <v>63</v>
      </c>
      <c r="F1305">
        <v>527647.14</v>
      </c>
      <c r="G1305">
        <v>413</v>
      </c>
      <c r="H1305" s="11" t="str">
        <f t="shared" si="82"/>
        <v>count</v>
      </c>
      <c r="I1305" s="197"/>
      <c r="J1305" s="197"/>
      <c r="K1305" s="197"/>
      <c r="L1305" s="197"/>
      <c r="M1305" s="197"/>
      <c r="N1305" s="197"/>
      <c r="O1305" s="197"/>
      <c r="P1305" s="197"/>
      <c r="Q1305" s="197"/>
      <c r="R1305" s="197"/>
      <c r="S1305" s="197"/>
      <c r="T1305" s="197"/>
      <c r="U1305" s="197"/>
      <c r="V1305" s="197"/>
      <c r="W1305" s="197"/>
      <c r="X1305" s="197"/>
      <c r="Y1305" s="197"/>
      <c r="Z1305" s="197"/>
      <c r="AA1305" s="197"/>
      <c r="AB1305" s="197"/>
      <c r="AC1305" s="197"/>
      <c r="AD1305" s="197"/>
      <c r="AE1305" s="197"/>
      <c r="AF1305" s="197"/>
      <c r="AG1305" s="197"/>
      <c r="AH1305" s="197"/>
      <c r="AI1305" s="197"/>
      <c r="AJ1305" s="197"/>
      <c r="AK1305" s="197"/>
      <c r="AL1305" s="197"/>
    </row>
    <row r="1306" spans="1:38">
      <c r="A1306" s="11" t="str">
        <f t="shared" si="83"/>
        <v>15-422102192011</v>
      </c>
      <c r="B1306" t="s">
        <v>721</v>
      </c>
      <c r="C1306" t="s">
        <v>722</v>
      </c>
      <c r="D1306">
        <v>2011</v>
      </c>
      <c r="E1306" t="s">
        <v>104</v>
      </c>
      <c r="F1306">
        <v>341669.8</v>
      </c>
      <c r="G1306">
        <v>271</v>
      </c>
      <c r="H1306" s="11" t="str">
        <f t="shared" si="82"/>
        <v>count</v>
      </c>
      <c r="I1306" s="197"/>
      <c r="J1306" s="197"/>
      <c r="K1306" s="197"/>
      <c r="L1306" s="197"/>
      <c r="M1306" s="197"/>
      <c r="N1306" s="197"/>
      <c r="O1306" s="197"/>
      <c r="P1306" s="197"/>
      <c r="Q1306" s="197"/>
      <c r="R1306" s="197"/>
      <c r="S1306" s="197"/>
      <c r="T1306" s="197"/>
      <c r="U1306" s="197"/>
      <c r="V1306" s="197"/>
      <c r="W1306" s="197"/>
      <c r="X1306" s="197"/>
      <c r="Y1306" s="197"/>
      <c r="Z1306" s="197"/>
      <c r="AA1306" s="197"/>
      <c r="AB1306" s="197"/>
      <c r="AC1306" s="197"/>
      <c r="AD1306" s="197"/>
      <c r="AE1306" s="197"/>
      <c r="AF1306" s="197"/>
      <c r="AG1306" s="197"/>
      <c r="AH1306" s="197"/>
      <c r="AI1306" s="197"/>
      <c r="AJ1306" s="197"/>
      <c r="AK1306" s="197"/>
      <c r="AL1306" s="197"/>
    </row>
    <row r="1307" spans="1:38">
      <c r="A1307" s="11" t="str">
        <f t="shared" si="83"/>
        <v>15-422102192013</v>
      </c>
      <c r="B1307" t="s">
        <v>721</v>
      </c>
      <c r="C1307" t="s">
        <v>722</v>
      </c>
      <c r="D1307">
        <v>2013</v>
      </c>
      <c r="E1307" t="s">
        <v>105</v>
      </c>
      <c r="F1307">
        <v>17852.28</v>
      </c>
      <c r="G1307">
        <v>13</v>
      </c>
      <c r="H1307" s="11" t="str">
        <f t="shared" si="82"/>
        <v>count</v>
      </c>
      <c r="I1307" s="197"/>
      <c r="J1307" s="197"/>
      <c r="K1307" s="197"/>
      <c r="L1307" s="197"/>
      <c r="M1307" s="197"/>
      <c r="N1307" s="197"/>
      <c r="O1307" s="197"/>
      <c r="P1307" s="197"/>
      <c r="Q1307" s="197"/>
      <c r="R1307" s="197"/>
      <c r="S1307" s="197"/>
      <c r="T1307" s="197"/>
      <c r="U1307" s="197"/>
      <c r="V1307" s="197"/>
      <c r="W1307" s="197"/>
      <c r="X1307" s="197"/>
      <c r="Y1307" s="197"/>
      <c r="Z1307" s="197"/>
      <c r="AA1307" s="197"/>
      <c r="AB1307" s="197"/>
      <c r="AC1307" s="197"/>
      <c r="AD1307" s="197"/>
      <c r="AE1307" s="197"/>
      <c r="AF1307" s="197"/>
      <c r="AG1307" s="197"/>
      <c r="AH1307" s="197"/>
      <c r="AI1307" s="197"/>
      <c r="AJ1307" s="197"/>
      <c r="AK1307" s="197"/>
      <c r="AL1307" s="197"/>
    </row>
    <row r="1308" spans="1:38">
      <c r="A1308" s="11" t="str">
        <f t="shared" si="83"/>
        <v>15-422102192013</v>
      </c>
      <c r="B1308" t="s">
        <v>721</v>
      </c>
      <c r="C1308" t="s">
        <v>722</v>
      </c>
      <c r="D1308">
        <v>2013</v>
      </c>
      <c r="E1308" t="s">
        <v>69</v>
      </c>
      <c r="F1308">
        <v>232385.04</v>
      </c>
      <c r="G1308">
        <v>255</v>
      </c>
      <c r="H1308" s="11" t="str">
        <f t="shared" si="82"/>
        <v>count</v>
      </c>
      <c r="I1308" s="197"/>
      <c r="J1308" s="197"/>
      <c r="K1308" s="197"/>
      <c r="L1308" s="197"/>
      <c r="M1308" s="197"/>
      <c r="N1308" s="197"/>
      <c r="O1308" s="197"/>
      <c r="P1308" s="197"/>
      <c r="Q1308" s="197"/>
      <c r="R1308" s="197"/>
      <c r="S1308" s="197"/>
      <c r="T1308" s="197"/>
      <c r="U1308" s="197"/>
      <c r="V1308" s="197"/>
      <c r="W1308" s="197"/>
      <c r="X1308" s="197"/>
      <c r="Y1308" s="197"/>
      <c r="Z1308" s="197"/>
      <c r="AA1308" s="197"/>
      <c r="AB1308" s="197"/>
      <c r="AC1308" s="197"/>
      <c r="AD1308" s="197"/>
      <c r="AE1308" s="197"/>
      <c r="AF1308" s="197"/>
      <c r="AG1308" s="197"/>
      <c r="AH1308" s="197"/>
      <c r="AI1308" s="197"/>
      <c r="AJ1308" s="197"/>
      <c r="AK1308" s="197"/>
      <c r="AL1308" s="197"/>
    </row>
    <row r="1309" spans="1:38">
      <c r="A1309" s="11" t="str">
        <f t="shared" si="83"/>
        <v>15-422102192012</v>
      </c>
      <c r="B1309" t="s">
        <v>721</v>
      </c>
      <c r="C1309" t="s">
        <v>722</v>
      </c>
      <c r="D1309">
        <v>2012</v>
      </c>
      <c r="E1309" t="s">
        <v>104</v>
      </c>
      <c r="F1309">
        <v>385131.2</v>
      </c>
      <c r="G1309">
        <v>287</v>
      </c>
      <c r="H1309" s="11" t="str">
        <f t="shared" si="82"/>
        <v>count</v>
      </c>
      <c r="I1309" s="197"/>
      <c r="J1309" s="197"/>
      <c r="K1309" s="197"/>
      <c r="L1309" s="197"/>
      <c r="M1309" s="197"/>
      <c r="N1309" s="197"/>
      <c r="O1309" s="197"/>
      <c r="P1309" s="197"/>
      <c r="Q1309" s="197"/>
      <c r="R1309" s="197"/>
      <c r="S1309" s="197"/>
      <c r="T1309" s="197"/>
      <c r="U1309" s="197"/>
      <c r="V1309" s="197"/>
      <c r="W1309" s="197"/>
      <c r="X1309" s="197"/>
      <c r="Y1309" s="197"/>
      <c r="Z1309" s="197"/>
      <c r="AA1309" s="197"/>
      <c r="AB1309" s="197"/>
      <c r="AC1309" s="197"/>
      <c r="AD1309" s="197"/>
      <c r="AE1309" s="197"/>
      <c r="AF1309" s="197"/>
      <c r="AG1309" s="197"/>
      <c r="AH1309" s="197"/>
      <c r="AI1309" s="197"/>
      <c r="AJ1309" s="197"/>
      <c r="AK1309" s="197"/>
      <c r="AL1309" s="197"/>
    </row>
    <row r="1310" spans="1:38">
      <c r="A1310" s="11" t="str">
        <f t="shared" si="83"/>
        <v>15-422102192013</v>
      </c>
      <c r="B1310" t="s">
        <v>721</v>
      </c>
      <c r="C1310" t="s">
        <v>722</v>
      </c>
      <c r="D1310">
        <v>2013</v>
      </c>
      <c r="E1310" t="s">
        <v>63</v>
      </c>
      <c r="F1310">
        <v>459875.03</v>
      </c>
      <c r="G1310">
        <v>363</v>
      </c>
      <c r="H1310" s="11" t="str">
        <f t="shared" si="82"/>
        <v>count</v>
      </c>
      <c r="I1310" s="197"/>
      <c r="J1310" s="197"/>
      <c r="K1310" s="197"/>
      <c r="L1310" s="197"/>
      <c r="M1310" s="197"/>
      <c r="N1310" s="197"/>
      <c r="O1310" s="197"/>
      <c r="P1310" s="197"/>
      <c r="Q1310" s="197"/>
      <c r="R1310" s="197"/>
      <c r="S1310" s="197"/>
      <c r="T1310" s="197"/>
      <c r="U1310" s="197"/>
      <c r="V1310" s="197"/>
      <c r="W1310" s="197"/>
      <c r="X1310" s="197"/>
      <c r="Y1310" s="197"/>
      <c r="Z1310" s="197"/>
      <c r="AA1310" s="197"/>
      <c r="AB1310" s="197"/>
      <c r="AC1310" s="197"/>
      <c r="AD1310" s="197"/>
      <c r="AE1310" s="197"/>
      <c r="AF1310" s="197"/>
      <c r="AG1310" s="197"/>
      <c r="AH1310" s="197"/>
      <c r="AI1310" s="197"/>
      <c r="AJ1310" s="197"/>
      <c r="AK1310" s="197"/>
      <c r="AL1310" s="197"/>
    </row>
    <row r="1311" spans="1:38">
      <c r="A1311" s="11" t="str">
        <f t="shared" si="83"/>
        <v>15-422102192012</v>
      </c>
      <c r="B1311" t="s">
        <v>721</v>
      </c>
      <c r="C1311" t="s">
        <v>722</v>
      </c>
      <c r="D1311">
        <v>2012</v>
      </c>
      <c r="E1311" t="s">
        <v>69</v>
      </c>
      <c r="F1311">
        <v>170091.84</v>
      </c>
      <c r="G1311">
        <v>189</v>
      </c>
      <c r="H1311" s="11" t="str">
        <f t="shared" si="82"/>
        <v>count</v>
      </c>
      <c r="I1311" s="197"/>
      <c r="J1311" s="197"/>
      <c r="K1311" s="197"/>
      <c r="L1311" s="197"/>
      <c r="M1311" s="197"/>
      <c r="N1311" s="197"/>
      <c r="O1311" s="197"/>
      <c r="P1311" s="197"/>
      <c r="Q1311" s="197"/>
      <c r="R1311" s="197"/>
      <c r="S1311" s="197"/>
      <c r="T1311" s="197"/>
      <c r="U1311" s="197"/>
      <c r="V1311" s="197"/>
      <c r="W1311" s="197"/>
      <c r="X1311" s="197"/>
      <c r="Y1311" s="197"/>
      <c r="Z1311" s="197"/>
      <c r="AA1311" s="197"/>
      <c r="AB1311" s="197"/>
      <c r="AC1311" s="197"/>
      <c r="AD1311" s="197"/>
      <c r="AE1311" s="197"/>
      <c r="AF1311" s="197"/>
      <c r="AG1311" s="197"/>
      <c r="AH1311" s="197"/>
      <c r="AI1311" s="197"/>
      <c r="AJ1311" s="197"/>
      <c r="AK1311" s="197"/>
      <c r="AL1311" s="197"/>
    </row>
    <row r="1312" spans="1:38">
      <c r="A1312" s="11" t="str">
        <f t="shared" si="83"/>
        <v>15-422102192011</v>
      </c>
      <c r="B1312" t="s">
        <v>721</v>
      </c>
      <c r="C1312" t="s">
        <v>722</v>
      </c>
      <c r="D1312">
        <v>2011</v>
      </c>
      <c r="E1312" t="s">
        <v>105</v>
      </c>
      <c r="F1312">
        <v>36605.39</v>
      </c>
      <c r="G1312">
        <v>23</v>
      </c>
      <c r="H1312" s="11" t="str">
        <f t="shared" si="82"/>
        <v>count</v>
      </c>
      <c r="I1312" s="197"/>
      <c r="J1312" s="197"/>
      <c r="K1312" s="197"/>
      <c r="L1312" s="197"/>
      <c r="M1312" s="197"/>
      <c r="N1312" s="197"/>
      <c r="O1312" s="197"/>
      <c r="P1312" s="197"/>
      <c r="Q1312" s="197"/>
      <c r="R1312" s="197"/>
      <c r="S1312" s="197"/>
      <c r="T1312" s="197"/>
      <c r="U1312" s="197"/>
      <c r="V1312" s="197"/>
      <c r="W1312" s="197"/>
      <c r="X1312" s="197"/>
      <c r="Y1312" s="197"/>
      <c r="Z1312" s="197"/>
      <c r="AA1312" s="197"/>
      <c r="AB1312" s="197"/>
      <c r="AC1312" s="197"/>
      <c r="AD1312" s="197"/>
      <c r="AE1312" s="197"/>
      <c r="AF1312" s="197"/>
      <c r="AG1312" s="197"/>
      <c r="AH1312" s="197"/>
      <c r="AI1312" s="197"/>
      <c r="AJ1312" s="197"/>
      <c r="AK1312" s="197"/>
      <c r="AL1312" s="197"/>
    </row>
    <row r="1313" spans="1:38">
      <c r="A1313" s="11" t="str">
        <f t="shared" si="83"/>
        <v>15-422102192013</v>
      </c>
      <c r="B1313" t="s">
        <v>721</v>
      </c>
      <c r="C1313" t="s">
        <v>722</v>
      </c>
      <c r="D1313">
        <v>2013</v>
      </c>
      <c r="E1313" t="s">
        <v>104</v>
      </c>
      <c r="F1313">
        <v>297381.56</v>
      </c>
      <c r="G1313">
        <v>213</v>
      </c>
      <c r="H1313" s="11" t="str">
        <f t="shared" si="82"/>
        <v>count</v>
      </c>
      <c r="I1313" s="197"/>
      <c r="J1313" s="197"/>
      <c r="K1313" s="197"/>
      <c r="L1313" s="197"/>
      <c r="M1313" s="197"/>
      <c r="N1313" s="197"/>
      <c r="O1313" s="197"/>
      <c r="P1313" s="197"/>
      <c r="Q1313" s="197"/>
      <c r="R1313" s="197"/>
      <c r="S1313" s="197"/>
      <c r="T1313" s="197"/>
      <c r="U1313" s="197"/>
      <c r="V1313" s="197"/>
      <c r="W1313" s="197"/>
      <c r="X1313" s="197"/>
      <c r="Y1313" s="197"/>
      <c r="Z1313" s="197"/>
      <c r="AA1313" s="197"/>
      <c r="AB1313" s="197"/>
      <c r="AC1313" s="197"/>
      <c r="AD1313" s="197"/>
      <c r="AE1313" s="197"/>
      <c r="AF1313" s="197"/>
      <c r="AG1313" s="197"/>
      <c r="AH1313" s="197"/>
      <c r="AI1313" s="197"/>
      <c r="AJ1313" s="197"/>
      <c r="AK1313" s="197"/>
      <c r="AL1313" s="197"/>
    </row>
    <row r="1314" spans="1:38">
      <c r="A1314" s="11" t="str">
        <f t="shared" si="83"/>
        <v>15-422102192011</v>
      </c>
      <c r="B1314" t="s">
        <v>721</v>
      </c>
      <c r="C1314" t="s">
        <v>722</v>
      </c>
      <c r="D1314">
        <v>2011</v>
      </c>
      <c r="E1314" t="s">
        <v>63</v>
      </c>
      <c r="F1314">
        <v>625303.15</v>
      </c>
      <c r="G1314">
        <v>515</v>
      </c>
      <c r="H1314" s="11" t="str">
        <f t="shared" si="82"/>
        <v>count</v>
      </c>
      <c r="I1314" s="197"/>
      <c r="J1314" s="197"/>
      <c r="K1314" s="197"/>
      <c r="L1314" s="197"/>
      <c r="M1314" s="197"/>
      <c r="N1314" s="197"/>
      <c r="O1314" s="197"/>
      <c r="P1314" s="197"/>
      <c r="Q1314" s="197"/>
      <c r="R1314" s="197"/>
      <c r="S1314" s="197"/>
      <c r="T1314" s="197"/>
      <c r="U1314" s="197"/>
      <c r="V1314" s="197"/>
      <c r="W1314" s="197"/>
      <c r="X1314" s="197"/>
      <c r="Y1314" s="197"/>
      <c r="Z1314" s="197"/>
      <c r="AA1314" s="197"/>
      <c r="AB1314" s="197"/>
      <c r="AC1314" s="197"/>
      <c r="AD1314" s="197"/>
      <c r="AE1314" s="197"/>
      <c r="AF1314" s="197"/>
      <c r="AG1314" s="197"/>
      <c r="AH1314" s="197"/>
      <c r="AI1314" s="197"/>
      <c r="AJ1314" s="197"/>
      <c r="AK1314" s="197"/>
      <c r="AL1314" s="197"/>
    </row>
    <row r="1315" spans="1:38">
      <c r="A1315" s="11" t="str">
        <f t="shared" si="83"/>
        <v>15-423027522012</v>
      </c>
      <c r="B1315" t="s">
        <v>723</v>
      </c>
      <c r="C1315" t="s">
        <v>724</v>
      </c>
      <c r="D1315">
        <v>2012</v>
      </c>
      <c r="E1315" t="s">
        <v>1075</v>
      </c>
      <c r="F1315">
        <v>21165.119999999999</v>
      </c>
      <c r="G1315">
        <v>26</v>
      </c>
      <c r="H1315" s="11" t="str">
        <f t="shared" si="82"/>
        <v>volume</v>
      </c>
      <c r="I1315" s="197"/>
      <c r="J1315" s="197"/>
      <c r="K1315" s="197"/>
      <c r="L1315" s="197"/>
      <c r="M1315" s="197"/>
      <c r="N1315" s="197"/>
      <c r="O1315" s="197"/>
      <c r="P1315" s="197"/>
      <c r="Q1315" s="197"/>
      <c r="R1315" s="197"/>
      <c r="S1315" s="197"/>
      <c r="T1315" s="197"/>
      <c r="U1315" s="197"/>
      <c r="V1315" s="197"/>
      <c r="W1315" s="197"/>
      <c r="X1315" s="197"/>
      <c r="Y1315" s="197"/>
      <c r="Z1315" s="197"/>
      <c r="AA1315" s="197"/>
      <c r="AB1315" s="197"/>
      <c r="AC1315" s="197"/>
      <c r="AD1315" s="197"/>
      <c r="AE1315" s="197"/>
      <c r="AF1315" s="197"/>
      <c r="AG1315" s="197"/>
      <c r="AH1315" s="197"/>
      <c r="AI1315" s="197"/>
      <c r="AJ1315" s="197"/>
      <c r="AK1315" s="197"/>
      <c r="AL1315" s="197"/>
    </row>
    <row r="1316" spans="1:38">
      <c r="A1316" s="11" t="str">
        <f t="shared" si="83"/>
        <v>15-423027522012</v>
      </c>
      <c r="B1316" t="s">
        <v>723</v>
      </c>
      <c r="C1316" t="s">
        <v>724</v>
      </c>
      <c r="D1316">
        <v>2012</v>
      </c>
      <c r="E1316" t="s">
        <v>69</v>
      </c>
      <c r="F1316">
        <v>209785.97</v>
      </c>
      <c r="G1316">
        <v>248</v>
      </c>
      <c r="H1316" s="11" t="str">
        <f t="shared" si="82"/>
        <v>count</v>
      </c>
      <c r="I1316" s="197"/>
      <c r="J1316" s="197"/>
      <c r="K1316" s="197"/>
      <c r="L1316" s="197"/>
      <c r="M1316" s="197"/>
      <c r="N1316" s="197"/>
      <c r="O1316" s="197"/>
      <c r="P1316" s="197"/>
      <c r="Q1316" s="197"/>
      <c r="R1316" s="197"/>
      <c r="S1316" s="197"/>
      <c r="T1316" s="197"/>
      <c r="U1316" s="197"/>
      <c r="V1316" s="197"/>
      <c r="W1316" s="197"/>
      <c r="X1316" s="197"/>
      <c r="Y1316" s="197"/>
      <c r="Z1316" s="197"/>
      <c r="AA1316" s="197"/>
      <c r="AB1316" s="197"/>
      <c r="AC1316" s="197"/>
      <c r="AD1316" s="197"/>
      <c r="AE1316" s="197"/>
      <c r="AF1316" s="197"/>
      <c r="AG1316" s="197"/>
      <c r="AH1316" s="197"/>
      <c r="AI1316" s="197"/>
      <c r="AJ1316" s="197"/>
      <c r="AK1316" s="197"/>
      <c r="AL1316" s="197"/>
    </row>
    <row r="1317" spans="1:38">
      <c r="A1317" s="11" t="str">
        <f t="shared" si="83"/>
        <v>15-423027522012</v>
      </c>
      <c r="B1317" t="s">
        <v>723</v>
      </c>
      <c r="C1317" t="s">
        <v>724</v>
      </c>
      <c r="D1317">
        <v>2012</v>
      </c>
      <c r="E1317" t="s">
        <v>1076</v>
      </c>
      <c r="F1317">
        <v>11001.47</v>
      </c>
      <c r="G1317">
        <v>12</v>
      </c>
      <c r="H1317" s="11" t="str">
        <f t="shared" si="82"/>
        <v>count</v>
      </c>
      <c r="I1317" s="197"/>
      <c r="J1317" s="197"/>
      <c r="K1317" s="197"/>
      <c r="L1317" s="197"/>
      <c r="M1317" s="197"/>
      <c r="N1317" s="197"/>
      <c r="O1317" s="197"/>
      <c r="P1317" s="197"/>
      <c r="Q1317" s="197"/>
      <c r="R1317" s="197"/>
      <c r="S1317" s="197"/>
      <c r="T1317" s="197"/>
      <c r="U1317" s="197"/>
      <c r="V1317" s="197"/>
      <c r="W1317" s="197"/>
      <c r="X1317" s="197"/>
      <c r="Y1317" s="197"/>
      <c r="Z1317" s="197"/>
      <c r="AA1317" s="197"/>
      <c r="AB1317" s="197"/>
      <c r="AC1317" s="197"/>
      <c r="AD1317" s="197"/>
      <c r="AE1317" s="197"/>
      <c r="AF1317" s="197"/>
      <c r="AG1317" s="197"/>
      <c r="AH1317" s="197"/>
      <c r="AI1317" s="197"/>
      <c r="AJ1317" s="197"/>
      <c r="AK1317" s="197"/>
      <c r="AL1317" s="197"/>
    </row>
    <row r="1318" spans="1:38">
      <c r="A1318" s="11" t="str">
        <f t="shared" si="83"/>
        <v>15-423027522011</v>
      </c>
      <c r="B1318" t="s">
        <v>723</v>
      </c>
      <c r="C1318" t="s">
        <v>724</v>
      </c>
      <c r="D1318">
        <v>2011</v>
      </c>
      <c r="E1318" t="s">
        <v>104</v>
      </c>
      <c r="F1318">
        <v>449252.62</v>
      </c>
      <c r="G1318">
        <v>438</v>
      </c>
      <c r="H1318" s="11" t="str">
        <f t="shared" si="82"/>
        <v>count</v>
      </c>
      <c r="I1318" s="197"/>
      <c r="J1318" s="197"/>
      <c r="K1318" s="197"/>
      <c r="L1318" s="197"/>
      <c r="M1318" s="197"/>
      <c r="N1318" s="197"/>
      <c r="O1318" s="197"/>
      <c r="P1318" s="197"/>
      <c r="Q1318" s="197"/>
      <c r="R1318" s="197"/>
      <c r="S1318" s="197"/>
      <c r="T1318" s="197"/>
      <c r="U1318" s="197"/>
      <c r="V1318" s="197"/>
      <c r="W1318" s="197"/>
      <c r="X1318" s="197"/>
      <c r="Y1318" s="197"/>
      <c r="Z1318" s="197"/>
      <c r="AA1318" s="197"/>
      <c r="AB1318" s="197"/>
      <c r="AC1318" s="197"/>
      <c r="AD1318" s="197"/>
      <c r="AE1318" s="197"/>
      <c r="AF1318" s="197"/>
      <c r="AG1318" s="197"/>
      <c r="AH1318" s="197"/>
      <c r="AI1318" s="197"/>
      <c r="AJ1318" s="197"/>
      <c r="AK1318" s="197"/>
      <c r="AL1318" s="197"/>
    </row>
    <row r="1319" spans="1:38">
      <c r="A1319" s="11" t="str">
        <f t="shared" si="83"/>
        <v>15-423027522013</v>
      </c>
      <c r="B1319" t="s">
        <v>723</v>
      </c>
      <c r="C1319" t="s">
        <v>724</v>
      </c>
      <c r="D1319">
        <v>2013</v>
      </c>
      <c r="E1319" t="s">
        <v>106</v>
      </c>
      <c r="F1319">
        <v>200286.73</v>
      </c>
      <c r="G1319">
        <v>137</v>
      </c>
      <c r="H1319" s="11" t="str">
        <f t="shared" si="82"/>
        <v>count</v>
      </c>
      <c r="I1319" s="197"/>
      <c r="J1319" s="197"/>
      <c r="K1319" s="197"/>
      <c r="L1319" s="197"/>
      <c r="M1319" s="197"/>
      <c r="N1319" s="197"/>
      <c r="O1319" s="197"/>
      <c r="P1319" s="197"/>
      <c r="Q1319" s="197"/>
      <c r="R1319" s="197"/>
      <c r="S1319" s="197"/>
      <c r="T1319" s="197"/>
      <c r="U1319" s="197"/>
      <c r="V1319" s="197"/>
      <c r="W1319" s="197"/>
      <c r="X1319" s="197"/>
      <c r="Y1319" s="197"/>
      <c r="Z1319" s="197"/>
      <c r="AA1319" s="197"/>
      <c r="AB1319" s="197"/>
      <c r="AC1319" s="197"/>
      <c r="AD1319" s="197"/>
      <c r="AE1319" s="197"/>
      <c r="AF1319" s="197"/>
      <c r="AG1319" s="197"/>
      <c r="AH1319" s="197"/>
      <c r="AI1319" s="197"/>
      <c r="AJ1319" s="197"/>
      <c r="AK1319" s="197"/>
      <c r="AL1319" s="197"/>
    </row>
    <row r="1320" spans="1:38">
      <c r="A1320" s="11" t="str">
        <f t="shared" si="83"/>
        <v>15-423027522011</v>
      </c>
      <c r="B1320" t="s">
        <v>723</v>
      </c>
      <c r="C1320" t="s">
        <v>724</v>
      </c>
      <c r="D1320">
        <v>2011</v>
      </c>
      <c r="E1320" t="s">
        <v>133</v>
      </c>
      <c r="F1320">
        <v>170906.33</v>
      </c>
      <c r="G1320">
        <v>172</v>
      </c>
      <c r="H1320" s="11" t="str">
        <f t="shared" si="82"/>
        <v>count</v>
      </c>
      <c r="I1320" s="197"/>
      <c r="J1320" s="197"/>
      <c r="K1320" s="197"/>
      <c r="L1320" s="197"/>
      <c r="M1320" s="197"/>
      <c r="N1320" s="197"/>
      <c r="O1320" s="197"/>
      <c r="P1320" s="197"/>
      <c r="Q1320" s="197"/>
      <c r="R1320" s="197"/>
      <c r="S1320" s="197"/>
      <c r="T1320" s="197"/>
      <c r="U1320" s="197"/>
      <c r="V1320" s="197"/>
      <c r="W1320" s="197"/>
      <c r="X1320" s="197"/>
      <c r="Y1320" s="197"/>
      <c r="Z1320" s="197"/>
      <c r="AA1320" s="197"/>
      <c r="AB1320" s="197"/>
      <c r="AC1320" s="197"/>
      <c r="AD1320" s="197"/>
      <c r="AE1320" s="197"/>
      <c r="AF1320" s="197"/>
      <c r="AG1320" s="197"/>
      <c r="AH1320" s="197"/>
      <c r="AI1320" s="197"/>
      <c r="AJ1320" s="197"/>
      <c r="AK1320" s="197"/>
      <c r="AL1320" s="197"/>
    </row>
    <row r="1321" spans="1:38">
      <c r="A1321" s="11" t="str">
        <f t="shared" si="83"/>
        <v>15-423027522011</v>
      </c>
      <c r="B1321" t="s">
        <v>723</v>
      </c>
      <c r="C1321" t="s">
        <v>724</v>
      </c>
      <c r="D1321">
        <v>2011</v>
      </c>
      <c r="E1321" t="s">
        <v>69</v>
      </c>
      <c r="F1321">
        <v>3425</v>
      </c>
      <c r="G1321">
        <v>2</v>
      </c>
      <c r="H1321" s="11" t="str">
        <f t="shared" si="82"/>
        <v>count</v>
      </c>
      <c r="I1321" s="197"/>
      <c r="J1321" s="197"/>
      <c r="K1321" s="197"/>
      <c r="L1321" s="197"/>
      <c r="M1321" s="197"/>
      <c r="N1321" s="197"/>
      <c r="O1321" s="197"/>
      <c r="P1321" s="197"/>
      <c r="Q1321" s="197"/>
      <c r="R1321" s="197"/>
      <c r="S1321" s="197"/>
      <c r="T1321" s="197"/>
      <c r="U1321" s="197"/>
      <c r="V1321" s="197"/>
      <c r="W1321" s="197"/>
      <c r="X1321" s="197"/>
      <c r="Y1321" s="197"/>
      <c r="Z1321" s="197"/>
      <c r="AA1321" s="197"/>
      <c r="AB1321" s="197"/>
      <c r="AC1321" s="197"/>
      <c r="AD1321" s="197"/>
      <c r="AE1321" s="197"/>
      <c r="AF1321" s="197"/>
      <c r="AG1321" s="197"/>
      <c r="AH1321" s="197"/>
      <c r="AI1321" s="197"/>
      <c r="AJ1321" s="197"/>
      <c r="AK1321" s="197"/>
      <c r="AL1321" s="197"/>
    </row>
    <row r="1322" spans="1:38">
      <c r="A1322" s="11" t="str">
        <f t="shared" si="83"/>
        <v>15-423027522011</v>
      </c>
      <c r="B1322" t="s">
        <v>723</v>
      </c>
      <c r="C1322" t="s">
        <v>724</v>
      </c>
      <c r="D1322">
        <v>2011</v>
      </c>
      <c r="E1322" t="s">
        <v>1074</v>
      </c>
      <c r="F1322">
        <v>38140.550000000003</v>
      </c>
      <c r="G1322">
        <v>52</v>
      </c>
      <c r="H1322" s="11" t="str">
        <f t="shared" si="82"/>
        <v>count</v>
      </c>
      <c r="I1322" s="197"/>
      <c r="J1322" s="197"/>
      <c r="K1322" s="197"/>
      <c r="L1322" s="197"/>
      <c r="M1322" s="197"/>
      <c r="N1322" s="197"/>
      <c r="O1322" s="197"/>
      <c r="P1322" s="197"/>
      <c r="Q1322" s="197"/>
      <c r="R1322" s="197"/>
      <c r="S1322" s="197"/>
      <c r="T1322" s="197"/>
      <c r="U1322" s="197"/>
      <c r="V1322" s="197"/>
      <c r="W1322" s="197"/>
      <c r="X1322" s="197"/>
      <c r="Y1322" s="197"/>
      <c r="Z1322" s="197"/>
      <c r="AA1322" s="197"/>
      <c r="AB1322" s="197"/>
      <c r="AC1322" s="197"/>
      <c r="AD1322" s="197"/>
      <c r="AE1322" s="197"/>
      <c r="AF1322" s="197"/>
      <c r="AG1322" s="197"/>
      <c r="AH1322" s="197"/>
      <c r="AI1322" s="197"/>
      <c r="AJ1322" s="197"/>
      <c r="AK1322" s="197"/>
      <c r="AL1322" s="197"/>
    </row>
    <row r="1323" spans="1:38">
      <c r="A1323" s="11" t="str">
        <f t="shared" si="83"/>
        <v>15-423027522011</v>
      </c>
      <c r="B1323" t="s">
        <v>723</v>
      </c>
      <c r="C1323" t="s">
        <v>724</v>
      </c>
      <c r="D1323">
        <v>2011</v>
      </c>
      <c r="E1323" t="s">
        <v>63</v>
      </c>
      <c r="F1323">
        <v>809101.03</v>
      </c>
      <c r="G1323">
        <v>793</v>
      </c>
      <c r="H1323" s="11" t="str">
        <f t="shared" si="82"/>
        <v>count</v>
      </c>
      <c r="I1323" s="197"/>
      <c r="J1323" s="197"/>
      <c r="K1323" s="197"/>
      <c r="L1323" s="197"/>
      <c r="M1323" s="197"/>
      <c r="N1323" s="197"/>
      <c r="O1323" s="197"/>
      <c r="P1323" s="197"/>
      <c r="Q1323" s="197"/>
      <c r="R1323" s="197"/>
      <c r="S1323" s="197"/>
      <c r="T1323" s="197"/>
      <c r="U1323" s="197"/>
      <c r="V1323" s="197"/>
      <c r="W1323" s="197"/>
      <c r="X1323" s="197"/>
      <c r="Y1323" s="197"/>
      <c r="Z1323" s="197"/>
      <c r="AA1323" s="197"/>
      <c r="AB1323" s="197"/>
      <c r="AC1323" s="197"/>
      <c r="AD1323" s="197"/>
      <c r="AE1323" s="197"/>
      <c r="AF1323" s="197"/>
      <c r="AG1323" s="197"/>
      <c r="AH1323" s="197"/>
      <c r="AI1323" s="197"/>
      <c r="AJ1323" s="197"/>
      <c r="AK1323" s="197"/>
      <c r="AL1323" s="197"/>
    </row>
    <row r="1324" spans="1:38">
      <c r="A1324" s="11" t="str">
        <f t="shared" si="83"/>
        <v>15-423027522013</v>
      </c>
      <c r="B1324" t="s">
        <v>723</v>
      </c>
      <c r="C1324" t="s">
        <v>724</v>
      </c>
      <c r="D1324">
        <v>2013</v>
      </c>
      <c r="E1324" t="s">
        <v>133</v>
      </c>
      <c r="F1324">
        <v>154485.84</v>
      </c>
      <c r="G1324">
        <v>128</v>
      </c>
      <c r="H1324" s="11" t="str">
        <f t="shared" si="82"/>
        <v>count</v>
      </c>
      <c r="I1324" s="197"/>
      <c r="J1324" s="197"/>
      <c r="K1324" s="197"/>
      <c r="L1324" s="197"/>
      <c r="M1324" s="197"/>
      <c r="N1324" s="197"/>
      <c r="O1324" s="197"/>
      <c r="P1324" s="197"/>
      <c r="Q1324" s="197"/>
      <c r="R1324" s="197"/>
      <c r="S1324" s="197"/>
      <c r="T1324" s="197"/>
      <c r="U1324" s="197"/>
      <c r="V1324" s="197"/>
      <c r="W1324" s="197"/>
      <c r="X1324" s="197"/>
      <c r="Y1324" s="197"/>
      <c r="Z1324" s="197"/>
      <c r="AA1324" s="197"/>
      <c r="AB1324" s="197"/>
      <c r="AC1324" s="197"/>
      <c r="AD1324" s="197"/>
      <c r="AE1324" s="197"/>
      <c r="AF1324" s="197"/>
      <c r="AG1324" s="197"/>
      <c r="AH1324" s="197"/>
      <c r="AI1324" s="197"/>
      <c r="AJ1324" s="197"/>
      <c r="AK1324" s="197"/>
      <c r="AL1324" s="197"/>
    </row>
    <row r="1325" spans="1:38">
      <c r="A1325" s="11" t="str">
        <f t="shared" si="83"/>
        <v>15-423027522012</v>
      </c>
      <c r="B1325" t="s">
        <v>723</v>
      </c>
      <c r="C1325" t="s">
        <v>724</v>
      </c>
      <c r="D1325">
        <v>2012</v>
      </c>
      <c r="E1325" t="s">
        <v>1074</v>
      </c>
      <c r="F1325">
        <v>30244.400000000001</v>
      </c>
      <c r="G1325">
        <v>34</v>
      </c>
      <c r="H1325" s="11" t="str">
        <f t="shared" si="82"/>
        <v>count</v>
      </c>
      <c r="I1325" s="197"/>
      <c r="J1325" s="197"/>
      <c r="K1325" s="197"/>
      <c r="L1325" s="197"/>
      <c r="M1325" s="197"/>
      <c r="N1325" s="197"/>
      <c r="O1325" s="197"/>
      <c r="P1325" s="197"/>
      <c r="Q1325" s="197"/>
      <c r="R1325" s="197"/>
      <c r="S1325" s="197"/>
      <c r="T1325" s="197"/>
      <c r="U1325" s="197"/>
      <c r="V1325" s="197"/>
      <c r="W1325" s="197"/>
      <c r="X1325" s="197"/>
      <c r="Y1325" s="197"/>
      <c r="Z1325" s="197"/>
      <c r="AA1325" s="197"/>
      <c r="AB1325" s="197"/>
      <c r="AC1325" s="197"/>
      <c r="AD1325" s="197"/>
      <c r="AE1325" s="197"/>
      <c r="AF1325" s="197"/>
      <c r="AG1325" s="197"/>
      <c r="AH1325" s="197"/>
      <c r="AI1325" s="197"/>
      <c r="AJ1325" s="197"/>
      <c r="AK1325" s="197"/>
      <c r="AL1325" s="197"/>
    </row>
    <row r="1326" spans="1:38">
      <c r="A1326" s="11" t="str">
        <f t="shared" si="83"/>
        <v>15-423027522012</v>
      </c>
      <c r="B1326" t="s">
        <v>723</v>
      </c>
      <c r="C1326" t="s">
        <v>724</v>
      </c>
      <c r="D1326">
        <v>2012</v>
      </c>
      <c r="E1326" t="s">
        <v>104</v>
      </c>
      <c r="F1326">
        <v>437844.72</v>
      </c>
      <c r="G1326">
        <v>386</v>
      </c>
      <c r="H1326" s="11" t="str">
        <f t="shared" si="82"/>
        <v>count</v>
      </c>
      <c r="I1326" s="197"/>
      <c r="J1326" s="197"/>
      <c r="K1326" s="197"/>
      <c r="L1326" s="197"/>
      <c r="M1326" s="197"/>
      <c r="N1326" s="197"/>
      <c r="O1326" s="197"/>
      <c r="P1326" s="197"/>
      <c r="Q1326" s="197"/>
      <c r="R1326" s="197"/>
      <c r="S1326" s="197"/>
      <c r="T1326" s="197"/>
      <c r="U1326" s="197"/>
      <c r="V1326" s="197"/>
      <c r="W1326" s="197"/>
      <c r="X1326" s="197"/>
      <c r="Y1326" s="197"/>
      <c r="Z1326" s="197"/>
      <c r="AA1326" s="197"/>
      <c r="AB1326" s="197"/>
      <c r="AC1326" s="197"/>
      <c r="AD1326" s="197"/>
      <c r="AE1326" s="197"/>
      <c r="AF1326" s="197"/>
      <c r="AG1326" s="197"/>
      <c r="AH1326" s="197"/>
      <c r="AI1326" s="197"/>
      <c r="AJ1326" s="197"/>
      <c r="AK1326" s="197"/>
      <c r="AL1326" s="197"/>
    </row>
    <row r="1327" spans="1:38">
      <c r="A1327" s="11" t="str">
        <f t="shared" si="83"/>
        <v>15-423027522013</v>
      </c>
      <c r="B1327" t="s">
        <v>723</v>
      </c>
      <c r="C1327" t="s">
        <v>724</v>
      </c>
      <c r="D1327">
        <v>2013</v>
      </c>
      <c r="E1327" t="s">
        <v>69</v>
      </c>
      <c r="F1327">
        <v>256931.73</v>
      </c>
      <c r="G1327">
        <v>369</v>
      </c>
      <c r="H1327" s="11" t="str">
        <f t="shared" si="82"/>
        <v>count</v>
      </c>
      <c r="I1327" s="197"/>
      <c r="J1327" s="197"/>
      <c r="K1327" s="197"/>
      <c r="L1327" s="197"/>
      <c r="M1327" s="197"/>
      <c r="N1327" s="197"/>
      <c r="O1327" s="197"/>
      <c r="P1327" s="197"/>
      <c r="Q1327" s="197"/>
      <c r="R1327" s="197"/>
      <c r="S1327" s="197"/>
      <c r="T1327" s="197"/>
      <c r="U1327" s="197"/>
      <c r="V1327" s="197"/>
      <c r="W1327" s="197"/>
      <c r="X1327" s="197"/>
      <c r="Y1327" s="197"/>
      <c r="Z1327" s="197"/>
      <c r="AA1327" s="197"/>
      <c r="AB1327" s="197"/>
      <c r="AC1327" s="197"/>
      <c r="AD1327" s="197"/>
      <c r="AE1327" s="197"/>
      <c r="AF1327" s="197"/>
      <c r="AG1327" s="197"/>
      <c r="AH1327" s="197"/>
      <c r="AI1327" s="197"/>
      <c r="AJ1327" s="197"/>
      <c r="AK1327" s="197"/>
      <c r="AL1327" s="197"/>
    </row>
    <row r="1328" spans="1:38">
      <c r="A1328" s="11" t="str">
        <f t="shared" si="83"/>
        <v>15-423027522012</v>
      </c>
      <c r="B1328" t="s">
        <v>723</v>
      </c>
      <c r="C1328" t="s">
        <v>724</v>
      </c>
      <c r="D1328">
        <v>2012</v>
      </c>
      <c r="E1328" t="s">
        <v>106</v>
      </c>
      <c r="F1328">
        <v>71062.63</v>
      </c>
      <c r="G1328">
        <v>51</v>
      </c>
      <c r="H1328" s="11" t="str">
        <f t="shared" si="82"/>
        <v>count</v>
      </c>
      <c r="I1328" s="197"/>
      <c r="J1328" s="197"/>
      <c r="K1328" s="197"/>
      <c r="L1328" s="197"/>
      <c r="M1328" s="197"/>
      <c r="N1328" s="197"/>
      <c r="O1328" s="197"/>
      <c r="P1328" s="197"/>
      <c r="Q1328" s="197"/>
      <c r="R1328" s="197"/>
      <c r="S1328" s="197"/>
      <c r="T1328" s="197"/>
      <c r="U1328" s="197"/>
      <c r="V1328" s="197"/>
      <c r="W1328" s="197"/>
      <c r="X1328" s="197"/>
      <c r="Y1328" s="197"/>
      <c r="Z1328" s="197"/>
      <c r="AA1328" s="197"/>
      <c r="AB1328" s="197"/>
      <c r="AC1328" s="197"/>
      <c r="AD1328" s="197"/>
      <c r="AE1328" s="197"/>
      <c r="AF1328" s="197"/>
      <c r="AG1328" s="197"/>
      <c r="AH1328" s="197"/>
      <c r="AI1328" s="197"/>
      <c r="AJ1328" s="197"/>
      <c r="AK1328" s="197"/>
      <c r="AL1328" s="197"/>
    </row>
    <row r="1329" spans="1:38">
      <c r="A1329" s="11" t="str">
        <f t="shared" si="83"/>
        <v>15-423027522012</v>
      </c>
      <c r="B1329" t="s">
        <v>723</v>
      </c>
      <c r="C1329" t="s">
        <v>724</v>
      </c>
      <c r="D1329">
        <v>2012</v>
      </c>
      <c r="E1329" t="s">
        <v>63</v>
      </c>
      <c r="F1329">
        <v>744923.1</v>
      </c>
      <c r="G1329">
        <v>686</v>
      </c>
      <c r="H1329" s="11" t="str">
        <f t="shared" si="82"/>
        <v>count</v>
      </c>
      <c r="I1329" s="197"/>
      <c r="J1329" s="197"/>
      <c r="K1329" s="197"/>
      <c r="L1329" s="197"/>
      <c r="M1329" s="197"/>
      <c r="N1329" s="197"/>
      <c r="O1329" s="197"/>
      <c r="P1329" s="197"/>
      <c r="Q1329" s="197"/>
      <c r="R1329" s="197"/>
      <c r="S1329" s="197"/>
      <c r="T1329" s="197"/>
      <c r="U1329" s="197"/>
      <c r="V1329" s="197"/>
      <c r="W1329" s="197"/>
      <c r="X1329" s="197"/>
      <c r="Y1329" s="197"/>
      <c r="Z1329" s="197"/>
      <c r="AA1329" s="197"/>
      <c r="AB1329" s="197"/>
      <c r="AC1329" s="197"/>
      <c r="AD1329" s="197"/>
      <c r="AE1329" s="197"/>
      <c r="AF1329" s="197"/>
      <c r="AG1329" s="197"/>
      <c r="AH1329" s="197"/>
      <c r="AI1329" s="197"/>
      <c r="AJ1329" s="197"/>
      <c r="AK1329" s="197"/>
      <c r="AL1329" s="197"/>
    </row>
    <row r="1330" spans="1:38">
      <c r="A1330" s="11" t="str">
        <f t="shared" si="83"/>
        <v>15-423027522011</v>
      </c>
      <c r="B1330" t="s">
        <v>723</v>
      </c>
      <c r="C1330" t="s">
        <v>724</v>
      </c>
      <c r="D1330">
        <v>2011</v>
      </c>
      <c r="E1330" t="s">
        <v>1075</v>
      </c>
      <c r="F1330">
        <v>27253.119999999999</v>
      </c>
      <c r="G1330">
        <v>42</v>
      </c>
      <c r="H1330" s="11" t="str">
        <f t="shared" si="82"/>
        <v>count</v>
      </c>
      <c r="I1330" s="197"/>
      <c r="J1330" s="197"/>
      <c r="K1330" s="197"/>
      <c r="L1330" s="197"/>
      <c r="M1330" s="197"/>
      <c r="N1330" s="197"/>
      <c r="O1330" s="197"/>
      <c r="P1330" s="197"/>
      <c r="Q1330" s="197"/>
      <c r="R1330" s="197"/>
      <c r="S1330" s="197"/>
      <c r="T1330" s="197"/>
      <c r="U1330" s="197"/>
      <c r="V1330" s="197"/>
      <c r="W1330" s="197"/>
      <c r="X1330" s="197"/>
      <c r="Y1330" s="197"/>
      <c r="Z1330" s="197"/>
      <c r="AA1330" s="197"/>
      <c r="AB1330" s="197"/>
      <c r="AC1330" s="197"/>
      <c r="AD1330" s="197"/>
      <c r="AE1330" s="197"/>
      <c r="AF1330" s="197"/>
      <c r="AG1330" s="197"/>
      <c r="AH1330" s="197"/>
      <c r="AI1330" s="197"/>
      <c r="AJ1330" s="197"/>
      <c r="AK1330" s="197"/>
      <c r="AL1330" s="197"/>
    </row>
    <row r="1331" spans="1:38">
      <c r="A1331" s="11" t="str">
        <f t="shared" si="83"/>
        <v>15-423027522011</v>
      </c>
      <c r="B1331" t="s">
        <v>723</v>
      </c>
      <c r="C1331" t="s">
        <v>724</v>
      </c>
      <c r="D1331">
        <v>2011</v>
      </c>
      <c r="E1331" t="s">
        <v>106</v>
      </c>
      <c r="F1331">
        <v>69681.73</v>
      </c>
      <c r="G1331">
        <v>36</v>
      </c>
      <c r="H1331" s="11" t="str">
        <f t="shared" si="82"/>
        <v>count</v>
      </c>
      <c r="I1331" s="197"/>
      <c r="J1331" s="197"/>
      <c r="K1331" s="197"/>
      <c r="L1331" s="197"/>
      <c r="M1331" s="197"/>
      <c r="N1331" s="197"/>
      <c r="O1331" s="197"/>
      <c r="P1331" s="197"/>
      <c r="Q1331" s="197"/>
      <c r="R1331" s="197"/>
      <c r="S1331" s="197"/>
      <c r="T1331" s="197"/>
      <c r="U1331" s="197"/>
      <c r="V1331" s="197"/>
      <c r="W1331" s="197"/>
      <c r="X1331" s="197"/>
      <c r="Y1331" s="197"/>
      <c r="Z1331" s="197"/>
      <c r="AA1331" s="197"/>
      <c r="AB1331" s="197"/>
      <c r="AC1331" s="197"/>
      <c r="AD1331" s="197"/>
      <c r="AE1331" s="197"/>
      <c r="AF1331" s="197"/>
      <c r="AG1331" s="197"/>
      <c r="AH1331" s="197"/>
      <c r="AI1331" s="197"/>
      <c r="AJ1331" s="197"/>
      <c r="AK1331" s="197"/>
      <c r="AL1331" s="197"/>
    </row>
    <row r="1332" spans="1:38">
      <c r="A1332" s="11" t="str">
        <f t="shared" si="83"/>
        <v>15-423027522011</v>
      </c>
      <c r="B1332" t="s">
        <v>723</v>
      </c>
      <c r="C1332" t="s">
        <v>724</v>
      </c>
      <c r="D1332">
        <v>2011</v>
      </c>
      <c r="E1332" t="s">
        <v>1076</v>
      </c>
      <c r="F1332">
        <v>9396.06</v>
      </c>
      <c r="G1332">
        <v>16</v>
      </c>
      <c r="H1332" s="11" t="str">
        <f t="shared" si="82"/>
        <v>count</v>
      </c>
      <c r="I1332" s="197"/>
      <c r="J1332" s="197"/>
      <c r="K1332" s="197"/>
      <c r="L1332" s="197"/>
      <c r="M1332" s="197"/>
      <c r="N1332" s="197"/>
      <c r="O1332" s="197"/>
      <c r="P1332" s="197"/>
      <c r="Q1332" s="197"/>
      <c r="R1332" s="197"/>
      <c r="S1332" s="197"/>
      <c r="T1332" s="197"/>
      <c r="U1332" s="197"/>
      <c r="V1332" s="197"/>
      <c r="W1332" s="197"/>
      <c r="X1332" s="197"/>
      <c r="Y1332" s="197"/>
      <c r="Z1332" s="197"/>
      <c r="AA1332" s="197"/>
      <c r="AB1332" s="197"/>
      <c r="AC1332" s="197"/>
      <c r="AD1332" s="197"/>
      <c r="AE1332" s="197"/>
      <c r="AF1332" s="197"/>
      <c r="AG1332" s="197"/>
      <c r="AH1332" s="197"/>
      <c r="AI1332" s="197"/>
      <c r="AJ1332" s="197"/>
      <c r="AK1332" s="197"/>
      <c r="AL1332" s="197"/>
    </row>
    <row r="1333" spans="1:38">
      <c r="A1333" s="11" t="str">
        <f t="shared" si="83"/>
        <v>15-423027522013</v>
      </c>
      <c r="B1333" t="s">
        <v>723</v>
      </c>
      <c r="C1333" t="s">
        <v>724</v>
      </c>
      <c r="D1333">
        <v>2013</v>
      </c>
      <c r="E1333" t="s">
        <v>63</v>
      </c>
      <c r="F1333">
        <v>672338.91</v>
      </c>
      <c r="G1333">
        <v>600</v>
      </c>
      <c r="H1333" s="11" t="str">
        <f t="shared" si="82"/>
        <v>count</v>
      </c>
      <c r="I1333" s="197"/>
      <c r="J1333" s="197"/>
      <c r="K1333" s="197"/>
      <c r="L1333" s="197"/>
      <c r="M1333" s="197"/>
      <c r="N1333" s="197"/>
      <c r="O1333" s="197"/>
      <c r="P1333" s="197"/>
      <c r="Q1333" s="197"/>
      <c r="R1333" s="197"/>
      <c r="S1333" s="197"/>
      <c r="T1333" s="197"/>
      <c r="U1333" s="197"/>
      <c r="V1333" s="197"/>
      <c r="W1333" s="197"/>
      <c r="X1333" s="197"/>
      <c r="Y1333" s="197"/>
      <c r="Z1333" s="197"/>
      <c r="AA1333" s="197"/>
      <c r="AB1333" s="197"/>
      <c r="AC1333" s="197"/>
      <c r="AD1333" s="197"/>
      <c r="AE1333" s="197"/>
      <c r="AF1333" s="197"/>
      <c r="AG1333" s="197"/>
      <c r="AH1333" s="197"/>
      <c r="AI1333" s="197"/>
      <c r="AJ1333" s="197"/>
      <c r="AK1333" s="197"/>
      <c r="AL1333" s="197"/>
    </row>
    <row r="1334" spans="1:38">
      <c r="A1334" s="11" t="str">
        <f t="shared" si="83"/>
        <v>15-423027522012</v>
      </c>
      <c r="B1334" t="s">
        <v>723</v>
      </c>
      <c r="C1334" t="s">
        <v>724</v>
      </c>
      <c r="D1334">
        <v>2012</v>
      </c>
      <c r="E1334" t="s">
        <v>133</v>
      </c>
      <c r="F1334">
        <v>200064.54</v>
      </c>
      <c r="G1334">
        <v>160</v>
      </c>
      <c r="H1334" s="11" t="str">
        <f t="shared" si="82"/>
        <v>count</v>
      </c>
      <c r="I1334" s="197"/>
      <c r="J1334" s="197"/>
      <c r="K1334" s="197"/>
      <c r="L1334" s="197"/>
      <c r="M1334" s="197"/>
      <c r="N1334" s="197"/>
      <c r="O1334" s="197"/>
      <c r="P1334" s="197"/>
      <c r="Q1334" s="197"/>
      <c r="R1334" s="197"/>
      <c r="S1334" s="197"/>
      <c r="T1334" s="197"/>
      <c r="U1334" s="197"/>
      <c r="V1334" s="197"/>
      <c r="W1334" s="197"/>
      <c r="X1334" s="197"/>
      <c r="Y1334" s="197"/>
      <c r="Z1334" s="197"/>
      <c r="AA1334" s="197"/>
      <c r="AB1334" s="197"/>
      <c r="AC1334" s="197"/>
      <c r="AD1334" s="197"/>
      <c r="AE1334" s="197"/>
      <c r="AF1334" s="197"/>
      <c r="AG1334" s="197"/>
      <c r="AH1334" s="197"/>
      <c r="AI1334" s="197"/>
      <c r="AJ1334" s="197"/>
      <c r="AK1334" s="197"/>
      <c r="AL1334" s="197"/>
    </row>
    <row r="1335" spans="1:38">
      <c r="A1335" s="11" t="str">
        <f t="shared" si="83"/>
        <v>15-423027522013</v>
      </c>
      <c r="B1335" t="s">
        <v>723</v>
      </c>
      <c r="C1335" t="s">
        <v>724</v>
      </c>
      <c r="D1335">
        <v>2013</v>
      </c>
      <c r="E1335" t="s">
        <v>104</v>
      </c>
      <c r="F1335">
        <v>301272.52</v>
      </c>
      <c r="G1335">
        <v>265</v>
      </c>
      <c r="H1335" s="11" t="str">
        <f t="shared" si="82"/>
        <v>count</v>
      </c>
      <c r="I1335" s="197"/>
      <c r="J1335" s="197"/>
      <c r="K1335" s="197"/>
      <c r="L1335" s="197"/>
      <c r="M1335" s="197"/>
      <c r="N1335" s="197"/>
      <c r="O1335" s="197"/>
      <c r="P1335" s="197"/>
      <c r="Q1335" s="197"/>
      <c r="R1335" s="197"/>
      <c r="S1335" s="197"/>
      <c r="T1335" s="197"/>
      <c r="U1335" s="197"/>
      <c r="V1335" s="197"/>
      <c r="W1335" s="197"/>
      <c r="X1335" s="197"/>
      <c r="Y1335" s="197"/>
      <c r="Z1335" s="197"/>
      <c r="AA1335" s="197"/>
      <c r="AB1335" s="197"/>
      <c r="AC1335" s="197"/>
      <c r="AD1335" s="197"/>
      <c r="AE1335" s="197"/>
      <c r="AF1335" s="197"/>
      <c r="AG1335" s="197"/>
      <c r="AH1335" s="197"/>
      <c r="AI1335" s="197"/>
      <c r="AJ1335" s="197"/>
      <c r="AK1335" s="197"/>
      <c r="AL1335" s="197"/>
    </row>
    <row r="1336" spans="1:38">
      <c r="A1336" s="11" t="str">
        <f t="shared" si="83"/>
        <v>15-520011622013</v>
      </c>
      <c r="B1336" t="s">
        <v>737</v>
      </c>
      <c r="C1336" t="s">
        <v>738</v>
      </c>
      <c r="D1336">
        <v>2013</v>
      </c>
      <c r="E1336" t="s">
        <v>105</v>
      </c>
      <c r="F1336">
        <v>21546.38</v>
      </c>
      <c r="G1336">
        <v>13</v>
      </c>
      <c r="H1336" s="11" t="str">
        <f t="shared" si="82"/>
        <v>volume</v>
      </c>
      <c r="I1336" s="197"/>
      <c r="J1336" s="197"/>
      <c r="K1336" s="197"/>
      <c r="L1336" s="197"/>
      <c r="M1336" s="197"/>
      <c r="N1336" s="197"/>
      <c r="O1336" s="197"/>
      <c r="P1336" s="197"/>
      <c r="Q1336" s="197"/>
      <c r="R1336" s="197"/>
      <c r="S1336" s="197"/>
      <c r="T1336" s="197"/>
      <c r="U1336" s="197"/>
      <c r="V1336" s="197"/>
      <c r="W1336" s="197"/>
      <c r="X1336" s="197"/>
      <c r="Y1336" s="197"/>
      <c r="Z1336" s="197"/>
      <c r="AA1336" s="197"/>
      <c r="AB1336" s="197"/>
      <c r="AC1336" s="197"/>
      <c r="AD1336" s="197"/>
      <c r="AE1336" s="197"/>
      <c r="AF1336" s="197"/>
      <c r="AG1336" s="197"/>
      <c r="AH1336" s="197"/>
      <c r="AI1336" s="197"/>
      <c r="AJ1336" s="197"/>
      <c r="AK1336" s="197"/>
      <c r="AL1336" s="197"/>
    </row>
    <row r="1337" spans="1:38">
      <c r="A1337" s="11" t="str">
        <f t="shared" si="83"/>
        <v>15-520011622012</v>
      </c>
      <c r="B1337" t="s">
        <v>737</v>
      </c>
      <c r="C1337" t="s">
        <v>738</v>
      </c>
      <c r="D1337">
        <v>2012</v>
      </c>
      <c r="E1337" t="s">
        <v>63</v>
      </c>
      <c r="F1337">
        <v>203887.42</v>
      </c>
      <c r="G1337">
        <v>236</v>
      </c>
      <c r="H1337" s="11" t="str">
        <f t="shared" si="82"/>
        <v>count</v>
      </c>
      <c r="I1337" s="197"/>
      <c r="J1337" s="197"/>
      <c r="K1337" s="197"/>
      <c r="L1337" s="197"/>
      <c r="M1337" s="197"/>
      <c r="N1337" s="197"/>
      <c r="O1337" s="197"/>
      <c r="P1337" s="197"/>
      <c r="Q1337" s="197"/>
      <c r="R1337" s="197"/>
      <c r="S1337" s="197"/>
      <c r="T1337" s="197"/>
      <c r="U1337" s="197"/>
      <c r="V1337" s="197"/>
      <c r="W1337" s="197"/>
      <c r="X1337" s="197"/>
      <c r="Y1337" s="197"/>
      <c r="Z1337" s="197"/>
      <c r="AA1337" s="197"/>
      <c r="AB1337" s="197"/>
      <c r="AC1337" s="197"/>
      <c r="AD1337" s="197"/>
      <c r="AE1337" s="197"/>
      <c r="AF1337" s="197"/>
      <c r="AG1337" s="197"/>
      <c r="AH1337" s="197"/>
      <c r="AI1337" s="197"/>
      <c r="AJ1337" s="197"/>
      <c r="AK1337" s="197"/>
      <c r="AL1337" s="197"/>
    </row>
    <row r="1338" spans="1:38">
      <c r="A1338" s="11" t="str">
        <f t="shared" si="83"/>
        <v>15-520011622012</v>
      </c>
      <c r="B1338" t="s">
        <v>737</v>
      </c>
      <c r="C1338" t="s">
        <v>738</v>
      </c>
      <c r="D1338">
        <v>2012</v>
      </c>
      <c r="E1338" t="s">
        <v>104</v>
      </c>
      <c r="F1338">
        <v>103454.03</v>
      </c>
      <c r="G1338">
        <v>130</v>
      </c>
      <c r="H1338" s="11" t="str">
        <f t="shared" si="82"/>
        <v>count</v>
      </c>
      <c r="I1338" s="197"/>
      <c r="J1338" s="197"/>
      <c r="K1338" s="197"/>
      <c r="L1338" s="197"/>
      <c r="M1338" s="197"/>
      <c r="N1338" s="197"/>
      <c r="O1338" s="197"/>
      <c r="P1338" s="197"/>
      <c r="Q1338" s="197"/>
      <c r="R1338" s="197"/>
      <c r="S1338" s="197"/>
      <c r="T1338" s="197"/>
      <c r="U1338" s="197"/>
      <c r="V1338" s="197"/>
      <c r="W1338" s="197"/>
      <c r="X1338" s="197"/>
      <c r="Y1338" s="197"/>
      <c r="Z1338" s="197"/>
      <c r="AA1338" s="197"/>
      <c r="AB1338" s="197"/>
      <c r="AC1338" s="197"/>
      <c r="AD1338" s="197"/>
      <c r="AE1338" s="197"/>
      <c r="AF1338" s="197"/>
      <c r="AG1338" s="197"/>
      <c r="AH1338" s="197"/>
      <c r="AI1338" s="197"/>
      <c r="AJ1338" s="197"/>
      <c r="AK1338" s="197"/>
      <c r="AL1338" s="197"/>
    </row>
    <row r="1339" spans="1:38">
      <c r="A1339" s="11" t="str">
        <f t="shared" si="83"/>
        <v>15-520011622011</v>
      </c>
      <c r="B1339" t="s">
        <v>737</v>
      </c>
      <c r="C1339" t="s">
        <v>738</v>
      </c>
      <c r="D1339">
        <v>2011</v>
      </c>
      <c r="E1339" t="s">
        <v>104</v>
      </c>
      <c r="F1339">
        <v>131273.56</v>
      </c>
      <c r="G1339">
        <v>182</v>
      </c>
      <c r="H1339" s="11" t="str">
        <f t="shared" si="82"/>
        <v>count</v>
      </c>
      <c r="I1339" s="197"/>
      <c r="J1339" s="197"/>
      <c r="K1339" s="197"/>
      <c r="L1339" s="197"/>
      <c r="M1339" s="197"/>
      <c r="N1339" s="197"/>
      <c r="O1339" s="197"/>
      <c r="P1339" s="197"/>
      <c r="Q1339" s="197"/>
      <c r="R1339" s="197"/>
      <c r="S1339" s="197"/>
      <c r="T1339" s="197"/>
      <c r="U1339" s="197"/>
      <c r="V1339" s="197"/>
      <c r="W1339" s="197"/>
      <c r="X1339" s="197"/>
      <c r="Y1339" s="197"/>
      <c r="Z1339" s="197"/>
      <c r="AA1339" s="197"/>
      <c r="AB1339" s="197"/>
      <c r="AC1339" s="197"/>
      <c r="AD1339" s="197"/>
      <c r="AE1339" s="197"/>
      <c r="AF1339" s="197"/>
      <c r="AG1339" s="197"/>
      <c r="AH1339" s="197"/>
      <c r="AI1339" s="197"/>
      <c r="AJ1339" s="197"/>
      <c r="AK1339" s="197"/>
      <c r="AL1339" s="197"/>
    </row>
    <row r="1340" spans="1:38">
      <c r="A1340" s="11" t="str">
        <f t="shared" si="83"/>
        <v>15-520011622012</v>
      </c>
      <c r="B1340" t="s">
        <v>737</v>
      </c>
      <c r="C1340" t="s">
        <v>738</v>
      </c>
      <c r="D1340">
        <v>2012</v>
      </c>
      <c r="E1340" t="s">
        <v>69</v>
      </c>
      <c r="F1340">
        <v>73569.34</v>
      </c>
      <c r="G1340">
        <v>160</v>
      </c>
      <c r="H1340" s="11" t="str">
        <f t="shared" si="82"/>
        <v>count</v>
      </c>
      <c r="I1340" s="197"/>
      <c r="J1340" s="197"/>
      <c r="K1340" s="197"/>
      <c r="L1340" s="197"/>
      <c r="M1340" s="197"/>
      <c r="N1340" s="197"/>
      <c r="O1340" s="197"/>
      <c r="P1340" s="197"/>
      <c r="Q1340" s="197"/>
      <c r="R1340" s="197"/>
      <c r="S1340" s="197"/>
      <c r="T1340" s="197"/>
      <c r="U1340" s="197"/>
      <c r="V1340" s="197"/>
      <c r="W1340" s="197"/>
      <c r="X1340" s="197"/>
      <c r="Y1340" s="197"/>
      <c r="Z1340" s="197"/>
      <c r="AA1340" s="197"/>
      <c r="AB1340" s="197"/>
      <c r="AC1340" s="197"/>
      <c r="AD1340" s="197"/>
      <c r="AE1340" s="197"/>
      <c r="AF1340" s="197"/>
      <c r="AG1340" s="197"/>
      <c r="AH1340" s="197"/>
      <c r="AI1340" s="197"/>
      <c r="AJ1340" s="197"/>
      <c r="AK1340" s="197"/>
      <c r="AL1340" s="197"/>
    </row>
    <row r="1341" spans="1:38">
      <c r="A1341" s="11" t="str">
        <f t="shared" si="83"/>
        <v>15-520011622011</v>
      </c>
      <c r="B1341" t="s">
        <v>737</v>
      </c>
      <c r="C1341" t="s">
        <v>738</v>
      </c>
      <c r="D1341">
        <v>2011</v>
      </c>
      <c r="E1341" t="s">
        <v>63</v>
      </c>
      <c r="F1341">
        <v>236976.05</v>
      </c>
      <c r="G1341">
        <v>367</v>
      </c>
      <c r="H1341" s="11" t="str">
        <f t="shared" si="82"/>
        <v>count</v>
      </c>
      <c r="I1341" s="197"/>
      <c r="J1341" s="197"/>
      <c r="K1341" s="197"/>
      <c r="L1341" s="197"/>
      <c r="M1341" s="197"/>
      <c r="N1341" s="197"/>
      <c r="O1341" s="197"/>
      <c r="P1341" s="197"/>
      <c r="Q1341" s="197"/>
      <c r="R1341" s="197"/>
      <c r="S1341" s="197"/>
      <c r="T1341" s="197"/>
      <c r="U1341" s="197"/>
      <c r="V1341" s="197"/>
      <c r="W1341" s="197"/>
      <c r="X1341" s="197"/>
      <c r="Y1341" s="197"/>
      <c r="Z1341" s="197"/>
      <c r="AA1341" s="197"/>
      <c r="AB1341" s="197"/>
      <c r="AC1341" s="197"/>
      <c r="AD1341" s="197"/>
      <c r="AE1341" s="197"/>
      <c r="AF1341" s="197"/>
      <c r="AG1341" s="197"/>
      <c r="AH1341" s="197"/>
      <c r="AI1341" s="197"/>
      <c r="AJ1341" s="197"/>
      <c r="AK1341" s="197"/>
      <c r="AL1341" s="197"/>
    </row>
    <row r="1342" spans="1:38">
      <c r="A1342" s="11" t="str">
        <f t="shared" si="83"/>
        <v>15-520011622012</v>
      </c>
      <c r="B1342" t="s">
        <v>737</v>
      </c>
      <c r="C1342" t="s">
        <v>738</v>
      </c>
      <c r="D1342">
        <v>2012</v>
      </c>
      <c r="E1342" t="s">
        <v>105</v>
      </c>
      <c r="F1342">
        <v>11684.67</v>
      </c>
      <c r="G1342">
        <v>11</v>
      </c>
      <c r="H1342" s="11" t="str">
        <f t="shared" si="82"/>
        <v>count</v>
      </c>
      <c r="I1342" s="197"/>
      <c r="J1342" s="197"/>
      <c r="K1342" s="197"/>
      <c r="L1342" s="197"/>
      <c r="M1342" s="197"/>
      <c r="N1342" s="197"/>
      <c r="O1342" s="197"/>
      <c r="P1342" s="197"/>
      <c r="Q1342" s="197"/>
      <c r="R1342" s="197"/>
      <c r="S1342" s="197"/>
      <c r="T1342" s="197"/>
      <c r="U1342" s="197"/>
      <c r="V1342" s="197"/>
      <c r="W1342" s="197"/>
      <c r="X1342" s="197"/>
      <c r="Y1342" s="197"/>
      <c r="Z1342" s="197"/>
      <c r="AA1342" s="197"/>
      <c r="AB1342" s="197"/>
      <c r="AC1342" s="197"/>
      <c r="AD1342" s="197"/>
      <c r="AE1342" s="197"/>
      <c r="AF1342" s="197"/>
      <c r="AG1342" s="197"/>
      <c r="AH1342" s="197"/>
      <c r="AI1342" s="197"/>
      <c r="AJ1342" s="197"/>
      <c r="AK1342" s="197"/>
      <c r="AL1342" s="197"/>
    </row>
    <row r="1343" spans="1:38">
      <c r="A1343" s="11" t="str">
        <f t="shared" si="83"/>
        <v>15-520011622013</v>
      </c>
      <c r="B1343" t="s">
        <v>737</v>
      </c>
      <c r="C1343" t="s">
        <v>738</v>
      </c>
      <c r="D1343">
        <v>2013</v>
      </c>
      <c r="E1343" t="s">
        <v>69</v>
      </c>
      <c r="F1343">
        <v>60745.75</v>
      </c>
      <c r="G1343">
        <v>125</v>
      </c>
      <c r="H1343" s="11" t="str">
        <f t="shared" si="82"/>
        <v>count</v>
      </c>
      <c r="I1343" s="197"/>
      <c r="J1343" s="197"/>
      <c r="K1343" s="197"/>
      <c r="L1343" s="197"/>
      <c r="M1343" s="197"/>
      <c r="N1343" s="197"/>
      <c r="O1343" s="197"/>
      <c r="P1343" s="197"/>
      <c r="Q1343" s="197"/>
      <c r="R1343" s="197"/>
      <c r="S1343" s="197"/>
      <c r="T1343" s="197"/>
      <c r="U1343" s="197"/>
      <c r="V1343" s="197"/>
      <c r="W1343" s="197"/>
      <c r="X1343" s="197"/>
      <c r="Y1343" s="197"/>
      <c r="Z1343" s="197"/>
      <c r="AA1343" s="197"/>
      <c r="AB1343" s="197"/>
      <c r="AC1343" s="197"/>
      <c r="AD1343" s="197"/>
      <c r="AE1343" s="197"/>
      <c r="AF1343" s="197"/>
      <c r="AG1343" s="197"/>
      <c r="AH1343" s="197"/>
      <c r="AI1343" s="197"/>
      <c r="AJ1343" s="197"/>
      <c r="AK1343" s="197"/>
      <c r="AL1343" s="197"/>
    </row>
    <row r="1344" spans="1:38">
      <c r="A1344" s="11" t="str">
        <f t="shared" si="83"/>
        <v>15-520011622013</v>
      </c>
      <c r="B1344" t="s">
        <v>737</v>
      </c>
      <c r="C1344" t="s">
        <v>738</v>
      </c>
      <c r="D1344">
        <v>2013</v>
      </c>
      <c r="E1344" t="s">
        <v>63</v>
      </c>
      <c r="F1344">
        <v>155088.62</v>
      </c>
      <c r="G1344">
        <v>160</v>
      </c>
      <c r="H1344" s="11" t="str">
        <f t="shared" si="82"/>
        <v>count</v>
      </c>
      <c r="I1344" s="197"/>
      <c r="J1344" s="197"/>
      <c r="K1344" s="197"/>
      <c r="L1344" s="197"/>
      <c r="M1344" s="197"/>
      <c r="N1344" s="197"/>
      <c r="O1344" s="197"/>
      <c r="P1344" s="197"/>
      <c r="Q1344" s="197"/>
      <c r="R1344" s="197"/>
      <c r="S1344" s="197"/>
      <c r="T1344" s="197"/>
      <c r="U1344" s="197"/>
      <c r="V1344" s="197"/>
      <c r="W1344" s="197"/>
      <c r="X1344" s="197"/>
      <c r="Y1344" s="197"/>
      <c r="Z1344" s="197"/>
      <c r="AA1344" s="197"/>
      <c r="AB1344" s="197"/>
      <c r="AC1344" s="197"/>
      <c r="AD1344" s="197"/>
      <c r="AE1344" s="197"/>
      <c r="AF1344" s="197"/>
      <c r="AG1344" s="197"/>
      <c r="AH1344" s="197"/>
      <c r="AI1344" s="197"/>
      <c r="AJ1344" s="197"/>
      <c r="AK1344" s="197"/>
      <c r="AL1344" s="197"/>
    </row>
    <row r="1345" spans="1:38">
      <c r="A1345" s="11" t="str">
        <f t="shared" si="83"/>
        <v>15-520011622011</v>
      </c>
      <c r="B1345" t="s">
        <v>737</v>
      </c>
      <c r="C1345" t="s">
        <v>738</v>
      </c>
      <c r="D1345">
        <v>2011</v>
      </c>
      <c r="E1345" t="s">
        <v>105</v>
      </c>
      <c r="F1345">
        <v>32058.080000000002</v>
      </c>
      <c r="G1345">
        <v>31</v>
      </c>
      <c r="H1345" s="11" t="str">
        <f t="shared" si="82"/>
        <v>count</v>
      </c>
      <c r="I1345" s="197"/>
      <c r="J1345" s="197"/>
      <c r="K1345" s="197"/>
      <c r="L1345" s="197"/>
      <c r="M1345" s="197"/>
      <c r="N1345" s="197"/>
      <c r="O1345" s="197"/>
      <c r="P1345" s="197"/>
      <c r="Q1345" s="197"/>
      <c r="R1345" s="197"/>
      <c r="S1345" s="197"/>
      <c r="T1345" s="197"/>
      <c r="U1345" s="197"/>
      <c r="V1345" s="197"/>
      <c r="W1345" s="197"/>
      <c r="X1345" s="197"/>
      <c r="Y1345" s="197"/>
      <c r="Z1345" s="197"/>
      <c r="AA1345" s="197"/>
      <c r="AB1345" s="197"/>
      <c r="AC1345" s="197"/>
      <c r="AD1345" s="197"/>
      <c r="AE1345" s="197"/>
      <c r="AF1345" s="197"/>
      <c r="AG1345" s="197"/>
      <c r="AH1345" s="197"/>
      <c r="AI1345" s="197"/>
      <c r="AJ1345" s="197"/>
      <c r="AK1345" s="197"/>
      <c r="AL1345" s="197"/>
    </row>
    <row r="1346" spans="1:38">
      <c r="A1346" s="11" t="str">
        <f t="shared" si="83"/>
        <v>15-520011622013</v>
      </c>
      <c r="B1346" t="s">
        <v>737</v>
      </c>
      <c r="C1346" t="s">
        <v>738</v>
      </c>
      <c r="D1346">
        <v>2013</v>
      </c>
      <c r="E1346" t="s">
        <v>104</v>
      </c>
      <c r="F1346">
        <v>75219.38</v>
      </c>
      <c r="G1346">
        <v>91</v>
      </c>
      <c r="H1346" s="11" t="str">
        <f t="shared" ref="H1346:H1409" si="84">IF(B1346=B1345,"count","volume")</f>
        <v>count</v>
      </c>
      <c r="I1346" s="197"/>
      <c r="J1346" s="197"/>
      <c r="K1346" s="197"/>
      <c r="L1346" s="197"/>
      <c r="M1346" s="197"/>
      <c r="N1346" s="197"/>
      <c r="O1346" s="197"/>
      <c r="P1346" s="197"/>
      <c r="Q1346" s="197"/>
      <c r="R1346" s="197"/>
      <c r="S1346" s="197"/>
      <c r="T1346" s="197"/>
      <c r="U1346" s="197"/>
      <c r="V1346" s="197"/>
      <c r="W1346" s="197"/>
      <c r="X1346" s="197"/>
      <c r="Y1346" s="197"/>
      <c r="Z1346" s="197"/>
      <c r="AA1346" s="197"/>
      <c r="AB1346" s="197"/>
      <c r="AC1346" s="197"/>
      <c r="AD1346" s="197"/>
      <c r="AE1346" s="197"/>
      <c r="AF1346" s="197"/>
      <c r="AG1346" s="197"/>
      <c r="AH1346" s="197"/>
      <c r="AI1346" s="197"/>
      <c r="AJ1346" s="197"/>
      <c r="AK1346" s="197"/>
      <c r="AL1346" s="197"/>
    </row>
    <row r="1347" spans="1:38">
      <c r="A1347" s="11" t="str">
        <f t="shared" ref="A1347:A1410" si="85">B1347&amp;D1347</f>
        <v>15-663352882013</v>
      </c>
      <c r="B1347" t="s">
        <v>755</v>
      </c>
      <c r="C1347" t="s">
        <v>756</v>
      </c>
      <c r="D1347">
        <v>2013</v>
      </c>
      <c r="E1347" t="s">
        <v>69</v>
      </c>
      <c r="F1347">
        <v>76281.63</v>
      </c>
      <c r="G1347">
        <v>54</v>
      </c>
      <c r="H1347" s="11" t="str">
        <f t="shared" si="84"/>
        <v>volume</v>
      </c>
      <c r="I1347" s="197"/>
      <c r="J1347" s="197"/>
      <c r="K1347" s="197"/>
      <c r="L1347" s="197"/>
      <c r="M1347" s="197"/>
      <c r="N1347" s="197"/>
      <c r="O1347" s="197"/>
      <c r="P1347" s="197"/>
      <c r="Q1347" s="197"/>
      <c r="R1347" s="197"/>
      <c r="S1347" s="197"/>
      <c r="T1347" s="197"/>
      <c r="U1347" s="197"/>
      <c r="V1347" s="197"/>
      <c r="W1347" s="197"/>
      <c r="X1347" s="197"/>
      <c r="Y1347" s="197"/>
      <c r="Z1347" s="197"/>
      <c r="AA1347" s="197"/>
      <c r="AB1347" s="197"/>
      <c r="AC1347" s="197"/>
      <c r="AD1347" s="197"/>
      <c r="AE1347" s="197"/>
      <c r="AF1347" s="197"/>
      <c r="AG1347" s="197"/>
      <c r="AH1347" s="197"/>
      <c r="AI1347" s="197"/>
      <c r="AJ1347" s="197"/>
      <c r="AK1347" s="197"/>
      <c r="AL1347" s="197"/>
    </row>
    <row r="1348" spans="1:38">
      <c r="A1348" s="11" t="str">
        <f t="shared" si="85"/>
        <v>15-663352882013</v>
      </c>
      <c r="B1348" t="s">
        <v>755</v>
      </c>
      <c r="C1348" t="s">
        <v>756</v>
      </c>
      <c r="D1348">
        <v>2013</v>
      </c>
      <c r="E1348" t="s">
        <v>105</v>
      </c>
      <c r="F1348">
        <v>29469.040000000001</v>
      </c>
      <c r="G1348">
        <v>14</v>
      </c>
      <c r="H1348" s="11" t="str">
        <f t="shared" si="84"/>
        <v>count</v>
      </c>
      <c r="I1348" s="197"/>
      <c r="J1348" s="197"/>
      <c r="K1348" s="197"/>
      <c r="L1348" s="197"/>
      <c r="M1348" s="197"/>
      <c r="N1348" s="197"/>
      <c r="O1348" s="197"/>
      <c r="P1348" s="197"/>
      <c r="Q1348" s="197"/>
      <c r="R1348" s="197"/>
      <c r="S1348" s="197"/>
      <c r="T1348" s="197"/>
      <c r="U1348" s="197"/>
      <c r="V1348" s="197"/>
      <c r="W1348" s="197"/>
      <c r="X1348" s="197"/>
      <c r="Y1348" s="197"/>
      <c r="Z1348" s="197"/>
      <c r="AA1348" s="197"/>
      <c r="AB1348" s="197"/>
      <c r="AC1348" s="197"/>
      <c r="AD1348" s="197"/>
      <c r="AE1348" s="197"/>
      <c r="AF1348" s="197"/>
      <c r="AG1348" s="197"/>
      <c r="AH1348" s="197"/>
      <c r="AI1348" s="197"/>
      <c r="AJ1348" s="197"/>
      <c r="AK1348" s="197"/>
      <c r="AL1348" s="197"/>
    </row>
    <row r="1349" spans="1:38">
      <c r="A1349" s="11" t="str">
        <f t="shared" si="85"/>
        <v>15-663352882011</v>
      </c>
      <c r="B1349" t="s">
        <v>755</v>
      </c>
      <c r="C1349" t="s">
        <v>756</v>
      </c>
      <c r="D1349">
        <v>2011</v>
      </c>
      <c r="E1349" t="s">
        <v>63</v>
      </c>
      <c r="F1349">
        <v>693520.83</v>
      </c>
      <c r="G1349">
        <v>438</v>
      </c>
      <c r="H1349" s="11" t="str">
        <f t="shared" si="84"/>
        <v>count</v>
      </c>
      <c r="I1349" s="197"/>
      <c r="J1349" s="197"/>
      <c r="K1349" s="197"/>
      <c r="L1349" s="197"/>
      <c r="M1349" s="197"/>
      <c r="N1349" s="197"/>
      <c r="O1349" s="197"/>
      <c r="P1349" s="197"/>
      <c r="Q1349" s="197"/>
      <c r="R1349" s="197"/>
      <c r="S1349" s="197"/>
      <c r="T1349" s="197"/>
      <c r="U1349" s="197"/>
      <c r="V1349" s="197"/>
      <c r="W1349" s="197"/>
      <c r="X1349" s="197"/>
      <c r="Y1349" s="197"/>
      <c r="Z1349" s="197"/>
      <c r="AA1349" s="197"/>
      <c r="AB1349" s="197"/>
      <c r="AC1349" s="197"/>
      <c r="AD1349" s="197"/>
      <c r="AE1349" s="197"/>
      <c r="AF1349" s="197"/>
      <c r="AG1349" s="197"/>
      <c r="AH1349" s="197"/>
      <c r="AI1349" s="197"/>
      <c r="AJ1349" s="197"/>
      <c r="AK1349" s="197"/>
      <c r="AL1349" s="197"/>
    </row>
    <row r="1350" spans="1:38">
      <c r="A1350" s="11" t="str">
        <f t="shared" si="85"/>
        <v>15-663352882011</v>
      </c>
      <c r="B1350" t="s">
        <v>755</v>
      </c>
      <c r="C1350" t="s">
        <v>756</v>
      </c>
      <c r="D1350">
        <v>2011</v>
      </c>
      <c r="E1350" t="s">
        <v>104</v>
      </c>
      <c r="F1350">
        <v>209829.59</v>
      </c>
      <c r="G1350">
        <v>143</v>
      </c>
      <c r="H1350" s="11" t="str">
        <f t="shared" si="84"/>
        <v>count</v>
      </c>
      <c r="I1350" s="197"/>
      <c r="J1350" s="197"/>
      <c r="K1350" s="197"/>
      <c r="L1350" s="197"/>
      <c r="M1350" s="197"/>
      <c r="N1350" s="197"/>
      <c r="O1350" s="197"/>
      <c r="P1350" s="197"/>
      <c r="Q1350" s="197"/>
      <c r="R1350" s="197"/>
      <c r="S1350" s="197"/>
      <c r="T1350" s="197"/>
      <c r="U1350" s="197"/>
      <c r="V1350" s="197"/>
      <c r="W1350" s="197"/>
      <c r="X1350" s="197"/>
      <c r="Y1350" s="197"/>
      <c r="Z1350" s="197"/>
      <c r="AA1350" s="197"/>
      <c r="AB1350" s="197"/>
      <c r="AC1350" s="197"/>
      <c r="AD1350" s="197"/>
      <c r="AE1350" s="197"/>
      <c r="AF1350" s="197"/>
      <c r="AG1350" s="197"/>
      <c r="AH1350" s="197"/>
      <c r="AI1350" s="197"/>
      <c r="AJ1350" s="197"/>
      <c r="AK1350" s="197"/>
      <c r="AL1350" s="197"/>
    </row>
    <row r="1351" spans="1:38">
      <c r="A1351" s="11" t="str">
        <f t="shared" si="85"/>
        <v>15-663352882012</v>
      </c>
      <c r="B1351" t="s">
        <v>755</v>
      </c>
      <c r="C1351" t="s">
        <v>756</v>
      </c>
      <c r="D1351">
        <v>2012</v>
      </c>
      <c r="E1351" t="s">
        <v>105</v>
      </c>
      <c r="F1351">
        <v>15119.3</v>
      </c>
      <c r="G1351">
        <v>9</v>
      </c>
      <c r="H1351" s="11" t="str">
        <f t="shared" si="84"/>
        <v>count</v>
      </c>
      <c r="I1351" s="197"/>
      <c r="J1351" s="197"/>
      <c r="K1351" s="197"/>
      <c r="L1351" s="197"/>
      <c r="M1351" s="197"/>
      <c r="N1351" s="197"/>
      <c r="O1351" s="197"/>
      <c r="P1351" s="197"/>
      <c r="Q1351" s="197"/>
      <c r="R1351" s="197"/>
      <c r="S1351" s="197"/>
      <c r="T1351" s="197"/>
      <c r="U1351" s="197"/>
      <c r="V1351" s="197"/>
      <c r="W1351" s="197"/>
      <c r="X1351" s="197"/>
      <c r="Y1351" s="197"/>
      <c r="Z1351" s="197"/>
      <c r="AA1351" s="197"/>
      <c r="AB1351" s="197"/>
      <c r="AC1351" s="197"/>
      <c r="AD1351" s="197"/>
      <c r="AE1351" s="197"/>
      <c r="AF1351" s="197"/>
      <c r="AG1351" s="197"/>
      <c r="AH1351" s="197"/>
      <c r="AI1351" s="197"/>
      <c r="AJ1351" s="197"/>
      <c r="AK1351" s="197"/>
      <c r="AL1351" s="197"/>
    </row>
    <row r="1352" spans="1:38">
      <c r="A1352" s="11" t="str">
        <f t="shared" si="85"/>
        <v>15-663352882011</v>
      </c>
      <c r="B1352" t="s">
        <v>755</v>
      </c>
      <c r="C1352" t="s">
        <v>756</v>
      </c>
      <c r="D1352">
        <v>2011</v>
      </c>
      <c r="E1352" t="s">
        <v>105</v>
      </c>
      <c r="F1352">
        <v>16509.669999999998</v>
      </c>
      <c r="G1352">
        <v>11</v>
      </c>
      <c r="H1352" s="11" t="str">
        <f t="shared" si="84"/>
        <v>count</v>
      </c>
      <c r="I1352" s="197"/>
      <c r="J1352" s="197"/>
      <c r="K1352" s="197"/>
      <c r="L1352" s="197"/>
      <c r="M1352" s="197"/>
      <c r="N1352" s="197"/>
      <c r="O1352" s="197"/>
      <c r="P1352" s="197"/>
      <c r="Q1352" s="197"/>
      <c r="R1352" s="197"/>
      <c r="S1352" s="197"/>
      <c r="T1352" s="197"/>
      <c r="U1352" s="197"/>
      <c r="V1352" s="197"/>
      <c r="W1352" s="197"/>
      <c r="X1352" s="197"/>
      <c r="Y1352" s="197"/>
      <c r="Z1352" s="197"/>
      <c r="AA1352" s="197"/>
      <c r="AB1352" s="197"/>
      <c r="AC1352" s="197"/>
      <c r="AD1352" s="197"/>
      <c r="AE1352" s="197"/>
      <c r="AF1352" s="197"/>
      <c r="AG1352" s="197"/>
      <c r="AH1352" s="197"/>
      <c r="AI1352" s="197"/>
      <c r="AJ1352" s="197"/>
      <c r="AK1352" s="197"/>
      <c r="AL1352" s="197"/>
    </row>
    <row r="1353" spans="1:38">
      <c r="A1353" s="11" t="str">
        <f t="shared" si="85"/>
        <v>15-663352882013</v>
      </c>
      <c r="B1353" t="s">
        <v>755</v>
      </c>
      <c r="C1353" t="s">
        <v>756</v>
      </c>
      <c r="D1353">
        <v>2013</v>
      </c>
      <c r="E1353" t="s">
        <v>63</v>
      </c>
      <c r="F1353">
        <v>767722.49</v>
      </c>
      <c r="G1353">
        <v>435</v>
      </c>
      <c r="H1353" s="11" t="str">
        <f t="shared" si="84"/>
        <v>count</v>
      </c>
      <c r="I1353" s="197"/>
      <c r="J1353" s="197"/>
      <c r="K1353" s="197"/>
      <c r="L1353" s="197"/>
      <c r="M1353" s="197"/>
      <c r="N1353" s="197"/>
      <c r="O1353" s="197"/>
      <c r="P1353" s="197"/>
      <c r="Q1353" s="197"/>
      <c r="R1353" s="197"/>
      <c r="S1353" s="197"/>
      <c r="T1353" s="197"/>
      <c r="U1353" s="197"/>
      <c r="V1353" s="197"/>
      <c r="W1353" s="197"/>
      <c r="X1353" s="197"/>
      <c r="Y1353" s="197"/>
      <c r="Z1353" s="197"/>
      <c r="AA1353" s="197"/>
      <c r="AB1353" s="197"/>
      <c r="AC1353" s="197"/>
      <c r="AD1353" s="197"/>
      <c r="AE1353" s="197"/>
      <c r="AF1353" s="197"/>
      <c r="AG1353" s="197"/>
      <c r="AH1353" s="197"/>
      <c r="AI1353" s="197"/>
      <c r="AJ1353" s="197"/>
      <c r="AK1353" s="197"/>
      <c r="AL1353" s="197"/>
    </row>
    <row r="1354" spans="1:38">
      <c r="A1354" s="11" t="str">
        <f t="shared" si="85"/>
        <v>15-663352882013</v>
      </c>
      <c r="B1354" t="s">
        <v>755</v>
      </c>
      <c r="C1354" t="s">
        <v>756</v>
      </c>
      <c r="D1354">
        <v>2013</v>
      </c>
      <c r="E1354" t="s">
        <v>104</v>
      </c>
      <c r="F1354">
        <v>309801.53000000003</v>
      </c>
      <c r="G1354">
        <v>160</v>
      </c>
      <c r="H1354" s="11" t="str">
        <f t="shared" si="84"/>
        <v>count</v>
      </c>
      <c r="I1354" s="197"/>
      <c r="J1354" s="197"/>
      <c r="K1354" s="197"/>
      <c r="L1354" s="197"/>
      <c r="M1354" s="197"/>
      <c r="N1354" s="197"/>
      <c r="O1354" s="197"/>
      <c r="P1354" s="197"/>
      <c r="Q1354" s="197"/>
      <c r="R1354" s="197"/>
      <c r="S1354" s="197"/>
      <c r="T1354" s="197"/>
      <c r="U1354" s="197"/>
      <c r="V1354" s="197"/>
      <c r="W1354" s="197"/>
      <c r="X1354" s="197"/>
      <c r="Y1354" s="197"/>
      <c r="Z1354" s="197"/>
      <c r="AA1354" s="197"/>
      <c r="AB1354" s="197"/>
      <c r="AC1354" s="197"/>
      <c r="AD1354" s="197"/>
      <c r="AE1354" s="197"/>
      <c r="AF1354" s="197"/>
      <c r="AG1354" s="197"/>
      <c r="AH1354" s="197"/>
      <c r="AI1354" s="197"/>
      <c r="AJ1354" s="197"/>
      <c r="AK1354" s="197"/>
      <c r="AL1354" s="197"/>
    </row>
    <row r="1355" spans="1:38">
      <c r="A1355" s="11" t="str">
        <f t="shared" si="85"/>
        <v>15-663352882012</v>
      </c>
      <c r="B1355" t="s">
        <v>755</v>
      </c>
      <c r="C1355" t="s">
        <v>756</v>
      </c>
      <c r="D1355">
        <v>2012</v>
      </c>
      <c r="E1355" t="s">
        <v>69</v>
      </c>
      <c r="F1355">
        <v>77064.33</v>
      </c>
      <c r="G1355">
        <v>41</v>
      </c>
      <c r="H1355" s="11" t="str">
        <f t="shared" si="84"/>
        <v>count</v>
      </c>
      <c r="I1355" s="197"/>
      <c r="J1355" s="197"/>
      <c r="K1355" s="197"/>
      <c r="L1355" s="197"/>
      <c r="M1355" s="197"/>
      <c r="N1355" s="197"/>
      <c r="O1355" s="197"/>
      <c r="P1355" s="197"/>
      <c r="Q1355" s="197"/>
      <c r="R1355" s="197"/>
      <c r="S1355" s="197"/>
      <c r="T1355" s="197"/>
      <c r="U1355" s="197"/>
      <c r="V1355" s="197"/>
      <c r="W1355" s="197"/>
      <c r="X1355" s="197"/>
      <c r="Y1355" s="197"/>
      <c r="Z1355" s="197"/>
      <c r="AA1355" s="197"/>
      <c r="AB1355" s="197"/>
      <c r="AC1355" s="197"/>
      <c r="AD1355" s="197"/>
      <c r="AE1355" s="197"/>
      <c r="AF1355" s="197"/>
      <c r="AG1355" s="197"/>
      <c r="AH1355" s="197"/>
      <c r="AI1355" s="197"/>
      <c r="AJ1355" s="197"/>
      <c r="AK1355" s="197"/>
      <c r="AL1355" s="197"/>
    </row>
    <row r="1356" spans="1:38">
      <c r="A1356" s="11" t="str">
        <f t="shared" si="85"/>
        <v>15-663352882012</v>
      </c>
      <c r="B1356" t="s">
        <v>755</v>
      </c>
      <c r="C1356" t="s">
        <v>756</v>
      </c>
      <c r="D1356">
        <v>2012</v>
      </c>
      <c r="E1356" t="s">
        <v>104</v>
      </c>
      <c r="F1356">
        <v>275571</v>
      </c>
      <c r="G1356">
        <v>156</v>
      </c>
      <c r="H1356" s="11" t="str">
        <f t="shared" si="84"/>
        <v>count</v>
      </c>
      <c r="I1356" s="197"/>
      <c r="J1356" s="197"/>
      <c r="K1356" s="197"/>
      <c r="L1356" s="197"/>
      <c r="M1356" s="197"/>
      <c r="N1356" s="197"/>
      <c r="O1356" s="197"/>
      <c r="P1356" s="197"/>
      <c r="Q1356" s="197"/>
      <c r="R1356" s="197"/>
      <c r="S1356" s="197"/>
      <c r="T1356" s="197"/>
      <c r="U1356" s="197"/>
      <c r="V1356" s="197"/>
      <c r="W1356" s="197"/>
      <c r="X1356" s="197"/>
      <c r="Y1356" s="197"/>
      <c r="Z1356" s="197"/>
      <c r="AA1356" s="197"/>
      <c r="AB1356" s="197"/>
      <c r="AC1356" s="197"/>
      <c r="AD1356" s="197"/>
      <c r="AE1356" s="197"/>
      <c r="AF1356" s="197"/>
      <c r="AG1356" s="197"/>
      <c r="AH1356" s="197"/>
      <c r="AI1356" s="197"/>
      <c r="AJ1356" s="197"/>
      <c r="AK1356" s="197"/>
      <c r="AL1356" s="197"/>
    </row>
    <row r="1357" spans="1:38">
      <c r="A1357" s="11" t="str">
        <f t="shared" si="85"/>
        <v>15-663352882012</v>
      </c>
      <c r="B1357" t="s">
        <v>755</v>
      </c>
      <c r="C1357" t="s">
        <v>756</v>
      </c>
      <c r="D1357">
        <v>2012</v>
      </c>
      <c r="E1357" t="s">
        <v>63</v>
      </c>
      <c r="F1357">
        <v>824528.97</v>
      </c>
      <c r="G1357">
        <v>421</v>
      </c>
      <c r="H1357" s="11" t="str">
        <f t="shared" si="84"/>
        <v>count</v>
      </c>
      <c r="I1357" s="197"/>
      <c r="J1357" s="197"/>
      <c r="K1357" s="197"/>
      <c r="L1357" s="197"/>
      <c r="M1357" s="197"/>
      <c r="N1357" s="197"/>
      <c r="O1357" s="197"/>
      <c r="P1357" s="197"/>
      <c r="Q1357" s="197"/>
      <c r="R1357" s="197"/>
      <c r="S1357" s="197"/>
      <c r="T1357" s="197"/>
      <c r="U1357" s="197"/>
      <c r="V1357" s="197"/>
      <c r="W1357" s="197"/>
      <c r="X1357" s="197"/>
      <c r="Y1357" s="197"/>
      <c r="Z1357" s="197"/>
      <c r="AA1357" s="197"/>
      <c r="AB1357" s="197"/>
      <c r="AC1357" s="197"/>
      <c r="AD1357" s="197"/>
      <c r="AE1357" s="197"/>
      <c r="AF1357" s="197"/>
      <c r="AG1357" s="197"/>
      <c r="AH1357" s="197"/>
      <c r="AI1357" s="197"/>
      <c r="AJ1357" s="197"/>
      <c r="AK1357" s="197"/>
      <c r="AL1357" s="197"/>
    </row>
    <row r="1358" spans="1:38">
      <c r="A1358" s="11" t="str">
        <f t="shared" si="85"/>
        <v>15-666866692012</v>
      </c>
      <c r="B1358" t="s">
        <v>757</v>
      </c>
      <c r="C1358" t="s">
        <v>758</v>
      </c>
      <c r="D1358">
        <v>2012</v>
      </c>
      <c r="E1358" t="s">
        <v>105</v>
      </c>
      <c r="F1358">
        <v>107981.78</v>
      </c>
      <c r="G1358">
        <v>62</v>
      </c>
      <c r="H1358" s="11" t="str">
        <f t="shared" si="84"/>
        <v>volume</v>
      </c>
      <c r="I1358" s="197"/>
      <c r="J1358" s="197"/>
      <c r="K1358" s="197"/>
      <c r="L1358" s="197"/>
      <c r="M1358" s="197"/>
      <c r="N1358" s="197"/>
      <c r="O1358" s="197"/>
      <c r="P1358" s="197"/>
      <c r="Q1358" s="197"/>
      <c r="R1358" s="197"/>
      <c r="S1358" s="197"/>
      <c r="T1358" s="197"/>
      <c r="U1358" s="197"/>
      <c r="V1358" s="197"/>
      <c r="W1358" s="197"/>
      <c r="X1358" s="197"/>
      <c r="Y1358" s="197"/>
      <c r="Z1358" s="197"/>
      <c r="AA1358" s="197"/>
      <c r="AB1358" s="197"/>
      <c r="AC1358" s="197"/>
      <c r="AD1358" s="197"/>
      <c r="AE1358" s="197"/>
      <c r="AF1358" s="197"/>
      <c r="AG1358" s="197"/>
      <c r="AH1358" s="197"/>
      <c r="AI1358" s="197"/>
      <c r="AJ1358" s="197"/>
      <c r="AK1358" s="197"/>
      <c r="AL1358" s="197"/>
    </row>
    <row r="1359" spans="1:38">
      <c r="A1359" s="11" t="str">
        <f t="shared" si="85"/>
        <v>15-666866692013</v>
      </c>
      <c r="B1359" t="s">
        <v>757</v>
      </c>
      <c r="C1359" t="s">
        <v>758</v>
      </c>
      <c r="D1359">
        <v>2013</v>
      </c>
      <c r="E1359" t="s">
        <v>104</v>
      </c>
      <c r="F1359">
        <v>308938.87</v>
      </c>
      <c r="G1359">
        <v>186</v>
      </c>
      <c r="H1359" s="11" t="str">
        <f t="shared" si="84"/>
        <v>count</v>
      </c>
      <c r="I1359" s="197"/>
      <c r="J1359" s="197"/>
      <c r="K1359" s="197"/>
      <c r="L1359" s="197"/>
      <c r="M1359" s="197"/>
      <c r="N1359" s="197"/>
      <c r="O1359" s="197"/>
      <c r="P1359" s="197"/>
      <c r="Q1359" s="197"/>
      <c r="R1359" s="197"/>
      <c r="S1359" s="197"/>
      <c r="T1359" s="197"/>
      <c r="U1359" s="197"/>
      <c r="V1359" s="197"/>
      <c r="W1359" s="197"/>
      <c r="X1359" s="197"/>
      <c r="Y1359" s="197"/>
      <c r="Z1359" s="197"/>
      <c r="AA1359" s="197"/>
      <c r="AB1359" s="197"/>
      <c r="AC1359" s="197"/>
      <c r="AD1359" s="197"/>
      <c r="AE1359" s="197"/>
      <c r="AF1359" s="197"/>
      <c r="AG1359" s="197"/>
      <c r="AH1359" s="197"/>
      <c r="AI1359" s="197"/>
      <c r="AJ1359" s="197"/>
      <c r="AK1359" s="197"/>
      <c r="AL1359" s="197"/>
    </row>
    <row r="1360" spans="1:38">
      <c r="A1360" s="11" t="str">
        <f t="shared" si="85"/>
        <v>15-666866692011</v>
      </c>
      <c r="B1360" t="s">
        <v>757</v>
      </c>
      <c r="C1360" t="s">
        <v>758</v>
      </c>
      <c r="D1360">
        <v>2011</v>
      </c>
      <c r="E1360" t="s">
        <v>105</v>
      </c>
      <c r="F1360">
        <v>124237.59</v>
      </c>
      <c r="G1360">
        <v>77</v>
      </c>
      <c r="H1360" s="11" t="str">
        <f t="shared" si="84"/>
        <v>count</v>
      </c>
      <c r="I1360" s="197"/>
      <c r="J1360" s="197"/>
      <c r="K1360" s="197"/>
      <c r="L1360" s="197"/>
      <c r="M1360" s="197"/>
      <c r="N1360" s="197"/>
      <c r="O1360" s="197"/>
      <c r="P1360" s="197"/>
      <c r="Q1360" s="197"/>
      <c r="R1360" s="197"/>
      <c r="S1360" s="197"/>
      <c r="T1360" s="197"/>
      <c r="U1360" s="197"/>
      <c r="V1360" s="197"/>
      <c r="W1360" s="197"/>
      <c r="X1360" s="197"/>
      <c r="Y1360" s="197"/>
      <c r="Z1360" s="197"/>
      <c r="AA1360" s="197"/>
      <c r="AB1360" s="197"/>
      <c r="AC1360" s="197"/>
      <c r="AD1360" s="197"/>
      <c r="AE1360" s="197"/>
      <c r="AF1360" s="197"/>
      <c r="AG1360" s="197"/>
      <c r="AH1360" s="197"/>
      <c r="AI1360" s="197"/>
      <c r="AJ1360" s="197"/>
      <c r="AK1360" s="197"/>
      <c r="AL1360" s="197"/>
    </row>
    <row r="1361" spans="1:38">
      <c r="A1361" s="11" t="str">
        <f t="shared" si="85"/>
        <v>15-666866692013</v>
      </c>
      <c r="B1361" t="s">
        <v>757</v>
      </c>
      <c r="C1361" t="s">
        <v>758</v>
      </c>
      <c r="D1361">
        <v>2013</v>
      </c>
      <c r="E1361" t="s">
        <v>63</v>
      </c>
      <c r="F1361">
        <v>507103.88</v>
      </c>
      <c r="G1361">
        <v>302</v>
      </c>
      <c r="H1361" s="11" t="str">
        <f t="shared" si="84"/>
        <v>count</v>
      </c>
      <c r="I1361" s="197"/>
      <c r="J1361" s="197"/>
      <c r="K1361" s="197"/>
      <c r="L1361" s="197"/>
      <c r="M1361" s="197"/>
      <c r="N1361" s="197"/>
      <c r="O1361" s="197"/>
      <c r="P1361" s="197"/>
      <c r="Q1361" s="197"/>
      <c r="R1361" s="197"/>
      <c r="S1361" s="197"/>
      <c r="T1361" s="197"/>
      <c r="U1361" s="197"/>
      <c r="V1361" s="197"/>
      <c r="W1361" s="197"/>
      <c r="X1361" s="197"/>
      <c r="Y1361" s="197"/>
      <c r="Z1361" s="197"/>
      <c r="AA1361" s="197"/>
      <c r="AB1361" s="197"/>
      <c r="AC1361" s="197"/>
      <c r="AD1361" s="197"/>
      <c r="AE1361" s="197"/>
      <c r="AF1361" s="197"/>
      <c r="AG1361" s="197"/>
      <c r="AH1361" s="197"/>
      <c r="AI1361" s="197"/>
      <c r="AJ1361" s="197"/>
      <c r="AK1361" s="197"/>
      <c r="AL1361" s="197"/>
    </row>
    <row r="1362" spans="1:38">
      <c r="A1362" s="11" t="str">
        <f t="shared" si="85"/>
        <v>15-666866692012</v>
      </c>
      <c r="B1362" t="s">
        <v>757</v>
      </c>
      <c r="C1362" t="s">
        <v>758</v>
      </c>
      <c r="D1362">
        <v>2012</v>
      </c>
      <c r="E1362" t="s">
        <v>104</v>
      </c>
      <c r="F1362">
        <v>420760.65</v>
      </c>
      <c r="G1362">
        <v>247</v>
      </c>
      <c r="H1362" s="11" t="str">
        <f t="shared" si="84"/>
        <v>count</v>
      </c>
      <c r="I1362" s="197"/>
      <c r="J1362" s="197"/>
      <c r="K1362" s="197"/>
      <c r="L1362" s="197"/>
      <c r="M1362" s="197"/>
      <c r="N1362" s="197"/>
      <c r="O1362" s="197"/>
      <c r="P1362" s="197"/>
      <c r="Q1362" s="197"/>
      <c r="R1362" s="197"/>
      <c r="S1362" s="197"/>
      <c r="T1362" s="197"/>
      <c r="U1362" s="197"/>
      <c r="V1362" s="197"/>
      <c r="W1362" s="197"/>
      <c r="X1362" s="197"/>
      <c r="Y1362" s="197"/>
      <c r="Z1362" s="197"/>
      <c r="AA1362" s="197"/>
      <c r="AB1362" s="197"/>
      <c r="AC1362" s="197"/>
      <c r="AD1362" s="197"/>
      <c r="AE1362" s="197"/>
      <c r="AF1362" s="197"/>
      <c r="AG1362" s="197"/>
      <c r="AH1362" s="197"/>
      <c r="AI1362" s="197"/>
      <c r="AJ1362" s="197"/>
      <c r="AK1362" s="197"/>
      <c r="AL1362" s="197"/>
    </row>
    <row r="1363" spans="1:38">
      <c r="A1363" s="11" t="str">
        <f t="shared" si="85"/>
        <v>15-666866692012</v>
      </c>
      <c r="B1363" t="s">
        <v>757</v>
      </c>
      <c r="C1363" t="s">
        <v>758</v>
      </c>
      <c r="D1363">
        <v>2012</v>
      </c>
      <c r="E1363" t="s">
        <v>69</v>
      </c>
      <c r="F1363">
        <v>285651.19</v>
      </c>
      <c r="G1363">
        <v>183</v>
      </c>
      <c r="H1363" s="11" t="str">
        <f t="shared" si="84"/>
        <v>count</v>
      </c>
      <c r="I1363" s="197"/>
      <c r="J1363" s="197"/>
      <c r="K1363" s="197"/>
      <c r="L1363" s="197"/>
      <c r="M1363" s="197"/>
      <c r="N1363" s="197"/>
      <c r="O1363" s="197"/>
      <c r="P1363" s="197"/>
      <c r="Q1363" s="197"/>
      <c r="R1363" s="197"/>
      <c r="S1363" s="197"/>
      <c r="T1363" s="197"/>
      <c r="U1363" s="197"/>
      <c r="V1363" s="197"/>
      <c r="W1363" s="197"/>
      <c r="X1363" s="197"/>
      <c r="Y1363" s="197"/>
      <c r="Z1363" s="197"/>
      <c r="AA1363" s="197"/>
      <c r="AB1363" s="197"/>
      <c r="AC1363" s="197"/>
      <c r="AD1363" s="197"/>
      <c r="AE1363" s="197"/>
      <c r="AF1363" s="197"/>
      <c r="AG1363" s="197"/>
      <c r="AH1363" s="197"/>
      <c r="AI1363" s="197"/>
      <c r="AJ1363" s="197"/>
      <c r="AK1363" s="197"/>
      <c r="AL1363" s="197"/>
    </row>
    <row r="1364" spans="1:38">
      <c r="A1364" s="11" t="str">
        <f t="shared" si="85"/>
        <v>15-666866692012</v>
      </c>
      <c r="B1364" t="s">
        <v>757</v>
      </c>
      <c r="C1364" t="s">
        <v>758</v>
      </c>
      <c r="D1364">
        <v>2012</v>
      </c>
      <c r="E1364" t="s">
        <v>63</v>
      </c>
      <c r="F1364">
        <v>503185.34</v>
      </c>
      <c r="G1364">
        <v>315</v>
      </c>
      <c r="H1364" s="11" t="str">
        <f t="shared" si="84"/>
        <v>count</v>
      </c>
      <c r="I1364" s="197"/>
      <c r="J1364" s="197"/>
      <c r="K1364" s="197"/>
      <c r="L1364" s="197"/>
      <c r="M1364" s="197"/>
      <c r="N1364" s="197"/>
      <c r="O1364" s="197"/>
      <c r="P1364" s="197"/>
      <c r="Q1364" s="197"/>
      <c r="R1364" s="197"/>
      <c r="S1364" s="197"/>
      <c r="T1364" s="197"/>
      <c r="U1364" s="197"/>
      <c r="V1364" s="197"/>
      <c r="W1364" s="197"/>
      <c r="X1364" s="197"/>
      <c r="Y1364" s="197"/>
      <c r="Z1364" s="197"/>
      <c r="AA1364" s="197"/>
      <c r="AB1364" s="197"/>
      <c r="AC1364" s="197"/>
      <c r="AD1364" s="197"/>
      <c r="AE1364" s="197"/>
      <c r="AF1364" s="197"/>
      <c r="AG1364" s="197"/>
      <c r="AH1364" s="197"/>
      <c r="AI1364" s="197"/>
      <c r="AJ1364" s="197"/>
      <c r="AK1364" s="197"/>
      <c r="AL1364" s="197"/>
    </row>
    <row r="1365" spans="1:38">
      <c r="A1365" s="11" t="str">
        <f t="shared" si="85"/>
        <v>15-666866692013</v>
      </c>
      <c r="B1365" t="s">
        <v>757</v>
      </c>
      <c r="C1365" t="s">
        <v>758</v>
      </c>
      <c r="D1365">
        <v>2013</v>
      </c>
      <c r="E1365" t="s">
        <v>105</v>
      </c>
      <c r="F1365">
        <v>115607.83</v>
      </c>
      <c r="G1365">
        <v>72</v>
      </c>
      <c r="H1365" s="11" t="str">
        <f t="shared" si="84"/>
        <v>count</v>
      </c>
      <c r="I1365" s="197"/>
      <c r="J1365" s="197"/>
      <c r="K1365" s="197"/>
      <c r="L1365" s="197"/>
      <c r="M1365" s="197"/>
      <c r="N1365" s="197"/>
      <c r="O1365" s="197"/>
      <c r="P1365" s="197"/>
      <c r="Q1365" s="197"/>
      <c r="R1365" s="197"/>
      <c r="S1365" s="197"/>
      <c r="T1365" s="197"/>
      <c r="U1365" s="197"/>
      <c r="V1365" s="197"/>
      <c r="W1365" s="197"/>
      <c r="X1365" s="197"/>
      <c r="Y1365" s="197"/>
      <c r="Z1365" s="197"/>
      <c r="AA1365" s="197"/>
      <c r="AB1365" s="197"/>
      <c r="AC1365" s="197"/>
      <c r="AD1365" s="197"/>
      <c r="AE1365" s="197"/>
      <c r="AF1365" s="197"/>
      <c r="AG1365" s="197"/>
      <c r="AH1365" s="197"/>
      <c r="AI1365" s="197"/>
      <c r="AJ1365" s="197"/>
      <c r="AK1365" s="197"/>
      <c r="AL1365" s="197"/>
    </row>
    <row r="1366" spans="1:38">
      <c r="A1366" s="11" t="str">
        <f t="shared" si="85"/>
        <v>15-666866692011</v>
      </c>
      <c r="B1366" t="s">
        <v>757</v>
      </c>
      <c r="C1366" t="s">
        <v>758</v>
      </c>
      <c r="D1366">
        <v>2011</v>
      </c>
      <c r="E1366" t="s">
        <v>104</v>
      </c>
      <c r="F1366">
        <v>276446.48</v>
      </c>
      <c r="G1366">
        <v>183</v>
      </c>
      <c r="H1366" s="11" t="str">
        <f t="shared" si="84"/>
        <v>count</v>
      </c>
      <c r="I1366" s="197"/>
      <c r="J1366" s="197"/>
      <c r="K1366" s="197"/>
      <c r="L1366" s="197"/>
      <c r="M1366" s="197"/>
      <c r="N1366" s="197"/>
      <c r="O1366" s="197"/>
      <c r="P1366" s="197"/>
      <c r="Q1366" s="197"/>
      <c r="R1366" s="197"/>
      <c r="S1366" s="197"/>
      <c r="T1366" s="197"/>
      <c r="U1366" s="197"/>
      <c r="V1366" s="197"/>
      <c r="W1366" s="197"/>
      <c r="X1366" s="197"/>
      <c r="Y1366" s="197"/>
      <c r="Z1366" s="197"/>
      <c r="AA1366" s="197"/>
      <c r="AB1366" s="197"/>
      <c r="AC1366" s="197"/>
      <c r="AD1366" s="197"/>
      <c r="AE1366" s="197"/>
      <c r="AF1366" s="197"/>
      <c r="AG1366" s="197"/>
      <c r="AH1366" s="197"/>
      <c r="AI1366" s="197"/>
      <c r="AJ1366" s="197"/>
      <c r="AK1366" s="197"/>
      <c r="AL1366" s="197"/>
    </row>
    <row r="1367" spans="1:38">
      <c r="A1367" s="11" t="str">
        <f t="shared" si="85"/>
        <v>15-666866692011</v>
      </c>
      <c r="B1367" t="s">
        <v>757</v>
      </c>
      <c r="C1367" t="s">
        <v>758</v>
      </c>
      <c r="D1367">
        <v>2011</v>
      </c>
      <c r="E1367" t="s">
        <v>63</v>
      </c>
      <c r="F1367">
        <v>490865.65</v>
      </c>
      <c r="G1367">
        <v>339</v>
      </c>
      <c r="H1367" s="11" t="str">
        <f t="shared" si="84"/>
        <v>count</v>
      </c>
      <c r="I1367" s="197"/>
      <c r="J1367" s="197"/>
      <c r="K1367" s="197"/>
      <c r="L1367" s="197"/>
      <c r="M1367" s="197"/>
      <c r="N1367" s="197"/>
      <c r="O1367" s="197"/>
      <c r="P1367" s="197"/>
      <c r="Q1367" s="197"/>
      <c r="R1367" s="197"/>
      <c r="S1367" s="197"/>
      <c r="T1367" s="197"/>
      <c r="U1367" s="197"/>
      <c r="V1367" s="197"/>
      <c r="W1367" s="197"/>
      <c r="X1367" s="197"/>
      <c r="Y1367" s="197"/>
      <c r="Z1367" s="197"/>
      <c r="AA1367" s="197"/>
      <c r="AB1367" s="197"/>
      <c r="AC1367" s="197"/>
      <c r="AD1367" s="197"/>
      <c r="AE1367" s="197"/>
      <c r="AF1367" s="197"/>
      <c r="AG1367" s="197"/>
      <c r="AH1367" s="197"/>
      <c r="AI1367" s="197"/>
      <c r="AJ1367" s="197"/>
      <c r="AK1367" s="197"/>
      <c r="AL1367" s="197"/>
    </row>
    <row r="1368" spans="1:38">
      <c r="A1368" s="11" t="str">
        <f t="shared" si="85"/>
        <v>15-666866692013</v>
      </c>
      <c r="B1368" t="s">
        <v>757</v>
      </c>
      <c r="C1368" t="s">
        <v>758</v>
      </c>
      <c r="D1368">
        <v>2013</v>
      </c>
      <c r="E1368" t="s">
        <v>69</v>
      </c>
      <c r="F1368">
        <v>298051.08</v>
      </c>
      <c r="G1368">
        <v>195</v>
      </c>
      <c r="H1368" s="11" t="str">
        <f t="shared" si="84"/>
        <v>count</v>
      </c>
      <c r="I1368" s="197"/>
      <c r="J1368" s="197"/>
      <c r="K1368" s="197"/>
      <c r="L1368" s="197"/>
      <c r="M1368" s="197"/>
      <c r="N1368" s="197"/>
      <c r="O1368" s="197"/>
      <c r="P1368" s="197"/>
      <c r="Q1368" s="197"/>
      <c r="R1368" s="197"/>
      <c r="S1368" s="197"/>
      <c r="T1368" s="197"/>
      <c r="U1368" s="197"/>
      <c r="V1368" s="197"/>
      <c r="W1368" s="197"/>
      <c r="X1368" s="197"/>
      <c r="Y1368" s="197"/>
      <c r="Z1368" s="197"/>
      <c r="AA1368" s="197"/>
      <c r="AB1368" s="197"/>
      <c r="AC1368" s="197"/>
      <c r="AD1368" s="197"/>
      <c r="AE1368" s="197"/>
      <c r="AF1368" s="197"/>
      <c r="AG1368" s="197"/>
      <c r="AH1368" s="197"/>
      <c r="AI1368" s="197"/>
      <c r="AJ1368" s="197"/>
      <c r="AK1368" s="197"/>
      <c r="AL1368" s="197"/>
    </row>
    <row r="1369" spans="1:38">
      <c r="A1369" s="11" t="str">
        <f t="shared" si="85"/>
        <v>15-675810642012</v>
      </c>
      <c r="B1369" t="s">
        <v>760</v>
      </c>
      <c r="C1369" t="s">
        <v>761</v>
      </c>
      <c r="D1369">
        <v>2012</v>
      </c>
      <c r="E1369" t="s">
        <v>105</v>
      </c>
      <c r="F1369">
        <v>68733.72</v>
      </c>
      <c r="G1369">
        <v>56</v>
      </c>
      <c r="H1369" s="11" t="str">
        <f t="shared" si="84"/>
        <v>volume</v>
      </c>
      <c r="I1369" s="197"/>
      <c r="J1369" s="197"/>
      <c r="K1369" s="197"/>
      <c r="L1369" s="197"/>
      <c r="M1369" s="197"/>
      <c r="N1369" s="197"/>
      <c r="O1369" s="197"/>
      <c r="P1369" s="197"/>
      <c r="Q1369" s="197"/>
      <c r="R1369" s="197"/>
      <c r="S1369" s="197"/>
      <c r="T1369" s="197"/>
      <c r="U1369" s="197"/>
      <c r="V1369" s="197"/>
      <c r="W1369" s="197"/>
      <c r="X1369" s="197"/>
      <c r="Y1369" s="197"/>
      <c r="Z1369" s="197"/>
      <c r="AA1369" s="197"/>
      <c r="AB1369" s="197"/>
      <c r="AC1369" s="197"/>
      <c r="AD1369" s="197"/>
      <c r="AE1369" s="197"/>
      <c r="AF1369" s="197"/>
      <c r="AG1369" s="197"/>
      <c r="AH1369" s="197"/>
      <c r="AI1369" s="197"/>
      <c r="AJ1369" s="197"/>
      <c r="AK1369" s="197"/>
      <c r="AL1369" s="197"/>
    </row>
    <row r="1370" spans="1:38">
      <c r="A1370" s="11" t="str">
        <f t="shared" si="85"/>
        <v>15-675810642011</v>
      </c>
      <c r="B1370" t="s">
        <v>760</v>
      </c>
      <c r="C1370" t="s">
        <v>761</v>
      </c>
      <c r="D1370">
        <v>2011</v>
      </c>
      <c r="E1370" t="s">
        <v>69</v>
      </c>
      <c r="F1370">
        <v>350</v>
      </c>
      <c r="G1370">
        <v>1</v>
      </c>
      <c r="H1370" s="11" t="str">
        <f t="shared" si="84"/>
        <v>count</v>
      </c>
      <c r="I1370" s="197"/>
      <c r="J1370" s="197"/>
      <c r="K1370" s="197"/>
      <c r="L1370" s="197"/>
      <c r="M1370" s="197"/>
      <c r="N1370" s="197"/>
      <c r="O1370" s="197"/>
      <c r="P1370" s="197"/>
      <c r="Q1370" s="197"/>
      <c r="R1370" s="197"/>
      <c r="S1370" s="197"/>
      <c r="T1370" s="197"/>
      <c r="U1370" s="197"/>
      <c r="V1370" s="197"/>
      <c r="W1370" s="197"/>
      <c r="X1370" s="197"/>
      <c r="Y1370" s="197"/>
      <c r="Z1370" s="197"/>
      <c r="AA1370" s="197"/>
      <c r="AB1370" s="197"/>
      <c r="AC1370" s="197"/>
      <c r="AD1370" s="197"/>
      <c r="AE1370" s="197"/>
      <c r="AF1370" s="197"/>
      <c r="AG1370" s="197"/>
      <c r="AH1370" s="197"/>
      <c r="AI1370" s="197"/>
      <c r="AJ1370" s="197"/>
      <c r="AK1370" s="197"/>
      <c r="AL1370" s="197"/>
    </row>
    <row r="1371" spans="1:38">
      <c r="A1371" s="11" t="str">
        <f t="shared" si="85"/>
        <v>15-675810642012</v>
      </c>
      <c r="B1371" t="s">
        <v>760</v>
      </c>
      <c r="C1371" t="s">
        <v>761</v>
      </c>
      <c r="D1371">
        <v>2012</v>
      </c>
      <c r="E1371" t="s">
        <v>69</v>
      </c>
      <c r="F1371">
        <v>262651.63</v>
      </c>
      <c r="G1371">
        <v>211</v>
      </c>
      <c r="H1371" s="11" t="str">
        <f t="shared" si="84"/>
        <v>count</v>
      </c>
      <c r="I1371" s="197"/>
      <c r="J1371" s="197"/>
      <c r="K1371" s="197"/>
      <c r="L1371" s="197"/>
      <c r="M1371" s="197"/>
      <c r="N1371" s="197"/>
      <c r="O1371" s="197"/>
      <c r="P1371" s="197"/>
      <c r="Q1371" s="197"/>
      <c r="R1371" s="197"/>
      <c r="S1371" s="197"/>
      <c r="T1371" s="197"/>
      <c r="U1371" s="197"/>
      <c r="V1371" s="197"/>
      <c r="W1371" s="197"/>
      <c r="X1371" s="197"/>
      <c r="Y1371" s="197"/>
      <c r="Z1371" s="197"/>
      <c r="AA1371" s="197"/>
      <c r="AB1371" s="197"/>
      <c r="AC1371" s="197"/>
      <c r="AD1371" s="197"/>
      <c r="AE1371" s="197"/>
      <c r="AF1371" s="197"/>
      <c r="AG1371" s="197"/>
      <c r="AH1371" s="197"/>
      <c r="AI1371" s="197"/>
      <c r="AJ1371" s="197"/>
      <c r="AK1371" s="197"/>
      <c r="AL1371" s="197"/>
    </row>
    <row r="1372" spans="1:38">
      <c r="A1372" s="11" t="str">
        <f t="shared" si="85"/>
        <v>15-675810642011</v>
      </c>
      <c r="B1372" t="s">
        <v>760</v>
      </c>
      <c r="C1372" t="s">
        <v>761</v>
      </c>
      <c r="D1372">
        <v>2011</v>
      </c>
      <c r="E1372" t="s">
        <v>105</v>
      </c>
      <c r="F1372">
        <v>84793.93</v>
      </c>
      <c r="G1372">
        <v>60</v>
      </c>
      <c r="H1372" s="11" t="str">
        <f t="shared" si="84"/>
        <v>count</v>
      </c>
      <c r="I1372" s="197"/>
      <c r="J1372" s="197"/>
      <c r="K1372" s="197"/>
      <c r="L1372" s="197"/>
      <c r="M1372" s="197"/>
      <c r="N1372" s="197"/>
      <c r="O1372" s="197"/>
      <c r="P1372" s="197"/>
      <c r="Q1372" s="197"/>
      <c r="R1372" s="197"/>
      <c r="S1372" s="197"/>
      <c r="T1372" s="197"/>
      <c r="U1372" s="197"/>
      <c r="V1372" s="197"/>
      <c r="W1372" s="197"/>
      <c r="X1372" s="197"/>
      <c r="Y1372" s="197"/>
      <c r="Z1372" s="197"/>
      <c r="AA1372" s="197"/>
      <c r="AB1372" s="197"/>
      <c r="AC1372" s="197"/>
      <c r="AD1372" s="197"/>
      <c r="AE1372" s="197"/>
      <c r="AF1372" s="197"/>
      <c r="AG1372" s="197"/>
      <c r="AH1372" s="197"/>
      <c r="AI1372" s="197"/>
      <c r="AJ1372" s="197"/>
      <c r="AK1372" s="197"/>
      <c r="AL1372" s="197"/>
    </row>
    <row r="1373" spans="1:38">
      <c r="A1373" s="11" t="str">
        <f t="shared" si="85"/>
        <v>15-675810642013</v>
      </c>
      <c r="B1373" t="s">
        <v>760</v>
      </c>
      <c r="C1373" t="s">
        <v>761</v>
      </c>
      <c r="D1373">
        <v>2013</v>
      </c>
      <c r="E1373" t="s">
        <v>104</v>
      </c>
      <c r="F1373">
        <v>740852.21</v>
      </c>
      <c r="G1373">
        <v>404</v>
      </c>
      <c r="H1373" s="11" t="str">
        <f t="shared" si="84"/>
        <v>count</v>
      </c>
      <c r="I1373" s="197"/>
      <c r="J1373" s="197"/>
      <c r="K1373" s="197"/>
      <c r="L1373" s="197"/>
      <c r="M1373" s="197"/>
      <c r="N1373" s="197"/>
      <c r="O1373" s="197"/>
      <c r="P1373" s="197"/>
      <c r="Q1373" s="197"/>
      <c r="R1373" s="197"/>
      <c r="S1373" s="197"/>
      <c r="T1373" s="197"/>
      <c r="U1373" s="197"/>
      <c r="V1373" s="197"/>
      <c r="W1373" s="197"/>
      <c r="X1373" s="197"/>
      <c r="Y1373" s="197"/>
      <c r="Z1373" s="197"/>
      <c r="AA1373" s="197"/>
      <c r="AB1373" s="197"/>
      <c r="AC1373" s="197"/>
      <c r="AD1373" s="197"/>
      <c r="AE1373" s="197"/>
      <c r="AF1373" s="197"/>
      <c r="AG1373" s="197"/>
      <c r="AH1373" s="197"/>
      <c r="AI1373" s="197"/>
      <c r="AJ1373" s="197"/>
      <c r="AK1373" s="197"/>
      <c r="AL1373" s="197"/>
    </row>
    <row r="1374" spans="1:38">
      <c r="A1374" s="11" t="str">
        <f t="shared" si="85"/>
        <v>15-675810642013</v>
      </c>
      <c r="B1374" t="s">
        <v>760</v>
      </c>
      <c r="C1374" t="s">
        <v>761</v>
      </c>
      <c r="D1374">
        <v>2013</v>
      </c>
      <c r="E1374" t="s">
        <v>63</v>
      </c>
      <c r="F1374">
        <v>1287586.83</v>
      </c>
      <c r="G1374">
        <v>844</v>
      </c>
      <c r="H1374" s="11" t="str">
        <f t="shared" si="84"/>
        <v>count</v>
      </c>
      <c r="I1374" s="197"/>
      <c r="J1374" s="197"/>
      <c r="K1374" s="197"/>
      <c r="L1374" s="197"/>
      <c r="M1374" s="197"/>
      <c r="N1374" s="197"/>
      <c r="O1374" s="197"/>
      <c r="P1374" s="197"/>
      <c r="Q1374" s="197"/>
      <c r="R1374" s="197"/>
      <c r="S1374" s="197"/>
      <c r="T1374" s="197"/>
      <c r="U1374" s="197"/>
      <c r="V1374" s="197"/>
      <c r="W1374" s="197"/>
      <c r="X1374" s="197"/>
      <c r="Y1374" s="197"/>
      <c r="Z1374" s="197"/>
      <c r="AA1374" s="197"/>
      <c r="AB1374" s="197"/>
      <c r="AC1374" s="197"/>
      <c r="AD1374" s="197"/>
      <c r="AE1374" s="197"/>
      <c r="AF1374" s="197"/>
      <c r="AG1374" s="197"/>
      <c r="AH1374" s="197"/>
      <c r="AI1374" s="197"/>
      <c r="AJ1374" s="197"/>
      <c r="AK1374" s="197"/>
      <c r="AL1374" s="197"/>
    </row>
    <row r="1375" spans="1:38">
      <c r="A1375" s="11" t="str">
        <f t="shared" si="85"/>
        <v>15-675810642012</v>
      </c>
      <c r="B1375" t="s">
        <v>760</v>
      </c>
      <c r="C1375" t="s">
        <v>761</v>
      </c>
      <c r="D1375">
        <v>2012</v>
      </c>
      <c r="E1375" t="s">
        <v>104</v>
      </c>
      <c r="F1375">
        <v>724836.84</v>
      </c>
      <c r="G1375">
        <v>454</v>
      </c>
      <c r="H1375" s="11" t="str">
        <f t="shared" si="84"/>
        <v>count</v>
      </c>
      <c r="I1375" s="197"/>
      <c r="J1375" s="197"/>
      <c r="K1375" s="197"/>
      <c r="L1375" s="197"/>
      <c r="M1375" s="197"/>
      <c r="N1375" s="197"/>
      <c r="O1375" s="197"/>
      <c r="P1375" s="197"/>
      <c r="Q1375" s="197"/>
      <c r="R1375" s="197"/>
      <c r="S1375" s="197"/>
      <c r="T1375" s="197"/>
      <c r="U1375" s="197"/>
      <c r="V1375" s="197"/>
      <c r="W1375" s="197"/>
      <c r="X1375" s="197"/>
      <c r="Y1375" s="197"/>
      <c r="Z1375" s="197"/>
      <c r="AA1375" s="197"/>
      <c r="AB1375" s="197"/>
      <c r="AC1375" s="197"/>
      <c r="AD1375" s="197"/>
      <c r="AE1375" s="197"/>
      <c r="AF1375" s="197"/>
      <c r="AG1375" s="197"/>
      <c r="AH1375" s="197"/>
      <c r="AI1375" s="197"/>
      <c r="AJ1375" s="197"/>
      <c r="AK1375" s="197"/>
      <c r="AL1375" s="197"/>
    </row>
    <row r="1376" spans="1:38">
      <c r="A1376" s="11" t="str">
        <f t="shared" si="85"/>
        <v>15-675810642013</v>
      </c>
      <c r="B1376" t="s">
        <v>760</v>
      </c>
      <c r="C1376" t="s">
        <v>761</v>
      </c>
      <c r="D1376">
        <v>2013</v>
      </c>
      <c r="E1376" t="s">
        <v>69</v>
      </c>
      <c r="F1376">
        <v>316770.15999999997</v>
      </c>
      <c r="G1376">
        <v>224</v>
      </c>
      <c r="H1376" s="11" t="str">
        <f t="shared" si="84"/>
        <v>count</v>
      </c>
      <c r="I1376" s="197"/>
      <c r="J1376" s="197"/>
      <c r="K1376" s="197"/>
      <c r="L1376" s="197"/>
      <c r="M1376" s="197"/>
      <c r="N1376" s="197"/>
      <c r="O1376" s="197"/>
      <c r="P1376" s="197"/>
      <c r="Q1376" s="197"/>
      <c r="R1376" s="197"/>
      <c r="S1376" s="197"/>
      <c r="T1376" s="197"/>
      <c r="U1376" s="197"/>
      <c r="V1376" s="197"/>
      <c r="W1376" s="197"/>
      <c r="X1376" s="197"/>
      <c r="Y1376" s="197"/>
      <c r="Z1376" s="197"/>
      <c r="AA1376" s="197"/>
      <c r="AB1376" s="197"/>
      <c r="AC1376" s="197"/>
      <c r="AD1376" s="197"/>
      <c r="AE1376" s="197"/>
      <c r="AF1376" s="197"/>
      <c r="AG1376" s="197"/>
      <c r="AH1376" s="197"/>
      <c r="AI1376" s="197"/>
      <c r="AJ1376" s="197"/>
      <c r="AK1376" s="197"/>
      <c r="AL1376" s="197"/>
    </row>
    <row r="1377" spans="1:38">
      <c r="A1377" s="11" t="str">
        <f t="shared" si="85"/>
        <v>15-675810642012</v>
      </c>
      <c r="B1377" t="s">
        <v>760</v>
      </c>
      <c r="C1377" t="s">
        <v>761</v>
      </c>
      <c r="D1377">
        <v>2012</v>
      </c>
      <c r="E1377" t="s">
        <v>63</v>
      </c>
      <c r="F1377">
        <v>1301551.22</v>
      </c>
      <c r="G1377">
        <v>906</v>
      </c>
      <c r="H1377" s="11" t="str">
        <f t="shared" si="84"/>
        <v>count</v>
      </c>
      <c r="I1377" s="197"/>
      <c r="J1377" s="197"/>
      <c r="K1377" s="197"/>
      <c r="L1377" s="197"/>
      <c r="M1377" s="197"/>
      <c r="N1377" s="197"/>
      <c r="O1377" s="197"/>
      <c r="P1377" s="197"/>
      <c r="Q1377" s="197"/>
      <c r="R1377" s="197"/>
      <c r="S1377" s="197"/>
      <c r="T1377" s="197"/>
      <c r="U1377" s="197"/>
      <c r="V1377" s="197"/>
      <c r="W1377" s="197"/>
      <c r="X1377" s="197"/>
      <c r="Y1377" s="197"/>
      <c r="Z1377" s="197"/>
      <c r="AA1377" s="197"/>
      <c r="AB1377" s="197"/>
      <c r="AC1377" s="197"/>
      <c r="AD1377" s="197"/>
      <c r="AE1377" s="197"/>
      <c r="AF1377" s="197"/>
      <c r="AG1377" s="197"/>
      <c r="AH1377" s="197"/>
      <c r="AI1377" s="197"/>
      <c r="AJ1377" s="197"/>
      <c r="AK1377" s="197"/>
      <c r="AL1377" s="197"/>
    </row>
    <row r="1378" spans="1:38">
      <c r="A1378" s="11" t="str">
        <f t="shared" si="85"/>
        <v>15-675810642011</v>
      </c>
      <c r="B1378" t="s">
        <v>760</v>
      </c>
      <c r="C1378" t="s">
        <v>761</v>
      </c>
      <c r="D1378">
        <v>2011</v>
      </c>
      <c r="E1378" t="s">
        <v>63</v>
      </c>
      <c r="F1378">
        <v>1458969.6000000001</v>
      </c>
      <c r="G1378">
        <v>970</v>
      </c>
      <c r="H1378" s="11" t="str">
        <f t="shared" si="84"/>
        <v>count</v>
      </c>
      <c r="I1378" s="197"/>
      <c r="J1378" s="197"/>
      <c r="K1378" s="197"/>
      <c r="L1378" s="197"/>
      <c r="M1378" s="197"/>
      <c r="N1378" s="197"/>
      <c r="O1378" s="197"/>
      <c r="P1378" s="197"/>
      <c r="Q1378" s="197"/>
      <c r="R1378" s="197"/>
      <c r="S1378" s="197"/>
      <c r="T1378" s="197"/>
      <c r="U1378" s="197"/>
      <c r="V1378" s="197"/>
      <c r="W1378" s="197"/>
      <c r="X1378" s="197"/>
      <c r="Y1378" s="197"/>
      <c r="Z1378" s="197"/>
      <c r="AA1378" s="197"/>
      <c r="AB1378" s="197"/>
      <c r="AC1378" s="197"/>
      <c r="AD1378" s="197"/>
      <c r="AE1378" s="197"/>
      <c r="AF1378" s="197"/>
      <c r="AG1378" s="197"/>
      <c r="AH1378" s="197"/>
      <c r="AI1378" s="197"/>
      <c r="AJ1378" s="197"/>
      <c r="AK1378" s="197"/>
      <c r="AL1378" s="197"/>
    </row>
    <row r="1379" spans="1:38">
      <c r="A1379" s="11" t="str">
        <f t="shared" si="85"/>
        <v>15-675810642012</v>
      </c>
      <c r="B1379" t="s">
        <v>760</v>
      </c>
      <c r="C1379" t="s">
        <v>761</v>
      </c>
      <c r="D1379">
        <v>2012</v>
      </c>
      <c r="E1379" t="s">
        <v>106</v>
      </c>
      <c r="F1379">
        <v>27420.27</v>
      </c>
      <c r="G1379">
        <v>4</v>
      </c>
      <c r="H1379" s="11" t="str">
        <f t="shared" si="84"/>
        <v>count</v>
      </c>
      <c r="I1379" s="197"/>
      <c r="J1379" s="197"/>
      <c r="K1379" s="197"/>
      <c r="L1379" s="197"/>
      <c r="M1379" s="197"/>
      <c r="N1379" s="197"/>
      <c r="O1379" s="197"/>
      <c r="P1379" s="197"/>
      <c r="Q1379" s="197"/>
      <c r="R1379" s="197"/>
      <c r="S1379" s="197"/>
      <c r="T1379" s="197"/>
      <c r="U1379" s="197"/>
      <c r="V1379" s="197"/>
      <c r="W1379" s="197"/>
      <c r="X1379" s="197"/>
      <c r="Y1379" s="197"/>
      <c r="Z1379" s="197"/>
      <c r="AA1379" s="197"/>
      <c r="AB1379" s="197"/>
      <c r="AC1379" s="197"/>
      <c r="AD1379" s="197"/>
      <c r="AE1379" s="197"/>
      <c r="AF1379" s="197"/>
      <c r="AG1379" s="197"/>
      <c r="AH1379" s="197"/>
      <c r="AI1379" s="197"/>
      <c r="AJ1379" s="197"/>
      <c r="AK1379" s="197"/>
      <c r="AL1379" s="197"/>
    </row>
    <row r="1380" spans="1:38">
      <c r="A1380" s="11" t="str">
        <f t="shared" si="85"/>
        <v>15-675810642013</v>
      </c>
      <c r="B1380" t="s">
        <v>760</v>
      </c>
      <c r="C1380" t="s">
        <v>761</v>
      </c>
      <c r="D1380">
        <v>2013</v>
      </c>
      <c r="E1380" t="s">
        <v>133</v>
      </c>
      <c r="F1380">
        <v>163252.67000000001</v>
      </c>
      <c r="G1380">
        <v>75</v>
      </c>
      <c r="H1380" s="11" t="str">
        <f t="shared" si="84"/>
        <v>count</v>
      </c>
      <c r="I1380" s="197"/>
      <c r="J1380" s="197"/>
      <c r="K1380" s="197"/>
      <c r="L1380" s="197"/>
      <c r="M1380" s="197"/>
      <c r="N1380" s="197"/>
      <c r="O1380" s="197"/>
      <c r="P1380" s="197"/>
      <c r="Q1380" s="197"/>
      <c r="R1380" s="197"/>
      <c r="S1380" s="197"/>
      <c r="T1380" s="197"/>
      <c r="U1380" s="197"/>
      <c r="V1380" s="197"/>
      <c r="W1380" s="197"/>
      <c r="X1380" s="197"/>
      <c r="Y1380" s="197"/>
      <c r="Z1380" s="197"/>
      <c r="AA1380" s="197"/>
      <c r="AB1380" s="197"/>
      <c r="AC1380" s="197"/>
      <c r="AD1380" s="197"/>
      <c r="AE1380" s="197"/>
      <c r="AF1380" s="197"/>
      <c r="AG1380" s="197"/>
      <c r="AH1380" s="197"/>
      <c r="AI1380" s="197"/>
      <c r="AJ1380" s="197"/>
      <c r="AK1380" s="197"/>
      <c r="AL1380" s="197"/>
    </row>
    <row r="1381" spans="1:38">
      <c r="A1381" s="11" t="str">
        <f t="shared" si="85"/>
        <v>15-675810642013</v>
      </c>
      <c r="B1381" t="s">
        <v>760</v>
      </c>
      <c r="C1381" t="s">
        <v>761</v>
      </c>
      <c r="D1381">
        <v>2013</v>
      </c>
      <c r="E1381" t="s">
        <v>105</v>
      </c>
      <c r="F1381">
        <v>77649.72</v>
      </c>
      <c r="G1381">
        <v>50</v>
      </c>
      <c r="H1381" s="11" t="str">
        <f t="shared" si="84"/>
        <v>count</v>
      </c>
      <c r="I1381" s="197"/>
      <c r="J1381" s="197"/>
      <c r="K1381" s="197"/>
      <c r="L1381" s="197"/>
      <c r="M1381" s="197"/>
      <c r="N1381" s="197"/>
      <c r="O1381" s="197"/>
      <c r="P1381" s="197"/>
      <c r="Q1381" s="197"/>
      <c r="R1381" s="197"/>
      <c r="S1381" s="197"/>
      <c r="T1381" s="197"/>
      <c r="U1381" s="197"/>
      <c r="V1381" s="197"/>
      <c r="W1381" s="197"/>
      <c r="X1381" s="197"/>
      <c r="Y1381" s="197"/>
      <c r="Z1381" s="197"/>
      <c r="AA1381" s="197"/>
      <c r="AB1381" s="197"/>
      <c r="AC1381" s="197"/>
      <c r="AD1381" s="197"/>
      <c r="AE1381" s="197"/>
      <c r="AF1381" s="197"/>
      <c r="AG1381" s="197"/>
      <c r="AH1381" s="197"/>
      <c r="AI1381" s="197"/>
      <c r="AJ1381" s="197"/>
      <c r="AK1381" s="197"/>
      <c r="AL1381" s="197"/>
    </row>
    <row r="1382" spans="1:38">
      <c r="A1382" s="11" t="str">
        <f t="shared" si="85"/>
        <v>15-675810642011</v>
      </c>
      <c r="B1382" t="s">
        <v>760</v>
      </c>
      <c r="C1382" t="s">
        <v>761</v>
      </c>
      <c r="D1382">
        <v>2011</v>
      </c>
      <c r="E1382" t="s">
        <v>104</v>
      </c>
      <c r="F1382">
        <v>682918.88</v>
      </c>
      <c r="G1382">
        <v>458</v>
      </c>
      <c r="H1382" s="11" t="str">
        <f t="shared" si="84"/>
        <v>count</v>
      </c>
      <c r="I1382" s="197"/>
      <c r="J1382" s="197"/>
      <c r="K1382" s="197"/>
      <c r="L1382" s="197"/>
      <c r="M1382" s="197"/>
      <c r="N1382" s="197"/>
      <c r="O1382" s="197"/>
      <c r="P1382" s="197"/>
      <c r="Q1382" s="197"/>
      <c r="R1382" s="197"/>
      <c r="S1382" s="197"/>
      <c r="T1382" s="197"/>
      <c r="U1382" s="197"/>
      <c r="V1382" s="197"/>
      <c r="W1382" s="197"/>
      <c r="X1382" s="197"/>
      <c r="Y1382" s="197"/>
      <c r="Z1382" s="197"/>
      <c r="AA1382" s="197"/>
      <c r="AB1382" s="197"/>
      <c r="AC1382" s="197"/>
      <c r="AD1382" s="197"/>
      <c r="AE1382" s="197"/>
      <c r="AF1382" s="197"/>
      <c r="AG1382" s="197"/>
      <c r="AH1382" s="197"/>
      <c r="AI1382" s="197"/>
      <c r="AJ1382" s="197"/>
      <c r="AK1382" s="197"/>
      <c r="AL1382" s="197"/>
    </row>
    <row r="1383" spans="1:38">
      <c r="A1383" s="11" t="str">
        <f t="shared" si="85"/>
        <v>15-731390242011</v>
      </c>
      <c r="B1383" t="s">
        <v>776</v>
      </c>
      <c r="C1383" t="s">
        <v>777</v>
      </c>
      <c r="D1383">
        <v>2011</v>
      </c>
      <c r="E1383" t="s">
        <v>133</v>
      </c>
      <c r="F1383">
        <v>556413.43000000005</v>
      </c>
      <c r="G1383">
        <v>105</v>
      </c>
      <c r="H1383" s="11" t="str">
        <f t="shared" si="84"/>
        <v>volume</v>
      </c>
      <c r="I1383" s="197"/>
      <c r="J1383" s="197"/>
      <c r="K1383" s="197"/>
      <c r="L1383" s="197"/>
      <c r="M1383" s="197"/>
      <c r="N1383" s="197"/>
      <c r="O1383" s="197"/>
      <c r="P1383" s="197"/>
      <c r="Q1383" s="197"/>
      <c r="R1383" s="197"/>
      <c r="S1383" s="197"/>
      <c r="T1383" s="197"/>
      <c r="U1383" s="197"/>
      <c r="V1383" s="197"/>
      <c r="W1383" s="197"/>
      <c r="X1383" s="197"/>
      <c r="Y1383" s="197"/>
      <c r="Z1383" s="197"/>
      <c r="AA1383" s="197"/>
      <c r="AB1383" s="197"/>
      <c r="AC1383" s="197"/>
      <c r="AD1383" s="197"/>
      <c r="AE1383" s="197"/>
      <c r="AF1383" s="197"/>
      <c r="AG1383" s="197"/>
      <c r="AH1383" s="197"/>
      <c r="AI1383" s="197"/>
      <c r="AJ1383" s="197"/>
      <c r="AK1383" s="197"/>
      <c r="AL1383" s="197"/>
    </row>
    <row r="1384" spans="1:38">
      <c r="A1384" s="11" t="str">
        <f t="shared" si="85"/>
        <v>15-731390242011</v>
      </c>
      <c r="B1384" t="s">
        <v>776</v>
      </c>
      <c r="C1384" t="s">
        <v>777</v>
      </c>
      <c r="D1384">
        <v>2011</v>
      </c>
      <c r="E1384" t="s">
        <v>63</v>
      </c>
      <c r="F1384">
        <v>7674226.4900000002</v>
      </c>
      <c r="G1384">
        <v>14598</v>
      </c>
      <c r="H1384" s="11" t="str">
        <f t="shared" si="84"/>
        <v>count</v>
      </c>
      <c r="I1384" s="197"/>
      <c r="J1384" s="197"/>
      <c r="K1384" s="197"/>
      <c r="L1384" s="197"/>
      <c r="M1384" s="197"/>
      <c r="N1384" s="197"/>
      <c r="O1384" s="197"/>
      <c r="P1384" s="197"/>
      <c r="Q1384" s="197"/>
      <c r="R1384" s="197"/>
      <c r="S1384" s="197"/>
      <c r="T1384" s="197"/>
      <c r="U1384" s="197"/>
      <c r="V1384" s="197"/>
      <c r="W1384" s="197"/>
      <c r="X1384" s="197"/>
      <c r="Y1384" s="197"/>
      <c r="Z1384" s="197"/>
      <c r="AA1384" s="197"/>
      <c r="AB1384" s="197"/>
      <c r="AC1384" s="197"/>
      <c r="AD1384" s="197"/>
      <c r="AE1384" s="197"/>
      <c r="AF1384" s="197"/>
      <c r="AG1384" s="197"/>
      <c r="AH1384" s="197"/>
      <c r="AI1384" s="197"/>
      <c r="AJ1384" s="197"/>
      <c r="AK1384" s="197"/>
      <c r="AL1384" s="197"/>
    </row>
    <row r="1385" spans="1:38">
      <c r="A1385" s="11" t="str">
        <f t="shared" si="85"/>
        <v>15-731390242011</v>
      </c>
      <c r="B1385" t="s">
        <v>776</v>
      </c>
      <c r="C1385" t="s">
        <v>777</v>
      </c>
      <c r="D1385">
        <v>2011</v>
      </c>
      <c r="E1385" t="s">
        <v>104</v>
      </c>
      <c r="F1385">
        <v>2303336.42</v>
      </c>
      <c r="G1385">
        <v>4331</v>
      </c>
      <c r="H1385" s="11" t="str">
        <f t="shared" si="84"/>
        <v>count</v>
      </c>
      <c r="I1385" s="197"/>
      <c r="J1385" s="197"/>
      <c r="K1385" s="197"/>
      <c r="L1385" s="197"/>
      <c r="M1385" s="197"/>
      <c r="N1385" s="197"/>
      <c r="O1385" s="197"/>
      <c r="P1385" s="197"/>
      <c r="Q1385" s="197"/>
      <c r="R1385" s="197"/>
      <c r="S1385" s="197"/>
      <c r="T1385" s="197"/>
      <c r="U1385" s="197"/>
      <c r="V1385" s="197"/>
      <c r="W1385" s="197"/>
      <c r="X1385" s="197"/>
      <c r="Y1385" s="197"/>
      <c r="Z1385" s="197"/>
      <c r="AA1385" s="197"/>
      <c r="AB1385" s="197"/>
      <c r="AC1385" s="197"/>
      <c r="AD1385" s="197"/>
      <c r="AE1385" s="197"/>
      <c r="AF1385" s="197"/>
      <c r="AG1385" s="197"/>
      <c r="AH1385" s="197"/>
      <c r="AI1385" s="197"/>
      <c r="AJ1385" s="197"/>
      <c r="AK1385" s="197"/>
      <c r="AL1385" s="197"/>
    </row>
    <row r="1386" spans="1:38">
      <c r="A1386" s="11" t="str">
        <f t="shared" si="85"/>
        <v>15-731390242012</v>
      </c>
      <c r="B1386" t="s">
        <v>776</v>
      </c>
      <c r="C1386" t="s">
        <v>777</v>
      </c>
      <c r="D1386">
        <v>2012</v>
      </c>
      <c r="E1386" t="s">
        <v>106</v>
      </c>
      <c r="F1386">
        <v>2743208.13</v>
      </c>
      <c r="G1386">
        <v>3493</v>
      </c>
      <c r="H1386" s="11" t="str">
        <f t="shared" si="84"/>
        <v>count</v>
      </c>
      <c r="I1386" s="197"/>
      <c r="J1386" s="197"/>
      <c r="K1386" s="197"/>
      <c r="L1386" s="197"/>
      <c r="M1386" s="197"/>
      <c r="N1386" s="197"/>
      <c r="O1386" s="197"/>
      <c r="P1386" s="197"/>
      <c r="Q1386" s="197"/>
      <c r="R1386" s="197"/>
      <c r="S1386" s="197"/>
      <c r="T1386" s="197"/>
      <c r="U1386" s="197"/>
      <c r="V1386" s="197"/>
      <c r="W1386" s="197"/>
      <c r="X1386" s="197"/>
      <c r="Y1386" s="197"/>
      <c r="Z1386" s="197"/>
      <c r="AA1386" s="197"/>
      <c r="AB1386" s="197"/>
      <c r="AC1386" s="197"/>
      <c r="AD1386" s="197"/>
      <c r="AE1386" s="197"/>
      <c r="AF1386" s="197"/>
      <c r="AG1386" s="197"/>
      <c r="AH1386" s="197"/>
      <c r="AI1386" s="197"/>
      <c r="AJ1386" s="197"/>
      <c r="AK1386" s="197"/>
      <c r="AL1386" s="197"/>
    </row>
    <row r="1387" spans="1:38">
      <c r="A1387" s="11" t="str">
        <f t="shared" si="85"/>
        <v>15-731390242011</v>
      </c>
      <c r="B1387" t="s">
        <v>776</v>
      </c>
      <c r="C1387" t="s">
        <v>777</v>
      </c>
      <c r="D1387">
        <v>2011</v>
      </c>
      <c r="E1387" t="s">
        <v>69</v>
      </c>
      <c r="F1387">
        <v>10794.32</v>
      </c>
      <c r="G1387">
        <v>21</v>
      </c>
      <c r="H1387" s="11" t="str">
        <f t="shared" si="84"/>
        <v>count</v>
      </c>
      <c r="I1387" s="197"/>
      <c r="J1387" s="197"/>
      <c r="K1387" s="197"/>
      <c r="L1387" s="197"/>
      <c r="M1387" s="197"/>
      <c r="N1387" s="197"/>
      <c r="O1387" s="197"/>
      <c r="P1387" s="197"/>
      <c r="Q1387" s="197"/>
      <c r="R1387" s="197"/>
      <c r="S1387" s="197"/>
      <c r="T1387" s="197"/>
      <c r="U1387" s="197"/>
      <c r="V1387" s="197"/>
      <c r="W1387" s="197"/>
      <c r="X1387" s="197"/>
      <c r="Y1387" s="197"/>
      <c r="Z1387" s="197"/>
      <c r="AA1387" s="197"/>
      <c r="AB1387" s="197"/>
      <c r="AC1387" s="197"/>
      <c r="AD1387" s="197"/>
      <c r="AE1387" s="197"/>
      <c r="AF1387" s="197"/>
      <c r="AG1387" s="197"/>
      <c r="AH1387" s="197"/>
      <c r="AI1387" s="197"/>
      <c r="AJ1387" s="197"/>
      <c r="AK1387" s="197"/>
      <c r="AL1387" s="197"/>
    </row>
    <row r="1388" spans="1:38">
      <c r="A1388" s="11" t="str">
        <f t="shared" si="85"/>
        <v>15-731390242011</v>
      </c>
      <c r="B1388" t="s">
        <v>776</v>
      </c>
      <c r="C1388" t="s">
        <v>777</v>
      </c>
      <c r="D1388">
        <v>2011</v>
      </c>
      <c r="E1388" t="s">
        <v>1074</v>
      </c>
      <c r="F1388">
        <v>254519.3</v>
      </c>
      <c r="G1388">
        <v>424</v>
      </c>
      <c r="H1388" s="11" t="str">
        <f t="shared" si="84"/>
        <v>count</v>
      </c>
      <c r="I1388" s="197"/>
      <c r="J1388" s="197"/>
      <c r="K1388" s="197"/>
      <c r="L1388" s="197"/>
      <c r="M1388" s="197"/>
      <c r="N1388" s="197"/>
      <c r="O1388" s="197"/>
      <c r="P1388" s="197"/>
      <c r="Q1388" s="197"/>
      <c r="R1388" s="197"/>
      <c r="S1388" s="197"/>
      <c r="T1388" s="197"/>
      <c r="U1388" s="197"/>
      <c r="V1388" s="197"/>
      <c r="W1388" s="197"/>
      <c r="X1388" s="197"/>
      <c r="Y1388" s="197"/>
      <c r="Z1388" s="197"/>
      <c r="AA1388" s="197"/>
      <c r="AB1388" s="197"/>
      <c r="AC1388" s="197"/>
      <c r="AD1388" s="197"/>
      <c r="AE1388" s="197"/>
      <c r="AF1388" s="197"/>
      <c r="AG1388" s="197"/>
      <c r="AH1388" s="197"/>
      <c r="AI1388" s="197"/>
      <c r="AJ1388" s="197"/>
      <c r="AK1388" s="197"/>
      <c r="AL1388" s="197"/>
    </row>
    <row r="1389" spans="1:38">
      <c r="A1389" s="11" t="str">
        <f t="shared" si="85"/>
        <v>15-731390242013</v>
      </c>
      <c r="B1389" t="s">
        <v>776</v>
      </c>
      <c r="C1389" t="s">
        <v>777</v>
      </c>
      <c r="D1389">
        <v>2013</v>
      </c>
      <c r="E1389" t="s">
        <v>106</v>
      </c>
      <c r="F1389">
        <v>851953.24</v>
      </c>
      <c r="G1389">
        <v>945</v>
      </c>
      <c r="H1389" s="11" t="str">
        <f t="shared" si="84"/>
        <v>count</v>
      </c>
      <c r="I1389" s="197"/>
      <c r="J1389" s="197"/>
      <c r="K1389" s="197"/>
      <c r="L1389" s="197"/>
      <c r="M1389" s="197"/>
      <c r="N1389" s="197"/>
      <c r="O1389" s="197"/>
      <c r="P1389" s="197"/>
      <c r="Q1389" s="197"/>
      <c r="R1389" s="197"/>
      <c r="S1389" s="197"/>
      <c r="T1389" s="197"/>
      <c r="U1389" s="197"/>
      <c r="V1389" s="197"/>
      <c r="W1389" s="197"/>
      <c r="X1389" s="197"/>
      <c r="Y1389" s="197"/>
      <c r="Z1389" s="197"/>
      <c r="AA1389" s="197"/>
      <c r="AB1389" s="197"/>
      <c r="AC1389" s="197"/>
      <c r="AD1389" s="197"/>
      <c r="AE1389" s="197"/>
      <c r="AF1389" s="197"/>
      <c r="AG1389" s="197"/>
      <c r="AH1389" s="197"/>
      <c r="AI1389" s="197"/>
      <c r="AJ1389" s="197"/>
      <c r="AK1389" s="197"/>
      <c r="AL1389" s="197"/>
    </row>
    <row r="1390" spans="1:38">
      <c r="A1390" s="11" t="str">
        <f t="shared" si="85"/>
        <v>15-731390242012</v>
      </c>
      <c r="B1390" t="s">
        <v>776</v>
      </c>
      <c r="C1390" t="s">
        <v>777</v>
      </c>
      <c r="D1390">
        <v>2012</v>
      </c>
      <c r="E1390" t="s">
        <v>69</v>
      </c>
      <c r="F1390">
        <v>1416326.15</v>
      </c>
      <c r="G1390">
        <v>2445</v>
      </c>
      <c r="H1390" s="11" t="str">
        <f t="shared" si="84"/>
        <v>count</v>
      </c>
      <c r="I1390" s="197"/>
      <c r="J1390" s="197"/>
      <c r="K1390" s="197"/>
      <c r="L1390" s="197"/>
      <c r="M1390" s="197"/>
      <c r="N1390" s="197"/>
      <c r="O1390" s="197"/>
      <c r="P1390" s="197"/>
      <c r="Q1390" s="197"/>
      <c r="R1390" s="197"/>
      <c r="S1390" s="197"/>
      <c r="T1390" s="197"/>
      <c r="U1390" s="197"/>
      <c r="V1390" s="197"/>
      <c r="W1390" s="197"/>
      <c r="X1390" s="197"/>
      <c r="Y1390" s="197"/>
      <c r="Z1390" s="197"/>
      <c r="AA1390" s="197"/>
      <c r="AB1390" s="197"/>
      <c r="AC1390" s="197"/>
      <c r="AD1390" s="197"/>
      <c r="AE1390" s="197"/>
      <c r="AF1390" s="197"/>
      <c r="AG1390" s="197"/>
      <c r="AH1390" s="197"/>
      <c r="AI1390" s="197"/>
      <c r="AJ1390" s="197"/>
      <c r="AK1390" s="197"/>
      <c r="AL1390" s="197"/>
    </row>
    <row r="1391" spans="1:38">
      <c r="A1391" s="11" t="str">
        <f t="shared" si="85"/>
        <v>15-731390242013</v>
      </c>
      <c r="B1391" t="s">
        <v>776</v>
      </c>
      <c r="C1391" t="s">
        <v>777</v>
      </c>
      <c r="D1391">
        <v>2013</v>
      </c>
      <c r="E1391" t="s">
        <v>104</v>
      </c>
      <c r="F1391">
        <v>156822.1</v>
      </c>
      <c r="G1391">
        <v>177</v>
      </c>
      <c r="H1391" s="11" t="str">
        <f t="shared" si="84"/>
        <v>count</v>
      </c>
      <c r="I1391" s="197"/>
      <c r="J1391" s="197"/>
      <c r="K1391" s="197"/>
      <c r="L1391" s="197"/>
      <c r="M1391" s="197"/>
      <c r="N1391" s="197"/>
      <c r="O1391" s="197"/>
      <c r="P1391" s="197"/>
      <c r="Q1391" s="197"/>
      <c r="R1391" s="197"/>
      <c r="S1391" s="197"/>
      <c r="T1391" s="197"/>
      <c r="U1391" s="197"/>
      <c r="V1391" s="197"/>
      <c r="W1391" s="197"/>
      <c r="X1391" s="197"/>
      <c r="Y1391" s="197"/>
      <c r="Z1391" s="197"/>
      <c r="AA1391" s="197"/>
      <c r="AB1391" s="197"/>
      <c r="AC1391" s="197"/>
      <c r="AD1391" s="197"/>
      <c r="AE1391" s="197"/>
      <c r="AF1391" s="197"/>
      <c r="AG1391" s="197"/>
      <c r="AH1391" s="197"/>
      <c r="AI1391" s="197"/>
      <c r="AJ1391" s="197"/>
      <c r="AK1391" s="197"/>
      <c r="AL1391" s="197"/>
    </row>
    <row r="1392" spans="1:38">
      <c r="A1392" s="11" t="str">
        <f t="shared" si="85"/>
        <v>15-731390242012</v>
      </c>
      <c r="B1392" t="s">
        <v>776</v>
      </c>
      <c r="C1392" t="s">
        <v>777</v>
      </c>
      <c r="D1392">
        <v>2012</v>
      </c>
      <c r="E1392" t="s">
        <v>1075</v>
      </c>
      <c r="F1392">
        <v>89420.7</v>
      </c>
      <c r="G1392">
        <v>141</v>
      </c>
      <c r="H1392" s="11" t="str">
        <f t="shared" si="84"/>
        <v>count</v>
      </c>
      <c r="I1392" s="197"/>
      <c r="J1392" s="197"/>
      <c r="K1392" s="197"/>
      <c r="L1392" s="197"/>
      <c r="M1392" s="197"/>
      <c r="N1392" s="197"/>
      <c r="O1392" s="197"/>
      <c r="P1392" s="197"/>
      <c r="Q1392" s="197"/>
      <c r="R1392" s="197"/>
      <c r="S1392" s="197"/>
      <c r="T1392" s="197"/>
      <c r="U1392" s="197"/>
      <c r="V1392" s="197"/>
      <c r="W1392" s="197"/>
      <c r="X1392" s="197"/>
      <c r="Y1392" s="197"/>
      <c r="Z1392" s="197"/>
      <c r="AA1392" s="197"/>
      <c r="AB1392" s="197"/>
      <c r="AC1392" s="197"/>
      <c r="AD1392" s="197"/>
      <c r="AE1392" s="197"/>
      <c r="AF1392" s="197"/>
      <c r="AG1392" s="197"/>
      <c r="AH1392" s="197"/>
      <c r="AI1392" s="197"/>
      <c r="AJ1392" s="197"/>
      <c r="AK1392" s="197"/>
      <c r="AL1392" s="197"/>
    </row>
    <row r="1393" spans="1:38">
      <c r="A1393" s="11" t="str">
        <f t="shared" si="85"/>
        <v>15-731390242012</v>
      </c>
      <c r="B1393" t="s">
        <v>776</v>
      </c>
      <c r="C1393" t="s">
        <v>777</v>
      </c>
      <c r="D1393">
        <v>2012</v>
      </c>
      <c r="E1393" t="s">
        <v>1076</v>
      </c>
      <c r="F1393">
        <v>27637.66</v>
      </c>
      <c r="G1393">
        <v>52</v>
      </c>
      <c r="H1393" s="11" t="str">
        <f t="shared" si="84"/>
        <v>count</v>
      </c>
      <c r="I1393" s="197"/>
      <c r="J1393" s="197"/>
      <c r="K1393" s="197"/>
      <c r="L1393" s="197"/>
      <c r="M1393" s="197"/>
      <c r="N1393" s="197"/>
      <c r="O1393" s="197"/>
      <c r="P1393" s="197"/>
      <c r="Q1393" s="197"/>
      <c r="R1393" s="197"/>
      <c r="S1393" s="197"/>
      <c r="T1393" s="197"/>
      <c r="U1393" s="197"/>
      <c r="V1393" s="197"/>
      <c r="W1393" s="197"/>
      <c r="X1393" s="197"/>
      <c r="Y1393" s="197"/>
      <c r="Z1393" s="197"/>
      <c r="AA1393" s="197"/>
      <c r="AB1393" s="197"/>
      <c r="AC1393" s="197"/>
      <c r="AD1393" s="197"/>
      <c r="AE1393" s="197"/>
      <c r="AF1393" s="197"/>
      <c r="AG1393" s="197"/>
      <c r="AH1393" s="197"/>
      <c r="AI1393" s="197"/>
      <c r="AJ1393" s="197"/>
      <c r="AK1393" s="197"/>
      <c r="AL1393" s="197"/>
    </row>
    <row r="1394" spans="1:38">
      <c r="A1394" s="11" t="str">
        <f t="shared" si="85"/>
        <v>15-731390242012</v>
      </c>
      <c r="B1394" t="s">
        <v>776</v>
      </c>
      <c r="C1394" t="s">
        <v>777</v>
      </c>
      <c r="D1394">
        <v>2012</v>
      </c>
      <c r="E1394" t="s">
        <v>105</v>
      </c>
      <c r="F1394">
        <v>49046.46</v>
      </c>
      <c r="G1394">
        <v>76</v>
      </c>
      <c r="H1394" s="11" t="str">
        <f t="shared" si="84"/>
        <v>count</v>
      </c>
      <c r="I1394" s="197"/>
      <c r="J1394" s="197"/>
      <c r="K1394" s="197"/>
      <c r="L1394" s="197"/>
      <c r="M1394" s="197"/>
      <c r="N1394" s="197"/>
      <c r="O1394" s="197"/>
      <c r="P1394" s="197"/>
      <c r="Q1394" s="197"/>
      <c r="R1394" s="197"/>
      <c r="S1394" s="197"/>
      <c r="T1394" s="197"/>
      <c r="U1394" s="197"/>
      <c r="V1394" s="197"/>
      <c r="W1394" s="197"/>
      <c r="X1394" s="197"/>
      <c r="Y1394" s="197"/>
      <c r="Z1394" s="197"/>
      <c r="AA1394" s="197"/>
      <c r="AB1394" s="197"/>
      <c r="AC1394" s="197"/>
      <c r="AD1394" s="197"/>
      <c r="AE1394" s="197"/>
      <c r="AF1394" s="197"/>
      <c r="AG1394" s="197"/>
      <c r="AH1394" s="197"/>
      <c r="AI1394" s="197"/>
      <c r="AJ1394" s="197"/>
      <c r="AK1394" s="197"/>
      <c r="AL1394" s="197"/>
    </row>
    <row r="1395" spans="1:38">
      <c r="A1395" s="11" t="str">
        <f t="shared" si="85"/>
        <v>15-731390242012</v>
      </c>
      <c r="B1395" t="s">
        <v>776</v>
      </c>
      <c r="C1395" t="s">
        <v>777</v>
      </c>
      <c r="D1395">
        <v>2012</v>
      </c>
      <c r="E1395" t="s">
        <v>133</v>
      </c>
      <c r="F1395">
        <v>624577.14</v>
      </c>
      <c r="G1395">
        <v>27</v>
      </c>
      <c r="H1395" s="11" t="str">
        <f t="shared" si="84"/>
        <v>count</v>
      </c>
      <c r="I1395" s="197"/>
      <c r="J1395" s="197"/>
      <c r="K1395" s="197"/>
      <c r="L1395" s="197"/>
      <c r="M1395" s="197"/>
      <c r="N1395" s="197"/>
      <c r="O1395" s="197"/>
      <c r="P1395" s="197"/>
      <c r="Q1395" s="197"/>
      <c r="R1395" s="197"/>
      <c r="S1395" s="197"/>
      <c r="T1395" s="197"/>
      <c r="U1395" s="197"/>
      <c r="V1395" s="197"/>
      <c r="W1395" s="197"/>
      <c r="X1395" s="197"/>
      <c r="Y1395" s="197"/>
      <c r="Z1395" s="197"/>
      <c r="AA1395" s="197"/>
      <c r="AB1395" s="197"/>
      <c r="AC1395" s="197"/>
      <c r="AD1395" s="197"/>
      <c r="AE1395" s="197"/>
      <c r="AF1395" s="197"/>
      <c r="AG1395" s="197"/>
      <c r="AH1395" s="197"/>
      <c r="AI1395" s="197"/>
      <c r="AJ1395" s="197"/>
      <c r="AK1395" s="197"/>
      <c r="AL1395" s="197"/>
    </row>
    <row r="1396" spans="1:38">
      <c r="A1396" s="11" t="str">
        <f t="shared" si="85"/>
        <v>15-731390242013</v>
      </c>
      <c r="B1396" t="s">
        <v>776</v>
      </c>
      <c r="C1396" t="s">
        <v>777</v>
      </c>
      <c r="D1396">
        <v>2013</v>
      </c>
      <c r="E1396" t="s">
        <v>63</v>
      </c>
      <c r="F1396">
        <v>258863.2</v>
      </c>
      <c r="G1396">
        <v>303</v>
      </c>
      <c r="H1396" s="11" t="str">
        <f t="shared" si="84"/>
        <v>count</v>
      </c>
      <c r="I1396" s="197"/>
      <c r="J1396" s="197"/>
      <c r="K1396" s="197"/>
      <c r="L1396" s="197"/>
      <c r="M1396" s="197"/>
      <c r="N1396" s="197"/>
      <c r="O1396" s="197"/>
      <c r="P1396" s="197"/>
      <c r="Q1396" s="197"/>
      <c r="R1396" s="197"/>
      <c r="S1396" s="197"/>
      <c r="T1396" s="197"/>
      <c r="U1396" s="197"/>
      <c r="V1396" s="197"/>
      <c r="W1396" s="197"/>
      <c r="X1396" s="197"/>
      <c r="Y1396" s="197"/>
      <c r="Z1396" s="197"/>
      <c r="AA1396" s="197"/>
      <c r="AB1396" s="197"/>
      <c r="AC1396" s="197"/>
      <c r="AD1396" s="197"/>
      <c r="AE1396" s="197"/>
      <c r="AF1396" s="197"/>
      <c r="AG1396" s="197"/>
      <c r="AH1396" s="197"/>
      <c r="AI1396" s="197"/>
      <c r="AJ1396" s="197"/>
      <c r="AK1396" s="197"/>
      <c r="AL1396" s="197"/>
    </row>
    <row r="1397" spans="1:38">
      <c r="A1397" s="11" t="str">
        <f t="shared" si="85"/>
        <v>15-731390242011</v>
      </c>
      <c r="B1397" t="s">
        <v>776</v>
      </c>
      <c r="C1397" t="s">
        <v>777</v>
      </c>
      <c r="D1397">
        <v>2011</v>
      </c>
      <c r="E1397" t="s">
        <v>1076</v>
      </c>
      <c r="F1397">
        <v>217648.07</v>
      </c>
      <c r="G1397">
        <v>372</v>
      </c>
      <c r="H1397" s="11" t="str">
        <f t="shared" si="84"/>
        <v>count</v>
      </c>
      <c r="I1397" s="197"/>
      <c r="J1397" s="197"/>
      <c r="K1397" s="197"/>
      <c r="L1397" s="197"/>
      <c r="M1397" s="197"/>
      <c r="N1397" s="197"/>
      <c r="O1397" s="197"/>
      <c r="P1397" s="197"/>
      <c r="Q1397" s="197"/>
      <c r="R1397" s="197"/>
      <c r="S1397" s="197"/>
      <c r="T1397" s="197"/>
      <c r="U1397" s="197"/>
      <c r="V1397" s="197"/>
      <c r="W1397" s="197"/>
      <c r="X1397" s="197"/>
      <c r="Y1397" s="197"/>
      <c r="Z1397" s="197"/>
      <c r="AA1397" s="197"/>
      <c r="AB1397" s="197"/>
      <c r="AC1397" s="197"/>
      <c r="AD1397" s="197"/>
      <c r="AE1397" s="197"/>
      <c r="AF1397" s="197"/>
      <c r="AG1397" s="197"/>
      <c r="AH1397" s="197"/>
      <c r="AI1397" s="197"/>
      <c r="AJ1397" s="197"/>
      <c r="AK1397" s="197"/>
      <c r="AL1397" s="197"/>
    </row>
    <row r="1398" spans="1:38">
      <c r="A1398" s="11" t="str">
        <f t="shared" si="85"/>
        <v>15-731390242011</v>
      </c>
      <c r="B1398" t="s">
        <v>776</v>
      </c>
      <c r="C1398" t="s">
        <v>777</v>
      </c>
      <c r="D1398">
        <v>2011</v>
      </c>
      <c r="E1398" t="s">
        <v>105</v>
      </c>
      <c r="F1398">
        <v>208683.02</v>
      </c>
      <c r="G1398">
        <v>327</v>
      </c>
      <c r="H1398" s="11" t="str">
        <f t="shared" si="84"/>
        <v>count</v>
      </c>
      <c r="I1398" s="197"/>
      <c r="J1398" s="197"/>
      <c r="K1398" s="197"/>
      <c r="L1398" s="197"/>
      <c r="M1398" s="197"/>
      <c r="N1398" s="197"/>
      <c r="O1398" s="197"/>
      <c r="P1398" s="197"/>
      <c r="Q1398" s="197"/>
      <c r="R1398" s="197"/>
      <c r="S1398" s="197"/>
      <c r="T1398" s="197"/>
      <c r="U1398" s="197"/>
      <c r="V1398" s="197"/>
      <c r="W1398" s="197"/>
      <c r="X1398" s="197"/>
      <c r="Y1398" s="197"/>
      <c r="Z1398" s="197"/>
      <c r="AA1398" s="197"/>
      <c r="AB1398" s="197"/>
      <c r="AC1398" s="197"/>
      <c r="AD1398" s="197"/>
      <c r="AE1398" s="197"/>
      <c r="AF1398" s="197"/>
      <c r="AG1398" s="197"/>
      <c r="AH1398" s="197"/>
      <c r="AI1398" s="197"/>
      <c r="AJ1398" s="197"/>
      <c r="AK1398" s="197"/>
      <c r="AL1398" s="197"/>
    </row>
    <row r="1399" spans="1:38">
      <c r="A1399" s="11" t="str">
        <f t="shared" si="85"/>
        <v>15-731390242011</v>
      </c>
      <c r="B1399" t="s">
        <v>776</v>
      </c>
      <c r="C1399" t="s">
        <v>777</v>
      </c>
      <c r="D1399">
        <v>2011</v>
      </c>
      <c r="E1399" t="s">
        <v>1075</v>
      </c>
      <c r="F1399">
        <v>675888.03</v>
      </c>
      <c r="G1399">
        <v>1250</v>
      </c>
      <c r="H1399" s="11" t="str">
        <f t="shared" si="84"/>
        <v>count</v>
      </c>
      <c r="I1399" s="197"/>
      <c r="J1399" s="197"/>
      <c r="K1399" s="197"/>
      <c r="L1399" s="197"/>
      <c r="M1399" s="197"/>
      <c r="N1399" s="197"/>
      <c r="O1399" s="197"/>
      <c r="P1399" s="197"/>
      <c r="Q1399" s="197"/>
      <c r="R1399" s="197"/>
      <c r="S1399" s="197"/>
      <c r="T1399" s="197"/>
      <c r="U1399" s="197"/>
      <c r="V1399" s="197"/>
      <c r="W1399" s="197"/>
      <c r="X1399" s="197"/>
      <c r="Y1399" s="197"/>
      <c r="Z1399" s="197"/>
      <c r="AA1399" s="197"/>
      <c r="AB1399" s="197"/>
      <c r="AC1399" s="197"/>
      <c r="AD1399" s="197"/>
      <c r="AE1399" s="197"/>
      <c r="AF1399" s="197"/>
      <c r="AG1399" s="197"/>
      <c r="AH1399" s="197"/>
      <c r="AI1399" s="197"/>
      <c r="AJ1399" s="197"/>
      <c r="AK1399" s="197"/>
      <c r="AL1399" s="197"/>
    </row>
    <row r="1400" spans="1:38">
      <c r="A1400" s="11" t="str">
        <f t="shared" si="85"/>
        <v>15-731390242012</v>
      </c>
      <c r="B1400" t="s">
        <v>776</v>
      </c>
      <c r="C1400" t="s">
        <v>777</v>
      </c>
      <c r="D1400">
        <v>2012</v>
      </c>
      <c r="E1400" t="s">
        <v>104</v>
      </c>
      <c r="F1400">
        <v>582215.38</v>
      </c>
      <c r="G1400">
        <v>908</v>
      </c>
      <c r="H1400" s="11" t="str">
        <f t="shared" si="84"/>
        <v>count</v>
      </c>
      <c r="I1400" s="197"/>
      <c r="J1400" s="197"/>
      <c r="K1400" s="197"/>
      <c r="L1400" s="197"/>
      <c r="M1400" s="197"/>
      <c r="N1400" s="197"/>
      <c r="O1400" s="197"/>
      <c r="P1400" s="197"/>
      <c r="Q1400" s="197"/>
      <c r="R1400" s="197"/>
      <c r="S1400" s="197"/>
      <c r="T1400" s="197"/>
      <c r="U1400" s="197"/>
      <c r="V1400" s="197"/>
      <c r="W1400" s="197"/>
      <c r="X1400" s="197"/>
      <c r="Y1400" s="197"/>
      <c r="Z1400" s="197"/>
      <c r="AA1400" s="197"/>
      <c r="AB1400" s="197"/>
      <c r="AC1400" s="197"/>
      <c r="AD1400" s="197"/>
      <c r="AE1400" s="197"/>
      <c r="AF1400" s="197"/>
      <c r="AG1400" s="197"/>
      <c r="AH1400" s="197"/>
      <c r="AI1400" s="197"/>
      <c r="AJ1400" s="197"/>
      <c r="AK1400" s="197"/>
      <c r="AL1400" s="197"/>
    </row>
    <row r="1401" spans="1:38">
      <c r="A1401" s="11" t="str">
        <f t="shared" si="85"/>
        <v>15-731390242013</v>
      </c>
      <c r="B1401" t="s">
        <v>776</v>
      </c>
      <c r="C1401" t="s">
        <v>777</v>
      </c>
      <c r="D1401">
        <v>2013</v>
      </c>
      <c r="E1401" t="s">
        <v>69</v>
      </c>
      <c r="F1401">
        <v>481591.39</v>
      </c>
      <c r="G1401">
        <v>651</v>
      </c>
      <c r="H1401" s="11" t="str">
        <f t="shared" si="84"/>
        <v>count</v>
      </c>
      <c r="I1401" s="197"/>
      <c r="J1401" s="197"/>
      <c r="K1401" s="197"/>
      <c r="L1401" s="197"/>
      <c r="M1401" s="197"/>
      <c r="N1401" s="197"/>
      <c r="O1401" s="197"/>
      <c r="P1401" s="197"/>
      <c r="Q1401" s="197"/>
      <c r="R1401" s="197"/>
      <c r="S1401" s="197"/>
      <c r="T1401" s="197"/>
      <c r="U1401" s="197"/>
      <c r="V1401" s="197"/>
      <c r="W1401" s="197"/>
      <c r="X1401" s="197"/>
      <c r="Y1401" s="197"/>
      <c r="Z1401" s="197"/>
      <c r="AA1401" s="197"/>
      <c r="AB1401" s="197"/>
      <c r="AC1401" s="197"/>
      <c r="AD1401" s="197"/>
      <c r="AE1401" s="197"/>
      <c r="AF1401" s="197"/>
      <c r="AG1401" s="197"/>
      <c r="AH1401" s="197"/>
      <c r="AI1401" s="197"/>
      <c r="AJ1401" s="197"/>
      <c r="AK1401" s="197"/>
      <c r="AL1401" s="197"/>
    </row>
    <row r="1402" spans="1:38">
      <c r="A1402" s="11" t="str">
        <f t="shared" si="85"/>
        <v>15-731390242011</v>
      </c>
      <c r="B1402" t="s">
        <v>776</v>
      </c>
      <c r="C1402" t="s">
        <v>777</v>
      </c>
      <c r="D1402">
        <v>2011</v>
      </c>
      <c r="E1402" t="s">
        <v>106</v>
      </c>
      <c r="F1402">
        <v>4687214.46</v>
      </c>
      <c r="G1402">
        <v>7251</v>
      </c>
      <c r="H1402" s="11" t="str">
        <f t="shared" si="84"/>
        <v>count</v>
      </c>
      <c r="I1402" s="197"/>
      <c r="J1402" s="197"/>
      <c r="K1402" s="197"/>
      <c r="L1402" s="197"/>
      <c r="M1402" s="197"/>
      <c r="N1402" s="197"/>
      <c r="O1402" s="197"/>
      <c r="P1402" s="197"/>
      <c r="Q1402" s="197"/>
      <c r="R1402" s="197"/>
      <c r="S1402" s="197"/>
      <c r="T1402" s="197"/>
      <c r="U1402" s="197"/>
      <c r="V1402" s="197"/>
      <c r="W1402" s="197"/>
      <c r="X1402" s="197"/>
      <c r="Y1402" s="197"/>
      <c r="Z1402" s="197"/>
      <c r="AA1402" s="197"/>
      <c r="AB1402" s="197"/>
      <c r="AC1402" s="197"/>
      <c r="AD1402" s="197"/>
      <c r="AE1402" s="197"/>
      <c r="AF1402" s="197"/>
      <c r="AG1402" s="197"/>
      <c r="AH1402" s="197"/>
      <c r="AI1402" s="197"/>
      <c r="AJ1402" s="197"/>
      <c r="AK1402" s="197"/>
      <c r="AL1402" s="197"/>
    </row>
    <row r="1403" spans="1:38">
      <c r="A1403" s="11" t="str">
        <f t="shared" si="85"/>
        <v>15-731390242013</v>
      </c>
      <c r="B1403" t="s">
        <v>776</v>
      </c>
      <c r="C1403" t="s">
        <v>777</v>
      </c>
      <c r="D1403">
        <v>2013</v>
      </c>
      <c r="E1403" t="s">
        <v>133</v>
      </c>
      <c r="F1403">
        <v>665207.78</v>
      </c>
      <c r="G1403">
        <v>40</v>
      </c>
      <c r="H1403" s="11" t="str">
        <f t="shared" si="84"/>
        <v>count</v>
      </c>
      <c r="I1403" s="197"/>
      <c r="J1403" s="197"/>
      <c r="K1403" s="197"/>
      <c r="L1403" s="197"/>
      <c r="M1403" s="197"/>
      <c r="N1403" s="197"/>
      <c r="O1403" s="197"/>
      <c r="P1403" s="197"/>
      <c r="Q1403" s="197"/>
      <c r="R1403" s="197"/>
      <c r="S1403" s="197"/>
      <c r="T1403" s="197"/>
      <c r="U1403" s="197"/>
      <c r="V1403" s="197"/>
      <c r="W1403" s="197"/>
      <c r="X1403" s="197"/>
      <c r="Y1403" s="197"/>
      <c r="Z1403" s="197"/>
      <c r="AA1403" s="197"/>
      <c r="AB1403" s="197"/>
      <c r="AC1403" s="197"/>
      <c r="AD1403" s="197"/>
      <c r="AE1403" s="197"/>
      <c r="AF1403" s="197"/>
      <c r="AG1403" s="197"/>
      <c r="AH1403" s="197"/>
      <c r="AI1403" s="197"/>
      <c r="AJ1403" s="197"/>
      <c r="AK1403" s="197"/>
      <c r="AL1403" s="197"/>
    </row>
    <row r="1404" spans="1:38">
      <c r="A1404" s="11" t="str">
        <f t="shared" si="85"/>
        <v>15-731390242012</v>
      </c>
      <c r="B1404" t="s">
        <v>776</v>
      </c>
      <c r="C1404" t="s">
        <v>777</v>
      </c>
      <c r="D1404">
        <v>2012</v>
      </c>
      <c r="E1404" t="s">
        <v>63</v>
      </c>
      <c r="F1404">
        <v>723178.28</v>
      </c>
      <c r="G1404">
        <v>1145</v>
      </c>
      <c r="H1404" s="11" t="str">
        <f t="shared" si="84"/>
        <v>count</v>
      </c>
      <c r="I1404" s="197"/>
      <c r="J1404" s="197"/>
      <c r="K1404" s="197"/>
      <c r="L1404" s="197"/>
      <c r="M1404" s="197"/>
      <c r="N1404" s="197"/>
      <c r="O1404" s="197"/>
      <c r="P1404" s="197"/>
      <c r="Q1404" s="197"/>
      <c r="R1404" s="197"/>
      <c r="S1404" s="197"/>
      <c r="T1404" s="197"/>
      <c r="U1404" s="197"/>
      <c r="V1404" s="197"/>
      <c r="W1404" s="197"/>
      <c r="X1404" s="197"/>
      <c r="Y1404" s="197"/>
      <c r="Z1404" s="197"/>
      <c r="AA1404" s="197"/>
      <c r="AB1404" s="197"/>
      <c r="AC1404" s="197"/>
      <c r="AD1404" s="197"/>
      <c r="AE1404" s="197"/>
      <c r="AF1404" s="197"/>
      <c r="AG1404" s="197"/>
      <c r="AH1404" s="197"/>
      <c r="AI1404" s="197"/>
      <c r="AJ1404" s="197"/>
      <c r="AK1404" s="197"/>
      <c r="AL1404" s="197"/>
    </row>
    <row r="1405" spans="1:38">
      <c r="A1405" s="11" t="str">
        <f t="shared" si="85"/>
        <v>15-731390242012</v>
      </c>
      <c r="B1405" t="s">
        <v>776</v>
      </c>
      <c r="C1405" t="s">
        <v>777</v>
      </c>
      <c r="D1405">
        <v>2012</v>
      </c>
      <c r="E1405" t="s">
        <v>1074</v>
      </c>
      <c r="F1405">
        <v>20683.46</v>
      </c>
      <c r="G1405">
        <v>40</v>
      </c>
      <c r="H1405" s="11" t="str">
        <f t="shared" si="84"/>
        <v>count</v>
      </c>
      <c r="I1405" s="197"/>
      <c r="J1405" s="197"/>
      <c r="K1405" s="197"/>
      <c r="L1405" s="197"/>
      <c r="M1405" s="197"/>
      <c r="N1405" s="197"/>
      <c r="O1405" s="197"/>
      <c r="P1405" s="197"/>
      <c r="Q1405" s="197"/>
      <c r="R1405" s="197"/>
      <c r="S1405" s="197"/>
      <c r="T1405" s="197"/>
      <c r="U1405" s="197"/>
      <c r="V1405" s="197"/>
      <c r="W1405" s="197"/>
      <c r="X1405" s="197"/>
      <c r="Y1405" s="197"/>
      <c r="Z1405" s="197"/>
      <c r="AA1405" s="197"/>
      <c r="AB1405" s="197"/>
      <c r="AC1405" s="197"/>
      <c r="AD1405" s="197"/>
      <c r="AE1405" s="197"/>
      <c r="AF1405" s="197"/>
      <c r="AG1405" s="197"/>
      <c r="AH1405" s="197"/>
      <c r="AI1405" s="197"/>
      <c r="AJ1405" s="197"/>
      <c r="AK1405" s="197"/>
      <c r="AL1405" s="197"/>
    </row>
    <row r="1406" spans="1:38">
      <c r="A1406" s="11" t="str">
        <f t="shared" si="85"/>
        <v>15-731390242013</v>
      </c>
      <c r="B1406" t="s">
        <v>776</v>
      </c>
      <c r="C1406" t="s">
        <v>777</v>
      </c>
      <c r="D1406">
        <v>2013</v>
      </c>
      <c r="E1406" t="s">
        <v>105</v>
      </c>
      <c r="F1406">
        <v>24781.439999999999</v>
      </c>
      <c r="G1406">
        <v>27</v>
      </c>
      <c r="H1406" s="11" t="str">
        <f t="shared" si="84"/>
        <v>count</v>
      </c>
      <c r="I1406" s="197"/>
      <c r="J1406" s="197"/>
      <c r="K1406" s="197"/>
      <c r="L1406" s="197"/>
      <c r="M1406" s="197"/>
      <c r="N1406" s="197"/>
      <c r="O1406" s="197"/>
      <c r="P1406" s="197"/>
      <c r="Q1406" s="197"/>
      <c r="R1406" s="197"/>
      <c r="S1406" s="197"/>
      <c r="T1406" s="197"/>
      <c r="U1406" s="197"/>
      <c r="V1406" s="197"/>
      <c r="W1406" s="197"/>
      <c r="X1406" s="197"/>
      <c r="Y1406" s="197"/>
      <c r="Z1406" s="197"/>
      <c r="AA1406" s="197"/>
      <c r="AB1406" s="197"/>
      <c r="AC1406" s="197"/>
      <c r="AD1406" s="197"/>
      <c r="AE1406" s="197"/>
      <c r="AF1406" s="197"/>
      <c r="AG1406" s="197"/>
      <c r="AH1406" s="197"/>
      <c r="AI1406" s="197"/>
      <c r="AJ1406" s="197"/>
      <c r="AK1406" s="197"/>
      <c r="AL1406" s="197"/>
    </row>
    <row r="1407" spans="1:38">
      <c r="A1407" s="11" t="str">
        <f t="shared" si="85"/>
        <v>15-754271982012</v>
      </c>
      <c r="B1407" t="s">
        <v>786</v>
      </c>
      <c r="C1407" t="s">
        <v>787</v>
      </c>
      <c r="D1407">
        <v>2012</v>
      </c>
      <c r="E1407" t="s">
        <v>1074</v>
      </c>
      <c r="F1407">
        <v>17789.05</v>
      </c>
      <c r="G1407">
        <v>39</v>
      </c>
      <c r="H1407" s="11" t="str">
        <f t="shared" si="84"/>
        <v>volume</v>
      </c>
      <c r="I1407" s="197"/>
      <c r="J1407" s="197"/>
      <c r="K1407" s="197"/>
      <c r="L1407" s="197"/>
      <c r="M1407" s="197"/>
      <c r="N1407" s="197"/>
      <c r="O1407" s="197"/>
      <c r="P1407" s="197"/>
      <c r="Q1407" s="197"/>
      <c r="R1407" s="197"/>
      <c r="S1407" s="197"/>
      <c r="T1407" s="197"/>
      <c r="U1407" s="197"/>
      <c r="V1407" s="197"/>
      <c r="W1407" s="197"/>
      <c r="X1407" s="197"/>
      <c r="Y1407" s="197"/>
      <c r="Z1407" s="197"/>
      <c r="AA1407" s="197"/>
      <c r="AB1407" s="197"/>
      <c r="AC1407" s="197"/>
      <c r="AD1407" s="197"/>
      <c r="AE1407" s="197"/>
      <c r="AF1407" s="197"/>
      <c r="AG1407" s="197"/>
      <c r="AH1407" s="197"/>
      <c r="AI1407" s="197"/>
      <c r="AJ1407" s="197"/>
      <c r="AK1407" s="197"/>
      <c r="AL1407" s="197"/>
    </row>
    <row r="1408" spans="1:38">
      <c r="A1408" s="11" t="str">
        <f t="shared" si="85"/>
        <v>15-754271982013</v>
      </c>
      <c r="B1408" t="s">
        <v>786</v>
      </c>
      <c r="C1408" t="s">
        <v>787</v>
      </c>
      <c r="D1408">
        <v>2013</v>
      </c>
      <c r="E1408" t="s">
        <v>69</v>
      </c>
      <c r="F1408">
        <v>298683.05</v>
      </c>
      <c r="G1408">
        <v>530</v>
      </c>
      <c r="H1408" s="11" t="str">
        <f t="shared" si="84"/>
        <v>count</v>
      </c>
      <c r="I1408" s="197"/>
      <c r="J1408" s="197"/>
      <c r="K1408" s="197"/>
      <c r="L1408" s="197"/>
      <c r="M1408" s="197"/>
      <c r="N1408" s="197"/>
      <c r="O1408" s="197"/>
      <c r="P1408" s="197"/>
      <c r="Q1408" s="197"/>
      <c r="R1408" s="197"/>
      <c r="S1408" s="197"/>
      <c r="T1408" s="197"/>
      <c r="U1408" s="197"/>
      <c r="V1408" s="197"/>
      <c r="W1408" s="197"/>
      <c r="X1408" s="197"/>
      <c r="Y1408" s="197"/>
      <c r="Z1408" s="197"/>
      <c r="AA1408" s="197"/>
      <c r="AB1408" s="197"/>
      <c r="AC1408" s="197"/>
      <c r="AD1408" s="197"/>
      <c r="AE1408" s="197"/>
      <c r="AF1408" s="197"/>
      <c r="AG1408" s="197"/>
      <c r="AH1408" s="197"/>
      <c r="AI1408" s="197"/>
      <c r="AJ1408" s="197"/>
      <c r="AK1408" s="197"/>
      <c r="AL1408" s="197"/>
    </row>
    <row r="1409" spans="1:38">
      <c r="A1409" s="11" t="str">
        <f t="shared" si="85"/>
        <v>15-754271982012</v>
      </c>
      <c r="B1409" t="s">
        <v>786</v>
      </c>
      <c r="C1409" t="s">
        <v>787</v>
      </c>
      <c r="D1409">
        <v>2012</v>
      </c>
      <c r="E1409" t="s">
        <v>106</v>
      </c>
      <c r="F1409">
        <v>15795.02</v>
      </c>
      <c r="G1409">
        <v>19</v>
      </c>
      <c r="H1409" s="11" t="str">
        <f t="shared" si="84"/>
        <v>count</v>
      </c>
      <c r="I1409" s="197"/>
      <c r="J1409" s="197"/>
      <c r="K1409" s="197"/>
      <c r="L1409" s="197"/>
      <c r="M1409" s="197"/>
      <c r="N1409" s="197"/>
      <c r="O1409" s="197"/>
      <c r="P1409" s="197"/>
      <c r="Q1409" s="197"/>
      <c r="R1409" s="197"/>
      <c r="S1409" s="197"/>
      <c r="T1409" s="197"/>
      <c r="U1409" s="197"/>
      <c r="V1409" s="197"/>
      <c r="W1409" s="197"/>
      <c r="X1409" s="197"/>
      <c r="Y1409" s="197"/>
      <c r="Z1409" s="197"/>
      <c r="AA1409" s="197"/>
      <c r="AB1409" s="197"/>
      <c r="AC1409" s="197"/>
      <c r="AD1409" s="197"/>
      <c r="AE1409" s="197"/>
      <c r="AF1409" s="197"/>
      <c r="AG1409" s="197"/>
      <c r="AH1409" s="197"/>
      <c r="AI1409" s="197"/>
      <c r="AJ1409" s="197"/>
      <c r="AK1409" s="197"/>
      <c r="AL1409" s="197"/>
    </row>
    <row r="1410" spans="1:38">
      <c r="A1410" s="11" t="str">
        <f t="shared" si="85"/>
        <v>15-754271982011</v>
      </c>
      <c r="B1410" t="s">
        <v>786</v>
      </c>
      <c r="C1410" t="s">
        <v>787</v>
      </c>
      <c r="D1410">
        <v>2011</v>
      </c>
      <c r="E1410" t="s">
        <v>105</v>
      </c>
      <c r="F1410">
        <v>50839.21</v>
      </c>
      <c r="G1410">
        <v>80</v>
      </c>
      <c r="H1410" s="11" t="str">
        <f t="shared" ref="H1410:H1473" si="86">IF(B1410=B1409,"count","volume")</f>
        <v>count</v>
      </c>
      <c r="I1410" s="197"/>
      <c r="J1410" s="197"/>
      <c r="K1410" s="197"/>
      <c r="L1410" s="197"/>
      <c r="M1410" s="197"/>
      <c r="N1410" s="197"/>
      <c r="O1410" s="197"/>
      <c r="P1410" s="197"/>
      <c r="Q1410" s="197"/>
      <c r="R1410" s="197"/>
      <c r="S1410" s="197"/>
      <c r="T1410" s="197"/>
      <c r="U1410" s="197"/>
      <c r="V1410" s="197"/>
      <c r="W1410" s="197"/>
      <c r="X1410" s="197"/>
      <c r="Y1410" s="197"/>
      <c r="Z1410" s="197"/>
      <c r="AA1410" s="197"/>
      <c r="AB1410" s="197"/>
      <c r="AC1410" s="197"/>
      <c r="AD1410" s="197"/>
      <c r="AE1410" s="197"/>
      <c r="AF1410" s="197"/>
      <c r="AG1410" s="197"/>
      <c r="AH1410" s="197"/>
      <c r="AI1410" s="197"/>
      <c r="AJ1410" s="197"/>
      <c r="AK1410" s="197"/>
      <c r="AL1410" s="197"/>
    </row>
    <row r="1411" spans="1:38">
      <c r="A1411" s="11" t="str">
        <f t="shared" ref="A1411:A1474" si="87">B1411&amp;D1411</f>
        <v>15-754271982012</v>
      </c>
      <c r="B1411" t="s">
        <v>786</v>
      </c>
      <c r="C1411" t="s">
        <v>787</v>
      </c>
      <c r="D1411">
        <v>2012</v>
      </c>
      <c r="E1411" t="s">
        <v>104</v>
      </c>
      <c r="F1411">
        <v>377280.99</v>
      </c>
      <c r="G1411">
        <v>456</v>
      </c>
      <c r="H1411" s="11" t="str">
        <f t="shared" si="86"/>
        <v>count</v>
      </c>
      <c r="I1411" s="197"/>
      <c r="J1411" s="197"/>
      <c r="K1411" s="197"/>
      <c r="L1411" s="197"/>
      <c r="M1411" s="197"/>
      <c r="N1411" s="197"/>
      <c r="O1411" s="197"/>
      <c r="P1411" s="197"/>
      <c r="Q1411" s="197"/>
      <c r="R1411" s="197"/>
      <c r="S1411" s="197"/>
      <c r="T1411" s="197"/>
      <c r="U1411" s="197"/>
      <c r="V1411" s="197"/>
      <c r="W1411" s="197"/>
      <c r="X1411" s="197"/>
      <c r="Y1411" s="197"/>
      <c r="Z1411" s="197"/>
      <c r="AA1411" s="197"/>
      <c r="AB1411" s="197"/>
      <c r="AC1411" s="197"/>
      <c r="AD1411" s="197"/>
      <c r="AE1411" s="197"/>
      <c r="AF1411" s="197"/>
      <c r="AG1411" s="197"/>
      <c r="AH1411" s="197"/>
      <c r="AI1411" s="197"/>
      <c r="AJ1411" s="197"/>
      <c r="AK1411" s="197"/>
      <c r="AL1411" s="197"/>
    </row>
    <row r="1412" spans="1:38">
      <c r="A1412" s="11" t="str">
        <f t="shared" si="87"/>
        <v>15-754271982013</v>
      </c>
      <c r="B1412" t="s">
        <v>786</v>
      </c>
      <c r="C1412" t="s">
        <v>787</v>
      </c>
      <c r="D1412">
        <v>2013</v>
      </c>
      <c r="E1412" t="s">
        <v>133</v>
      </c>
      <c r="F1412">
        <v>124701.23</v>
      </c>
      <c r="G1412">
        <v>142</v>
      </c>
      <c r="H1412" s="11" t="str">
        <f t="shared" si="86"/>
        <v>count</v>
      </c>
      <c r="I1412" s="197"/>
      <c r="J1412" s="197"/>
      <c r="K1412" s="197"/>
      <c r="L1412" s="197"/>
      <c r="M1412" s="197"/>
      <c r="N1412" s="197"/>
      <c r="O1412" s="197"/>
      <c r="P1412" s="197"/>
      <c r="Q1412" s="197"/>
      <c r="R1412" s="197"/>
      <c r="S1412" s="197"/>
      <c r="T1412" s="197"/>
      <c r="U1412" s="197"/>
      <c r="V1412" s="197"/>
      <c r="W1412" s="197"/>
      <c r="X1412" s="197"/>
      <c r="Y1412" s="197"/>
      <c r="Z1412" s="197"/>
      <c r="AA1412" s="197"/>
      <c r="AB1412" s="197"/>
      <c r="AC1412" s="197"/>
      <c r="AD1412" s="197"/>
      <c r="AE1412" s="197"/>
      <c r="AF1412" s="197"/>
      <c r="AG1412" s="197"/>
      <c r="AH1412" s="197"/>
      <c r="AI1412" s="197"/>
      <c r="AJ1412" s="197"/>
      <c r="AK1412" s="197"/>
      <c r="AL1412" s="197"/>
    </row>
    <row r="1413" spans="1:38">
      <c r="A1413" s="11" t="str">
        <f t="shared" si="87"/>
        <v>15-754271982012</v>
      </c>
      <c r="B1413" t="s">
        <v>786</v>
      </c>
      <c r="C1413" t="s">
        <v>787</v>
      </c>
      <c r="D1413">
        <v>2012</v>
      </c>
      <c r="E1413" t="s">
        <v>63</v>
      </c>
      <c r="F1413">
        <v>505586.96</v>
      </c>
      <c r="G1413">
        <v>657</v>
      </c>
      <c r="H1413" s="11" t="str">
        <f t="shared" si="86"/>
        <v>count</v>
      </c>
      <c r="I1413" s="197"/>
      <c r="J1413" s="197"/>
      <c r="K1413" s="197"/>
      <c r="L1413" s="197"/>
      <c r="M1413" s="197"/>
      <c r="N1413" s="197"/>
      <c r="O1413" s="197"/>
      <c r="P1413" s="197"/>
      <c r="Q1413" s="197"/>
      <c r="R1413" s="197"/>
      <c r="S1413" s="197"/>
      <c r="T1413" s="197"/>
      <c r="U1413" s="197"/>
      <c r="V1413" s="197"/>
      <c r="W1413" s="197"/>
      <c r="X1413" s="197"/>
      <c r="Y1413" s="197"/>
      <c r="Z1413" s="197"/>
      <c r="AA1413" s="197"/>
      <c r="AB1413" s="197"/>
      <c r="AC1413" s="197"/>
      <c r="AD1413" s="197"/>
      <c r="AE1413" s="197"/>
      <c r="AF1413" s="197"/>
      <c r="AG1413" s="197"/>
      <c r="AH1413" s="197"/>
      <c r="AI1413" s="197"/>
      <c r="AJ1413" s="197"/>
      <c r="AK1413" s="197"/>
      <c r="AL1413" s="197"/>
    </row>
    <row r="1414" spans="1:38">
      <c r="A1414" s="11" t="str">
        <f t="shared" si="87"/>
        <v>15-754271982011</v>
      </c>
      <c r="B1414" t="s">
        <v>786</v>
      </c>
      <c r="C1414" t="s">
        <v>787</v>
      </c>
      <c r="D1414">
        <v>2011</v>
      </c>
      <c r="E1414" t="s">
        <v>1075</v>
      </c>
      <c r="F1414">
        <v>37606.449999999997</v>
      </c>
      <c r="G1414">
        <v>79</v>
      </c>
      <c r="H1414" s="11" t="str">
        <f t="shared" si="86"/>
        <v>count</v>
      </c>
      <c r="I1414" s="197"/>
      <c r="J1414" s="197"/>
      <c r="K1414" s="197"/>
      <c r="L1414" s="197"/>
      <c r="M1414" s="197"/>
      <c r="N1414" s="197"/>
      <c r="O1414" s="197"/>
      <c r="P1414" s="197"/>
      <c r="Q1414" s="197"/>
      <c r="R1414" s="197"/>
      <c r="S1414" s="197"/>
      <c r="T1414" s="197"/>
      <c r="U1414" s="197"/>
      <c r="V1414" s="197"/>
      <c r="W1414" s="197"/>
      <c r="X1414" s="197"/>
      <c r="Y1414" s="197"/>
      <c r="Z1414" s="197"/>
      <c r="AA1414" s="197"/>
      <c r="AB1414" s="197"/>
      <c r="AC1414" s="197"/>
      <c r="AD1414" s="197"/>
      <c r="AE1414" s="197"/>
      <c r="AF1414" s="197"/>
      <c r="AG1414" s="197"/>
      <c r="AH1414" s="197"/>
      <c r="AI1414" s="197"/>
      <c r="AJ1414" s="197"/>
      <c r="AK1414" s="197"/>
      <c r="AL1414" s="197"/>
    </row>
    <row r="1415" spans="1:38">
      <c r="A1415" s="11" t="str">
        <f t="shared" si="87"/>
        <v>15-754271982011</v>
      </c>
      <c r="B1415" t="s">
        <v>786</v>
      </c>
      <c r="C1415" t="s">
        <v>787</v>
      </c>
      <c r="D1415">
        <v>2011</v>
      </c>
      <c r="E1415" t="s">
        <v>1074</v>
      </c>
      <c r="F1415">
        <v>26099.32</v>
      </c>
      <c r="G1415">
        <v>62</v>
      </c>
      <c r="H1415" s="11" t="str">
        <f t="shared" si="86"/>
        <v>count</v>
      </c>
      <c r="I1415" s="197"/>
      <c r="J1415" s="197"/>
      <c r="K1415" s="197"/>
      <c r="L1415" s="197"/>
      <c r="M1415" s="197"/>
      <c r="N1415" s="197"/>
      <c r="O1415" s="197"/>
      <c r="P1415" s="197"/>
      <c r="Q1415" s="197"/>
      <c r="R1415" s="197"/>
      <c r="S1415" s="197"/>
      <c r="T1415" s="197"/>
      <c r="U1415" s="197"/>
      <c r="V1415" s="197"/>
      <c r="W1415" s="197"/>
      <c r="X1415" s="197"/>
      <c r="Y1415" s="197"/>
      <c r="Z1415" s="197"/>
      <c r="AA1415" s="197"/>
      <c r="AB1415" s="197"/>
      <c r="AC1415" s="197"/>
      <c r="AD1415" s="197"/>
      <c r="AE1415" s="197"/>
      <c r="AF1415" s="197"/>
      <c r="AG1415" s="197"/>
      <c r="AH1415" s="197"/>
      <c r="AI1415" s="197"/>
      <c r="AJ1415" s="197"/>
      <c r="AK1415" s="197"/>
      <c r="AL1415" s="197"/>
    </row>
    <row r="1416" spans="1:38">
      <c r="A1416" s="11" t="str">
        <f t="shared" si="87"/>
        <v>15-754271982013</v>
      </c>
      <c r="B1416" t="s">
        <v>786</v>
      </c>
      <c r="C1416" t="s">
        <v>787</v>
      </c>
      <c r="D1416">
        <v>2013</v>
      </c>
      <c r="E1416" t="s">
        <v>105</v>
      </c>
      <c r="F1416">
        <v>58239.48</v>
      </c>
      <c r="G1416">
        <v>76</v>
      </c>
      <c r="H1416" s="11" t="str">
        <f t="shared" si="86"/>
        <v>count</v>
      </c>
      <c r="I1416" s="197"/>
      <c r="J1416" s="197"/>
      <c r="K1416" s="197"/>
      <c r="L1416" s="197"/>
      <c r="M1416" s="197"/>
      <c r="N1416" s="197"/>
      <c r="O1416" s="197"/>
      <c r="P1416" s="197"/>
      <c r="Q1416" s="197"/>
      <c r="R1416" s="197"/>
      <c r="S1416" s="197"/>
      <c r="T1416" s="197"/>
      <c r="U1416" s="197"/>
      <c r="V1416" s="197"/>
      <c r="W1416" s="197"/>
      <c r="X1416" s="197"/>
      <c r="Y1416" s="197"/>
      <c r="Z1416" s="197"/>
      <c r="AA1416" s="197"/>
      <c r="AB1416" s="197"/>
      <c r="AC1416" s="197"/>
      <c r="AD1416" s="197"/>
      <c r="AE1416" s="197"/>
      <c r="AF1416" s="197"/>
      <c r="AG1416" s="197"/>
      <c r="AH1416" s="197"/>
      <c r="AI1416" s="197"/>
      <c r="AJ1416" s="197"/>
      <c r="AK1416" s="197"/>
      <c r="AL1416" s="197"/>
    </row>
    <row r="1417" spans="1:38">
      <c r="A1417" s="11" t="str">
        <f t="shared" si="87"/>
        <v>15-754271982011</v>
      </c>
      <c r="B1417" t="s">
        <v>786</v>
      </c>
      <c r="C1417" t="s">
        <v>787</v>
      </c>
      <c r="D1417">
        <v>2011</v>
      </c>
      <c r="E1417" t="s">
        <v>69</v>
      </c>
      <c r="F1417">
        <v>200</v>
      </c>
      <c r="G1417">
        <v>1</v>
      </c>
      <c r="H1417" s="11" t="str">
        <f t="shared" si="86"/>
        <v>count</v>
      </c>
      <c r="I1417" s="197"/>
      <c r="J1417" s="197"/>
      <c r="K1417" s="197"/>
      <c r="L1417" s="197"/>
      <c r="M1417" s="197"/>
      <c r="N1417" s="197"/>
      <c r="O1417" s="197"/>
      <c r="P1417" s="197"/>
      <c r="Q1417" s="197"/>
      <c r="R1417" s="197"/>
      <c r="S1417" s="197"/>
      <c r="T1417" s="197"/>
      <c r="U1417" s="197"/>
      <c r="V1417" s="197"/>
      <c r="W1417" s="197"/>
      <c r="X1417" s="197"/>
      <c r="Y1417" s="197"/>
      <c r="Z1417" s="197"/>
      <c r="AA1417" s="197"/>
      <c r="AB1417" s="197"/>
      <c r="AC1417" s="197"/>
      <c r="AD1417" s="197"/>
      <c r="AE1417" s="197"/>
      <c r="AF1417" s="197"/>
      <c r="AG1417" s="197"/>
      <c r="AH1417" s="197"/>
      <c r="AI1417" s="197"/>
      <c r="AJ1417" s="197"/>
      <c r="AK1417" s="197"/>
      <c r="AL1417" s="197"/>
    </row>
    <row r="1418" spans="1:38">
      <c r="A1418" s="11" t="str">
        <f t="shared" si="87"/>
        <v>15-754271982011</v>
      </c>
      <c r="B1418" t="s">
        <v>786</v>
      </c>
      <c r="C1418" t="s">
        <v>787</v>
      </c>
      <c r="D1418">
        <v>2011</v>
      </c>
      <c r="E1418" t="s">
        <v>63</v>
      </c>
      <c r="F1418">
        <v>635942.43000000005</v>
      </c>
      <c r="G1418">
        <v>928</v>
      </c>
      <c r="H1418" s="11" t="str">
        <f t="shared" si="86"/>
        <v>count</v>
      </c>
      <c r="I1418" s="197"/>
      <c r="J1418" s="197"/>
      <c r="K1418" s="197"/>
      <c r="L1418" s="197"/>
      <c r="M1418" s="197"/>
      <c r="N1418" s="197"/>
      <c r="O1418" s="197"/>
      <c r="P1418" s="197"/>
      <c r="Q1418" s="197"/>
      <c r="R1418" s="197"/>
      <c r="S1418" s="197"/>
      <c r="T1418" s="197"/>
      <c r="U1418" s="197"/>
      <c r="V1418" s="197"/>
      <c r="W1418" s="197"/>
      <c r="X1418" s="197"/>
      <c r="Y1418" s="197"/>
      <c r="Z1418" s="197"/>
      <c r="AA1418" s="197"/>
      <c r="AB1418" s="197"/>
      <c r="AC1418" s="197"/>
      <c r="AD1418" s="197"/>
      <c r="AE1418" s="197"/>
      <c r="AF1418" s="197"/>
      <c r="AG1418" s="197"/>
      <c r="AH1418" s="197"/>
      <c r="AI1418" s="197"/>
      <c r="AJ1418" s="197"/>
      <c r="AK1418" s="197"/>
      <c r="AL1418" s="197"/>
    </row>
    <row r="1419" spans="1:38">
      <c r="A1419" s="11" t="str">
        <f t="shared" si="87"/>
        <v>15-754271982012</v>
      </c>
      <c r="B1419" t="s">
        <v>786</v>
      </c>
      <c r="C1419" t="s">
        <v>787</v>
      </c>
      <c r="D1419">
        <v>2012</v>
      </c>
      <c r="E1419" t="s">
        <v>105</v>
      </c>
      <c r="F1419">
        <v>64313.41</v>
      </c>
      <c r="G1419">
        <v>79</v>
      </c>
      <c r="H1419" s="11" t="str">
        <f t="shared" si="86"/>
        <v>count</v>
      </c>
      <c r="I1419" s="197"/>
      <c r="J1419" s="197"/>
      <c r="K1419" s="197"/>
      <c r="L1419" s="197"/>
      <c r="M1419" s="197"/>
      <c r="N1419" s="197"/>
      <c r="O1419" s="197"/>
      <c r="P1419" s="197"/>
      <c r="Q1419" s="197"/>
      <c r="R1419" s="197"/>
      <c r="S1419" s="197"/>
      <c r="T1419" s="197"/>
      <c r="U1419" s="197"/>
      <c r="V1419" s="197"/>
      <c r="W1419" s="197"/>
      <c r="X1419" s="197"/>
      <c r="Y1419" s="197"/>
      <c r="Z1419" s="197"/>
      <c r="AA1419" s="197"/>
      <c r="AB1419" s="197"/>
      <c r="AC1419" s="197"/>
      <c r="AD1419" s="197"/>
      <c r="AE1419" s="197"/>
      <c r="AF1419" s="197"/>
      <c r="AG1419" s="197"/>
      <c r="AH1419" s="197"/>
      <c r="AI1419" s="197"/>
      <c r="AJ1419" s="197"/>
      <c r="AK1419" s="197"/>
      <c r="AL1419" s="197"/>
    </row>
    <row r="1420" spans="1:38">
      <c r="A1420" s="11" t="str">
        <f t="shared" si="87"/>
        <v>15-754271982012</v>
      </c>
      <c r="B1420" t="s">
        <v>786</v>
      </c>
      <c r="C1420" t="s">
        <v>787</v>
      </c>
      <c r="D1420">
        <v>2012</v>
      </c>
      <c r="E1420" t="s">
        <v>1075</v>
      </c>
      <c r="F1420">
        <v>42536.160000000003</v>
      </c>
      <c r="G1420">
        <v>77</v>
      </c>
      <c r="H1420" s="11" t="str">
        <f t="shared" si="86"/>
        <v>count</v>
      </c>
      <c r="I1420" s="197"/>
      <c r="J1420" s="197"/>
      <c r="K1420" s="197"/>
      <c r="L1420" s="197"/>
      <c r="M1420" s="197"/>
      <c r="N1420" s="197"/>
      <c r="O1420" s="197"/>
      <c r="P1420" s="197"/>
      <c r="Q1420" s="197"/>
      <c r="R1420" s="197"/>
      <c r="S1420" s="197"/>
      <c r="T1420" s="197"/>
      <c r="U1420" s="197"/>
      <c r="V1420" s="197"/>
      <c r="W1420" s="197"/>
      <c r="X1420" s="197"/>
      <c r="Y1420" s="197"/>
      <c r="Z1420" s="197"/>
      <c r="AA1420" s="197"/>
      <c r="AB1420" s="197"/>
      <c r="AC1420" s="197"/>
      <c r="AD1420" s="197"/>
      <c r="AE1420" s="197"/>
      <c r="AF1420" s="197"/>
      <c r="AG1420" s="197"/>
      <c r="AH1420" s="197"/>
      <c r="AI1420" s="197"/>
      <c r="AJ1420" s="197"/>
      <c r="AK1420" s="197"/>
      <c r="AL1420" s="197"/>
    </row>
    <row r="1421" spans="1:38">
      <c r="A1421" s="11" t="str">
        <f t="shared" si="87"/>
        <v>15-754271982011</v>
      </c>
      <c r="B1421" t="s">
        <v>786</v>
      </c>
      <c r="C1421" t="s">
        <v>787</v>
      </c>
      <c r="D1421">
        <v>2011</v>
      </c>
      <c r="E1421" t="s">
        <v>133</v>
      </c>
      <c r="F1421">
        <v>171965</v>
      </c>
      <c r="G1421">
        <v>181</v>
      </c>
      <c r="H1421" s="11" t="str">
        <f t="shared" si="86"/>
        <v>count</v>
      </c>
      <c r="I1421" s="197"/>
      <c r="J1421" s="197"/>
      <c r="K1421" s="197"/>
      <c r="L1421" s="197"/>
      <c r="M1421" s="197"/>
      <c r="N1421" s="197"/>
      <c r="O1421" s="197"/>
      <c r="P1421" s="197"/>
      <c r="Q1421" s="197"/>
      <c r="R1421" s="197"/>
      <c r="S1421" s="197"/>
      <c r="T1421" s="197"/>
      <c r="U1421" s="197"/>
      <c r="V1421" s="197"/>
      <c r="W1421" s="197"/>
      <c r="X1421" s="197"/>
      <c r="Y1421" s="197"/>
      <c r="Z1421" s="197"/>
      <c r="AA1421" s="197"/>
      <c r="AB1421" s="197"/>
      <c r="AC1421" s="197"/>
      <c r="AD1421" s="197"/>
      <c r="AE1421" s="197"/>
      <c r="AF1421" s="197"/>
      <c r="AG1421" s="197"/>
      <c r="AH1421" s="197"/>
      <c r="AI1421" s="197"/>
      <c r="AJ1421" s="197"/>
      <c r="AK1421" s="197"/>
      <c r="AL1421" s="197"/>
    </row>
    <row r="1422" spans="1:38">
      <c r="A1422" s="11" t="str">
        <f t="shared" si="87"/>
        <v>15-754271982013</v>
      </c>
      <c r="B1422" t="s">
        <v>786</v>
      </c>
      <c r="C1422" t="s">
        <v>787</v>
      </c>
      <c r="D1422">
        <v>2013</v>
      </c>
      <c r="E1422" t="s">
        <v>106</v>
      </c>
      <c r="F1422">
        <v>6025.05</v>
      </c>
      <c r="G1422">
        <v>8</v>
      </c>
      <c r="H1422" s="11" t="str">
        <f t="shared" si="86"/>
        <v>count</v>
      </c>
      <c r="I1422" s="197"/>
      <c r="J1422" s="197"/>
      <c r="K1422" s="197"/>
      <c r="L1422" s="197"/>
      <c r="M1422" s="197"/>
      <c r="N1422" s="197"/>
      <c r="O1422" s="197"/>
      <c r="P1422" s="197"/>
      <c r="Q1422" s="197"/>
      <c r="R1422" s="197"/>
      <c r="S1422" s="197"/>
      <c r="T1422" s="197"/>
      <c r="U1422" s="197"/>
      <c r="V1422" s="197"/>
      <c r="W1422" s="197"/>
      <c r="X1422" s="197"/>
      <c r="Y1422" s="197"/>
      <c r="Z1422" s="197"/>
      <c r="AA1422" s="197"/>
      <c r="AB1422" s="197"/>
      <c r="AC1422" s="197"/>
      <c r="AD1422" s="197"/>
      <c r="AE1422" s="197"/>
      <c r="AF1422" s="197"/>
      <c r="AG1422" s="197"/>
      <c r="AH1422" s="197"/>
      <c r="AI1422" s="197"/>
      <c r="AJ1422" s="197"/>
      <c r="AK1422" s="197"/>
      <c r="AL1422" s="197"/>
    </row>
    <row r="1423" spans="1:38">
      <c r="A1423" s="11" t="str">
        <f t="shared" si="87"/>
        <v>15-754271982011</v>
      </c>
      <c r="B1423" t="s">
        <v>786</v>
      </c>
      <c r="C1423" t="s">
        <v>787</v>
      </c>
      <c r="D1423">
        <v>2011</v>
      </c>
      <c r="E1423" t="s">
        <v>104</v>
      </c>
      <c r="F1423">
        <v>328131.02</v>
      </c>
      <c r="G1423">
        <v>478</v>
      </c>
      <c r="H1423" s="11" t="str">
        <f t="shared" si="86"/>
        <v>count</v>
      </c>
      <c r="I1423" s="197"/>
      <c r="J1423" s="197"/>
      <c r="K1423" s="197"/>
      <c r="L1423" s="197"/>
      <c r="M1423" s="197"/>
      <c r="N1423" s="197"/>
      <c r="O1423" s="197"/>
      <c r="P1423" s="197"/>
      <c r="Q1423" s="197"/>
      <c r="R1423" s="197"/>
      <c r="S1423" s="197"/>
      <c r="T1423" s="197"/>
      <c r="U1423" s="197"/>
      <c r="V1423" s="197"/>
      <c r="W1423" s="197"/>
      <c r="X1423" s="197"/>
      <c r="Y1423" s="197"/>
      <c r="Z1423" s="197"/>
      <c r="AA1423" s="197"/>
      <c r="AB1423" s="197"/>
      <c r="AC1423" s="197"/>
      <c r="AD1423" s="197"/>
      <c r="AE1423" s="197"/>
      <c r="AF1423" s="197"/>
      <c r="AG1423" s="197"/>
      <c r="AH1423" s="197"/>
      <c r="AI1423" s="197"/>
      <c r="AJ1423" s="197"/>
      <c r="AK1423" s="197"/>
      <c r="AL1423" s="197"/>
    </row>
    <row r="1424" spans="1:38">
      <c r="A1424" s="11" t="str">
        <f t="shared" si="87"/>
        <v>15-754271982012</v>
      </c>
      <c r="B1424" t="s">
        <v>786</v>
      </c>
      <c r="C1424" t="s">
        <v>787</v>
      </c>
      <c r="D1424">
        <v>2012</v>
      </c>
      <c r="E1424" t="s">
        <v>1076</v>
      </c>
      <c r="F1424">
        <v>16655.78</v>
      </c>
      <c r="G1424">
        <v>36</v>
      </c>
      <c r="H1424" s="11" t="str">
        <f t="shared" si="86"/>
        <v>count</v>
      </c>
      <c r="I1424" s="197"/>
      <c r="J1424" s="197"/>
      <c r="K1424" s="197"/>
      <c r="L1424" s="197"/>
      <c r="M1424" s="197"/>
      <c r="N1424" s="197"/>
      <c r="O1424" s="197"/>
      <c r="P1424" s="197"/>
      <c r="Q1424" s="197"/>
      <c r="R1424" s="197"/>
      <c r="S1424" s="197"/>
      <c r="T1424" s="197"/>
      <c r="U1424" s="197"/>
      <c r="V1424" s="197"/>
      <c r="W1424" s="197"/>
      <c r="X1424" s="197"/>
      <c r="Y1424" s="197"/>
      <c r="Z1424" s="197"/>
      <c r="AA1424" s="197"/>
      <c r="AB1424" s="197"/>
      <c r="AC1424" s="197"/>
      <c r="AD1424" s="197"/>
      <c r="AE1424" s="197"/>
      <c r="AF1424" s="197"/>
      <c r="AG1424" s="197"/>
      <c r="AH1424" s="197"/>
      <c r="AI1424" s="197"/>
      <c r="AJ1424" s="197"/>
      <c r="AK1424" s="197"/>
      <c r="AL1424" s="197"/>
    </row>
    <row r="1425" spans="1:38">
      <c r="A1425" s="11" t="str">
        <f t="shared" si="87"/>
        <v>15-754271982012</v>
      </c>
      <c r="B1425" t="s">
        <v>786</v>
      </c>
      <c r="C1425" t="s">
        <v>787</v>
      </c>
      <c r="D1425">
        <v>2012</v>
      </c>
      <c r="E1425" t="s">
        <v>69</v>
      </c>
      <c r="F1425">
        <v>262596.88</v>
      </c>
      <c r="G1425">
        <v>419</v>
      </c>
      <c r="H1425" s="11" t="str">
        <f t="shared" si="86"/>
        <v>count</v>
      </c>
      <c r="I1425" s="197"/>
      <c r="J1425" s="197"/>
      <c r="K1425" s="197"/>
      <c r="L1425" s="197"/>
      <c r="M1425" s="197"/>
      <c r="N1425" s="197"/>
      <c r="O1425" s="197"/>
      <c r="P1425" s="197"/>
      <c r="Q1425" s="197"/>
      <c r="R1425" s="197"/>
      <c r="S1425" s="197"/>
      <c r="T1425" s="197"/>
      <c r="U1425" s="197"/>
      <c r="V1425" s="197"/>
      <c r="W1425" s="197"/>
      <c r="X1425" s="197"/>
      <c r="Y1425" s="197"/>
      <c r="Z1425" s="197"/>
      <c r="AA1425" s="197"/>
      <c r="AB1425" s="197"/>
      <c r="AC1425" s="197"/>
      <c r="AD1425" s="197"/>
      <c r="AE1425" s="197"/>
      <c r="AF1425" s="197"/>
      <c r="AG1425" s="197"/>
      <c r="AH1425" s="197"/>
      <c r="AI1425" s="197"/>
      <c r="AJ1425" s="197"/>
      <c r="AK1425" s="197"/>
      <c r="AL1425" s="197"/>
    </row>
    <row r="1426" spans="1:38">
      <c r="A1426" s="11" t="str">
        <f t="shared" si="87"/>
        <v>15-754271982013</v>
      </c>
      <c r="B1426" t="s">
        <v>786</v>
      </c>
      <c r="C1426" t="s">
        <v>787</v>
      </c>
      <c r="D1426">
        <v>2013</v>
      </c>
      <c r="E1426" t="s">
        <v>104</v>
      </c>
      <c r="F1426">
        <v>299824.98</v>
      </c>
      <c r="G1426">
        <v>364</v>
      </c>
      <c r="H1426" s="11" t="str">
        <f t="shared" si="86"/>
        <v>count</v>
      </c>
      <c r="I1426" s="197"/>
      <c r="J1426" s="197"/>
      <c r="K1426" s="197"/>
      <c r="L1426" s="197"/>
      <c r="M1426" s="197"/>
      <c r="N1426" s="197"/>
      <c r="O1426" s="197"/>
      <c r="P1426" s="197"/>
      <c r="Q1426" s="197"/>
      <c r="R1426" s="197"/>
      <c r="S1426" s="197"/>
      <c r="T1426" s="197"/>
      <c r="U1426" s="197"/>
      <c r="V1426" s="197"/>
      <c r="W1426" s="197"/>
      <c r="X1426" s="197"/>
      <c r="Y1426" s="197"/>
      <c r="Z1426" s="197"/>
      <c r="AA1426" s="197"/>
      <c r="AB1426" s="197"/>
      <c r="AC1426" s="197"/>
      <c r="AD1426" s="197"/>
      <c r="AE1426" s="197"/>
      <c r="AF1426" s="197"/>
      <c r="AG1426" s="197"/>
      <c r="AH1426" s="197"/>
      <c r="AI1426" s="197"/>
      <c r="AJ1426" s="197"/>
      <c r="AK1426" s="197"/>
      <c r="AL1426" s="197"/>
    </row>
    <row r="1427" spans="1:38">
      <c r="A1427" s="11" t="str">
        <f t="shared" si="87"/>
        <v>15-754271982013</v>
      </c>
      <c r="B1427" t="s">
        <v>786</v>
      </c>
      <c r="C1427" t="s">
        <v>787</v>
      </c>
      <c r="D1427">
        <v>2013</v>
      </c>
      <c r="E1427" t="s">
        <v>63</v>
      </c>
      <c r="F1427">
        <v>402777.69</v>
      </c>
      <c r="G1427">
        <v>561</v>
      </c>
      <c r="H1427" s="11" t="str">
        <f t="shared" si="86"/>
        <v>count</v>
      </c>
      <c r="I1427" s="197"/>
      <c r="J1427" s="197"/>
      <c r="K1427" s="197"/>
      <c r="L1427" s="197"/>
      <c r="M1427" s="197"/>
      <c r="N1427" s="197"/>
      <c r="O1427" s="197"/>
      <c r="P1427" s="197"/>
      <c r="Q1427" s="197"/>
      <c r="R1427" s="197"/>
      <c r="S1427" s="197"/>
      <c r="T1427" s="197"/>
      <c r="U1427" s="197"/>
      <c r="V1427" s="197"/>
      <c r="W1427" s="197"/>
      <c r="X1427" s="197"/>
      <c r="Y1427" s="197"/>
      <c r="Z1427" s="197"/>
      <c r="AA1427" s="197"/>
      <c r="AB1427" s="197"/>
      <c r="AC1427" s="197"/>
      <c r="AD1427" s="197"/>
      <c r="AE1427" s="197"/>
      <c r="AF1427" s="197"/>
      <c r="AG1427" s="197"/>
      <c r="AH1427" s="197"/>
      <c r="AI1427" s="197"/>
      <c r="AJ1427" s="197"/>
      <c r="AK1427" s="197"/>
      <c r="AL1427" s="197"/>
    </row>
    <row r="1428" spans="1:38">
      <c r="A1428" s="11" t="str">
        <f t="shared" si="87"/>
        <v>15-754271982011</v>
      </c>
      <c r="B1428" t="s">
        <v>786</v>
      </c>
      <c r="C1428" t="s">
        <v>787</v>
      </c>
      <c r="D1428">
        <v>2011</v>
      </c>
      <c r="E1428" t="s">
        <v>106</v>
      </c>
      <c r="F1428">
        <v>40649.9</v>
      </c>
      <c r="G1428">
        <v>45</v>
      </c>
      <c r="H1428" s="11" t="str">
        <f t="shared" si="86"/>
        <v>count</v>
      </c>
      <c r="I1428" s="197"/>
      <c r="J1428" s="197"/>
      <c r="K1428" s="197"/>
      <c r="L1428" s="197"/>
      <c r="M1428" s="197"/>
      <c r="N1428" s="197"/>
      <c r="O1428" s="197"/>
      <c r="P1428" s="197"/>
      <c r="Q1428" s="197"/>
      <c r="R1428" s="197"/>
      <c r="S1428" s="197"/>
      <c r="T1428" s="197"/>
      <c r="U1428" s="197"/>
      <c r="V1428" s="197"/>
      <c r="W1428" s="197"/>
      <c r="X1428" s="197"/>
      <c r="Y1428" s="197"/>
      <c r="Z1428" s="197"/>
      <c r="AA1428" s="197"/>
      <c r="AB1428" s="197"/>
      <c r="AC1428" s="197"/>
      <c r="AD1428" s="197"/>
      <c r="AE1428" s="197"/>
      <c r="AF1428" s="197"/>
      <c r="AG1428" s="197"/>
      <c r="AH1428" s="197"/>
      <c r="AI1428" s="197"/>
      <c r="AJ1428" s="197"/>
      <c r="AK1428" s="197"/>
      <c r="AL1428" s="197"/>
    </row>
    <row r="1429" spans="1:38">
      <c r="A1429" s="11" t="str">
        <f t="shared" si="87"/>
        <v>15-754271982012</v>
      </c>
      <c r="B1429" t="s">
        <v>786</v>
      </c>
      <c r="C1429" t="s">
        <v>787</v>
      </c>
      <c r="D1429">
        <v>2012</v>
      </c>
      <c r="E1429" t="s">
        <v>133</v>
      </c>
      <c r="F1429">
        <v>154600.84</v>
      </c>
      <c r="G1429">
        <v>187</v>
      </c>
      <c r="H1429" s="11" t="str">
        <f t="shared" si="86"/>
        <v>count</v>
      </c>
      <c r="I1429" s="197"/>
      <c r="J1429" s="197"/>
      <c r="K1429" s="197"/>
      <c r="L1429" s="197"/>
      <c r="M1429" s="197"/>
      <c r="N1429" s="197"/>
      <c r="O1429" s="197"/>
      <c r="P1429" s="197"/>
      <c r="Q1429" s="197"/>
      <c r="R1429" s="197"/>
      <c r="S1429" s="197"/>
      <c r="T1429" s="197"/>
      <c r="U1429" s="197"/>
      <c r="V1429" s="197"/>
      <c r="W1429" s="197"/>
      <c r="X1429" s="197"/>
      <c r="Y1429" s="197"/>
      <c r="Z1429" s="197"/>
      <c r="AA1429" s="197"/>
      <c r="AB1429" s="197"/>
      <c r="AC1429" s="197"/>
      <c r="AD1429" s="197"/>
      <c r="AE1429" s="197"/>
      <c r="AF1429" s="197"/>
      <c r="AG1429" s="197"/>
      <c r="AH1429" s="197"/>
      <c r="AI1429" s="197"/>
      <c r="AJ1429" s="197"/>
      <c r="AK1429" s="197"/>
      <c r="AL1429" s="197"/>
    </row>
    <row r="1430" spans="1:38">
      <c r="A1430" s="11" t="str">
        <f t="shared" si="87"/>
        <v>15-754271982011</v>
      </c>
      <c r="B1430" t="s">
        <v>786</v>
      </c>
      <c r="C1430" t="s">
        <v>787</v>
      </c>
      <c r="D1430">
        <v>2011</v>
      </c>
      <c r="E1430" t="s">
        <v>1076</v>
      </c>
      <c r="F1430">
        <v>31080.240000000002</v>
      </c>
      <c r="G1430">
        <v>67</v>
      </c>
      <c r="H1430" s="11" t="str">
        <f t="shared" si="86"/>
        <v>count</v>
      </c>
      <c r="I1430" s="197"/>
      <c r="J1430" s="197"/>
      <c r="K1430" s="197"/>
      <c r="L1430" s="197"/>
      <c r="M1430" s="197"/>
      <c r="N1430" s="197"/>
      <c r="O1430" s="197"/>
      <c r="P1430" s="197"/>
      <c r="Q1430" s="197"/>
      <c r="R1430" s="197"/>
      <c r="S1430" s="197"/>
      <c r="T1430" s="197"/>
      <c r="U1430" s="197"/>
      <c r="V1430" s="197"/>
      <c r="W1430" s="197"/>
      <c r="X1430" s="197"/>
      <c r="Y1430" s="197"/>
      <c r="Z1430" s="197"/>
      <c r="AA1430" s="197"/>
      <c r="AB1430" s="197"/>
      <c r="AC1430" s="197"/>
      <c r="AD1430" s="197"/>
      <c r="AE1430" s="197"/>
      <c r="AF1430" s="197"/>
      <c r="AG1430" s="197"/>
      <c r="AH1430" s="197"/>
      <c r="AI1430" s="197"/>
      <c r="AJ1430" s="197"/>
      <c r="AK1430" s="197"/>
      <c r="AL1430" s="197"/>
    </row>
    <row r="1431" spans="1:38">
      <c r="A1431" s="11" t="str">
        <f t="shared" si="87"/>
        <v>15-778188682011</v>
      </c>
      <c r="B1431" t="s">
        <v>796</v>
      </c>
      <c r="C1431" t="s">
        <v>797</v>
      </c>
      <c r="D1431">
        <v>2011</v>
      </c>
      <c r="E1431" t="s">
        <v>69</v>
      </c>
      <c r="F1431">
        <v>1327.64</v>
      </c>
      <c r="G1431">
        <v>2</v>
      </c>
      <c r="H1431" s="11" t="str">
        <f t="shared" si="86"/>
        <v>volume</v>
      </c>
      <c r="I1431" s="197"/>
      <c r="J1431" s="197"/>
      <c r="K1431" s="197"/>
      <c r="L1431" s="197"/>
      <c r="M1431" s="197"/>
      <c r="N1431" s="197"/>
      <c r="O1431" s="197"/>
      <c r="P1431" s="197"/>
      <c r="Q1431" s="197"/>
      <c r="R1431" s="197"/>
      <c r="S1431" s="197"/>
      <c r="T1431" s="197"/>
      <c r="U1431" s="197"/>
      <c r="V1431" s="197"/>
      <c r="W1431" s="197"/>
      <c r="X1431" s="197"/>
      <c r="Y1431" s="197"/>
      <c r="Z1431" s="197"/>
      <c r="AA1431" s="197"/>
      <c r="AB1431" s="197"/>
      <c r="AC1431" s="197"/>
      <c r="AD1431" s="197"/>
      <c r="AE1431" s="197"/>
      <c r="AF1431" s="197"/>
      <c r="AG1431" s="197"/>
      <c r="AH1431" s="197"/>
      <c r="AI1431" s="197"/>
      <c r="AJ1431" s="197"/>
      <c r="AK1431" s="197"/>
      <c r="AL1431" s="197"/>
    </row>
    <row r="1432" spans="1:38">
      <c r="A1432" s="11" t="str">
        <f t="shared" si="87"/>
        <v>15-778188682011</v>
      </c>
      <c r="B1432" t="s">
        <v>796</v>
      </c>
      <c r="C1432" t="s">
        <v>797</v>
      </c>
      <c r="D1432">
        <v>2011</v>
      </c>
      <c r="E1432" t="s">
        <v>63</v>
      </c>
      <c r="F1432">
        <v>821338.41</v>
      </c>
      <c r="G1432">
        <v>1101</v>
      </c>
      <c r="H1432" s="11" t="str">
        <f t="shared" si="86"/>
        <v>count</v>
      </c>
      <c r="I1432" s="197"/>
      <c r="J1432" s="197"/>
      <c r="K1432" s="197"/>
      <c r="L1432" s="197"/>
      <c r="M1432" s="197"/>
      <c r="N1432" s="197"/>
      <c r="O1432" s="197"/>
      <c r="P1432" s="197"/>
      <c r="Q1432" s="197"/>
      <c r="R1432" s="197"/>
      <c r="S1432" s="197"/>
      <c r="T1432" s="197"/>
      <c r="U1432" s="197"/>
      <c r="V1432" s="197"/>
      <c r="W1432" s="197"/>
      <c r="X1432" s="197"/>
      <c r="Y1432" s="197"/>
      <c r="Z1432" s="197"/>
      <c r="AA1432" s="197"/>
      <c r="AB1432" s="197"/>
      <c r="AC1432" s="197"/>
      <c r="AD1432" s="197"/>
      <c r="AE1432" s="197"/>
      <c r="AF1432" s="197"/>
      <c r="AG1432" s="197"/>
      <c r="AH1432" s="197"/>
      <c r="AI1432" s="197"/>
      <c r="AJ1432" s="197"/>
      <c r="AK1432" s="197"/>
      <c r="AL1432" s="197"/>
    </row>
    <row r="1433" spans="1:38">
      <c r="A1433" s="11" t="str">
        <f t="shared" si="87"/>
        <v>15-778188682011</v>
      </c>
      <c r="B1433" t="s">
        <v>796</v>
      </c>
      <c r="C1433" t="s">
        <v>797</v>
      </c>
      <c r="D1433">
        <v>2011</v>
      </c>
      <c r="E1433" t="s">
        <v>1074</v>
      </c>
      <c r="F1433">
        <v>14968.37</v>
      </c>
      <c r="G1433">
        <v>22</v>
      </c>
      <c r="H1433" s="11" t="str">
        <f t="shared" si="86"/>
        <v>count</v>
      </c>
      <c r="I1433" s="197"/>
      <c r="J1433" s="197"/>
      <c r="K1433" s="197"/>
      <c r="L1433" s="197"/>
      <c r="M1433" s="197"/>
      <c r="N1433" s="197"/>
      <c r="O1433" s="197"/>
      <c r="P1433" s="197"/>
      <c r="Q1433" s="197"/>
      <c r="R1433" s="197"/>
      <c r="S1433" s="197"/>
      <c r="T1433" s="197"/>
      <c r="U1433" s="197"/>
      <c r="V1433" s="197"/>
      <c r="W1433" s="197"/>
      <c r="X1433" s="197"/>
      <c r="Y1433" s="197"/>
      <c r="Z1433" s="197"/>
      <c r="AA1433" s="197"/>
      <c r="AB1433" s="197"/>
      <c r="AC1433" s="197"/>
      <c r="AD1433" s="197"/>
      <c r="AE1433" s="197"/>
      <c r="AF1433" s="197"/>
      <c r="AG1433" s="197"/>
      <c r="AH1433" s="197"/>
      <c r="AI1433" s="197"/>
      <c r="AJ1433" s="197"/>
      <c r="AK1433" s="197"/>
      <c r="AL1433" s="197"/>
    </row>
    <row r="1434" spans="1:38">
      <c r="A1434" s="11" t="str">
        <f t="shared" si="87"/>
        <v>15-778188682011</v>
      </c>
      <c r="B1434" t="s">
        <v>796</v>
      </c>
      <c r="C1434" t="s">
        <v>797</v>
      </c>
      <c r="D1434">
        <v>2011</v>
      </c>
      <c r="E1434" t="s">
        <v>133</v>
      </c>
      <c r="F1434">
        <v>268768.99</v>
      </c>
      <c r="G1434">
        <v>319</v>
      </c>
      <c r="H1434" s="11" t="str">
        <f t="shared" si="86"/>
        <v>count</v>
      </c>
      <c r="I1434" s="197"/>
      <c r="J1434" s="197"/>
      <c r="K1434" s="197"/>
      <c r="L1434" s="197"/>
      <c r="M1434" s="197"/>
      <c r="N1434" s="197"/>
      <c r="O1434" s="197"/>
      <c r="P1434" s="197"/>
      <c r="Q1434" s="197"/>
      <c r="R1434" s="197"/>
      <c r="S1434" s="197"/>
      <c r="T1434" s="197"/>
      <c r="U1434" s="197"/>
      <c r="V1434" s="197"/>
      <c r="W1434" s="197"/>
      <c r="X1434" s="197"/>
      <c r="Y1434" s="197"/>
      <c r="Z1434" s="197"/>
      <c r="AA1434" s="197"/>
      <c r="AB1434" s="197"/>
      <c r="AC1434" s="197"/>
      <c r="AD1434" s="197"/>
      <c r="AE1434" s="197"/>
      <c r="AF1434" s="197"/>
      <c r="AG1434" s="197"/>
      <c r="AH1434" s="197"/>
      <c r="AI1434" s="197"/>
      <c r="AJ1434" s="197"/>
      <c r="AK1434" s="197"/>
      <c r="AL1434" s="197"/>
    </row>
    <row r="1435" spans="1:38">
      <c r="A1435" s="11" t="str">
        <f t="shared" si="87"/>
        <v>15-778188682011</v>
      </c>
      <c r="B1435" t="s">
        <v>796</v>
      </c>
      <c r="C1435" t="s">
        <v>797</v>
      </c>
      <c r="D1435">
        <v>2011</v>
      </c>
      <c r="E1435" t="s">
        <v>104</v>
      </c>
      <c r="F1435">
        <v>488842.25</v>
      </c>
      <c r="G1435">
        <v>658</v>
      </c>
      <c r="H1435" s="11" t="str">
        <f t="shared" si="86"/>
        <v>count</v>
      </c>
      <c r="I1435" s="197"/>
      <c r="J1435" s="197"/>
      <c r="K1435" s="197"/>
      <c r="L1435" s="197"/>
      <c r="M1435" s="197"/>
      <c r="N1435" s="197"/>
      <c r="O1435" s="197"/>
      <c r="P1435" s="197"/>
      <c r="Q1435" s="197"/>
      <c r="R1435" s="197"/>
      <c r="S1435" s="197"/>
      <c r="T1435" s="197"/>
      <c r="U1435" s="197"/>
      <c r="V1435" s="197"/>
      <c r="W1435" s="197"/>
      <c r="X1435" s="197"/>
      <c r="Y1435" s="197"/>
      <c r="Z1435" s="197"/>
      <c r="AA1435" s="197"/>
      <c r="AB1435" s="197"/>
      <c r="AC1435" s="197"/>
      <c r="AD1435" s="197"/>
      <c r="AE1435" s="197"/>
      <c r="AF1435" s="197"/>
      <c r="AG1435" s="197"/>
      <c r="AH1435" s="197"/>
      <c r="AI1435" s="197"/>
      <c r="AJ1435" s="197"/>
      <c r="AK1435" s="197"/>
      <c r="AL1435" s="197"/>
    </row>
    <row r="1436" spans="1:38">
      <c r="A1436" s="11" t="str">
        <f t="shared" si="87"/>
        <v>15-778188682012</v>
      </c>
      <c r="B1436" t="s">
        <v>796</v>
      </c>
      <c r="C1436" t="s">
        <v>797</v>
      </c>
      <c r="D1436">
        <v>2012</v>
      </c>
      <c r="E1436" t="s">
        <v>105</v>
      </c>
      <c r="F1436">
        <v>139661.10999999999</v>
      </c>
      <c r="G1436">
        <v>168</v>
      </c>
      <c r="H1436" s="11" t="str">
        <f t="shared" si="86"/>
        <v>count</v>
      </c>
      <c r="I1436" s="197"/>
      <c r="J1436" s="197"/>
      <c r="K1436" s="197"/>
      <c r="L1436" s="197"/>
      <c r="M1436" s="197"/>
      <c r="N1436" s="197"/>
      <c r="O1436" s="197"/>
      <c r="P1436" s="197"/>
      <c r="Q1436" s="197"/>
      <c r="R1436" s="197"/>
      <c r="S1436" s="197"/>
      <c r="T1436" s="197"/>
      <c r="U1436" s="197"/>
      <c r="V1436" s="197"/>
      <c r="W1436" s="197"/>
      <c r="X1436" s="197"/>
      <c r="Y1436" s="197"/>
      <c r="Z1436" s="197"/>
      <c r="AA1436" s="197"/>
      <c r="AB1436" s="197"/>
      <c r="AC1436" s="197"/>
      <c r="AD1436" s="197"/>
      <c r="AE1436" s="197"/>
      <c r="AF1436" s="197"/>
      <c r="AG1436" s="197"/>
      <c r="AH1436" s="197"/>
      <c r="AI1436" s="197"/>
      <c r="AJ1436" s="197"/>
      <c r="AK1436" s="197"/>
      <c r="AL1436" s="197"/>
    </row>
    <row r="1437" spans="1:38">
      <c r="A1437" s="11" t="str">
        <f t="shared" si="87"/>
        <v>15-778188682012</v>
      </c>
      <c r="B1437" t="s">
        <v>796</v>
      </c>
      <c r="C1437" t="s">
        <v>797</v>
      </c>
      <c r="D1437">
        <v>2012</v>
      </c>
      <c r="E1437" t="s">
        <v>1076</v>
      </c>
      <c r="F1437">
        <v>3922.09</v>
      </c>
      <c r="G1437">
        <v>8</v>
      </c>
      <c r="H1437" s="11" t="str">
        <f t="shared" si="86"/>
        <v>count</v>
      </c>
      <c r="I1437" s="197"/>
      <c r="J1437" s="197"/>
      <c r="K1437" s="197"/>
      <c r="L1437" s="197"/>
      <c r="M1437" s="197"/>
      <c r="N1437" s="197"/>
      <c r="O1437" s="197"/>
      <c r="P1437" s="197"/>
      <c r="Q1437" s="197"/>
      <c r="R1437" s="197"/>
      <c r="S1437" s="197"/>
      <c r="T1437" s="197"/>
      <c r="U1437" s="197"/>
      <c r="V1437" s="197"/>
      <c r="W1437" s="197"/>
      <c r="X1437" s="197"/>
      <c r="Y1437" s="197"/>
      <c r="Z1437" s="197"/>
      <c r="AA1437" s="197"/>
      <c r="AB1437" s="197"/>
      <c r="AC1437" s="197"/>
      <c r="AD1437" s="197"/>
      <c r="AE1437" s="197"/>
      <c r="AF1437" s="197"/>
      <c r="AG1437" s="197"/>
      <c r="AH1437" s="197"/>
      <c r="AI1437" s="197"/>
      <c r="AJ1437" s="197"/>
      <c r="AK1437" s="197"/>
      <c r="AL1437" s="197"/>
    </row>
    <row r="1438" spans="1:38">
      <c r="A1438" s="11" t="str">
        <f t="shared" si="87"/>
        <v>15-778188682012</v>
      </c>
      <c r="B1438" t="s">
        <v>796</v>
      </c>
      <c r="C1438" t="s">
        <v>797</v>
      </c>
      <c r="D1438">
        <v>2012</v>
      </c>
      <c r="E1438" t="s">
        <v>1075</v>
      </c>
      <c r="F1438">
        <v>207282.26</v>
      </c>
      <c r="G1438">
        <v>346</v>
      </c>
      <c r="H1438" s="11" t="str">
        <f t="shared" si="86"/>
        <v>count</v>
      </c>
      <c r="I1438" s="197"/>
      <c r="J1438" s="197"/>
      <c r="K1438" s="197"/>
      <c r="L1438" s="197"/>
      <c r="M1438" s="197"/>
      <c r="N1438" s="197"/>
      <c r="O1438" s="197"/>
      <c r="P1438" s="197"/>
      <c r="Q1438" s="197"/>
      <c r="R1438" s="197"/>
      <c r="S1438" s="197"/>
      <c r="T1438" s="197"/>
      <c r="U1438" s="197"/>
      <c r="V1438" s="197"/>
      <c r="W1438" s="197"/>
      <c r="X1438" s="197"/>
      <c r="Y1438" s="197"/>
      <c r="Z1438" s="197"/>
      <c r="AA1438" s="197"/>
      <c r="AB1438" s="197"/>
      <c r="AC1438" s="197"/>
      <c r="AD1438" s="197"/>
      <c r="AE1438" s="197"/>
      <c r="AF1438" s="197"/>
      <c r="AG1438" s="197"/>
      <c r="AH1438" s="197"/>
      <c r="AI1438" s="197"/>
      <c r="AJ1438" s="197"/>
      <c r="AK1438" s="197"/>
      <c r="AL1438" s="197"/>
    </row>
    <row r="1439" spans="1:38">
      <c r="A1439" s="11" t="str">
        <f t="shared" si="87"/>
        <v>15-778188682013</v>
      </c>
      <c r="B1439" t="s">
        <v>796</v>
      </c>
      <c r="C1439" t="s">
        <v>797</v>
      </c>
      <c r="D1439">
        <v>2013</v>
      </c>
      <c r="E1439" t="s">
        <v>104</v>
      </c>
      <c r="F1439">
        <v>557680.75</v>
      </c>
      <c r="G1439">
        <v>768</v>
      </c>
      <c r="H1439" s="11" t="str">
        <f t="shared" si="86"/>
        <v>count</v>
      </c>
      <c r="I1439" s="197"/>
      <c r="J1439" s="197"/>
      <c r="K1439" s="197"/>
      <c r="L1439" s="197"/>
      <c r="M1439" s="197"/>
      <c r="N1439" s="197"/>
      <c r="O1439" s="197"/>
      <c r="P1439" s="197"/>
      <c r="Q1439" s="197"/>
      <c r="R1439" s="197"/>
      <c r="S1439" s="197"/>
      <c r="T1439" s="197"/>
      <c r="U1439" s="197"/>
      <c r="V1439" s="197"/>
      <c r="W1439" s="197"/>
      <c r="X1439" s="197"/>
      <c r="Y1439" s="197"/>
      <c r="Z1439" s="197"/>
      <c r="AA1439" s="197"/>
      <c r="AB1439" s="197"/>
      <c r="AC1439" s="197"/>
      <c r="AD1439" s="197"/>
      <c r="AE1439" s="197"/>
      <c r="AF1439" s="197"/>
      <c r="AG1439" s="197"/>
      <c r="AH1439" s="197"/>
      <c r="AI1439" s="197"/>
      <c r="AJ1439" s="197"/>
      <c r="AK1439" s="197"/>
      <c r="AL1439" s="197"/>
    </row>
    <row r="1440" spans="1:38">
      <c r="A1440" s="11" t="str">
        <f t="shared" si="87"/>
        <v>15-778188682012</v>
      </c>
      <c r="B1440" t="s">
        <v>796</v>
      </c>
      <c r="C1440" t="s">
        <v>797</v>
      </c>
      <c r="D1440">
        <v>2012</v>
      </c>
      <c r="E1440" t="s">
        <v>69</v>
      </c>
      <c r="F1440">
        <v>435822.09</v>
      </c>
      <c r="G1440">
        <v>650</v>
      </c>
      <c r="H1440" s="11" t="str">
        <f t="shared" si="86"/>
        <v>count</v>
      </c>
      <c r="I1440" s="197"/>
      <c r="J1440" s="197"/>
      <c r="K1440" s="197"/>
      <c r="L1440" s="197"/>
      <c r="M1440" s="197"/>
      <c r="N1440" s="197"/>
      <c r="O1440" s="197"/>
      <c r="P1440" s="197"/>
      <c r="Q1440" s="197"/>
      <c r="R1440" s="197"/>
      <c r="S1440" s="197"/>
      <c r="T1440" s="197"/>
      <c r="U1440" s="197"/>
      <c r="V1440" s="197"/>
      <c r="W1440" s="197"/>
      <c r="X1440" s="197"/>
      <c r="Y1440" s="197"/>
      <c r="Z1440" s="197"/>
      <c r="AA1440" s="197"/>
      <c r="AB1440" s="197"/>
      <c r="AC1440" s="197"/>
      <c r="AD1440" s="197"/>
      <c r="AE1440" s="197"/>
      <c r="AF1440" s="197"/>
      <c r="AG1440" s="197"/>
      <c r="AH1440" s="197"/>
      <c r="AI1440" s="197"/>
      <c r="AJ1440" s="197"/>
      <c r="AK1440" s="197"/>
      <c r="AL1440" s="197"/>
    </row>
    <row r="1441" spans="1:38">
      <c r="A1441" s="11" t="str">
        <f t="shared" si="87"/>
        <v>15-778188682011</v>
      </c>
      <c r="B1441" t="s">
        <v>796</v>
      </c>
      <c r="C1441" t="s">
        <v>797</v>
      </c>
      <c r="D1441">
        <v>2011</v>
      </c>
      <c r="E1441" t="s">
        <v>105</v>
      </c>
      <c r="F1441">
        <v>127702.78</v>
      </c>
      <c r="G1441">
        <v>159</v>
      </c>
      <c r="H1441" s="11" t="str">
        <f t="shared" si="86"/>
        <v>count</v>
      </c>
      <c r="I1441" s="197"/>
      <c r="J1441" s="197"/>
      <c r="K1441" s="197"/>
      <c r="L1441" s="197"/>
      <c r="M1441" s="197"/>
      <c r="N1441" s="197"/>
      <c r="O1441" s="197"/>
      <c r="P1441" s="197"/>
      <c r="Q1441" s="197"/>
      <c r="R1441" s="197"/>
      <c r="S1441" s="197"/>
      <c r="T1441" s="197"/>
      <c r="U1441" s="197"/>
      <c r="V1441" s="197"/>
      <c r="W1441" s="197"/>
      <c r="X1441" s="197"/>
      <c r="Y1441" s="197"/>
      <c r="Z1441" s="197"/>
      <c r="AA1441" s="197"/>
      <c r="AB1441" s="197"/>
      <c r="AC1441" s="197"/>
      <c r="AD1441" s="197"/>
      <c r="AE1441" s="197"/>
      <c r="AF1441" s="197"/>
      <c r="AG1441" s="197"/>
      <c r="AH1441" s="197"/>
      <c r="AI1441" s="197"/>
      <c r="AJ1441" s="197"/>
      <c r="AK1441" s="197"/>
      <c r="AL1441" s="197"/>
    </row>
    <row r="1442" spans="1:38">
      <c r="A1442" s="11" t="str">
        <f t="shared" si="87"/>
        <v>15-778188682011</v>
      </c>
      <c r="B1442" t="s">
        <v>796</v>
      </c>
      <c r="C1442" t="s">
        <v>797</v>
      </c>
      <c r="D1442">
        <v>2011</v>
      </c>
      <c r="E1442" t="s">
        <v>1076</v>
      </c>
      <c r="F1442">
        <v>825</v>
      </c>
      <c r="G1442">
        <v>1</v>
      </c>
      <c r="H1442" s="11" t="str">
        <f t="shared" si="86"/>
        <v>count</v>
      </c>
      <c r="I1442" s="197"/>
      <c r="J1442" s="197"/>
      <c r="K1442" s="197"/>
      <c r="L1442" s="197"/>
      <c r="M1442" s="197"/>
      <c r="N1442" s="197"/>
      <c r="O1442" s="197"/>
      <c r="P1442" s="197"/>
      <c r="Q1442" s="197"/>
      <c r="R1442" s="197"/>
      <c r="S1442" s="197"/>
      <c r="T1442" s="197"/>
      <c r="U1442" s="197"/>
      <c r="V1442" s="197"/>
      <c r="W1442" s="197"/>
      <c r="X1442" s="197"/>
      <c r="Y1442" s="197"/>
      <c r="Z1442" s="197"/>
      <c r="AA1442" s="197"/>
      <c r="AB1442" s="197"/>
      <c r="AC1442" s="197"/>
      <c r="AD1442" s="197"/>
      <c r="AE1442" s="197"/>
      <c r="AF1442" s="197"/>
      <c r="AG1442" s="197"/>
      <c r="AH1442" s="197"/>
      <c r="AI1442" s="197"/>
      <c r="AJ1442" s="197"/>
      <c r="AK1442" s="197"/>
      <c r="AL1442" s="197"/>
    </row>
    <row r="1443" spans="1:38">
      <c r="A1443" s="11" t="str">
        <f t="shared" si="87"/>
        <v>15-778188682013</v>
      </c>
      <c r="B1443" t="s">
        <v>796</v>
      </c>
      <c r="C1443" t="s">
        <v>797</v>
      </c>
      <c r="D1443">
        <v>2013</v>
      </c>
      <c r="E1443" t="s">
        <v>63</v>
      </c>
      <c r="F1443">
        <v>854665.04</v>
      </c>
      <c r="G1443">
        <v>1034</v>
      </c>
      <c r="H1443" s="11" t="str">
        <f t="shared" si="86"/>
        <v>count</v>
      </c>
      <c r="I1443" s="197"/>
      <c r="J1443" s="197"/>
      <c r="K1443" s="197"/>
      <c r="L1443" s="197"/>
      <c r="M1443" s="197"/>
      <c r="N1443" s="197"/>
      <c r="O1443" s="197"/>
      <c r="P1443" s="197"/>
      <c r="Q1443" s="197"/>
      <c r="R1443" s="197"/>
      <c r="S1443" s="197"/>
      <c r="T1443" s="197"/>
      <c r="U1443" s="197"/>
      <c r="V1443" s="197"/>
      <c r="W1443" s="197"/>
      <c r="X1443" s="197"/>
      <c r="Y1443" s="197"/>
      <c r="Z1443" s="197"/>
      <c r="AA1443" s="197"/>
      <c r="AB1443" s="197"/>
      <c r="AC1443" s="197"/>
      <c r="AD1443" s="197"/>
      <c r="AE1443" s="197"/>
      <c r="AF1443" s="197"/>
      <c r="AG1443" s="197"/>
      <c r="AH1443" s="197"/>
      <c r="AI1443" s="197"/>
      <c r="AJ1443" s="197"/>
      <c r="AK1443" s="197"/>
      <c r="AL1443" s="197"/>
    </row>
    <row r="1444" spans="1:38">
      <c r="A1444" s="11" t="str">
        <f t="shared" si="87"/>
        <v>15-778188682012</v>
      </c>
      <c r="B1444" t="s">
        <v>796</v>
      </c>
      <c r="C1444" t="s">
        <v>797</v>
      </c>
      <c r="D1444">
        <v>2012</v>
      </c>
      <c r="E1444" t="s">
        <v>133</v>
      </c>
      <c r="F1444">
        <v>336818.2</v>
      </c>
      <c r="G1444">
        <v>388</v>
      </c>
      <c r="H1444" s="11" t="str">
        <f t="shared" si="86"/>
        <v>count</v>
      </c>
      <c r="I1444" s="197"/>
      <c r="J1444" s="197"/>
      <c r="K1444" s="197"/>
      <c r="L1444" s="197"/>
      <c r="M1444" s="197"/>
      <c r="N1444" s="197"/>
      <c r="O1444" s="197"/>
      <c r="P1444" s="197"/>
      <c r="Q1444" s="197"/>
      <c r="R1444" s="197"/>
      <c r="S1444" s="197"/>
      <c r="T1444" s="197"/>
      <c r="U1444" s="197"/>
      <c r="V1444" s="197"/>
      <c r="W1444" s="197"/>
      <c r="X1444" s="197"/>
      <c r="Y1444" s="197"/>
      <c r="Z1444" s="197"/>
      <c r="AA1444" s="197"/>
      <c r="AB1444" s="197"/>
      <c r="AC1444" s="197"/>
      <c r="AD1444" s="197"/>
      <c r="AE1444" s="197"/>
      <c r="AF1444" s="197"/>
      <c r="AG1444" s="197"/>
      <c r="AH1444" s="197"/>
      <c r="AI1444" s="197"/>
      <c r="AJ1444" s="197"/>
      <c r="AK1444" s="197"/>
      <c r="AL1444" s="197"/>
    </row>
    <row r="1445" spans="1:38">
      <c r="A1445" s="11" t="str">
        <f t="shared" si="87"/>
        <v>15-778188682013</v>
      </c>
      <c r="B1445" t="s">
        <v>796</v>
      </c>
      <c r="C1445" t="s">
        <v>797</v>
      </c>
      <c r="D1445">
        <v>2013</v>
      </c>
      <c r="E1445" t="s">
        <v>105</v>
      </c>
      <c r="F1445">
        <v>148722.74</v>
      </c>
      <c r="G1445">
        <v>197</v>
      </c>
      <c r="H1445" s="11" t="str">
        <f t="shared" si="86"/>
        <v>count</v>
      </c>
      <c r="I1445" s="197"/>
      <c r="J1445" s="197"/>
      <c r="K1445" s="197"/>
      <c r="L1445" s="197"/>
      <c r="M1445" s="197"/>
      <c r="N1445" s="197"/>
      <c r="O1445" s="197"/>
      <c r="P1445" s="197"/>
      <c r="Q1445" s="197"/>
      <c r="R1445" s="197"/>
      <c r="S1445" s="197"/>
      <c r="T1445" s="197"/>
      <c r="U1445" s="197"/>
      <c r="V1445" s="197"/>
      <c r="W1445" s="197"/>
      <c r="X1445" s="197"/>
      <c r="Y1445" s="197"/>
      <c r="Z1445" s="197"/>
      <c r="AA1445" s="197"/>
      <c r="AB1445" s="197"/>
      <c r="AC1445" s="197"/>
      <c r="AD1445" s="197"/>
      <c r="AE1445" s="197"/>
      <c r="AF1445" s="197"/>
      <c r="AG1445" s="197"/>
      <c r="AH1445" s="197"/>
      <c r="AI1445" s="197"/>
      <c r="AJ1445" s="197"/>
      <c r="AK1445" s="197"/>
      <c r="AL1445" s="197"/>
    </row>
    <row r="1446" spans="1:38">
      <c r="A1446" s="11" t="str">
        <f t="shared" si="87"/>
        <v>15-778188682012</v>
      </c>
      <c r="B1446" t="s">
        <v>796</v>
      </c>
      <c r="C1446" t="s">
        <v>797</v>
      </c>
      <c r="D1446">
        <v>2012</v>
      </c>
      <c r="E1446" t="s">
        <v>1074</v>
      </c>
      <c r="F1446">
        <v>30485.85</v>
      </c>
      <c r="G1446">
        <v>45</v>
      </c>
      <c r="H1446" s="11" t="str">
        <f t="shared" si="86"/>
        <v>count</v>
      </c>
      <c r="I1446" s="197"/>
      <c r="J1446" s="197"/>
      <c r="K1446" s="197"/>
      <c r="L1446" s="197"/>
      <c r="M1446" s="197"/>
      <c r="N1446" s="197"/>
      <c r="O1446" s="197"/>
      <c r="P1446" s="197"/>
      <c r="Q1446" s="197"/>
      <c r="R1446" s="197"/>
      <c r="S1446" s="197"/>
      <c r="T1446" s="197"/>
      <c r="U1446" s="197"/>
      <c r="V1446" s="197"/>
      <c r="W1446" s="197"/>
      <c r="X1446" s="197"/>
      <c r="Y1446" s="197"/>
      <c r="Z1446" s="197"/>
      <c r="AA1446" s="197"/>
      <c r="AB1446" s="197"/>
      <c r="AC1446" s="197"/>
      <c r="AD1446" s="197"/>
      <c r="AE1446" s="197"/>
      <c r="AF1446" s="197"/>
      <c r="AG1446" s="197"/>
      <c r="AH1446" s="197"/>
      <c r="AI1446" s="197"/>
      <c r="AJ1446" s="197"/>
      <c r="AK1446" s="197"/>
      <c r="AL1446" s="197"/>
    </row>
    <row r="1447" spans="1:38">
      <c r="A1447" s="11" t="str">
        <f t="shared" si="87"/>
        <v>15-778188682011</v>
      </c>
      <c r="B1447" t="s">
        <v>796</v>
      </c>
      <c r="C1447" t="s">
        <v>797</v>
      </c>
      <c r="D1447">
        <v>2011</v>
      </c>
      <c r="E1447" t="s">
        <v>1075</v>
      </c>
      <c r="F1447">
        <v>211337.03</v>
      </c>
      <c r="G1447">
        <v>331</v>
      </c>
      <c r="H1447" s="11" t="str">
        <f t="shared" si="86"/>
        <v>count</v>
      </c>
      <c r="I1447" s="197"/>
      <c r="J1447" s="197"/>
      <c r="K1447" s="197"/>
      <c r="L1447" s="197"/>
      <c r="M1447" s="197"/>
      <c r="N1447" s="197"/>
      <c r="O1447" s="197"/>
      <c r="P1447" s="197"/>
      <c r="Q1447" s="197"/>
      <c r="R1447" s="197"/>
      <c r="S1447" s="197"/>
      <c r="T1447" s="197"/>
      <c r="U1447" s="197"/>
      <c r="V1447" s="197"/>
      <c r="W1447" s="197"/>
      <c r="X1447" s="197"/>
      <c r="Y1447" s="197"/>
      <c r="Z1447" s="197"/>
      <c r="AA1447" s="197"/>
      <c r="AB1447" s="197"/>
      <c r="AC1447" s="197"/>
      <c r="AD1447" s="197"/>
      <c r="AE1447" s="197"/>
      <c r="AF1447" s="197"/>
      <c r="AG1447" s="197"/>
      <c r="AH1447" s="197"/>
      <c r="AI1447" s="197"/>
      <c r="AJ1447" s="197"/>
      <c r="AK1447" s="197"/>
      <c r="AL1447" s="197"/>
    </row>
    <row r="1448" spans="1:38">
      <c r="A1448" s="11" t="str">
        <f t="shared" si="87"/>
        <v>15-778188682012</v>
      </c>
      <c r="B1448" t="s">
        <v>796</v>
      </c>
      <c r="C1448" t="s">
        <v>797</v>
      </c>
      <c r="D1448">
        <v>2012</v>
      </c>
      <c r="E1448" t="s">
        <v>63</v>
      </c>
      <c r="F1448">
        <v>693816.64</v>
      </c>
      <c r="G1448">
        <v>847</v>
      </c>
      <c r="H1448" s="11" t="str">
        <f t="shared" si="86"/>
        <v>count</v>
      </c>
      <c r="I1448" s="197"/>
      <c r="J1448" s="197"/>
      <c r="K1448" s="197"/>
      <c r="L1448" s="197"/>
      <c r="M1448" s="197"/>
      <c r="N1448" s="197"/>
      <c r="O1448" s="197"/>
      <c r="P1448" s="197"/>
      <c r="Q1448" s="197"/>
      <c r="R1448" s="197"/>
      <c r="S1448" s="197"/>
      <c r="T1448" s="197"/>
      <c r="U1448" s="197"/>
      <c r="V1448" s="197"/>
      <c r="W1448" s="197"/>
      <c r="X1448" s="197"/>
      <c r="Y1448" s="197"/>
      <c r="Z1448" s="197"/>
      <c r="AA1448" s="197"/>
      <c r="AB1448" s="197"/>
      <c r="AC1448" s="197"/>
      <c r="AD1448" s="197"/>
      <c r="AE1448" s="197"/>
      <c r="AF1448" s="197"/>
      <c r="AG1448" s="197"/>
      <c r="AH1448" s="197"/>
      <c r="AI1448" s="197"/>
      <c r="AJ1448" s="197"/>
      <c r="AK1448" s="197"/>
      <c r="AL1448" s="197"/>
    </row>
    <row r="1449" spans="1:38">
      <c r="A1449" s="11" t="str">
        <f t="shared" si="87"/>
        <v>15-778188682013</v>
      </c>
      <c r="B1449" t="s">
        <v>796</v>
      </c>
      <c r="C1449" t="s">
        <v>797</v>
      </c>
      <c r="D1449">
        <v>2013</v>
      </c>
      <c r="E1449" t="s">
        <v>133</v>
      </c>
      <c r="F1449">
        <v>358590.57</v>
      </c>
      <c r="G1449">
        <v>396</v>
      </c>
      <c r="H1449" s="11" t="str">
        <f t="shared" si="86"/>
        <v>count</v>
      </c>
      <c r="I1449" s="197"/>
      <c r="J1449" s="197"/>
      <c r="K1449" s="197"/>
      <c r="L1449" s="197"/>
      <c r="M1449" s="197"/>
      <c r="N1449" s="197"/>
      <c r="O1449" s="197"/>
      <c r="P1449" s="197"/>
      <c r="Q1449" s="197"/>
      <c r="R1449" s="197"/>
      <c r="S1449" s="197"/>
      <c r="T1449" s="197"/>
      <c r="U1449" s="197"/>
      <c r="V1449" s="197"/>
      <c r="W1449" s="197"/>
      <c r="X1449" s="197"/>
      <c r="Y1449" s="197"/>
      <c r="Z1449" s="197"/>
      <c r="AA1449" s="197"/>
      <c r="AB1449" s="197"/>
      <c r="AC1449" s="197"/>
      <c r="AD1449" s="197"/>
      <c r="AE1449" s="197"/>
      <c r="AF1449" s="197"/>
      <c r="AG1449" s="197"/>
      <c r="AH1449" s="197"/>
      <c r="AI1449" s="197"/>
      <c r="AJ1449" s="197"/>
      <c r="AK1449" s="197"/>
      <c r="AL1449" s="197"/>
    </row>
    <row r="1450" spans="1:38">
      <c r="A1450" s="11" t="str">
        <f t="shared" si="87"/>
        <v>15-778188682012</v>
      </c>
      <c r="B1450" t="s">
        <v>796</v>
      </c>
      <c r="C1450" t="s">
        <v>797</v>
      </c>
      <c r="D1450">
        <v>2012</v>
      </c>
      <c r="E1450" t="s">
        <v>104</v>
      </c>
      <c r="F1450">
        <v>569846.71</v>
      </c>
      <c r="G1450">
        <v>766</v>
      </c>
      <c r="H1450" s="11" t="str">
        <f t="shared" si="86"/>
        <v>count</v>
      </c>
      <c r="I1450" s="197"/>
      <c r="J1450" s="197"/>
      <c r="K1450" s="197"/>
      <c r="L1450" s="197"/>
      <c r="M1450" s="197"/>
      <c r="N1450" s="197"/>
      <c r="O1450" s="197"/>
      <c r="P1450" s="197"/>
      <c r="Q1450" s="197"/>
      <c r="R1450" s="197"/>
      <c r="S1450" s="197"/>
      <c r="T1450" s="197"/>
      <c r="U1450" s="197"/>
      <c r="V1450" s="197"/>
      <c r="W1450" s="197"/>
      <c r="X1450" s="197"/>
      <c r="Y1450" s="197"/>
      <c r="Z1450" s="197"/>
      <c r="AA1450" s="197"/>
      <c r="AB1450" s="197"/>
      <c r="AC1450" s="197"/>
      <c r="AD1450" s="197"/>
      <c r="AE1450" s="197"/>
      <c r="AF1450" s="197"/>
      <c r="AG1450" s="197"/>
      <c r="AH1450" s="197"/>
      <c r="AI1450" s="197"/>
      <c r="AJ1450" s="197"/>
      <c r="AK1450" s="197"/>
      <c r="AL1450" s="197"/>
    </row>
    <row r="1451" spans="1:38">
      <c r="A1451" s="11" t="str">
        <f t="shared" si="87"/>
        <v>15-778188682013</v>
      </c>
      <c r="B1451" t="s">
        <v>796</v>
      </c>
      <c r="C1451" t="s">
        <v>797</v>
      </c>
      <c r="D1451">
        <v>2013</v>
      </c>
      <c r="E1451" t="s">
        <v>69</v>
      </c>
      <c r="F1451">
        <v>768984.77</v>
      </c>
      <c r="G1451">
        <v>1174</v>
      </c>
      <c r="H1451" s="11" t="str">
        <f t="shared" si="86"/>
        <v>count</v>
      </c>
      <c r="I1451" s="197"/>
      <c r="J1451" s="197"/>
      <c r="K1451" s="197"/>
      <c r="L1451" s="197"/>
      <c r="M1451" s="197"/>
      <c r="N1451" s="197"/>
      <c r="O1451" s="197"/>
      <c r="P1451" s="197"/>
      <c r="Q1451" s="197"/>
      <c r="R1451" s="197"/>
      <c r="S1451" s="197"/>
      <c r="T1451" s="197"/>
      <c r="U1451" s="197"/>
      <c r="V1451" s="197"/>
      <c r="W1451" s="197"/>
      <c r="X1451" s="197"/>
      <c r="Y1451" s="197"/>
      <c r="Z1451" s="197"/>
      <c r="AA1451" s="197"/>
      <c r="AB1451" s="197"/>
      <c r="AC1451" s="197"/>
      <c r="AD1451" s="197"/>
      <c r="AE1451" s="197"/>
      <c r="AF1451" s="197"/>
      <c r="AG1451" s="197"/>
      <c r="AH1451" s="197"/>
      <c r="AI1451" s="197"/>
      <c r="AJ1451" s="197"/>
      <c r="AK1451" s="197"/>
      <c r="AL1451" s="197"/>
    </row>
    <row r="1452" spans="1:38">
      <c r="A1452" s="11" t="str">
        <f t="shared" si="87"/>
        <v>15-791965882011</v>
      </c>
      <c r="B1452" t="s">
        <v>802</v>
      </c>
      <c r="C1452" t="s">
        <v>803</v>
      </c>
      <c r="D1452">
        <v>2011</v>
      </c>
      <c r="E1452" t="s">
        <v>105</v>
      </c>
      <c r="F1452">
        <v>32921.410000000003</v>
      </c>
      <c r="G1452">
        <v>53</v>
      </c>
      <c r="H1452" s="11" t="str">
        <f t="shared" si="86"/>
        <v>volume</v>
      </c>
      <c r="I1452" s="197"/>
      <c r="J1452" s="197"/>
      <c r="K1452" s="197"/>
      <c r="L1452" s="197"/>
      <c r="M1452" s="197"/>
      <c r="N1452" s="197"/>
      <c r="O1452" s="197"/>
      <c r="P1452" s="197"/>
      <c r="Q1452" s="197"/>
      <c r="R1452" s="197"/>
      <c r="S1452" s="197"/>
      <c r="T1452" s="197"/>
      <c r="U1452" s="197"/>
      <c r="V1452" s="197"/>
      <c r="W1452" s="197"/>
      <c r="X1452" s="197"/>
      <c r="Y1452" s="197"/>
      <c r="Z1452" s="197"/>
      <c r="AA1452" s="197"/>
      <c r="AB1452" s="197"/>
      <c r="AC1452" s="197"/>
      <c r="AD1452" s="197"/>
      <c r="AE1452" s="197"/>
      <c r="AF1452" s="197"/>
      <c r="AG1452" s="197"/>
      <c r="AH1452" s="197"/>
      <c r="AI1452" s="197"/>
      <c r="AJ1452" s="197"/>
      <c r="AK1452" s="197"/>
      <c r="AL1452" s="197"/>
    </row>
    <row r="1453" spans="1:38">
      <c r="A1453" s="11" t="str">
        <f t="shared" si="87"/>
        <v>15-791965882011</v>
      </c>
      <c r="B1453" t="s">
        <v>802</v>
      </c>
      <c r="C1453" t="s">
        <v>803</v>
      </c>
      <c r="D1453">
        <v>2011</v>
      </c>
      <c r="E1453" t="s">
        <v>133</v>
      </c>
      <c r="F1453">
        <v>141123.51999999999</v>
      </c>
      <c r="G1453">
        <v>171</v>
      </c>
      <c r="H1453" s="11" t="str">
        <f t="shared" si="86"/>
        <v>count</v>
      </c>
      <c r="I1453" s="197"/>
      <c r="J1453" s="197"/>
      <c r="K1453" s="197"/>
      <c r="L1453" s="197"/>
      <c r="M1453" s="197"/>
      <c r="N1453" s="197"/>
      <c r="O1453" s="197"/>
      <c r="P1453" s="197"/>
      <c r="Q1453" s="197"/>
      <c r="R1453" s="197"/>
      <c r="S1453" s="197"/>
      <c r="T1453" s="197"/>
      <c r="U1453" s="197"/>
      <c r="V1453" s="197"/>
      <c r="W1453" s="197"/>
      <c r="X1453" s="197"/>
      <c r="Y1453" s="197"/>
      <c r="Z1453" s="197"/>
      <c r="AA1453" s="197"/>
      <c r="AB1453" s="197"/>
      <c r="AC1453" s="197"/>
      <c r="AD1453" s="197"/>
      <c r="AE1453" s="197"/>
      <c r="AF1453" s="197"/>
      <c r="AG1453" s="197"/>
      <c r="AH1453" s="197"/>
      <c r="AI1453" s="197"/>
      <c r="AJ1453" s="197"/>
      <c r="AK1453" s="197"/>
      <c r="AL1453" s="197"/>
    </row>
    <row r="1454" spans="1:38">
      <c r="A1454" s="11" t="str">
        <f t="shared" si="87"/>
        <v>15-791965882013</v>
      </c>
      <c r="B1454" t="s">
        <v>802</v>
      </c>
      <c r="C1454" t="s">
        <v>803</v>
      </c>
      <c r="D1454">
        <v>2013</v>
      </c>
      <c r="E1454" t="s">
        <v>106</v>
      </c>
      <c r="F1454">
        <v>12503.46</v>
      </c>
      <c r="G1454">
        <v>24</v>
      </c>
      <c r="H1454" s="11" t="str">
        <f t="shared" si="86"/>
        <v>count</v>
      </c>
      <c r="I1454" s="197"/>
      <c r="J1454" s="197"/>
      <c r="K1454" s="197"/>
      <c r="L1454" s="197"/>
      <c r="M1454" s="197"/>
      <c r="N1454" s="197"/>
      <c r="O1454" s="197"/>
      <c r="P1454" s="197"/>
      <c r="Q1454" s="197"/>
      <c r="R1454" s="197"/>
      <c r="S1454" s="197"/>
      <c r="T1454" s="197"/>
      <c r="U1454" s="197"/>
      <c r="V1454" s="197"/>
      <c r="W1454" s="197"/>
      <c r="X1454" s="197"/>
      <c r="Y1454" s="197"/>
      <c r="Z1454" s="197"/>
      <c r="AA1454" s="197"/>
      <c r="AB1454" s="197"/>
      <c r="AC1454" s="197"/>
      <c r="AD1454" s="197"/>
      <c r="AE1454" s="197"/>
      <c r="AF1454" s="197"/>
      <c r="AG1454" s="197"/>
      <c r="AH1454" s="197"/>
      <c r="AI1454" s="197"/>
      <c r="AJ1454" s="197"/>
      <c r="AK1454" s="197"/>
      <c r="AL1454" s="197"/>
    </row>
    <row r="1455" spans="1:38">
      <c r="A1455" s="11" t="str">
        <f t="shared" si="87"/>
        <v>15-791965882013</v>
      </c>
      <c r="B1455" t="s">
        <v>802</v>
      </c>
      <c r="C1455" t="s">
        <v>803</v>
      </c>
      <c r="D1455">
        <v>2013</v>
      </c>
      <c r="E1455" t="s">
        <v>104</v>
      </c>
      <c r="F1455">
        <v>138612.5</v>
      </c>
      <c r="G1455">
        <v>238</v>
      </c>
      <c r="H1455" s="11" t="str">
        <f t="shared" si="86"/>
        <v>count</v>
      </c>
      <c r="I1455" s="197"/>
      <c r="J1455" s="197"/>
      <c r="K1455" s="197"/>
      <c r="L1455" s="197"/>
      <c r="M1455" s="197"/>
      <c r="N1455" s="197"/>
      <c r="O1455" s="197"/>
      <c r="P1455" s="197"/>
      <c r="Q1455" s="197"/>
      <c r="R1455" s="197"/>
      <c r="S1455" s="197"/>
      <c r="T1455" s="197"/>
      <c r="U1455" s="197"/>
      <c r="V1455" s="197"/>
      <c r="W1455" s="197"/>
      <c r="X1455" s="197"/>
      <c r="Y1455" s="197"/>
      <c r="Z1455" s="197"/>
      <c r="AA1455" s="197"/>
      <c r="AB1455" s="197"/>
      <c r="AC1455" s="197"/>
      <c r="AD1455" s="197"/>
      <c r="AE1455" s="197"/>
      <c r="AF1455" s="197"/>
      <c r="AG1455" s="197"/>
      <c r="AH1455" s="197"/>
      <c r="AI1455" s="197"/>
      <c r="AJ1455" s="197"/>
      <c r="AK1455" s="197"/>
      <c r="AL1455" s="197"/>
    </row>
    <row r="1456" spans="1:38">
      <c r="A1456" s="11" t="str">
        <f t="shared" si="87"/>
        <v>15-791965882013</v>
      </c>
      <c r="B1456" t="s">
        <v>802</v>
      </c>
      <c r="C1456" t="s">
        <v>803</v>
      </c>
      <c r="D1456">
        <v>2013</v>
      </c>
      <c r="E1456" t="s">
        <v>63</v>
      </c>
      <c r="F1456">
        <v>148749.53</v>
      </c>
      <c r="G1456">
        <v>277</v>
      </c>
      <c r="H1456" s="11" t="str">
        <f t="shared" si="86"/>
        <v>count</v>
      </c>
      <c r="I1456" s="197"/>
      <c r="J1456" s="197"/>
      <c r="K1456" s="197"/>
      <c r="L1456" s="197"/>
      <c r="M1456" s="197"/>
      <c r="N1456" s="197"/>
      <c r="O1456" s="197"/>
      <c r="P1456" s="197"/>
      <c r="Q1456" s="197"/>
      <c r="R1456" s="197"/>
      <c r="S1456" s="197"/>
      <c r="T1456" s="197"/>
      <c r="U1456" s="197"/>
      <c r="V1456" s="197"/>
      <c r="W1456" s="197"/>
      <c r="X1456" s="197"/>
      <c r="Y1456" s="197"/>
      <c r="Z1456" s="197"/>
      <c r="AA1456" s="197"/>
      <c r="AB1456" s="197"/>
      <c r="AC1456" s="197"/>
      <c r="AD1456" s="197"/>
      <c r="AE1456" s="197"/>
      <c r="AF1456" s="197"/>
      <c r="AG1456" s="197"/>
      <c r="AH1456" s="197"/>
      <c r="AI1456" s="197"/>
      <c r="AJ1456" s="197"/>
      <c r="AK1456" s="197"/>
      <c r="AL1456" s="197"/>
    </row>
    <row r="1457" spans="1:38">
      <c r="A1457" s="11" t="str">
        <f t="shared" si="87"/>
        <v>15-791965882011</v>
      </c>
      <c r="B1457" t="s">
        <v>802</v>
      </c>
      <c r="C1457" t="s">
        <v>803</v>
      </c>
      <c r="D1457">
        <v>2011</v>
      </c>
      <c r="E1457" t="s">
        <v>69</v>
      </c>
      <c r="F1457">
        <v>1141.25</v>
      </c>
      <c r="G1457">
        <v>2</v>
      </c>
      <c r="H1457" s="11" t="str">
        <f t="shared" si="86"/>
        <v>count</v>
      </c>
      <c r="I1457" s="197"/>
      <c r="J1457" s="197"/>
      <c r="K1457" s="197"/>
      <c r="L1457" s="197"/>
      <c r="M1457" s="197"/>
      <c r="N1457" s="197"/>
      <c r="O1457" s="197"/>
      <c r="P1457" s="197"/>
      <c r="Q1457" s="197"/>
      <c r="R1457" s="197"/>
      <c r="S1457" s="197"/>
      <c r="T1457" s="197"/>
      <c r="U1457" s="197"/>
      <c r="V1457" s="197"/>
      <c r="W1457" s="197"/>
      <c r="X1457" s="197"/>
      <c r="Y1457" s="197"/>
      <c r="Z1457" s="197"/>
      <c r="AA1457" s="197"/>
      <c r="AB1457" s="197"/>
      <c r="AC1457" s="197"/>
      <c r="AD1457" s="197"/>
      <c r="AE1457" s="197"/>
      <c r="AF1457" s="197"/>
      <c r="AG1457" s="197"/>
      <c r="AH1457" s="197"/>
      <c r="AI1457" s="197"/>
      <c r="AJ1457" s="197"/>
      <c r="AK1457" s="197"/>
      <c r="AL1457" s="197"/>
    </row>
    <row r="1458" spans="1:38">
      <c r="A1458" s="11" t="str">
        <f t="shared" si="87"/>
        <v>15-791965882013</v>
      </c>
      <c r="B1458" t="s">
        <v>802</v>
      </c>
      <c r="C1458" t="s">
        <v>803</v>
      </c>
      <c r="D1458">
        <v>2013</v>
      </c>
      <c r="E1458" t="s">
        <v>133</v>
      </c>
      <c r="F1458">
        <v>79146.34</v>
      </c>
      <c r="G1458">
        <v>137</v>
      </c>
      <c r="H1458" s="11" t="str">
        <f t="shared" si="86"/>
        <v>count</v>
      </c>
      <c r="I1458" s="197"/>
      <c r="J1458" s="197"/>
      <c r="K1458" s="197"/>
      <c r="L1458" s="197"/>
      <c r="M1458" s="197"/>
      <c r="N1458" s="197"/>
      <c r="O1458" s="197"/>
      <c r="P1458" s="197"/>
      <c r="Q1458" s="197"/>
      <c r="R1458" s="197"/>
      <c r="S1458" s="197"/>
      <c r="T1458" s="197"/>
      <c r="U1458" s="197"/>
      <c r="V1458" s="197"/>
      <c r="W1458" s="197"/>
      <c r="X1458" s="197"/>
      <c r="Y1458" s="197"/>
      <c r="Z1458" s="197"/>
      <c r="AA1458" s="197"/>
      <c r="AB1458" s="197"/>
      <c r="AC1458" s="197"/>
      <c r="AD1458" s="197"/>
      <c r="AE1458" s="197"/>
      <c r="AF1458" s="197"/>
      <c r="AG1458" s="197"/>
      <c r="AH1458" s="197"/>
      <c r="AI1458" s="197"/>
      <c r="AJ1458" s="197"/>
      <c r="AK1458" s="197"/>
      <c r="AL1458" s="197"/>
    </row>
    <row r="1459" spans="1:38">
      <c r="A1459" s="11" t="str">
        <f t="shared" si="87"/>
        <v>15-791965882012</v>
      </c>
      <c r="B1459" t="s">
        <v>802</v>
      </c>
      <c r="C1459" t="s">
        <v>803</v>
      </c>
      <c r="D1459">
        <v>2012</v>
      </c>
      <c r="E1459" t="s">
        <v>106</v>
      </c>
      <c r="F1459">
        <v>23087.41</v>
      </c>
      <c r="G1459">
        <v>31</v>
      </c>
      <c r="H1459" s="11" t="str">
        <f t="shared" si="86"/>
        <v>count</v>
      </c>
      <c r="I1459" s="197"/>
      <c r="J1459" s="197"/>
      <c r="K1459" s="197"/>
      <c r="L1459" s="197"/>
      <c r="M1459" s="197"/>
      <c r="N1459" s="197"/>
      <c r="O1459" s="197"/>
      <c r="P1459" s="197"/>
      <c r="Q1459" s="197"/>
      <c r="R1459" s="197"/>
      <c r="S1459" s="197"/>
      <c r="T1459" s="197"/>
      <c r="U1459" s="197"/>
      <c r="V1459" s="197"/>
      <c r="W1459" s="197"/>
      <c r="X1459" s="197"/>
      <c r="Y1459" s="197"/>
      <c r="Z1459" s="197"/>
      <c r="AA1459" s="197"/>
      <c r="AB1459" s="197"/>
      <c r="AC1459" s="197"/>
      <c r="AD1459" s="197"/>
      <c r="AE1459" s="197"/>
      <c r="AF1459" s="197"/>
      <c r="AG1459" s="197"/>
      <c r="AH1459" s="197"/>
      <c r="AI1459" s="197"/>
      <c r="AJ1459" s="197"/>
      <c r="AK1459" s="197"/>
      <c r="AL1459" s="197"/>
    </row>
    <row r="1460" spans="1:38">
      <c r="A1460" s="11" t="str">
        <f t="shared" si="87"/>
        <v>15-791965882013</v>
      </c>
      <c r="B1460" t="s">
        <v>802</v>
      </c>
      <c r="C1460" t="s">
        <v>803</v>
      </c>
      <c r="D1460">
        <v>2013</v>
      </c>
      <c r="E1460" t="s">
        <v>69</v>
      </c>
      <c r="F1460">
        <v>53262.6</v>
      </c>
      <c r="G1460">
        <v>128</v>
      </c>
      <c r="H1460" s="11" t="str">
        <f t="shared" si="86"/>
        <v>count</v>
      </c>
      <c r="I1460" s="197"/>
      <c r="J1460" s="197"/>
      <c r="K1460" s="197"/>
      <c r="L1460" s="197"/>
      <c r="M1460" s="197"/>
      <c r="N1460" s="197"/>
      <c r="O1460" s="197"/>
      <c r="P1460" s="197"/>
      <c r="Q1460" s="197"/>
      <c r="R1460" s="197"/>
      <c r="S1460" s="197"/>
      <c r="T1460" s="197"/>
      <c r="U1460" s="197"/>
      <c r="V1460" s="197"/>
      <c r="W1460" s="197"/>
      <c r="X1460" s="197"/>
      <c r="Y1460" s="197"/>
      <c r="Z1460" s="197"/>
      <c r="AA1460" s="197"/>
      <c r="AB1460" s="197"/>
      <c r="AC1460" s="197"/>
      <c r="AD1460" s="197"/>
      <c r="AE1460" s="197"/>
      <c r="AF1460" s="197"/>
      <c r="AG1460" s="197"/>
      <c r="AH1460" s="197"/>
      <c r="AI1460" s="197"/>
      <c r="AJ1460" s="197"/>
      <c r="AK1460" s="197"/>
      <c r="AL1460" s="197"/>
    </row>
    <row r="1461" spans="1:38">
      <c r="A1461" s="11" t="str">
        <f t="shared" si="87"/>
        <v>15-791965882012</v>
      </c>
      <c r="B1461" t="s">
        <v>802</v>
      </c>
      <c r="C1461" t="s">
        <v>803</v>
      </c>
      <c r="D1461">
        <v>2012</v>
      </c>
      <c r="E1461" t="s">
        <v>105</v>
      </c>
      <c r="F1461">
        <v>16950.73</v>
      </c>
      <c r="G1461">
        <v>36</v>
      </c>
      <c r="H1461" s="11" t="str">
        <f t="shared" si="86"/>
        <v>count</v>
      </c>
      <c r="I1461" s="197"/>
      <c r="J1461" s="197"/>
      <c r="K1461" s="197"/>
      <c r="L1461" s="197"/>
      <c r="M1461" s="197"/>
      <c r="N1461" s="197"/>
      <c r="O1461" s="197"/>
      <c r="P1461" s="197"/>
      <c r="Q1461" s="197"/>
      <c r="R1461" s="197"/>
      <c r="S1461" s="197"/>
      <c r="T1461" s="197"/>
      <c r="U1461" s="197"/>
      <c r="V1461" s="197"/>
      <c r="W1461" s="197"/>
      <c r="X1461" s="197"/>
      <c r="Y1461" s="197"/>
      <c r="Z1461" s="197"/>
      <c r="AA1461" s="197"/>
      <c r="AB1461" s="197"/>
      <c r="AC1461" s="197"/>
      <c r="AD1461" s="197"/>
      <c r="AE1461" s="197"/>
      <c r="AF1461" s="197"/>
      <c r="AG1461" s="197"/>
      <c r="AH1461" s="197"/>
      <c r="AI1461" s="197"/>
      <c r="AJ1461" s="197"/>
      <c r="AK1461" s="197"/>
      <c r="AL1461" s="197"/>
    </row>
    <row r="1462" spans="1:38">
      <c r="A1462" s="11" t="str">
        <f t="shared" si="87"/>
        <v>15-791965882011</v>
      </c>
      <c r="B1462" t="s">
        <v>802</v>
      </c>
      <c r="C1462" t="s">
        <v>803</v>
      </c>
      <c r="D1462">
        <v>2011</v>
      </c>
      <c r="E1462" t="s">
        <v>104</v>
      </c>
      <c r="F1462">
        <v>144080.44</v>
      </c>
      <c r="G1462">
        <v>238</v>
      </c>
      <c r="H1462" s="11" t="str">
        <f t="shared" si="86"/>
        <v>count</v>
      </c>
      <c r="I1462" s="197"/>
      <c r="J1462" s="197"/>
      <c r="K1462" s="197"/>
      <c r="L1462" s="197"/>
      <c r="M1462" s="197"/>
      <c r="N1462" s="197"/>
      <c r="O1462" s="197"/>
      <c r="P1462" s="197"/>
      <c r="Q1462" s="197"/>
      <c r="R1462" s="197"/>
      <c r="S1462" s="197"/>
      <c r="T1462" s="197"/>
      <c r="U1462" s="197"/>
      <c r="V1462" s="197"/>
      <c r="W1462" s="197"/>
      <c r="X1462" s="197"/>
      <c r="Y1462" s="197"/>
      <c r="Z1462" s="197"/>
      <c r="AA1462" s="197"/>
      <c r="AB1462" s="197"/>
      <c r="AC1462" s="197"/>
      <c r="AD1462" s="197"/>
      <c r="AE1462" s="197"/>
      <c r="AF1462" s="197"/>
      <c r="AG1462" s="197"/>
      <c r="AH1462" s="197"/>
      <c r="AI1462" s="197"/>
      <c r="AJ1462" s="197"/>
      <c r="AK1462" s="197"/>
      <c r="AL1462" s="197"/>
    </row>
    <row r="1463" spans="1:38">
      <c r="A1463" s="11" t="str">
        <f t="shared" si="87"/>
        <v>15-791965882011</v>
      </c>
      <c r="B1463" t="s">
        <v>802</v>
      </c>
      <c r="C1463" t="s">
        <v>803</v>
      </c>
      <c r="D1463">
        <v>2011</v>
      </c>
      <c r="E1463" t="s">
        <v>106</v>
      </c>
      <c r="F1463">
        <v>1650</v>
      </c>
      <c r="G1463">
        <v>3</v>
      </c>
      <c r="H1463" s="11" t="str">
        <f t="shared" si="86"/>
        <v>count</v>
      </c>
      <c r="I1463" s="197"/>
      <c r="J1463" s="197"/>
      <c r="K1463" s="197"/>
      <c r="L1463" s="197"/>
      <c r="M1463" s="197"/>
      <c r="N1463" s="197"/>
      <c r="O1463" s="197"/>
      <c r="P1463" s="197"/>
      <c r="Q1463" s="197"/>
      <c r="R1463" s="197"/>
      <c r="S1463" s="197"/>
      <c r="T1463" s="197"/>
      <c r="U1463" s="197"/>
      <c r="V1463" s="197"/>
      <c r="W1463" s="197"/>
      <c r="X1463" s="197"/>
      <c r="Y1463" s="197"/>
      <c r="Z1463" s="197"/>
      <c r="AA1463" s="197"/>
      <c r="AB1463" s="197"/>
      <c r="AC1463" s="197"/>
      <c r="AD1463" s="197"/>
      <c r="AE1463" s="197"/>
      <c r="AF1463" s="197"/>
      <c r="AG1463" s="197"/>
      <c r="AH1463" s="197"/>
      <c r="AI1463" s="197"/>
      <c r="AJ1463" s="197"/>
      <c r="AK1463" s="197"/>
      <c r="AL1463" s="197"/>
    </row>
    <row r="1464" spans="1:38">
      <c r="A1464" s="11" t="str">
        <f t="shared" si="87"/>
        <v>15-791965882011</v>
      </c>
      <c r="B1464" t="s">
        <v>802</v>
      </c>
      <c r="C1464" t="s">
        <v>803</v>
      </c>
      <c r="D1464">
        <v>2011</v>
      </c>
      <c r="E1464" t="s">
        <v>63</v>
      </c>
      <c r="F1464">
        <v>297566.87</v>
      </c>
      <c r="G1464">
        <v>457</v>
      </c>
      <c r="H1464" s="11" t="str">
        <f t="shared" si="86"/>
        <v>count</v>
      </c>
      <c r="I1464" s="197"/>
      <c r="J1464" s="197"/>
      <c r="K1464" s="197"/>
      <c r="L1464" s="197"/>
      <c r="M1464" s="197"/>
      <c r="N1464" s="197"/>
      <c r="O1464" s="197"/>
      <c r="P1464" s="197"/>
      <c r="Q1464" s="197"/>
      <c r="R1464" s="197"/>
      <c r="S1464" s="197"/>
      <c r="T1464" s="197"/>
      <c r="U1464" s="197"/>
      <c r="V1464" s="197"/>
      <c r="W1464" s="197"/>
      <c r="X1464" s="197"/>
      <c r="Y1464" s="197"/>
      <c r="Z1464" s="197"/>
      <c r="AA1464" s="197"/>
      <c r="AB1464" s="197"/>
      <c r="AC1464" s="197"/>
      <c r="AD1464" s="197"/>
      <c r="AE1464" s="197"/>
      <c r="AF1464" s="197"/>
      <c r="AG1464" s="197"/>
      <c r="AH1464" s="197"/>
      <c r="AI1464" s="197"/>
      <c r="AJ1464" s="197"/>
      <c r="AK1464" s="197"/>
      <c r="AL1464" s="197"/>
    </row>
    <row r="1465" spans="1:38">
      <c r="A1465" s="11" t="str">
        <f t="shared" si="87"/>
        <v>15-791965882012</v>
      </c>
      <c r="B1465" t="s">
        <v>802</v>
      </c>
      <c r="C1465" t="s">
        <v>803</v>
      </c>
      <c r="D1465">
        <v>2012</v>
      </c>
      <c r="E1465" t="s">
        <v>133</v>
      </c>
      <c r="F1465">
        <v>106719.15</v>
      </c>
      <c r="G1465">
        <v>146</v>
      </c>
      <c r="H1465" s="11" t="str">
        <f t="shared" si="86"/>
        <v>count</v>
      </c>
      <c r="I1465" s="197"/>
      <c r="J1465" s="197"/>
      <c r="K1465" s="197"/>
      <c r="L1465" s="197"/>
      <c r="M1465" s="197"/>
      <c r="N1465" s="197"/>
      <c r="O1465" s="197"/>
      <c r="P1465" s="197"/>
      <c r="Q1465" s="197"/>
      <c r="R1465" s="197"/>
      <c r="S1465" s="197"/>
      <c r="T1465" s="197"/>
      <c r="U1465" s="197"/>
      <c r="V1465" s="197"/>
      <c r="W1465" s="197"/>
      <c r="X1465" s="197"/>
      <c r="Y1465" s="197"/>
      <c r="Z1465" s="197"/>
      <c r="AA1465" s="197"/>
      <c r="AB1465" s="197"/>
      <c r="AC1465" s="197"/>
      <c r="AD1465" s="197"/>
      <c r="AE1465" s="197"/>
      <c r="AF1465" s="197"/>
      <c r="AG1465" s="197"/>
      <c r="AH1465" s="197"/>
      <c r="AI1465" s="197"/>
      <c r="AJ1465" s="197"/>
      <c r="AK1465" s="197"/>
      <c r="AL1465" s="197"/>
    </row>
    <row r="1466" spans="1:38">
      <c r="A1466" s="11" t="str">
        <f t="shared" si="87"/>
        <v>15-791965882012</v>
      </c>
      <c r="B1466" t="s">
        <v>802</v>
      </c>
      <c r="C1466" t="s">
        <v>803</v>
      </c>
      <c r="D1466">
        <v>2012</v>
      </c>
      <c r="E1466" t="s">
        <v>104</v>
      </c>
      <c r="F1466">
        <v>173041.49</v>
      </c>
      <c r="G1466">
        <v>396</v>
      </c>
      <c r="H1466" s="11" t="str">
        <f t="shared" si="86"/>
        <v>count</v>
      </c>
      <c r="I1466" s="197"/>
      <c r="J1466" s="197"/>
      <c r="K1466" s="197"/>
      <c r="L1466" s="197"/>
      <c r="M1466" s="197"/>
      <c r="N1466" s="197"/>
      <c r="O1466" s="197"/>
      <c r="P1466" s="197"/>
      <c r="Q1466" s="197"/>
      <c r="R1466" s="197"/>
      <c r="S1466" s="197"/>
      <c r="T1466" s="197"/>
      <c r="U1466" s="197"/>
      <c r="V1466" s="197"/>
      <c r="W1466" s="197"/>
      <c r="X1466" s="197"/>
      <c r="Y1466" s="197"/>
      <c r="Z1466" s="197"/>
      <c r="AA1466" s="197"/>
      <c r="AB1466" s="197"/>
      <c r="AC1466" s="197"/>
      <c r="AD1466" s="197"/>
      <c r="AE1466" s="197"/>
      <c r="AF1466" s="197"/>
      <c r="AG1466" s="197"/>
      <c r="AH1466" s="197"/>
      <c r="AI1466" s="197"/>
      <c r="AJ1466" s="197"/>
      <c r="AK1466" s="197"/>
      <c r="AL1466" s="197"/>
    </row>
    <row r="1467" spans="1:38">
      <c r="A1467" s="11" t="str">
        <f t="shared" si="87"/>
        <v>15-791965882012</v>
      </c>
      <c r="B1467" t="s">
        <v>802</v>
      </c>
      <c r="C1467" t="s">
        <v>803</v>
      </c>
      <c r="D1467">
        <v>2012</v>
      </c>
      <c r="E1467" t="s">
        <v>63</v>
      </c>
      <c r="F1467">
        <v>215125.79</v>
      </c>
      <c r="G1467">
        <v>347</v>
      </c>
      <c r="H1467" s="11" t="str">
        <f t="shared" si="86"/>
        <v>count</v>
      </c>
      <c r="I1467" s="197"/>
      <c r="J1467" s="197"/>
      <c r="K1467" s="197"/>
      <c r="L1467" s="197"/>
      <c r="M1467" s="197"/>
      <c r="N1467" s="197"/>
      <c r="O1467" s="197"/>
      <c r="P1467" s="197"/>
      <c r="Q1467" s="197"/>
      <c r="R1467" s="197"/>
      <c r="S1467" s="197"/>
      <c r="T1467" s="197"/>
      <c r="U1467" s="197"/>
      <c r="V1467" s="197"/>
      <c r="W1467" s="197"/>
      <c r="X1467" s="197"/>
      <c r="Y1467" s="197"/>
      <c r="Z1467" s="197"/>
      <c r="AA1467" s="197"/>
      <c r="AB1467" s="197"/>
      <c r="AC1467" s="197"/>
      <c r="AD1467" s="197"/>
      <c r="AE1467" s="197"/>
      <c r="AF1467" s="197"/>
      <c r="AG1467" s="197"/>
      <c r="AH1467" s="197"/>
      <c r="AI1467" s="197"/>
      <c r="AJ1467" s="197"/>
      <c r="AK1467" s="197"/>
      <c r="AL1467" s="197"/>
    </row>
    <row r="1468" spans="1:38">
      <c r="A1468" s="11" t="str">
        <f t="shared" si="87"/>
        <v>15-791965882012</v>
      </c>
      <c r="B1468" t="s">
        <v>802</v>
      </c>
      <c r="C1468" t="s">
        <v>803</v>
      </c>
      <c r="D1468">
        <v>2012</v>
      </c>
      <c r="E1468" t="s">
        <v>1074</v>
      </c>
      <c r="F1468">
        <v>658.89</v>
      </c>
      <c r="G1468">
        <v>2</v>
      </c>
      <c r="H1468" s="11" t="str">
        <f t="shared" si="86"/>
        <v>count</v>
      </c>
      <c r="I1468" s="197"/>
      <c r="J1468" s="197"/>
      <c r="K1468" s="197"/>
      <c r="L1468" s="197"/>
      <c r="M1468" s="197"/>
      <c r="N1468" s="197"/>
      <c r="O1468" s="197"/>
      <c r="P1468" s="197"/>
      <c r="Q1468" s="197"/>
      <c r="R1468" s="197"/>
      <c r="S1468" s="197"/>
      <c r="T1468" s="197"/>
      <c r="U1468" s="197"/>
      <c r="V1468" s="197"/>
      <c r="W1468" s="197"/>
      <c r="X1468" s="197"/>
      <c r="Y1468" s="197"/>
      <c r="Z1468" s="197"/>
      <c r="AA1468" s="197"/>
      <c r="AB1468" s="197"/>
      <c r="AC1468" s="197"/>
      <c r="AD1468" s="197"/>
      <c r="AE1468" s="197"/>
      <c r="AF1468" s="197"/>
      <c r="AG1468" s="197"/>
      <c r="AH1468" s="197"/>
      <c r="AI1468" s="197"/>
      <c r="AJ1468" s="197"/>
      <c r="AK1468" s="197"/>
      <c r="AL1468" s="197"/>
    </row>
    <row r="1469" spans="1:38">
      <c r="A1469" s="11" t="str">
        <f t="shared" si="87"/>
        <v>15-791965882012</v>
      </c>
      <c r="B1469" t="s">
        <v>802</v>
      </c>
      <c r="C1469" t="s">
        <v>803</v>
      </c>
      <c r="D1469">
        <v>2012</v>
      </c>
      <c r="E1469" t="s">
        <v>1075</v>
      </c>
      <c r="F1469">
        <v>0</v>
      </c>
      <c r="G1469">
        <v>0</v>
      </c>
      <c r="H1469" s="11" t="str">
        <f t="shared" si="86"/>
        <v>count</v>
      </c>
      <c r="I1469" s="197"/>
      <c r="J1469" s="197"/>
      <c r="K1469" s="197"/>
      <c r="L1469" s="197"/>
      <c r="M1469" s="197"/>
      <c r="N1469" s="197"/>
      <c r="O1469" s="197"/>
      <c r="P1469" s="197"/>
      <c r="Q1469" s="197"/>
      <c r="R1469" s="197"/>
      <c r="S1469" s="197"/>
      <c r="T1469" s="197"/>
      <c r="U1469" s="197"/>
      <c r="V1469" s="197"/>
      <c r="W1469" s="197"/>
      <c r="X1469" s="197"/>
      <c r="Y1469" s="197"/>
      <c r="Z1469" s="197"/>
      <c r="AA1469" s="197"/>
      <c r="AB1469" s="197"/>
      <c r="AC1469" s="197"/>
      <c r="AD1469" s="197"/>
      <c r="AE1469" s="197"/>
      <c r="AF1469" s="197"/>
      <c r="AG1469" s="197"/>
      <c r="AH1469" s="197"/>
      <c r="AI1469" s="197"/>
      <c r="AJ1469" s="197"/>
      <c r="AK1469" s="197"/>
      <c r="AL1469" s="197"/>
    </row>
    <row r="1470" spans="1:38">
      <c r="A1470" s="11" t="str">
        <f t="shared" si="87"/>
        <v>15-791965882013</v>
      </c>
      <c r="B1470" t="s">
        <v>802</v>
      </c>
      <c r="C1470" t="s">
        <v>803</v>
      </c>
      <c r="D1470">
        <v>2013</v>
      </c>
      <c r="E1470" t="s">
        <v>105</v>
      </c>
      <c r="F1470">
        <v>23360.44</v>
      </c>
      <c r="G1470">
        <v>36</v>
      </c>
      <c r="H1470" s="11" t="str">
        <f t="shared" si="86"/>
        <v>count</v>
      </c>
      <c r="I1470" s="197"/>
      <c r="J1470" s="197"/>
      <c r="K1470" s="197"/>
      <c r="L1470" s="197"/>
      <c r="M1470" s="197"/>
      <c r="N1470" s="197"/>
      <c r="O1470" s="197"/>
      <c r="P1470" s="197"/>
      <c r="Q1470" s="197"/>
      <c r="R1470" s="197"/>
      <c r="S1470" s="197"/>
      <c r="T1470" s="197"/>
      <c r="U1470" s="197"/>
      <c r="V1470" s="197"/>
      <c r="W1470" s="197"/>
      <c r="X1470" s="197"/>
      <c r="Y1470" s="197"/>
      <c r="Z1470" s="197"/>
      <c r="AA1470" s="197"/>
      <c r="AB1470" s="197"/>
      <c r="AC1470" s="197"/>
      <c r="AD1470" s="197"/>
      <c r="AE1470" s="197"/>
      <c r="AF1470" s="197"/>
      <c r="AG1470" s="197"/>
      <c r="AH1470" s="197"/>
      <c r="AI1470" s="197"/>
      <c r="AJ1470" s="197"/>
      <c r="AK1470" s="197"/>
      <c r="AL1470" s="197"/>
    </row>
    <row r="1471" spans="1:38">
      <c r="A1471" s="11" t="str">
        <f t="shared" si="87"/>
        <v>15-791965882012</v>
      </c>
      <c r="B1471" t="s">
        <v>802</v>
      </c>
      <c r="C1471" t="s">
        <v>803</v>
      </c>
      <c r="D1471">
        <v>2012</v>
      </c>
      <c r="E1471" t="s">
        <v>69</v>
      </c>
      <c r="F1471">
        <v>58076.72</v>
      </c>
      <c r="G1471">
        <v>90</v>
      </c>
      <c r="H1471" s="11" t="str">
        <f t="shared" si="86"/>
        <v>count</v>
      </c>
      <c r="I1471" s="197"/>
      <c r="J1471" s="197"/>
      <c r="K1471" s="197"/>
      <c r="L1471" s="197"/>
      <c r="M1471" s="197"/>
      <c r="N1471" s="197"/>
      <c r="O1471" s="197"/>
      <c r="P1471" s="197"/>
      <c r="Q1471" s="197"/>
      <c r="R1471" s="197"/>
      <c r="S1471" s="197"/>
      <c r="T1471" s="197"/>
      <c r="U1471" s="197"/>
      <c r="V1471" s="197"/>
      <c r="W1471" s="197"/>
      <c r="X1471" s="197"/>
      <c r="Y1471" s="197"/>
      <c r="Z1471" s="197"/>
      <c r="AA1471" s="197"/>
      <c r="AB1471" s="197"/>
      <c r="AC1471" s="197"/>
      <c r="AD1471" s="197"/>
      <c r="AE1471" s="197"/>
      <c r="AF1471" s="197"/>
      <c r="AG1471" s="197"/>
      <c r="AH1471" s="197"/>
      <c r="AI1471" s="197"/>
      <c r="AJ1471" s="197"/>
      <c r="AK1471" s="197"/>
      <c r="AL1471" s="197"/>
    </row>
    <row r="1472" spans="1:38">
      <c r="A1472" s="11" t="str">
        <f t="shared" si="87"/>
        <v>15-799059512013</v>
      </c>
      <c r="B1472" t="s">
        <v>805</v>
      </c>
      <c r="C1472" t="s">
        <v>806</v>
      </c>
      <c r="D1472">
        <v>2013</v>
      </c>
      <c r="E1472" t="s">
        <v>69</v>
      </c>
      <c r="F1472">
        <v>46129.66</v>
      </c>
      <c r="G1472">
        <v>54</v>
      </c>
      <c r="H1472" s="11" t="str">
        <f t="shared" si="86"/>
        <v>volume</v>
      </c>
      <c r="I1472" s="197"/>
      <c r="J1472" s="197"/>
      <c r="K1472" s="197"/>
      <c r="L1472" s="197"/>
      <c r="M1472" s="197"/>
      <c r="N1472" s="197"/>
      <c r="O1472" s="197"/>
      <c r="P1472" s="197"/>
      <c r="Q1472" s="197"/>
      <c r="R1472" s="197"/>
      <c r="S1472" s="197"/>
      <c r="T1472" s="197"/>
      <c r="U1472" s="197"/>
      <c r="V1472" s="197"/>
      <c r="W1472" s="197"/>
      <c r="X1472" s="197"/>
      <c r="Y1472" s="197"/>
      <c r="Z1472" s="197"/>
      <c r="AA1472" s="197"/>
      <c r="AB1472" s="197"/>
      <c r="AC1472" s="197"/>
      <c r="AD1472" s="197"/>
      <c r="AE1472" s="197"/>
      <c r="AF1472" s="197"/>
      <c r="AG1472" s="197"/>
      <c r="AH1472" s="197"/>
      <c r="AI1472" s="197"/>
      <c r="AJ1472" s="197"/>
      <c r="AK1472" s="197"/>
      <c r="AL1472" s="197"/>
    </row>
    <row r="1473" spans="1:38">
      <c r="A1473" s="11" t="str">
        <f t="shared" si="87"/>
        <v>15-799059512013</v>
      </c>
      <c r="B1473" t="s">
        <v>805</v>
      </c>
      <c r="C1473" t="s">
        <v>806</v>
      </c>
      <c r="D1473">
        <v>2013</v>
      </c>
      <c r="E1473" t="s">
        <v>133</v>
      </c>
      <c r="F1473">
        <v>71609.08</v>
      </c>
      <c r="G1473">
        <v>60</v>
      </c>
      <c r="H1473" s="11" t="str">
        <f t="shared" si="86"/>
        <v>count</v>
      </c>
      <c r="I1473" s="197"/>
      <c r="J1473" s="197"/>
      <c r="K1473" s="197"/>
      <c r="L1473" s="197"/>
      <c r="M1473" s="197"/>
      <c r="N1473" s="197"/>
      <c r="O1473" s="197"/>
      <c r="P1473" s="197"/>
      <c r="Q1473" s="197"/>
      <c r="R1473" s="197"/>
      <c r="S1473" s="197"/>
      <c r="T1473" s="197"/>
      <c r="U1473" s="197"/>
      <c r="V1473" s="197"/>
      <c r="W1473" s="197"/>
      <c r="X1473" s="197"/>
      <c r="Y1473" s="197"/>
      <c r="Z1473" s="197"/>
      <c r="AA1473" s="197"/>
      <c r="AB1473" s="197"/>
      <c r="AC1473" s="197"/>
      <c r="AD1473" s="197"/>
      <c r="AE1473" s="197"/>
      <c r="AF1473" s="197"/>
      <c r="AG1473" s="197"/>
      <c r="AH1473" s="197"/>
      <c r="AI1473" s="197"/>
      <c r="AJ1473" s="197"/>
      <c r="AK1473" s="197"/>
      <c r="AL1473" s="197"/>
    </row>
    <row r="1474" spans="1:38">
      <c r="A1474" s="11" t="str">
        <f t="shared" si="87"/>
        <v>15-799059512013</v>
      </c>
      <c r="B1474" t="s">
        <v>805</v>
      </c>
      <c r="C1474" t="s">
        <v>806</v>
      </c>
      <c r="D1474">
        <v>2013</v>
      </c>
      <c r="E1474" t="s">
        <v>104</v>
      </c>
      <c r="F1474">
        <v>146583.53</v>
      </c>
      <c r="G1474">
        <v>116</v>
      </c>
      <c r="H1474" s="11" t="str">
        <f t="shared" ref="H1474:H1537" si="88">IF(B1474=B1473,"count","volume")</f>
        <v>count</v>
      </c>
      <c r="I1474" s="197"/>
      <c r="J1474" s="197"/>
      <c r="K1474" s="197"/>
      <c r="L1474" s="197"/>
      <c r="M1474" s="197"/>
      <c r="N1474" s="197"/>
      <c r="O1474" s="197"/>
      <c r="P1474" s="197"/>
      <c r="Q1474" s="197"/>
      <c r="R1474" s="197"/>
      <c r="S1474" s="197"/>
      <c r="T1474" s="197"/>
      <c r="U1474" s="197"/>
      <c r="V1474" s="197"/>
      <c r="W1474" s="197"/>
      <c r="X1474" s="197"/>
      <c r="Y1474" s="197"/>
      <c r="Z1474" s="197"/>
      <c r="AA1474" s="197"/>
      <c r="AB1474" s="197"/>
      <c r="AC1474" s="197"/>
      <c r="AD1474" s="197"/>
      <c r="AE1474" s="197"/>
      <c r="AF1474" s="197"/>
      <c r="AG1474" s="197"/>
      <c r="AH1474" s="197"/>
      <c r="AI1474" s="197"/>
      <c r="AJ1474" s="197"/>
      <c r="AK1474" s="197"/>
      <c r="AL1474" s="197"/>
    </row>
    <row r="1475" spans="1:38">
      <c r="A1475" s="11" t="str">
        <f t="shared" ref="A1475:A1538" si="89">B1475&amp;D1475</f>
        <v>15-799059512012</v>
      </c>
      <c r="B1475" t="s">
        <v>805</v>
      </c>
      <c r="C1475" t="s">
        <v>806</v>
      </c>
      <c r="D1475">
        <v>2012</v>
      </c>
      <c r="E1475" t="s">
        <v>69</v>
      </c>
      <c r="F1475">
        <v>45434.61</v>
      </c>
      <c r="G1475">
        <v>69</v>
      </c>
      <c r="H1475" s="11" t="str">
        <f t="shared" si="88"/>
        <v>count</v>
      </c>
      <c r="I1475" s="197"/>
      <c r="J1475" s="197"/>
      <c r="K1475" s="197"/>
      <c r="L1475" s="197"/>
      <c r="M1475" s="197"/>
      <c r="N1475" s="197"/>
      <c r="O1475" s="197"/>
      <c r="P1475" s="197"/>
      <c r="Q1475" s="197"/>
      <c r="R1475" s="197"/>
      <c r="S1475" s="197"/>
      <c r="T1475" s="197"/>
      <c r="U1475" s="197"/>
      <c r="V1475" s="197"/>
      <c r="W1475" s="197"/>
      <c r="X1475" s="197"/>
      <c r="Y1475" s="197"/>
      <c r="Z1475" s="197"/>
      <c r="AA1475" s="197"/>
      <c r="AB1475" s="197"/>
      <c r="AC1475" s="197"/>
      <c r="AD1475" s="197"/>
      <c r="AE1475" s="197"/>
      <c r="AF1475" s="197"/>
      <c r="AG1475" s="197"/>
      <c r="AH1475" s="197"/>
      <c r="AI1475" s="197"/>
      <c r="AJ1475" s="197"/>
      <c r="AK1475" s="197"/>
      <c r="AL1475" s="197"/>
    </row>
    <row r="1476" spans="1:38">
      <c r="A1476" s="11" t="str">
        <f t="shared" si="89"/>
        <v>15-799059512011</v>
      </c>
      <c r="B1476" t="s">
        <v>805</v>
      </c>
      <c r="C1476" t="s">
        <v>806</v>
      </c>
      <c r="D1476">
        <v>2011</v>
      </c>
      <c r="E1476" t="s">
        <v>63</v>
      </c>
      <c r="F1476">
        <v>259600.17</v>
      </c>
      <c r="G1476">
        <v>278</v>
      </c>
      <c r="H1476" s="11" t="str">
        <f t="shared" si="88"/>
        <v>count</v>
      </c>
      <c r="I1476" s="197"/>
      <c r="J1476" s="197"/>
      <c r="K1476" s="197"/>
      <c r="L1476" s="197"/>
      <c r="M1476" s="197"/>
      <c r="N1476" s="197"/>
      <c r="O1476" s="197"/>
      <c r="P1476" s="197"/>
      <c r="Q1476" s="197"/>
      <c r="R1476" s="197"/>
      <c r="S1476" s="197"/>
      <c r="T1476" s="197"/>
      <c r="U1476" s="197"/>
      <c r="V1476" s="197"/>
      <c r="W1476" s="197"/>
      <c r="X1476" s="197"/>
      <c r="Y1476" s="197"/>
      <c r="Z1476" s="197"/>
      <c r="AA1476" s="197"/>
      <c r="AB1476" s="197"/>
      <c r="AC1476" s="197"/>
      <c r="AD1476" s="197"/>
      <c r="AE1476" s="197"/>
      <c r="AF1476" s="197"/>
      <c r="AG1476" s="197"/>
      <c r="AH1476" s="197"/>
      <c r="AI1476" s="197"/>
      <c r="AJ1476" s="197"/>
      <c r="AK1476" s="197"/>
      <c r="AL1476" s="197"/>
    </row>
    <row r="1477" spans="1:38">
      <c r="A1477" s="11" t="str">
        <f t="shared" si="89"/>
        <v>15-799059512011</v>
      </c>
      <c r="B1477" t="s">
        <v>805</v>
      </c>
      <c r="C1477" t="s">
        <v>806</v>
      </c>
      <c r="D1477">
        <v>2011</v>
      </c>
      <c r="E1477" t="s">
        <v>104</v>
      </c>
      <c r="F1477">
        <v>143330.15</v>
      </c>
      <c r="G1477">
        <v>125</v>
      </c>
      <c r="H1477" s="11" t="str">
        <f t="shared" si="88"/>
        <v>count</v>
      </c>
      <c r="I1477" s="197"/>
      <c r="J1477" s="197"/>
      <c r="K1477" s="197"/>
      <c r="L1477" s="197"/>
      <c r="M1477" s="197"/>
      <c r="N1477" s="197"/>
      <c r="O1477" s="197"/>
      <c r="P1477" s="197"/>
      <c r="Q1477" s="197"/>
      <c r="R1477" s="197"/>
      <c r="S1477" s="197"/>
      <c r="T1477" s="197"/>
      <c r="U1477" s="197"/>
      <c r="V1477" s="197"/>
      <c r="W1477" s="197"/>
      <c r="X1477" s="197"/>
      <c r="Y1477" s="197"/>
      <c r="Z1477" s="197"/>
      <c r="AA1477" s="197"/>
      <c r="AB1477" s="197"/>
      <c r="AC1477" s="197"/>
      <c r="AD1477" s="197"/>
      <c r="AE1477" s="197"/>
      <c r="AF1477" s="197"/>
      <c r="AG1477" s="197"/>
      <c r="AH1477" s="197"/>
      <c r="AI1477" s="197"/>
      <c r="AJ1477" s="197"/>
      <c r="AK1477" s="197"/>
      <c r="AL1477" s="197"/>
    </row>
    <row r="1478" spans="1:38">
      <c r="A1478" s="11" t="str">
        <f t="shared" si="89"/>
        <v>15-799059512012</v>
      </c>
      <c r="B1478" t="s">
        <v>805</v>
      </c>
      <c r="C1478" t="s">
        <v>806</v>
      </c>
      <c r="D1478">
        <v>2012</v>
      </c>
      <c r="E1478" t="s">
        <v>133</v>
      </c>
      <c r="F1478">
        <v>101690.66</v>
      </c>
      <c r="G1478">
        <v>89</v>
      </c>
      <c r="H1478" s="11" t="str">
        <f t="shared" si="88"/>
        <v>count</v>
      </c>
      <c r="I1478" s="197"/>
      <c r="J1478" s="197"/>
      <c r="K1478" s="197"/>
      <c r="L1478" s="197"/>
      <c r="M1478" s="197"/>
      <c r="N1478" s="197"/>
      <c r="O1478" s="197"/>
      <c r="P1478" s="197"/>
      <c r="Q1478" s="197"/>
      <c r="R1478" s="197"/>
      <c r="S1478" s="197"/>
      <c r="T1478" s="197"/>
      <c r="U1478" s="197"/>
      <c r="V1478" s="197"/>
      <c r="W1478" s="197"/>
      <c r="X1478" s="197"/>
      <c r="Y1478" s="197"/>
      <c r="Z1478" s="197"/>
      <c r="AA1478" s="197"/>
      <c r="AB1478" s="197"/>
      <c r="AC1478" s="197"/>
      <c r="AD1478" s="197"/>
      <c r="AE1478" s="197"/>
      <c r="AF1478" s="197"/>
      <c r="AG1478" s="197"/>
      <c r="AH1478" s="197"/>
      <c r="AI1478" s="197"/>
      <c r="AJ1478" s="197"/>
      <c r="AK1478" s="197"/>
      <c r="AL1478" s="197"/>
    </row>
    <row r="1479" spans="1:38">
      <c r="A1479" s="11" t="str">
        <f t="shared" si="89"/>
        <v>15-799059512012</v>
      </c>
      <c r="B1479" t="s">
        <v>805</v>
      </c>
      <c r="C1479" t="s">
        <v>806</v>
      </c>
      <c r="D1479">
        <v>2012</v>
      </c>
      <c r="E1479" t="s">
        <v>105</v>
      </c>
      <c r="F1479">
        <v>16903.62</v>
      </c>
      <c r="G1479">
        <v>17</v>
      </c>
      <c r="H1479" s="11" t="str">
        <f t="shared" si="88"/>
        <v>count</v>
      </c>
      <c r="I1479" s="197"/>
      <c r="J1479" s="197"/>
      <c r="K1479" s="197"/>
      <c r="L1479" s="197"/>
      <c r="M1479" s="197"/>
      <c r="N1479" s="197"/>
      <c r="O1479" s="197"/>
      <c r="P1479" s="197"/>
      <c r="Q1479" s="197"/>
      <c r="R1479" s="197"/>
      <c r="S1479" s="197"/>
      <c r="T1479" s="197"/>
      <c r="U1479" s="197"/>
      <c r="V1479" s="197"/>
      <c r="W1479" s="197"/>
      <c r="X1479" s="197"/>
      <c r="Y1479" s="197"/>
      <c r="Z1479" s="197"/>
      <c r="AA1479" s="197"/>
      <c r="AB1479" s="197"/>
      <c r="AC1479" s="197"/>
      <c r="AD1479" s="197"/>
      <c r="AE1479" s="197"/>
      <c r="AF1479" s="197"/>
      <c r="AG1479" s="197"/>
      <c r="AH1479" s="197"/>
      <c r="AI1479" s="197"/>
      <c r="AJ1479" s="197"/>
      <c r="AK1479" s="197"/>
      <c r="AL1479" s="197"/>
    </row>
    <row r="1480" spans="1:38">
      <c r="A1480" s="11" t="str">
        <f t="shared" si="89"/>
        <v>15-799059512012</v>
      </c>
      <c r="B1480" t="s">
        <v>805</v>
      </c>
      <c r="C1480" t="s">
        <v>806</v>
      </c>
      <c r="D1480">
        <v>2012</v>
      </c>
      <c r="E1480" t="s">
        <v>63</v>
      </c>
      <c r="F1480">
        <v>216220.25</v>
      </c>
      <c r="G1480">
        <v>193</v>
      </c>
      <c r="H1480" s="11" t="str">
        <f t="shared" si="88"/>
        <v>count</v>
      </c>
      <c r="I1480" s="197"/>
      <c r="J1480" s="197"/>
      <c r="K1480" s="197"/>
      <c r="L1480" s="197"/>
      <c r="M1480" s="197"/>
      <c r="N1480" s="197"/>
      <c r="O1480" s="197"/>
      <c r="P1480" s="197"/>
      <c r="Q1480" s="197"/>
      <c r="R1480" s="197"/>
      <c r="S1480" s="197"/>
      <c r="T1480" s="197"/>
      <c r="U1480" s="197"/>
      <c r="V1480" s="197"/>
      <c r="W1480" s="197"/>
      <c r="X1480" s="197"/>
      <c r="Y1480" s="197"/>
      <c r="Z1480" s="197"/>
      <c r="AA1480" s="197"/>
      <c r="AB1480" s="197"/>
      <c r="AC1480" s="197"/>
      <c r="AD1480" s="197"/>
      <c r="AE1480" s="197"/>
      <c r="AF1480" s="197"/>
      <c r="AG1480" s="197"/>
      <c r="AH1480" s="197"/>
      <c r="AI1480" s="197"/>
      <c r="AJ1480" s="197"/>
      <c r="AK1480" s="197"/>
      <c r="AL1480" s="197"/>
    </row>
    <row r="1481" spans="1:38">
      <c r="A1481" s="11" t="str">
        <f t="shared" si="89"/>
        <v>15-799059512013</v>
      </c>
      <c r="B1481" t="s">
        <v>805</v>
      </c>
      <c r="C1481" t="s">
        <v>806</v>
      </c>
      <c r="D1481">
        <v>2013</v>
      </c>
      <c r="E1481" t="s">
        <v>105</v>
      </c>
      <c r="F1481">
        <v>18213.060000000001</v>
      </c>
      <c r="G1481">
        <v>18</v>
      </c>
      <c r="H1481" s="11" t="str">
        <f t="shared" si="88"/>
        <v>count</v>
      </c>
      <c r="I1481" s="197"/>
      <c r="J1481" s="197"/>
      <c r="K1481" s="197"/>
      <c r="L1481" s="197"/>
      <c r="M1481" s="197"/>
      <c r="N1481" s="197"/>
      <c r="O1481" s="197"/>
      <c r="P1481" s="197"/>
      <c r="Q1481" s="197"/>
      <c r="R1481" s="197"/>
      <c r="S1481" s="197"/>
      <c r="T1481" s="197"/>
      <c r="U1481" s="197"/>
      <c r="V1481" s="197"/>
      <c r="W1481" s="197"/>
      <c r="X1481" s="197"/>
      <c r="Y1481" s="197"/>
      <c r="Z1481" s="197"/>
      <c r="AA1481" s="197"/>
      <c r="AB1481" s="197"/>
      <c r="AC1481" s="197"/>
      <c r="AD1481" s="197"/>
      <c r="AE1481" s="197"/>
      <c r="AF1481" s="197"/>
      <c r="AG1481" s="197"/>
      <c r="AH1481" s="197"/>
      <c r="AI1481" s="197"/>
      <c r="AJ1481" s="197"/>
      <c r="AK1481" s="197"/>
      <c r="AL1481" s="197"/>
    </row>
    <row r="1482" spans="1:38">
      <c r="A1482" s="11" t="str">
        <f t="shared" si="89"/>
        <v>15-799059512012</v>
      </c>
      <c r="B1482" t="s">
        <v>805</v>
      </c>
      <c r="C1482" t="s">
        <v>806</v>
      </c>
      <c r="D1482">
        <v>2012</v>
      </c>
      <c r="E1482" t="s">
        <v>104</v>
      </c>
      <c r="F1482">
        <v>136810.41</v>
      </c>
      <c r="G1482">
        <v>128</v>
      </c>
      <c r="H1482" s="11" t="str">
        <f t="shared" si="88"/>
        <v>count</v>
      </c>
      <c r="I1482" s="197"/>
      <c r="J1482" s="197"/>
      <c r="K1482" s="197"/>
      <c r="L1482" s="197"/>
      <c r="M1482" s="197"/>
      <c r="N1482" s="197"/>
      <c r="O1482" s="197"/>
      <c r="P1482" s="197"/>
      <c r="Q1482" s="197"/>
      <c r="R1482" s="197"/>
      <c r="S1482" s="197"/>
      <c r="T1482" s="197"/>
      <c r="U1482" s="197"/>
      <c r="V1482" s="197"/>
      <c r="W1482" s="197"/>
      <c r="X1482" s="197"/>
      <c r="Y1482" s="197"/>
      <c r="Z1482" s="197"/>
      <c r="AA1482" s="197"/>
      <c r="AB1482" s="197"/>
      <c r="AC1482" s="197"/>
      <c r="AD1482" s="197"/>
      <c r="AE1482" s="197"/>
      <c r="AF1482" s="197"/>
      <c r="AG1482" s="197"/>
      <c r="AH1482" s="197"/>
      <c r="AI1482" s="197"/>
      <c r="AJ1482" s="197"/>
      <c r="AK1482" s="197"/>
      <c r="AL1482" s="197"/>
    </row>
    <row r="1483" spans="1:38">
      <c r="A1483" s="11" t="str">
        <f t="shared" si="89"/>
        <v>15-799059512011</v>
      </c>
      <c r="B1483" t="s">
        <v>805</v>
      </c>
      <c r="C1483" t="s">
        <v>806</v>
      </c>
      <c r="D1483">
        <v>2011</v>
      </c>
      <c r="E1483" t="s">
        <v>105</v>
      </c>
      <c r="F1483">
        <v>15294.38</v>
      </c>
      <c r="G1483">
        <v>17</v>
      </c>
      <c r="H1483" s="11" t="str">
        <f t="shared" si="88"/>
        <v>count</v>
      </c>
      <c r="I1483" s="197"/>
      <c r="J1483" s="197"/>
      <c r="K1483" s="197"/>
      <c r="L1483" s="197"/>
      <c r="M1483" s="197"/>
      <c r="N1483" s="197"/>
      <c r="O1483" s="197"/>
      <c r="P1483" s="197"/>
      <c r="Q1483" s="197"/>
      <c r="R1483" s="197"/>
      <c r="S1483" s="197"/>
      <c r="T1483" s="197"/>
      <c r="U1483" s="197"/>
      <c r="V1483" s="197"/>
      <c r="W1483" s="197"/>
      <c r="X1483" s="197"/>
      <c r="Y1483" s="197"/>
      <c r="Z1483" s="197"/>
      <c r="AA1483" s="197"/>
      <c r="AB1483" s="197"/>
      <c r="AC1483" s="197"/>
      <c r="AD1483" s="197"/>
      <c r="AE1483" s="197"/>
      <c r="AF1483" s="197"/>
      <c r="AG1483" s="197"/>
      <c r="AH1483" s="197"/>
      <c r="AI1483" s="197"/>
      <c r="AJ1483" s="197"/>
      <c r="AK1483" s="197"/>
      <c r="AL1483" s="197"/>
    </row>
    <row r="1484" spans="1:38">
      <c r="A1484" s="11" t="str">
        <f t="shared" si="89"/>
        <v>15-799059512011</v>
      </c>
      <c r="B1484" t="s">
        <v>805</v>
      </c>
      <c r="C1484" t="s">
        <v>806</v>
      </c>
      <c r="D1484">
        <v>2011</v>
      </c>
      <c r="E1484" t="s">
        <v>133</v>
      </c>
      <c r="F1484">
        <v>22618.560000000001</v>
      </c>
      <c r="G1484">
        <v>33</v>
      </c>
      <c r="H1484" s="11" t="str">
        <f t="shared" si="88"/>
        <v>count</v>
      </c>
      <c r="I1484" s="197"/>
      <c r="J1484" s="197"/>
      <c r="K1484" s="197"/>
      <c r="L1484" s="197"/>
      <c r="M1484" s="197"/>
      <c r="N1484" s="197"/>
      <c r="O1484" s="197"/>
      <c r="P1484" s="197"/>
      <c r="Q1484" s="197"/>
      <c r="R1484" s="197"/>
      <c r="S1484" s="197"/>
      <c r="T1484" s="197"/>
      <c r="U1484" s="197"/>
      <c r="V1484" s="197"/>
      <c r="W1484" s="197"/>
      <c r="X1484" s="197"/>
      <c r="Y1484" s="197"/>
      <c r="Z1484" s="197"/>
      <c r="AA1484" s="197"/>
      <c r="AB1484" s="197"/>
      <c r="AC1484" s="197"/>
      <c r="AD1484" s="197"/>
      <c r="AE1484" s="197"/>
      <c r="AF1484" s="197"/>
      <c r="AG1484" s="197"/>
      <c r="AH1484" s="197"/>
      <c r="AI1484" s="197"/>
      <c r="AJ1484" s="197"/>
      <c r="AK1484" s="197"/>
      <c r="AL1484" s="197"/>
    </row>
    <row r="1485" spans="1:38">
      <c r="A1485" s="11" t="str">
        <f t="shared" si="89"/>
        <v>15-799059512013</v>
      </c>
      <c r="B1485" t="s">
        <v>805</v>
      </c>
      <c r="C1485" t="s">
        <v>806</v>
      </c>
      <c r="D1485">
        <v>2013</v>
      </c>
      <c r="E1485" t="s">
        <v>63</v>
      </c>
      <c r="F1485">
        <v>205593.93</v>
      </c>
      <c r="G1485">
        <v>195</v>
      </c>
      <c r="H1485" s="11" t="str">
        <f t="shared" si="88"/>
        <v>count</v>
      </c>
      <c r="I1485" s="197"/>
      <c r="J1485" s="197"/>
      <c r="K1485" s="197"/>
      <c r="L1485" s="197"/>
      <c r="M1485" s="197"/>
      <c r="N1485" s="197"/>
      <c r="O1485" s="197"/>
      <c r="P1485" s="197"/>
      <c r="Q1485" s="197"/>
      <c r="R1485" s="197"/>
      <c r="S1485" s="197"/>
      <c r="T1485" s="197"/>
      <c r="U1485" s="197"/>
      <c r="V1485" s="197"/>
      <c r="W1485" s="197"/>
      <c r="X1485" s="197"/>
      <c r="Y1485" s="197"/>
      <c r="Z1485" s="197"/>
      <c r="AA1485" s="197"/>
      <c r="AB1485" s="197"/>
      <c r="AC1485" s="197"/>
      <c r="AD1485" s="197"/>
      <c r="AE1485" s="197"/>
      <c r="AF1485" s="197"/>
      <c r="AG1485" s="197"/>
      <c r="AH1485" s="197"/>
      <c r="AI1485" s="197"/>
      <c r="AJ1485" s="197"/>
      <c r="AK1485" s="197"/>
      <c r="AL1485" s="197"/>
    </row>
    <row r="1486" spans="1:38">
      <c r="A1486" s="11" t="str">
        <f t="shared" si="89"/>
        <v>15-799151782011</v>
      </c>
      <c r="B1486" t="s">
        <v>807</v>
      </c>
      <c r="C1486" t="s">
        <v>808</v>
      </c>
      <c r="D1486">
        <v>2011</v>
      </c>
      <c r="E1486" t="s">
        <v>104</v>
      </c>
      <c r="F1486">
        <v>377311.1</v>
      </c>
      <c r="G1486">
        <v>634</v>
      </c>
      <c r="H1486" s="11" t="str">
        <f t="shared" si="88"/>
        <v>volume</v>
      </c>
      <c r="I1486" s="197"/>
      <c r="J1486" s="197"/>
      <c r="K1486" s="197"/>
      <c r="L1486" s="197"/>
      <c r="M1486" s="197"/>
      <c r="N1486" s="197"/>
      <c r="O1486" s="197"/>
      <c r="P1486" s="197"/>
      <c r="Q1486" s="197"/>
      <c r="R1486" s="197"/>
      <c r="S1486" s="197"/>
      <c r="T1486" s="197"/>
      <c r="U1486" s="197"/>
      <c r="V1486" s="197"/>
      <c r="W1486" s="197"/>
      <c r="X1486" s="197"/>
      <c r="Y1486" s="197"/>
      <c r="Z1486" s="197"/>
      <c r="AA1486" s="197"/>
      <c r="AB1486" s="197"/>
      <c r="AC1486" s="197"/>
      <c r="AD1486" s="197"/>
      <c r="AE1486" s="197"/>
      <c r="AF1486" s="197"/>
      <c r="AG1486" s="197"/>
      <c r="AH1486" s="197"/>
      <c r="AI1486" s="197"/>
      <c r="AJ1486" s="197"/>
      <c r="AK1486" s="197"/>
      <c r="AL1486" s="197"/>
    </row>
    <row r="1487" spans="1:38">
      <c r="A1487" s="11" t="str">
        <f t="shared" si="89"/>
        <v>15-799151782012</v>
      </c>
      <c r="B1487" t="s">
        <v>807</v>
      </c>
      <c r="C1487" t="s">
        <v>808</v>
      </c>
      <c r="D1487">
        <v>2012</v>
      </c>
      <c r="E1487" t="s">
        <v>69</v>
      </c>
      <c r="F1487">
        <v>295314.57</v>
      </c>
      <c r="G1487">
        <v>406</v>
      </c>
      <c r="H1487" s="11" t="str">
        <f t="shared" si="88"/>
        <v>count</v>
      </c>
      <c r="I1487" s="197"/>
      <c r="J1487" s="197"/>
      <c r="K1487" s="197"/>
      <c r="L1487" s="197"/>
      <c r="M1487" s="197"/>
      <c r="N1487" s="197"/>
      <c r="O1487" s="197"/>
      <c r="P1487" s="197"/>
      <c r="Q1487" s="197"/>
      <c r="R1487" s="197"/>
      <c r="S1487" s="197"/>
      <c r="T1487" s="197"/>
      <c r="U1487" s="197"/>
      <c r="V1487" s="197"/>
      <c r="W1487" s="197"/>
      <c r="X1487" s="197"/>
      <c r="Y1487" s="197"/>
      <c r="Z1487" s="197"/>
      <c r="AA1487" s="197"/>
      <c r="AB1487" s="197"/>
      <c r="AC1487" s="197"/>
      <c r="AD1487" s="197"/>
      <c r="AE1487" s="197"/>
      <c r="AF1487" s="197"/>
      <c r="AG1487" s="197"/>
      <c r="AH1487" s="197"/>
      <c r="AI1487" s="197"/>
      <c r="AJ1487" s="197"/>
      <c r="AK1487" s="197"/>
      <c r="AL1487" s="197"/>
    </row>
    <row r="1488" spans="1:38">
      <c r="A1488" s="11" t="str">
        <f t="shared" si="89"/>
        <v>15-799151782012</v>
      </c>
      <c r="B1488" t="s">
        <v>807</v>
      </c>
      <c r="C1488" t="s">
        <v>808</v>
      </c>
      <c r="D1488">
        <v>2012</v>
      </c>
      <c r="E1488" t="s">
        <v>133</v>
      </c>
      <c r="F1488">
        <v>609879.9</v>
      </c>
      <c r="G1488">
        <v>574</v>
      </c>
      <c r="H1488" s="11" t="str">
        <f t="shared" si="88"/>
        <v>count</v>
      </c>
      <c r="I1488" s="197"/>
      <c r="J1488" s="197"/>
      <c r="K1488" s="197"/>
      <c r="L1488" s="197"/>
      <c r="M1488" s="197"/>
      <c r="N1488" s="197"/>
      <c r="O1488" s="197"/>
      <c r="P1488" s="197"/>
      <c r="Q1488" s="197"/>
      <c r="R1488" s="197"/>
      <c r="S1488" s="197"/>
      <c r="T1488" s="197"/>
      <c r="U1488" s="197"/>
      <c r="V1488" s="197"/>
      <c r="W1488" s="197"/>
      <c r="X1488" s="197"/>
      <c r="Y1488" s="197"/>
      <c r="Z1488" s="197"/>
      <c r="AA1488" s="197"/>
      <c r="AB1488" s="197"/>
      <c r="AC1488" s="197"/>
      <c r="AD1488" s="197"/>
      <c r="AE1488" s="197"/>
      <c r="AF1488" s="197"/>
      <c r="AG1488" s="197"/>
      <c r="AH1488" s="197"/>
      <c r="AI1488" s="197"/>
      <c r="AJ1488" s="197"/>
      <c r="AK1488" s="197"/>
      <c r="AL1488" s="197"/>
    </row>
    <row r="1489" spans="1:38">
      <c r="A1489" s="11" t="str">
        <f t="shared" si="89"/>
        <v>15-799151782011</v>
      </c>
      <c r="B1489" t="s">
        <v>807</v>
      </c>
      <c r="C1489" t="s">
        <v>808</v>
      </c>
      <c r="D1489">
        <v>2011</v>
      </c>
      <c r="E1489" t="s">
        <v>63</v>
      </c>
      <c r="F1489">
        <v>1467302.48</v>
      </c>
      <c r="G1489">
        <v>2342</v>
      </c>
      <c r="H1489" s="11" t="str">
        <f t="shared" si="88"/>
        <v>count</v>
      </c>
      <c r="I1489" s="197"/>
      <c r="J1489" s="197"/>
      <c r="K1489" s="197"/>
      <c r="L1489" s="197"/>
      <c r="M1489" s="197"/>
      <c r="N1489" s="197"/>
      <c r="O1489" s="197"/>
      <c r="P1489" s="197"/>
      <c r="Q1489" s="197"/>
      <c r="R1489" s="197"/>
      <c r="S1489" s="197"/>
      <c r="T1489" s="197"/>
      <c r="U1489" s="197"/>
      <c r="V1489" s="197"/>
      <c r="W1489" s="197"/>
      <c r="X1489" s="197"/>
      <c r="Y1489" s="197"/>
      <c r="Z1489" s="197"/>
      <c r="AA1489" s="197"/>
      <c r="AB1489" s="197"/>
      <c r="AC1489" s="197"/>
      <c r="AD1489" s="197"/>
      <c r="AE1489" s="197"/>
      <c r="AF1489" s="197"/>
      <c r="AG1489" s="197"/>
      <c r="AH1489" s="197"/>
      <c r="AI1489" s="197"/>
      <c r="AJ1489" s="197"/>
      <c r="AK1489" s="197"/>
      <c r="AL1489" s="197"/>
    </row>
    <row r="1490" spans="1:38">
      <c r="A1490" s="11" t="str">
        <f t="shared" si="89"/>
        <v>15-799151782011</v>
      </c>
      <c r="B1490" t="s">
        <v>807</v>
      </c>
      <c r="C1490" t="s">
        <v>808</v>
      </c>
      <c r="D1490">
        <v>2011</v>
      </c>
      <c r="E1490" t="s">
        <v>1074</v>
      </c>
      <c r="F1490">
        <v>36522.82</v>
      </c>
      <c r="G1490">
        <v>89</v>
      </c>
      <c r="H1490" s="11" t="str">
        <f t="shared" si="88"/>
        <v>count</v>
      </c>
      <c r="I1490" s="197"/>
      <c r="J1490" s="197"/>
      <c r="K1490" s="197"/>
      <c r="L1490" s="197"/>
      <c r="M1490" s="197"/>
      <c r="N1490" s="197"/>
      <c r="O1490" s="197"/>
      <c r="P1490" s="197"/>
      <c r="Q1490" s="197"/>
      <c r="R1490" s="197"/>
      <c r="S1490" s="197"/>
      <c r="T1490" s="197"/>
      <c r="U1490" s="197"/>
      <c r="V1490" s="197"/>
      <c r="W1490" s="197"/>
      <c r="X1490" s="197"/>
      <c r="Y1490" s="197"/>
      <c r="Z1490" s="197"/>
      <c r="AA1490" s="197"/>
      <c r="AB1490" s="197"/>
      <c r="AC1490" s="197"/>
      <c r="AD1490" s="197"/>
      <c r="AE1490" s="197"/>
      <c r="AF1490" s="197"/>
      <c r="AG1490" s="197"/>
      <c r="AH1490" s="197"/>
      <c r="AI1490" s="197"/>
      <c r="AJ1490" s="197"/>
      <c r="AK1490" s="197"/>
      <c r="AL1490" s="197"/>
    </row>
    <row r="1491" spans="1:38">
      <c r="A1491" s="11" t="str">
        <f t="shared" si="89"/>
        <v>15-799151782012</v>
      </c>
      <c r="B1491" t="s">
        <v>807</v>
      </c>
      <c r="C1491" t="s">
        <v>808</v>
      </c>
      <c r="D1491">
        <v>2012</v>
      </c>
      <c r="E1491" t="s">
        <v>105</v>
      </c>
      <c r="F1491">
        <v>47770.89</v>
      </c>
      <c r="G1491">
        <v>51</v>
      </c>
      <c r="H1491" s="11" t="str">
        <f t="shared" si="88"/>
        <v>count</v>
      </c>
      <c r="I1491" s="197"/>
      <c r="J1491" s="197"/>
      <c r="K1491" s="197"/>
      <c r="L1491" s="197"/>
      <c r="M1491" s="197"/>
      <c r="N1491" s="197"/>
      <c r="O1491" s="197"/>
      <c r="P1491" s="197"/>
      <c r="Q1491" s="197"/>
      <c r="R1491" s="197"/>
      <c r="S1491" s="197"/>
      <c r="T1491" s="197"/>
      <c r="U1491" s="197"/>
      <c r="V1491" s="197"/>
      <c r="W1491" s="197"/>
      <c r="X1491" s="197"/>
      <c r="Y1491" s="197"/>
      <c r="Z1491" s="197"/>
      <c r="AA1491" s="197"/>
      <c r="AB1491" s="197"/>
      <c r="AC1491" s="197"/>
      <c r="AD1491" s="197"/>
      <c r="AE1491" s="197"/>
      <c r="AF1491" s="197"/>
      <c r="AG1491" s="197"/>
      <c r="AH1491" s="197"/>
      <c r="AI1491" s="197"/>
      <c r="AJ1491" s="197"/>
      <c r="AK1491" s="197"/>
      <c r="AL1491" s="197"/>
    </row>
    <row r="1492" spans="1:38">
      <c r="A1492" s="11" t="str">
        <f t="shared" si="89"/>
        <v>15-799151782012</v>
      </c>
      <c r="B1492" t="s">
        <v>807</v>
      </c>
      <c r="C1492" t="s">
        <v>808</v>
      </c>
      <c r="D1492">
        <v>2012</v>
      </c>
      <c r="E1492" t="s">
        <v>1074</v>
      </c>
      <c r="F1492">
        <v>30541.21</v>
      </c>
      <c r="G1492">
        <v>49</v>
      </c>
      <c r="H1492" s="11" t="str">
        <f t="shared" si="88"/>
        <v>count</v>
      </c>
      <c r="I1492" s="197"/>
      <c r="J1492" s="197"/>
      <c r="K1492" s="197"/>
      <c r="L1492" s="197"/>
      <c r="M1492" s="197"/>
      <c r="N1492" s="197"/>
      <c r="O1492" s="197"/>
      <c r="P1492" s="197"/>
      <c r="Q1492" s="197"/>
      <c r="R1492" s="197"/>
      <c r="S1492" s="197"/>
      <c r="T1492" s="197"/>
      <c r="U1492" s="197"/>
      <c r="V1492" s="197"/>
      <c r="W1492" s="197"/>
      <c r="X1492" s="197"/>
      <c r="Y1492" s="197"/>
      <c r="Z1492" s="197"/>
      <c r="AA1492" s="197"/>
      <c r="AB1492" s="197"/>
      <c r="AC1492" s="197"/>
      <c r="AD1492" s="197"/>
      <c r="AE1492" s="197"/>
      <c r="AF1492" s="197"/>
      <c r="AG1492" s="197"/>
      <c r="AH1492" s="197"/>
      <c r="AI1492" s="197"/>
      <c r="AJ1492" s="197"/>
      <c r="AK1492" s="197"/>
      <c r="AL1492" s="197"/>
    </row>
    <row r="1493" spans="1:38">
      <c r="A1493" s="11" t="str">
        <f t="shared" si="89"/>
        <v>15-799151782013</v>
      </c>
      <c r="B1493" t="s">
        <v>807</v>
      </c>
      <c r="C1493" t="s">
        <v>808</v>
      </c>
      <c r="D1493">
        <v>2013</v>
      </c>
      <c r="E1493" t="s">
        <v>105</v>
      </c>
      <c r="F1493">
        <v>62007.01</v>
      </c>
      <c r="G1493">
        <v>66</v>
      </c>
      <c r="H1493" s="11" t="str">
        <f t="shared" si="88"/>
        <v>count</v>
      </c>
      <c r="I1493" s="197"/>
      <c r="J1493" s="197"/>
      <c r="K1493" s="197"/>
      <c r="L1493" s="197"/>
      <c r="M1493" s="197"/>
      <c r="N1493" s="197"/>
      <c r="O1493" s="197"/>
      <c r="P1493" s="197"/>
      <c r="Q1493" s="197"/>
      <c r="R1493" s="197"/>
      <c r="S1493" s="197"/>
      <c r="T1493" s="197"/>
      <c r="U1493" s="197"/>
      <c r="V1493" s="197"/>
      <c r="W1493" s="197"/>
      <c r="X1493" s="197"/>
      <c r="Y1493" s="197"/>
      <c r="Z1493" s="197"/>
      <c r="AA1493" s="197"/>
      <c r="AB1493" s="197"/>
      <c r="AC1493" s="197"/>
      <c r="AD1493" s="197"/>
      <c r="AE1493" s="197"/>
      <c r="AF1493" s="197"/>
      <c r="AG1493" s="197"/>
      <c r="AH1493" s="197"/>
      <c r="AI1493" s="197"/>
      <c r="AJ1493" s="197"/>
      <c r="AK1493" s="197"/>
      <c r="AL1493" s="197"/>
    </row>
    <row r="1494" spans="1:38">
      <c r="A1494" s="11" t="str">
        <f t="shared" si="89"/>
        <v>15-799151782011</v>
      </c>
      <c r="B1494" t="s">
        <v>807</v>
      </c>
      <c r="C1494" t="s">
        <v>808</v>
      </c>
      <c r="D1494">
        <v>2011</v>
      </c>
      <c r="E1494" t="s">
        <v>133</v>
      </c>
      <c r="F1494">
        <v>328901.86</v>
      </c>
      <c r="G1494">
        <v>507</v>
      </c>
      <c r="H1494" s="11" t="str">
        <f t="shared" si="88"/>
        <v>count</v>
      </c>
      <c r="I1494" s="197"/>
      <c r="J1494" s="197"/>
      <c r="K1494" s="197"/>
      <c r="L1494" s="197"/>
      <c r="M1494" s="197"/>
      <c r="N1494" s="197"/>
      <c r="O1494" s="197"/>
      <c r="P1494" s="197"/>
      <c r="Q1494" s="197"/>
      <c r="R1494" s="197"/>
      <c r="S1494" s="197"/>
      <c r="T1494" s="197"/>
      <c r="U1494" s="197"/>
      <c r="V1494" s="197"/>
      <c r="W1494" s="197"/>
      <c r="X1494" s="197"/>
      <c r="Y1494" s="197"/>
      <c r="Z1494" s="197"/>
      <c r="AA1494" s="197"/>
      <c r="AB1494" s="197"/>
      <c r="AC1494" s="197"/>
      <c r="AD1494" s="197"/>
      <c r="AE1494" s="197"/>
      <c r="AF1494" s="197"/>
      <c r="AG1494" s="197"/>
      <c r="AH1494" s="197"/>
      <c r="AI1494" s="197"/>
      <c r="AJ1494" s="197"/>
      <c r="AK1494" s="197"/>
      <c r="AL1494" s="197"/>
    </row>
    <row r="1495" spans="1:38">
      <c r="A1495" s="11" t="str">
        <f t="shared" si="89"/>
        <v>15-799151782011</v>
      </c>
      <c r="B1495" t="s">
        <v>807</v>
      </c>
      <c r="C1495" t="s">
        <v>808</v>
      </c>
      <c r="D1495">
        <v>2011</v>
      </c>
      <c r="E1495" t="s">
        <v>69</v>
      </c>
      <c r="F1495">
        <v>1610</v>
      </c>
      <c r="G1495">
        <v>2</v>
      </c>
      <c r="H1495" s="11" t="str">
        <f t="shared" si="88"/>
        <v>count</v>
      </c>
      <c r="I1495" s="197"/>
      <c r="J1495" s="197"/>
      <c r="K1495" s="197"/>
      <c r="L1495" s="197"/>
      <c r="M1495" s="197"/>
      <c r="N1495" s="197"/>
      <c r="O1495" s="197"/>
      <c r="P1495" s="197"/>
      <c r="Q1495" s="197"/>
      <c r="R1495" s="197"/>
      <c r="S1495" s="197"/>
      <c r="T1495" s="197"/>
      <c r="U1495" s="197"/>
      <c r="V1495" s="197"/>
      <c r="W1495" s="197"/>
      <c r="X1495" s="197"/>
      <c r="Y1495" s="197"/>
      <c r="Z1495" s="197"/>
      <c r="AA1495" s="197"/>
      <c r="AB1495" s="197"/>
      <c r="AC1495" s="197"/>
      <c r="AD1495" s="197"/>
      <c r="AE1495" s="197"/>
      <c r="AF1495" s="197"/>
      <c r="AG1495" s="197"/>
      <c r="AH1495" s="197"/>
      <c r="AI1495" s="197"/>
      <c r="AJ1495" s="197"/>
      <c r="AK1495" s="197"/>
      <c r="AL1495" s="197"/>
    </row>
    <row r="1496" spans="1:38">
      <c r="A1496" s="11" t="str">
        <f t="shared" si="89"/>
        <v>15-799151782012</v>
      </c>
      <c r="B1496" t="s">
        <v>807</v>
      </c>
      <c r="C1496" t="s">
        <v>808</v>
      </c>
      <c r="D1496">
        <v>2012</v>
      </c>
      <c r="E1496" t="s">
        <v>1075</v>
      </c>
      <c r="F1496">
        <v>28065.03</v>
      </c>
      <c r="G1496">
        <v>47</v>
      </c>
      <c r="H1496" s="11" t="str">
        <f t="shared" si="88"/>
        <v>count</v>
      </c>
      <c r="I1496" s="197"/>
      <c r="J1496" s="197"/>
      <c r="K1496" s="197"/>
      <c r="L1496" s="197"/>
      <c r="M1496" s="197"/>
      <c r="N1496" s="197"/>
      <c r="O1496" s="197"/>
      <c r="P1496" s="197"/>
      <c r="Q1496" s="197"/>
      <c r="R1496" s="197"/>
      <c r="S1496" s="197"/>
      <c r="T1496" s="197"/>
      <c r="U1496" s="197"/>
      <c r="V1496" s="197"/>
      <c r="W1496" s="197"/>
      <c r="X1496" s="197"/>
      <c r="Y1496" s="197"/>
      <c r="Z1496" s="197"/>
      <c r="AA1496" s="197"/>
      <c r="AB1496" s="197"/>
      <c r="AC1496" s="197"/>
      <c r="AD1496" s="197"/>
      <c r="AE1496" s="197"/>
      <c r="AF1496" s="197"/>
      <c r="AG1496" s="197"/>
      <c r="AH1496" s="197"/>
      <c r="AI1496" s="197"/>
      <c r="AJ1496" s="197"/>
      <c r="AK1496" s="197"/>
      <c r="AL1496" s="197"/>
    </row>
    <row r="1497" spans="1:38">
      <c r="A1497" s="11" t="str">
        <f t="shared" si="89"/>
        <v>15-799151782012</v>
      </c>
      <c r="B1497" t="s">
        <v>807</v>
      </c>
      <c r="C1497" t="s">
        <v>808</v>
      </c>
      <c r="D1497">
        <v>2012</v>
      </c>
      <c r="E1497" t="s">
        <v>104</v>
      </c>
      <c r="F1497">
        <v>492848.53</v>
      </c>
      <c r="G1497">
        <v>587</v>
      </c>
      <c r="H1497" s="11" t="str">
        <f t="shared" si="88"/>
        <v>count</v>
      </c>
      <c r="I1497" s="197"/>
      <c r="J1497" s="197"/>
      <c r="K1497" s="197"/>
      <c r="L1497" s="197"/>
      <c r="M1497" s="197"/>
      <c r="N1497" s="197"/>
      <c r="O1497" s="197"/>
      <c r="P1497" s="197"/>
      <c r="Q1497" s="197"/>
      <c r="R1497" s="197"/>
      <c r="S1497" s="197"/>
      <c r="T1497" s="197"/>
      <c r="U1497" s="197"/>
      <c r="V1497" s="197"/>
      <c r="W1497" s="197"/>
      <c r="X1497" s="197"/>
      <c r="Y1497" s="197"/>
      <c r="Z1497" s="197"/>
      <c r="AA1497" s="197"/>
      <c r="AB1497" s="197"/>
      <c r="AC1497" s="197"/>
      <c r="AD1497" s="197"/>
      <c r="AE1497" s="197"/>
      <c r="AF1497" s="197"/>
      <c r="AG1497" s="197"/>
      <c r="AH1497" s="197"/>
      <c r="AI1497" s="197"/>
      <c r="AJ1497" s="197"/>
      <c r="AK1497" s="197"/>
      <c r="AL1497" s="197"/>
    </row>
    <row r="1498" spans="1:38">
      <c r="A1498" s="11" t="str">
        <f t="shared" si="89"/>
        <v>15-799151782011</v>
      </c>
      <c r="B1498" t="s">
        <v>807</v>
      </c>
      <c r="C1498" t="s">
        <v>808</v>
      </c>
      <c r="D1498">
        <v>2011</v>
      </c>
      <c r="E1498" t="s">
        <v>1076</v>
      </c>
      <c r="F1498">
        <v>5074.6099999999997</v>
      </c>
      <c r="G1498">
        <v>13</v>
      </c>
      <c r="H1498" s="11" t="str">
        <f t="shared" si="88"/>
        <v>count</v>
      </c>
      <c r="I1498" s="197"/>
      <c r="J1498" s="197"/>
      <c r="K1498" s="197"/>
      <c r="L1498" s="197"/>
      <c r="M1498" s="197"/>
      <c r="N1498" s="197"/>
      <c r="O1498" s="197"/>
      <c r="P1498" s="197"/>
      <c r="Q1498" s="197"/>
      <c r="R1498" s="197"/>
      <c r="S1498" s="197"/>
      <c r="T1498" s="197"/>
      <c r="U1498" s="197"/>
      <c r="V1498" s="197"/>
      <c r="W1498" s="197"/>
      <c r="X1498" s="197"/>
      <c r="Y1498" s="197"/>
      <c r="Z1498" s="197"/>
      <c r="AA1498" s="197"/>
      <c r="AB1498" s="197"/>
      <c r="AC1498" s="197"/>
      <c r="AD1498" s="197"/>
      <c r="AE1498" s="197"/>
      <c r="AF1498" s="197"/>
      <c r="AG1498" s="197"/>
      <c r="AH1498" s="197"/>
      <c r="AI1498" s="197"/>
      <c r="AJ1498" s="197"/>
      <c r="AK1498" s="197"/>
      <c r="AL1498" s="197"/>
    </row>
    <row r="1499" spans="1:38">
      <c r="A1499" s="11" t="str">
        <f t="shared" si="89"/>
        <v>15-799151782011</v>
      </c>
      <c r="B1499" t="s">
        <v>807</v>
      </c>
      <c r="C1499" t="s">
        <v>808</v>
      </c>
      <c r="D1499">
        <v>2011</v>
      </c>
      <c r="E1499" t="s">
        <v>1075</v>
      </c>
      <c r="F1499">
        <v>9958.67</v>
      </c>
      <c r="G1499">
        <v>26</v>
      </c>
      <c r="H1499" s="11" t="str">
        <f t="shared" si="88"/>
        <v>count</v>
      </c>
      <c r="I1499" s="197"/>
      <c r="J1499" s="197"/>
      <c r="K1499" s="197"/>
      <c r="L1499" s="197"/>
      <c r="M1499" s="197"/>
      <c r="N1499" s="197"/>
      <c r="O1499" s="197"/>
      <c r="P1499" s="197"/>
      <c r="Q1499" s="197"/>
      <c r="R1499" s="197"/>
      <c r="S1499" s="197"/>
      <c r="T1499" s="197"/>
      <c r="U1499" s="197"/>
      <c r="V1499" s="197"/>
      <c r="W1499" s="197"/>
      <c r="X1499" s="197"/>
      <c r="Y1499" s="197"/>
      <c r="Z1499" s="197"/>
      <c r="AA1499" s="197"/>
      <c r="AB1499" s="197"/>
      <c r="AC1499" s="197"/>
      <c r="AD1499" s="197"/>
      <c r="AE1499" s="197"/>
      <c r="AF1499" s="197"/>
      <c r="AG1499" s="197"/>
      <c r="AH1499" s="197"/>
      <c r="AI1499" s="197"/>
      <c r="AJ1499" s="197"/>
      <c r="AK1499" s="197"/>
      <c r="AL1499" s="197"/>
    </row>
    <row r="1500" spans="1:38">
      <c r="A1500" s="11" t="str">
        <f t="shared" si="89"/>
        <v>15-799151782012</v>
      </c>
      <c r="B1500" t="s">
        <v>807</v>
      </c>
      <c r="C1500" t="s">
        <v>808</v>
      </c>
      <c r="D1500">
        <v>2012</v>
      </c>
      <c r="E1500" t="s">
        <v>63</v>
      </c>
      <c r="F1500">
        <v>2620491.84</v>
      </c>
      <c r="G1500">
        <v>2495</v>
      </c>
      <c r="H1500" s="11" t="str">
        <f t="shared" si="88"/>
        <v>count</v>
      </c>
      <c r="I1500" s="197"/>
      <c r="J1500" s="197"/>
      <c r="K1500" s="197"/>
      <c r="L1500" s="197"/>
      <c r="M1500" s="197"/>
      <c r="N1500" s="197"/>
      <c r="O1500" s="197"/>
      <c r="P1500" s="197"/>
      <c r="Q1500" s="197"/>
      <c r="R1500" s="197"/>
      <c r="S1500" s="197"/>
      <c r="T1500" s="197"/>
      <c r="U1500" s="197"/>
      <c r="V1500" s="197"/>
      <c r="W1500" s="197"/>
      <c r="X1500" s="197"/>
      <c r="Y1500" s="197"/>
      <c r="Z1500" s="197"/>
      <c r="AA1500" s="197"/>
      <c r="AB1500" s="197"/>
      <c r="AC1500" s="197"/>
      <c r="AD1500" s="197"/>
      <c r="AE1500" s="197"/>
      <c r="AF1500" s="197"/>
      <c r="AG1500" s="197"/>
      <c r="AH1500" s="197"/>
      <c r="AI1500" s="197"/>
      <c r="AJ1500" s="197"/>
      <c r="AK1500" s="197"/>
      <c r="AL1500" s="197"/>
    </row>
    <row r="1501" spans="1:38">
      <c r="A1501" s="11" t="str">
        <f t="shared" si="89"/>
        <v>15-799151782013</v>
      </c>
      <c r="B1501" t="s">
        <v>807</v>
      </c>
      <c r="C1501" t="s">
        <v>808</v>
      </c>
      <c r="D1501">
        <v>2013</v>
      </c>
      <c r="E1501" t="s">
        <v>133</v>
      </c>
      <c r="F1501">
        <v>273471.5</v>
      </c>
      <c r="G1501">
        <v>235</v>
      </c>
      <c r="H1501" s="11" t="str">
        <f t="shared" si="88"/>
        <v>count</v>
      </c>
      <c r="I1501" s="197"/>
      <c r="J1501" s="197"/>
      <c r="K1501" s="197"/>
      <c r="L1501" s="197"/>
      <c r="M1501" s="197"/>
      <c r="N1501" s="197"/>
      <c r="O1501" s="197"/>
      <c r="P1501" s="197"/>
      <c r="Q1501" s="197"/>
      <c r="R1501" s="197"/>
      <c r="S1501" s="197"/>
      <c r="T1501" s="197"/>
      <c r="U1501" s="197"/>
      <c r="V1501" s="197"/>
      <c r="W1501" s="197"/>
      <c r="X1501" s="197"/>
      <c r="Y1501" s="197"/>
      <c r="Z1501" s="197"/>
      <c r="AA1501" s="197"/>
      <c r="AB1501" s="197"/>
      <c r="AC1501" s="197"/>
      <c r="AD1501" s="197"/>
      <c r="AE1501" s="197"/>
      <c r="AF1501" s="197"/>
      <c r="AG1501" s="197"/>
      <c r="AH1501" s="197"/>
      <c r="AI1501" s="197"/>
      <c r="AJ1501" s="197"/>
      <c r="AK1501" s="197"/>
      <c r="AL1501" s="197"/>
    </row>
    <row r="1502" spans="1:38">
      <c r="A1502" s="11" t="str">
        <f t="shared" si="89"/>
        <v>15-799151782013</v>
      </c>
      <c r="B1502" t="s">
        <v>807</v>
      </c>
      <c r="C1502" t="s">
        <v>808</v>
      </c>
      <c r="D1502">
        <v>2013</v>
      </c>
      <c r="E1502" t="s">
        <v>63</v>
      </c>
      <c r="F1502">
        <v>2889541.31</v>
      </c>
      <c r="G1502">
        <v>2770</v>
      </c>
      <c r="H1502" s="11" t="str">
        <f t="shared" si="88"/>
        <v>count</v>
      </c>
      <c r="I1502" s="197"/>
      <c r="J1502" s="197"/>
      <c r="K1502" s="197"/>
      <c r="L1502" s="197"/>
      <c r="M1502" s="197"/>
      <c r="N1502" s="197"/>
      <c r="O1502" s="197"/>
      <c r="P1502" s="197"/>
      <c r="Q1502" s="197"/>
      <c r="R1502" s="197"/>
      <c r="S1502" s="197"/>
      <c r="T1502" s="197"/>
      <c r="U1502" s="197"/>
      <c r="V1502" s="197"/>
      <c r="W1502" s="197"/>
      <c r="X1502" s="197"/>
      <c r="Y1502" s="197"/>
      <c r="Z1502" s="197"/>
      <c r="AA1502" s="197"/>
      <c r="AB1502" s="197"/>
      <c r="AC1502" s="197"/>
      <c r="AD1502" s="197"/>
      <c r="AE1502" s="197"/>
      <c r="AF1502" s="197"/>
      <c r="AG1502" s="197"/>
      <c r="AH1502" s="197"/>
      <c r="AI1502" s="197"/>
      <c r="AJ1502" s="197"/>
      <c r="AK1502" s="197"/>
      <c r="AL1502" s="197"/>
    </row>
    <row r="1503" spans="1:38">
      <c r="A1503" s="11" t="str">
        <f t="shared" si="89"/>
        <v>15-799151782013</v>
      </c>
      <c r="B1503" t="s">
        <v>807</v>
      </c>
      <c r="C1503" t="s">
        <v>808</v>
      </c>
      <c r="D1503">
        <v>2013</v>
      </c>
      <c r="E1503" t="s">
        <v>69</v>
      </c>
      <c r="F1503">
        <v>502318.18</v>
      </c>
      <c r="G1503">
        <v>632</v>
      </c>
      <c r="H1503" s="11" t="str">
        <f t="shared" si="88"/>
        <v>count</v>
      </c>
      <c r="I1503" s="197"/>
      <c r="J1503" s="197"/>
      <c r="K1503" s="197"/>
      <c r="L1503" s="197"/>
      <c r="M1503" s="197"/>
      <c r="N1503" s="197"/>
      <c r="O1503" s="197"/>
      <c r="P1503" s="197"/>
      <c r="Q1503" s="197"/>
      <c r="R1503" s="197"/>
      <c r="S1503" s="197"/>
      <c r="T1503" s="197"/>
      <c r="U1503" s="197"/>
      <c r="V1503" s="197"/>
      <c r="W1503" s="197"/>
      <c r="X1503" s="197"/>
      <c r="Y1503" s="197"/>
      <c r="Z1503" s="197"/>
      <c r="AA1503" s="197"/>
      <c r="AB1503" s="197"/>
      <c r="AC1503" s="197"/>
      <c r="AD1503" s="197"/>
      <c r="AE1503" s="197"/>
      <c r="AF1503" s="197"/>
      <c r="AG1503" s="197"/>
      <c r="AH1503" s="197"/>
      <c r="AI1503" s="197"/>
      <c r="AJ1503" s="197"/>
      <c r="AK1503" s="197"/>
      <c r="AL1503" s="197"/>
    </row>
    <row r="1504" spans="1:38">
      <c r="A1504" s="11" t="str">
        <f t="shared" si="89"/>
        <v>15-799151782012</v>
      </c>
      <c r="B1504" t="s">
        <v>807</v>
      </c>
      <c r="C1504" t="s">
        <v>808</v>
      </c>
      <c r="D1504">
        <v>2012</v>
      </c>
      <c r="E1504" t="s">
        <v>1076</v>
      </c>
      <c r="F1504">
        <v>77610.710000000006</v>
      </c>
      <c r="G1504">
        <v>91</v>
      </c>
      <c r="H1504" s="11" t="str">
        <f t="shared" si="88"/>
        <v>count</v>
      </c>
      <c r="I1504" s="197"/>
      <c r="J1504" s="197"/>
      <c r="K1504" s="197"/>
      <c r="L1504" s="197"/>
      <c r="M1504" s="197"/>
      <c r="N1504" s="197"/>
      <c r="O1504" s="197"/>
      <c r="P1504" s="197"/>
      <c r="Q1504" s="197"/>
      <c r="R1504" s="197"/>
      <c r="S1504" s="197"/>
      <c r="T1504" s="197"/>
      <c r="U1504" s="197"/>
      <c r="V1504" s="197"/>
      <c r="W1504" s="197"/>
      <c r="X1504" s="197"/>
      <c r="Y1504" s="197"/>
      <c r="Z1504" s="197"/>
      <c r="AA1504" s="197"/>
      <c r="AB1504" s="197"/>
      <c r="AC1504" s="197"/>
      <c r="AD1504" s="197"/>
      <c r="AE1504" s="197"/>
      <c r="AF1504" s="197"/>
      <c r="AG1504" s="197"/>
      <c r="AH1504" s="197"/>
      <c r="AI1504" s="197"/>
      <c r="AJ1504" s="197"/>
      <c r="AK1504" s="197"/>
      <c r="AL1504" s="197"/>
    </row>
    <row r="1505" spans="1:38">
      <c r="A1505" s="11" t="str">
        <f t="shared" si="89"/>
        <v>15-799151782011</v>
      </c>
      <c r="B1505" t="s">
        <v>807</v>
      </c>
      <c r="C1505" t="s">
        <v>808</v>
      </c>
      <c r="D1505">
        <v>2011</v>
      </c>
      <c r="E1505" t="s">
        <v>105</v>
      </c>
      <c r="F1505">
        <v>30500.54</v>
      </c>
      <c r="G1505">
        <v>59</v>
      </c>
      <c r="H1505" s="11" t="str">
        <f t="shared" si="88"/>
        <v>count</v>
      </c>
      <c r="I1505" s="197"/>
      <c r="J1505" s="197"/>
      <c r="K1505" s="197"/>
      <c r="L1505" s="197"/>
      <c r="M1505" s="197"/>
      <c r="N1505" s="197"/>
      <c r="O1505" s="197"/>
      <c r="P1505" s="197"/>
      <c r="Q1505" s="197"/>
      <c r="R1505" s="197"/>
      <c r="S1505" s="197"/>
      <c r="T1505" s="197"/>
      <c r="U1505" s="197"/>
      <c r="V1505" s="197"/>
      <c r="W1505" s="197"/>
      <c r="X1505" s="197"/>
      <c r="Y1505" s="197"/>
      <c r="Z1505" s="197"/>
      <c r="AA1505" s="197"/>
      <c r="AB1505" s="197"/>
      <c r="AC1505" s="197"/>
      <c r="AD1505" s="197"/>
      <c r="AE1505" s="197"/>
      <c r="AF1505" s="197"/>
      <c r="AG1505" s="197"/>
      <c r="AH1505" s="197"/>
      <c r="AI1505" s="197"/>
      <c r="AJ1505" s="197"/>
      <c r="AK1505" s="197"/>
      <c r="AL1505" s="197"/>
    </row>
    <row r="1506" spans="1:38">
      <c r="A1506" s="11" t="str">
        <f t="shared" si="89"/>
        <v>15-799151782013</v>
      </c>
      <c r="B1506" t="s">
        <v>807</v>
      </c>
      <c r="C1506" t="s">
        <v>808</v>
      </c>
      <c r="D1506">
        <v>2013</v>
      </c>
      <c r="E1506" t="s">
        <v>104</v>
      </c>
      <c r="F1506">
        <v>601850.06000000006</v>
      </c>
      <c r="G1506">
        <v>622</v>
      </c>
      <c r="H1506" s="11" t="str">
        <f t="shared" si="88"/>
        <v>count</v>
      </c>
      <c r="I1506" s="197"/>
      <c r="J1506" s="197"/>
      <c r="K1506" s="197"/>
      <c r="L1506" s="197"/>
      <c r="M1506" s="197"/>
      <c r="N1506" s="197"/>
      <c r="O1506" s="197"/>
      <c r="P1506" s="197"/>
      <c r="Q1506" s="197"/>
      <c r="R1506" s="197"/>
      <c r="S1506" s="197"/>
      <c r="T1506" s="197"/>
      <c r="U1506" s="197"/>
      <c r="V1506" s="197"/>
      <c r="W1506" s="197"/>
      <c r="X1506" s="197"/>
      <c r="Y1506" s="197"/>
      <c r="Z1506" s="197"/>
      <c r="AA1506" s="197"/>
      <c r="AB1506" s="197"/>
      <c r="AC1506" s="197"/>
      <c r="AD1506" s="197"/>
      <c r="AE1506" s="197"/>
      <c r="AF1506" s="197"/>
      <c r="AG1506" s="197"/>
      <c r="AH1506" s="197"/>
      <c r="AI1506" s="197"/>
      <c r="AJ1506" s="197"/>
      <c r="AK1506" s="197"/>
      <c r="AL1506" s="197"/>
    </row>
    <row r="1507" spans="1:38">
      <c r="A1507" s="11" t="str">
        <f t="shared" si="89"/>
        <v>15-799374572013</v>
      </c>
      <c r="B1507" t="s">
        <v>809</v>
      </c>
      <c r="C1507" t="s">
        <v>810</v>
      </c>
      <c r="D1507">
        <v>2013</v>
      </c>
      <c r="E1507" t="s">
        <v>133</v>
      </c>
      <c r="F1507">
        <v>736502.67</v>
      </c>
      <c r="G1507">
        <v>187</v>
      </c>
      <c r="H1507" s="11" t="str">
        <f t="shared" si="88"/>
        <v>volume</v>
      </c>
      <c r="I1507" s="197"/>
      <c r="J1507" s="197"/>
      <c r="K1507" s="197"/>
      <c r="L1507" s="197"/>
      <c r="M1507" s="197"/>
      <c r="N1507" s="197"/>
      <c r="O1507" s="197"/>
      <c r="P1507" s="197"/>
      <c r="Q1507" s="197"/>
      <c r="R1507" s="197"/>
      <c r="S1507" s="197"/>
      <c r="T1507" s="197"/>
      <c r="U1507" s="197"/>
      <c r="V1507" s="197"/>
      <c r="W1507" s="197"/>
      <c r="X1507" s="197"/>
      <c r="Y1507" s="197"/>
      <c r="Z1507" s="197"/>
      <c r="AA1507" s="197"/>
      <c r="AB1507" s="197"/>
      <c r="AC1507" s="197"/>
      <c r="AD1507" s="197"/>
      <c r="AE1507" s="197"/>
      <c r="AF1507" s="197"/>
      <c r="AG1507" s="197"/>
      <c r="AH1507" s="197"/>
      <c r="AI1507" s="197"/>
      <c r="AJ1507" s="197"/>
      <c r="AK1507" s="197"/>
      <c r="AL1507" s="197"/>
    </row>
    <row r="1508" spans="1:38">
      <c r="A1508" s="11" t="str">
        <f t="shared" si="89"/>
        <v>15-799374572013</v>
      </c>
      <c r="B1508" t="s">
        <v>809</v>
      </c>
      <c r="C1508" t="s">
        <v>810</v>
      </c>
      <c r="D1508">
        <v>2013</v>
      </c>
      <c r="E1508" t="s">
        <v>69</v>
      </c>
      <c r="F1508">
        <v>18783.580000000002</v>
      </c>
      <c r="G1508">
        <v>8</v>
      </c>
      <c r="H1508" s="11" t="str">
        <f t="shared" si="88"/>
        <v>count</v>
      </c>
      <c r="I1508" s="197"/>
      <c r="J1508" s="197"/>
      <c r="K1508" s="197"/>
      <c r="L1508" s="197"/>
      <c r="M1508" s="197"/>
      <c r="N1508" s="197"/>
      <c r="O1508" s="197"/>
      <c r="P1508" s="197"/>
      <c r="Q1508" s="197"/>
      <c r="R1508" s="197"/>
      <c r="S1508" s="197"/>
      <c r="T1508" s="197"/>
      <c r="U1508" s="197"/>
      <c r="V1508" s="197"/>
      <c r="W1508" s="197"/>
      <c r="X1508" s="197"/>
      <c r="Y1508" s="197"/>
      <c r="Z1508" s="197"/>
      <c r="AA1508" s="197"/>
      <c r="AB1508" s="197"/>
      <c r="AC1508" s="197"/>
      <c r="AD1508" s="197"/>
      <c r="AE1508" s="197"/>
      <c r="AF1508" s="197"/>
      <c r="AG1508" s="197"/>
      <c r="AH1508" s="197"/>
      <c r="AI1508" s="197"/>
      <c r="AJ1508" s="197"/>
      <c r="AK1508" s="197"/>
      <c r="AL1508" s="197"/>
    </row>
    <row r="1509" spans="1:38">
      <c r="A1509" s="11" t="str">
        <f t="shared" si="89"/>
        <v>15-799374572011</v>
      </c>
      <c r="B1509" t="s">
        <v>809</v>
      </c>
      <c r="C1509" t="s">
        <v>810</v>
      </c>
      <c r="D1509">
        <v>2011</v>
      </c>
      <c r="E1509" t="s">
        <v>63</v>
      </c>
      <c r="F1509">
        <v>223316.93</v>
      </c>
      <c r="G1509">
        <v>63</v>
      </c>
      <c r="H1509" s="11" t="str">
        <f t="shared" si="88"/>
        <v>count</v>
      </c>
      <c r="I1509" s="197"/>
      <c r="J1509" s="197"/>
      <c r="K1509" s="197"/>
      <c r="L1509" s="197"/>
      <c r="M1509" s="197"/>
      <c r="N1509" s="197"/>
      <c r="O1509" s="197"/>
      <c r="P1509" s="197"/>
      <c r="Q1509" s="197"/>
      <c r="R1509" s="197"/>
      <c r="S1509" s="197"/>
      <c r="T1509" s="197"/>
      <c r="U1509" s="197"/>
      <c r="V1509" s="197"/>
      <c r="W1509" s="197"/>
      <c r="X1509" s="197"/>
      <c r="Y1509" s="197"/>
      <c r="Z1509" s="197"/>
      <c r="AA1509" s="197"/>
      <c r="AB1509" s="197"/>
      <c r="AC1509" s="197"/>
      <c r="AD1509" s="197"/>
      <c r="AE1509" s="197"/>
      <c r="AF1509" s="197"/>
      <c r="AG1509" s="197"/>
      <c r="AH1509" s="197"/>
      <c r="AI1509" s="197"/>
      <c r="AJ1509" s="197"/>
      <c r="AK1509" s="197"/>
      <c r="AL1509" s="197"/>
    </row>
    <row r="1510" spans="1:38">
      <c r="A1510" s="11" t="str">
        <f t="shared" si="89"/>
        <v>15-799374572011</v>
      </c>
      <c r="B1510" t="s">
        <v>809</v>
      </c>
      <c r="C1510" t="s">
        <v>810</v>
      </c>
      <c r="D1510">
        <v>2011</v>
      </c>
      <c r="E1510" t="s">
        <v>104</v>
      </c>
      <c r="F1510">
        <v>149980.29999999999</v>
      </c>
      <c r="G1510">
        <v>45</v>
      </c>
      <c r="H1510" s="11" t="str">
        <f t="shared" si="88"/>
        <v>count</v>
      </c>
      <c r="I1510" s="197"/>
      <c r="J1510" s="197"/>
      <c r="K1510" s="197"/>
      <c r="L1510" s="197"/>
      <c r="M1510" s="197"/>
      <c r="N1510" s="197"/>
      <c r="O1510" s="197"/>
      <c r="P1510" s="197"/>
      <c r="Q1510" s="197"/>
      <c r="R1510" s="197"/>
      <c r="S1510" s="197"/>
      <c r="T1510" s="197"/>
      <c r="U1510" s="197"/>
      <c r="V1510" s="197"/>
      <c r="W1510" s="197"/>
      <c r="X1510" s="197"/>
      <c r="Y1510" s="197"/>
      <c r="Z1510" s="197"/>
      <c r="AA1510" s="197"/>
      <c r="AB1510" s="197"/>
      <c r="AC1510" s="197"/>
      <c r="AD1510" s="197"/>
      <c r="AE1510" s="197"/>
      <c r="AF1510" s="197"/>
      <c r="AG1510" s="197"/>
      <c r="AH1510" s="197"/>
      <c r="AI1510" s="197"/>
      <c r="AJ1510" s="197"/>
      <c r="AK1510" s="197"/>
      <c r="AL1510" s="197"/>
    </row>
    <row r="1511" spans="1:38">
      <c r="A1511" s="11" t="str">
        <f t="shared" si="89"/>
        <v>15-799374572012</v>
      </c>
      <c r="B1511" t="s">
        <v>809</v>
      </c>
      <c r="C1511" t="s">
        <v>810</v>
      </c>
      <c r="D1511">
        <v>2012</v>
      </c>
      <c r="E1511" t="s">
        <v>104</v>
      </c>
      <c r="F1511">
        <v>133198.9</v>
      </c>
      <c r="G1511">
        <v>35</v>
      </c>
      <c r="H1511" s="11" t="str">
        <f t="shared" si="88"/>
        <v>count</v>
      </c>
      <c r="I1511" s="197"/>
      <c r="J1511" s="197"/>
      <c r="K1511" s="197"/>
      <c r="L1511" s="197"/>
      <c r="M1511" s="197"/>
      <c r="N1511" s="197"/>
      <c r="O1511" s="197"/>
      <c r="P1511" s="197"/>
      <c r="Q1511" s="197"/>
      <c r="R1511" s="197"/>
      <c r="S1511" s="197"/>
      <c r="T1511" s="197"/>
      <c r="U1511" s="197"/>
      <c r="V1511" s="197"/>
      <c r="W1511" s="197"/>
      <c r="X1511" s="197"/>
      <c r="Y1511" s="197"/>
      <c r="Z1511" s="197"/>
      <c r="AA1511" s="197"/>
      <c r="AB1511" s="197"/>
      <c r="AC1511" s="197"/>
      <c r="AD1511" s="197"/>
      <c r="AE1511" s="197"/>
      <c r="AF1511" s="197"/>
      <c r="AG1511" s="197"/>
      <c r="AH1511" s="197"/>
      <c r="AI1511" s="197"/>
      <c r="AJ1511" s="197"/>
      <c r="AK1511" s="197"/>
      <c r="AL1511" s="197"/>
    </row>
    <row r="1512" spans="1:38">
      <c r="A1512" s="11" t="str">
        <f t="shared" si="89"/>
        <v>15-799374572012</v>
      </c>
      <c r="B1512" t="s">
        <v>809</v>
      </c>
      <c r="C1512" t="s">
        <v>810</v>
      </c>
      <c r="D1512">
        <v>2012</v>
      </c>
      <c r="E1512" t="s">
        <v>63</v>
      </c>
      <c r="F1512">
        <v>133272.01999999999</v>
      </c>
      <c r="G1512">
        <v>45</v>
      </c>
      <c r="H1512" s="11" t="str">
        <f t="shared" si="88"/>
        <v>count</v>
      </c>
      <c r="I1512" s="197"/>
      <c r="J1512" s="197"/>
      <c r="K1512" s="197"/>
      <c r="L1512" s="197"/>
      <c r="M1512" s="197"/>
      <c r="N1512" s="197"/>
      <c r="O1512" s="197"/>
      <c r="P1512" s="197"/>
      <c r="Q1512" s="197"/>
      <c r="R1512" s="197"/>
      <c r="S1512" s="197"/>
      <c r="T1512" s="197"/>
      <c r="U1512" s="197"/>
      <c r="V1512" s="197"/>
      <c r="W1512" s="197"/>
      <c r="X1512" s="197"/>
      <c r="Y1512" s="197"/>
      <c r="Z1512" s="197"/>
      <c r="AA1512" s="197"/>
      <c r="AB1512" s="197"/>
      <c r="AC1512" s="197"/>
      <c r="AD1512" s="197"/>
      <c r="AE1512" s="197"/>
      <c r="AF1512" s="197"/>
      <c r="AG1512" s="197"/>
      <c r="AH1512" s="197"/>
      <c r="AI1512" s="197"/>
      <c r="AJ1512" s="197"/>
      <c r="AK1512" s="197"/>
      <c r="AL1512" s="197"/>
    </row>
    <row r="1513" spans="1:38">
      <c r="A1513" s="11" t="str">
        <f t="shared" si="89"/>
        <v>15-799374572012</v>
      </c>
      <c r="B1513" t="s">
        <v>809</v>
      </c>
      <c r="C1513" t="s">
        <v>810</v>
      </c>
      <c r="D1513">
        <v>2012</v>
      </c>
      <c r="E1513" t="s">
        <v>133</v>
      </c>
      <c r="F1513">
        <v>548881.64</v>
      </c>
      <c r="G1513">
        <v>144</v>
      </c>
      <c r="H1513" s="11" t="str">
        <f t="shared" si="88"/>
        <v>count</v>
      </c>
      <c r="I1513" s="197"/>
      <c r="J1513" s="197"/>
      <c r="K1513" s="197"/>
      <c r="L1513" s="197"/>
      <c r="M1513" s="197"/>
      <c r="N1513" s="197"/>
      <c r="O1513" s="197"/>
      <c r="P1513" s="197"/>
      <c r="Q1513" s="197"/>
      <c r="R1513" s="197"/>
      <c r="S1513" s="197"/>
      <c r="T1513" s="197"/>
      <c r="U1513" s="197"/>
      <c r="V1513" s="197"/>
      <c r="W1513" s="197"/>
      <c r="X1513" s="197"/>
      <c r="Y1513" s="197"/>
      <c r="Z1513" s="197"/>
      <c r="AA1513" s="197"/>
      <c r="AB1513" s="197"/>
      <c r="AC1513" s="197"/>
      <c r="AD1513" s="197"/>
      <c r="AE1513" s="197"/>
      <c r="AF1513" s="197"/>
      <c r="AG1513" s="197"/>
      <c r="AH1513" s="197"/>
      <c r="AI1513" s="197"/>
      <c r="AJ1513" s="197"/>
      <c r="AK1513" s="197"/>
      <c r="AL1513" s="197"/>
    </row>
    <row r="1514" spans="1:38">
      <c r="A1514" s="11" t="str">
        <f t="shared" si="89"/>
        <v>15-799374572012</v>
      </c>
      <c r="B1514" t="s">
        <v>809</v>
      </c>
      <c r="C1514" t="s">
        <v>810</v>
      </c>
      <c r="D1514">
        <v>2012</v>
      </c>
      <c r="E1514" t="s">
        <v>69</v>
      </c>
      <c r="F1514">
        <v>11556.75</v>
      </c>
      <c r="G1514">
        <v>3</v>
      </c>
      <c r="H1514" s="11" t="str">
        <f t="shared" si="88"/>
        <v>count</v>
      </c>
      <c r="I1514" s="197"/>
      <c r="J1514" s="197"/>
      <c r="K1514" s="197"/>
      <c r="L1514" s="197"/>
      <c r="M1514" s="197"/>
      <c r="N1514" s="197"/>
      <c r="O1514" s="197"/>
      <c r="P1514" s="197"/>
      <c r="Q1514" s="197"/>
      <c r="R1514" s="197"/>
      <c r="S1514" s="197"/>
      <c r="T1514" s="197"/>
      <c r="U1514" s="197"/>
      <c r="V1514" s="197"/>
      <c r="W1514" s="197"/>
      <c r="X1514" s="197"/>
      <c r="Y1514" s="197"/>
      <c r="Z1514" s="197"/>
      <c r="AA1514" s="197"/>
      <c r="AB1514" s="197"/>
      <c r="AC1514" s="197"/>
      <c r="AD1514" s="197"/>
      <c r="AE1514" s="197"/>
      <c r="AF1514" s="197"/>
      <c r="AG1514" s="197"/>
      <c r="AH1514" s="197"/>
      <c r="AI1514" s="197"/>
      <c r="AJ1514" s="197"/>
      <c r="AK1514" s="197"/>
      <c r="AL1514" s="197"/>
    </row>
    <row r="1515" spans="1:38">
      <c r="A1515" s="11" t="str">
        <f t="shared" si="89"/>
        <v>15-799374572013</v>
      </c>
      <c r="B1515" t="s">
        <v>809</v>
      </c>
      <c r="C1515" t="s">
        <v>810</v>
      </c>
      <c r="D1515">
        <v>2013</v>
      </c>
      <c r="E1515" t="s">
        <v>63</v>
      </c>
      <c r="F1515">
        <v>153392.54999999999</v>
      </c>
      <c r="G1515">
        <v>41</v>
      </c>
      <c r="H1515" s="11" t="str">
        <f t="shared" si="88"/>
        <v>count</v>
      </c>
      <c r="I1515" s="197"/>
      <c r="J1515" s="197"/>
      <c r="K1515" s="197"/>
      <c r="L1515" s="197"/>
      <c r="M1515" s="197"/>
      <c r="N1515" s="197"/>
      <c r="O1515" s="197"/>
      <c r="P1515" s="197"/>
      <c r="Q1515" s="197"/>
      <c r="R1515" s="197"/>
      <c r="S1515" s="197"/>
      <c r="T1515" s="197"/>
      <c r="U1515" s="197"/>
      <c r="V1515" s="197"/>
      <c r="W1515" s="197"/>
      <c r="X1515" s="197"/>
      <c r="Y1515" s="197"/>
      <c r="Z1515" s="197"/>
      <c r="AA1515" s="197"/>
      <c r="AB1515" s="197"/>
      <c r="AC1515" s="197"/>
      <c r="AD1515" s="197"/>
      <c r="AE1515" s="197"/>
      <c r="AF1515" s="197"/>
      <c r="AG1515" s="197"/>
      <c r="AH1515" s="197"/>
      <c r="AI1515" s="197"/>
      <c r="AJ1515" s="197"/>
      <c r="AK1515" s="197"/>
      <c r="AL1515" s="197"/>
    </row>
    <row r="1516" spans="1:38">
      <c r="A1516" s="11" t="str">
        <f t="shared" si="89"/>
        <v>15-799374572013</v>
      </c>
      <c r="B1516" t="s">
        <v>809</v>
      </c>
      <c r="C1516" t="s">
        <v>810</v>
      </c>
      <c r="D1516">
        <v>2013</v>
      </c>
      <c r="E1516" t="s">
        <v>104</v>
      </c>
      <c r="F1516">
        <v>159882.19</v>
      </c>
      <c r="G1516">
        <v>43</v>
      </c>
      <c r="H1516" s="11" t="str">
        <f t="shared" si="88"/>
        <v>count</v>
      </c>
      <c r="I1516" s="197"/>
      <c r="J1516" s="197"/>
      <c r="K1516" s="197"/>
      <c r="L1516" s="197"/>
      <c r="M1516" s="197"/>
      <c r="N1516" s="197"/>
      <c r="O1516" s="197"/>
      <c r="P1516" s="197"/>
      <c r="Q1516" s="197"/>
      <c r="R1516" s="197"/>
      <c r="S1516" s="197"/>
      <c r="T1516" s="197"/>
      <c r="U1516" s="197"/>
      <c r="V1516" s="197"/>
      <c r="W1516" s="197"/>
      <c r="X1516" s="197"/>
      <c r="Y1516" s="197"/>
      <c r="Z1516" s="197"/>
      <c r="AA1516" s="197"/>
      <c r="AB1516" s="197"/>
      <c r="AC1516" s="197"/>
      <c r="AD1516" s="197"/>
      <c r="AE1516" s="197"/>
      <c r="AF1516" s="197"/>
      <c r="AG1516" s="197"/>
      <c r="AH1516" s="197"/>
      <c r="AI1516" s="197"/>
      <c r="AJ1516" s="197"/>
      <c r="AK1516" s="197"/>
      <c r="AL1516" s="197"/>
    </row>
    <row r="1517" spans="1:38">
      <c r="A1517" s="11" t="str">
        <f t="shared" si="89"/>
        <v>15-799374572011</v>
      </c>
      <c r="B1517" t="s">
        <v>809</v>
      </c>
      <c r="C1517" t="s">
        <v>810</v>
      </c>
      <c r="D1517">
        <v>2011</v>
      </c>
      <c r="E1517" t="s">
        <v>133</v>
      </c>
      <c r="F1517">
        <v>375633.69</v>
      </c>
      <c r="G1517">
        <v>115</v>
      </c>
      <c r="H1517" s="11" t="str">
        <f t="shared" si="88"/>
        <v>count</v>
      </c>
      <c r="I1517" s="197"/>
      <c r="J1517" s="197"/>
      <c r="K1517" s="197"/>
      <c r="L1517" s="197"/>
      <c r="M1517" s="197"/>
      <c r="N1517" s="197"/>
      <c r="O1517" s="197"/>
      <c r="P1517" s="197"/>
      <c r="Q1517" s="197"/>
      <c r="R1517" s="197"/>
      <c r="S1517" s="197"/>
      <c r="T1517" s="197"/>
      <c r="U1517" s="197"/>
      <c r="V1517" s="197"/>
      <c r="W1517" s="197"/>
      <c r="X1517" s="197"/>
      <c r="Y1517" s="197"/>
      <c r="Z1517" s="197"/>
      <c r="AA1517" s="197"/>
      <c r="AB1517" s="197"/>
      <c r="AC1517" s="197"/>
      <c r="AD1517" s="197"/>
      <c r="AE1517" s="197"/>
      <c r="AF1517" s="197"/>
      <c r="AG1517" s="197"/>
      <c r="AH1517" s="197"/>
      <c r="AI1517" s="197"/>
      <c r="AJ1517" s="197"/>
      <c r="AK1517" s="197"/>
      <c r="AL1517" s="197"/>
    </row>
    <row r="1518" spans="1:38">
      <c r="A1518" s="11" t="str">
        <f t="shared" si="89"/>
        <v>15-799397122012</v>
      </c>
      <c r="B1518" t="s">
        <v>811</v>
      </c>
      <c r="C1518" t="s">
        <v>812</v>
      </c>
      <c r="D1518">
        <v>2012</v>
      </c>
      <c r="E1518" t="s">
        <v>63</v>
      </c>
      <c r="F1518">
        <v>596619.27</v>
      </c>
      <c r="G1518">
        <v>1050</v>
      </c>
      <c r="H1518" s="11" t="str">
        <f t="shared" si="88"/>
        <v>volume</v>
      </c>
      <c r="I1518" s="197"/>
      <c r="J1518" s="197"/>
      <c r="K1518" s="197"/>
      <c r="L1518" s="197"/>
      <c r="M1518" s="197"/>
      <c r="N1518" s="197"/>
      <c r="O1518" s="197"/>
      <c r="P1518" s="197"/>
      <c r="Q1518" s="197"/>
      <c r="R1518" s="197"/>
      <c r="S1518" s="197"/>
      <c r="T1518" s="197"/>
      <c r="U1518" s="197"/>
      <c r="V1518" s="197"/>
      <c r="W1518" s="197"/>
      <c r="X1518" s="197"/>
      <c r="Y1518" s="197"/>
      <c r="Z1518" s="197"/>
      <c r="AA1518" s="197"/>
      <c r="AB1518" s="197"/>
      <c r="AC1518" s="197"/>
      <c r="AD1518" s="197"/>
      <c r="AE1518" s="197"/>
      <c r="AF1518" s="197"/>
      <c r="AG1518" s="197"/>
      <c r="AH1518" s="197"/>
      <c r="AI1518" s="197"/>
      <c r="AJ1518" s="197"/>
      <c r="AK1518" s="197"/>
      <c r="AL1518" s="197"/>
    </row>
    <row r="1519" spans="1:38">
      <c r="A1519" s="11" t="str">
        <f t="shared" si="89"/>
        <v>15-799397122012</v>
      </c>
      <c r="B1519" t="s">
        <v>811</v>
      </c>
      <c r="C1519" t="s">
        <v>812</v>
      </c>
      <c r="D1519">
        <v>2012</v>
      </c>
      <c r="E1519" t="s">
        <v>104</v>
      </c>
      <c r="F1519">
        <v>308575.12</v>
      </c>
      <c r="G1519">
        <v>580</v>
      </c>
      <c r="H1519" s="11" t="str">
        <f t="shared" si="88"/>
        <v>count</v>
      </c>
      <c r="I1519" s="197"/>
      <c r="J1519" s="197"/>
      <c r="K1519" s="197"/>
      <c r="L1519" s="197"/>
      <c r="M1519" s="197"/>
      <c r="N1519" s="197"/>
      <c r="O1519" s="197"/>
      <c r="P1519" s="197"/>
      <c r="Q1519" s="197"/>
      <c r="R1519" s="197"/>
      <c r="S1519" s="197"/>
      <c r="T1519" s="197"/>
      <c r="U1519" s="197"/>
      <c r="V1519" s="197"/>
      <c r="W1519" s="197"/>
      <c r="X1519" s="197"/>
      <c r="Y1519" s="197"/>
      <c r="Z1519" s="197"/>
      <c r="AA1519" s="197"/>
      <c r="AB1519" s="197"/>
      <c r="AC1519" s="197"/>
      <c r="AD1519" s="197"/>
      <c r="AE1519" s="197"/>
      <c r="AF1519" s="197"/>
      <c r="AG1519" s="197"/>
      <c r="AH1519" s="197"/>
      <c r="AI1519" s="197"/>
      <c r="AJ1519" s="197"/>
      <c r="AK1519" s="197"/>
      <c r="AL1519" s="197"/>
    </row>
    <row r="1520" spans="1:38">
      <c r="A1520" s="11" t="str">
        <f t="shared" si="89"/>
        <v>15-799397122011</v>
      </c>
      <c r="B1520" t="s">
        <v>811</v>
      </c>
      <c r="C1520" t="s">
        <v>812</v>
      </c>
      <c r="D1520">
        <v>2011</v>
      </c>
      <c r="E1520" t="s">
        <v>104</v>
      </c>
      <c r="F1520">
        <v>350613.53</v>
      </c>
      <c r="G1520">
        <v>704</v>
      </c>
      <c r="H1520" s="11" t="str">
        <f t="shared" si="88"/>
        <v>count</v>
      </c>
      <c r="I1520" s="197"/>
      <c r="J1520" s="197"/>
      <c r="K1520" s="197"/>
      <c r="L1520" s="197"/>
      <c r="M1520" s="197"/>
      <c r="N1520" s="197"/>
      <c r="O1520" s="197"/>
      <c r="P1520" s="197"/>
      <c r="Q1520" s="197"/>
      <c r="R1520" s="197"/>
      <c r="S1520" s="197"/>
      <c r="T1520" s="197"/>
      <c r="U1520" s="197"/>
      <c r="V1520" s="197"/>
      <c r="W1520" s="197"/>
      <c r="X1520" s="197"/>
      <c r="Y1520" s="197"/>
      <c r="Z1520" s="197"/>
      <c r="AA1520" s="197"/>
      <c r="AB1520" s="197"/>
      <c r="AC1520" s="197"/>
      <c r="AD1520" s="197"/>
      <c r="AE1520" s="197"/>
      <c r="AF1520" s="197"/>
      <c r="AG1520" s="197"/>
      <c r="AH1520" s="197"/>
      <c r="AI1520" s="197"/>
      <c r="AJ1520" s="197"/>
      <c r="AK1520" s="197"/>
      <c r="AL1520" s="197"/>
    </row>
    <row r="1521" spans="1:38">
      <c r="A1521" s="11" t="str">
        <f t="shared" si="89"/>
        <v>15-799397122011</v>
      </c>
      <c r="B1521" t="s">
        <v>811</v>
      </c>
      <c r="C1521" t="s">
        <v>812</v>
      </c>
      <c r="D1521">
        <v>2011</v>
      </c>
      <c r="E1521" t="s">
        <v>133</v>
      </c>
      <c r="F1521">
        <v>195801.12</v>
      </c>
      <c r="G1521">
        <v>469</v>
      </c>
      <c r="H1521" s="11" t="str">
        <f t="shared" si="88"/>
        <v>count</v>
      </c>
      <c r="I1521" s="197"/>
      <c r="J1521" s="197"/>
      <c r="K1521" s="197"/>
      <c r="L1521" s="197"/>
      <c r="M1521" s="197"/>
      <c r="N1521" s="197"/>
      <c r="O1521" s="197"/>
      <c r="P1521" s="197"/>
      <c r="Q1521" s="197"/>
      <c r="R1521" s="197"/>
      <c r="S1521" s="197"/>
      <c r="T1521" s="197"/>
      <c r="U1521" s="197"/>
      <c r="V1521" s="197"/>
      <c r="W1521" s="197"/>
      <c r="X1521" s="197"/>
      <c r="Y1521" s="197"/>
      <c r="Z1521" s="197"/>
      <c r="AA1521" s="197"/>
      <c r="AB1521" s="197"/>
      <c r="AC1521" s="197"/>
      <c r="AD1521" s="197"/>
      <c r="AE1521" s="197"/>
      <c r="AF1521" s="197"/>
      <c r="AG1521" s="197"/>
      <c r="AH1521" s="197"/>
      <c r="AI1521" s="197"/>
      <c r="AJ1521" s="197"/>
      <c r="AK1521" s="197"/>
      <c r="AL1521" s="197"/>
    </row>
    <row r="1522" spans="1:38">
      <c r="A1522" s="11" t="str">
        <f t="shared" si="89"/>
        <v>15-799397122013</v>
      </c>
      <c r="B1522" t="s">
        <v>811</v>
      </c>
      <c r="C1522" t="s">
        <v>812</v>
      </c>
      <c r="D1522">
        <v>2013</v>
      </c>
      <c r="E1522" t="s">
        <v>105</v>
      </c>
      <c r="F1522">
        <v>63486.2</v>
      </c>
      <c r="G1522">
        <v>131</v>
      </c>
      <c r="H1522" s="11" t="str">
        <f t="shared" si="88"/>
        <v>count</v>
      </c>
      <c r="I1522" s="197"/>
      <c r="J1522" s="197"/>
      <c r="K1522" s="197"/>
      <c r="L1522" s="197"/>
      <c r="M1522" s="197"/>
      <c r="N1522" s="197"/>
      <c r="O1522" s="197"/>
      <c r="P1522" s="197"/>
      <c r="Q1522" s="197"/>
      <c r="R1522" s="197"/>
      <c r="S1522" s="197"/>
      <c r="T1522" s="197"/>
      <c r="U1522" s="197"/>
      <c r="V1522" s="197"/>
      <c r="W1522" s="197"/>
      <c r="X1522" s="197"/>
      <c r="Y1522" s="197"/>
      <c r="Z1522" s="197"/>
      <c r="AA1522" s="197"/>
      <c r="AB1522" s="197"/>
      <c r="AC1522" s="197"/>
      <c r="AD1522" s="197"/>
      <c r="AE1522" s="197"/>
      <c r="AF1522" s="197"/>
      <c r="AG1522" s="197"/>
      <c r="AH1522" s="197"/>
      <c r="AI1522" s="197"/>
      <c r="AJ1522" s="197"/>
      <c r="AK1522" s="197"/>
      <c r="AL1522" s="197"/>
    </row>
    <row r="1523" spans="1:38">
      <c r="A1523" s="11" t="str">
        <f t="shared" si="89"/>
        <v>15-799397122011</v>
      </c>
      <c r="B1523" t="s">
        <v>811</v>
      </c>
      <c r="C1523" t="s">
        <v>812</v>
      </c>
      <c r="D1523">
        <v>2011</v>
      </c>
      <c r="E1523" t="s">
        <v>69</v>
      </c>
      <c r="F1523">
        <v>1401.12</v>
      </c>
      <c r="G1523">
        <v>3</v>
      </c>
      <c r="H1523" s="11" t="str">
        <f t="shared" si="88"/>
        <v>count</v>
      </c>
      <c r="I1523" s="197"/>
      <c r="J1523" s="197"/>
      <c r="K1523" s="197"/>
      <c r="L1523" s="197"/>
      <c r="M1523" s="197"/>
      <c r="N1523" s="197"/>
      <c r="O1523" s="197"/>
      <c r="P1523" s="197"/>
      <c r="Q1523" s="197"/>
      <c r="R1523" s="197"/>
      <c r="S1523" s="197"/>
      <c r="T1523" s="197"/>
      <c r="U1523" s="197"/>
      <c r="V1523" s="197"/>
      <c r="W1523" s="197"/>
      <c r="X1523" s="197"/>
      <c r="Y1523" s="197"/>
      <c r="Z1523" s="197"/>
      <c r="AA1523" s="197"/>
      <c r="AB1523" s="197"/>
      <c r="AC1523" s="197"/>
      <c r="AD1523" s="197"/>
      <c r="AE1523" s="197"/>
      <c r="AF1523" s="197"/>
      <c r="AG1523" s="197"/>
      <c r="AH1523" s="197"/>
      <c r="AI1523" s="197"/>
      <c r="AJ1523" s="197"/>
      <c r="AK1523" s="197"/>
      <c r="AL1523" s="197"/>
    </row>
    <row r="1524" spans="1:38">
      <c r="A1524" s="11" t="str">
        <f t="shared" si="89"/>
        <v>15-799397122011</v>
      </c>
      <c r="B1524" t="s">
        <v>811</v>
      </c>
      <c r="C1524" t="s">
        <v>812</v>
      </c>
      <c r="D1524">
        <v>2011</v>
      </c>
      <c r="E1524" t="s">
        <v>63</v>
      </c>
      <c r="F1524">
        <v>714805.13</v>
      </c>
      <c r="G1524">
        <v>1588</v>
      </c>
      <c r="H1524" s="11" t="str">
        <f t="shared" si="88"/>
        <v>count</v>
      </c>
      <c r="I1524" s="197"/>
      <c r="J1524" s="197"/>
      <c r="K1524" s="197"/>
      <c r="L1524" s="197"/>
      <c r="M1524" s="197"/>
      <c r="N1524" s="197"/>
      <c r="O1524" s="197"/>
      <c r="P1524" s="197"/>
      <c r="Q1524" s="197"/>
      <c r="R1524" s="197"/>
      <c r="S1524" s="197"/>
      <c r="T1524" s="197"/>
      <c r="U1524" s="197"/>
      <c r="V1524" s="197"/>
      <c r="W1524" s="197"/>
      <c r="X1524" s="197"/>
      <c r="Y1524" s="197"/>
      <c r="Z1524" s="197"/>
      <c r="AA1524" s="197"/>
      <c r="AB1524" s="197"/>
      <c r="AC1524" s="197"/>
      <c r="AD1524" s="197"/>
      <c r="AE1524" s="197"/>
      <c r="AF1524" s="197"/>
      <c r="AG1524" s="197"/>
      <c r="AH1524" s="197"/>
      <c r="AI1524" s="197"/>
      <c r="AJ1524" s="197"/>
      <c r="AK1524" s="197"/>
      <c r="AL1524" s="197"/>
    </row>
    <row r="1525" spans="1:38">
      <c r="A1525" s="11" t="str">
        <f t="shared" si="89"/>
        <v>15-799397122012</v>
      </c>
      <c r="B1525" t="s">
        <v>811</v>
      </c>
      <c r="C1525" t="s">
        <v>812</v>
      </c>
      <c r="D1525">
        <v>2012</v>
      </c>
      <c r="E1525" t="s">
        <v>105</v>
      </c>
      <c r="F1525">
        <v>69206.19</v>
      </c>
      <c r="G1525">
        <v>130</v>
      </c>
      <c r="H1525" s="11" t="str">
        <f t="shared" si="88"/>
        <v>count</v>
      </c>
      <c r="I1525" s="197"/>
      <c r="J1525" s="197"/>
      <c r="K1525" s="197"/>
      <c r="L1525" s="197"/>
      <c r="M1525" s="197"/>
      <c r="N1525" s="197"/>
      <c r="O1525" s="197"/>
      <c r="P1525" s="197"/>
      <c r="Q1525" s="197"/>
      <c r="R1525" s="197"/>
      <c r="S1525" s="197"/>
      <c r="T1525" s="197"/>
      <c r="U1525" s="197"/>
      <c r="V1525" s="197"/>
      <c r="W1525" s="197"/>
      <c r="X1525" s="197"/>
      <c r="Y1525" s="197"/>
      <c r="Z1525" s="197"/>
      <c r="AA1525" s="197"/>
      <c r="AB1525" s="197"/>
      <c r="AC1525" s="197"/>
      <c r="AD1525" s="197"/>
      <c r="AE1525" s="197"/>
      <c r="AF1525" s="197"/>
      <c r="AG1525" s="197"/>
      <c r="AH1525" s="197"/>
      <c r="AI1525" s="197"/>
      <c r="AJ1525" s="197"/>
      <c r="AK1525" s="197"/>
      <c r="AL1525" s="197"/>
    </row>
    <row r="1526" spans="1:38">
      <c r="A1526" s="11" t="str">
        <f t="shared" si="89"/>
        <v>15-799397122012</v>
      </c>
      <c r="B1526" t="s">
        <v>811</v>
      </c>
      <c r="C1526" t="s">
        <v>812</v>
      </c>
      <c r="D1526">
        <v>2012</v>
      </c>
      <c r="E1526" t="s">
        <v>69</v>
      </c>
      <c r="F1526">
        <v>121879.38</v>
      </c>
      <c r="G1526">
        <v>298</v>
      </c>
      <c r="H1526" s="11" t="str">
        <f t="shared" si="88"/>
        <v>count</v>
      </c>
      <c r="I1526" s="197"/>
      <c r="J1526" s="197"/>
      <c r="K1526" s="197"/>
      <c r="L1526" s="197"/>
      <c r="M1526" s="197"/>
      <c r="N1526" s="197"/>
      <c r="O1526" s="197"/>
      <c r="P1526" s="197"/>
      <c r="Q1526" s="197"/>
      <c r="R1526" s="197"/>
      <c r="S1526" s="197"/>
      <c r="T1526" s="197"/>
      <c r="U1526" s="197"/>
      <c r="V1526" s="197"/>
      <c r="W1526" s="197"/>
      <c r="X1526" s="197"/>
      <c r="Y1526" s="197"/>
      <c r="Z1526" s="197"/>
      <c r="AA1526" s="197"/>
      <c r="AB1526" s="197"/>
      <c r="AC1526" s="197"/>
      <c r="AD1526" s="197"/>
      <c r="AE1526" s="197"/>
      <c r="AF1526" s="197"/>
      <c r="AG1526" s="197"/>
      <c r="AH1526" s="197"/>
      <c r="AI1526" s="197"/>
      <c r="AJ1526" s="197"/>
      <c r="AK1526" s="197"/>
      <c r="AL1526" s="197"/>
    </row>
    <row r="1527" spans="1:38">
      <c r="A1527" s="11" t="str">
        <f t="shared" si="89"/>
        <v>15-799397122012</v>
      </c>
      <c r="B1527" t="s">
        <v>811</v>
      </c>
      <c r="C1527" t="s">
        <v>812</v>
      </c>
      <c r="D1527">
        <v>2012</v>
      </c>
      <c r="E1527" t="s">
        <v>133</v>
      </c>
      <c r="F1527">
        <v>206208.86</v>
      </c>
      <c r="G1527">
        <v>426</v>
      </c>
      <c r="H1527" s="11" t="str">
        <f t="shared" si="88"/>
        <v>count</v>
      </c>
      <c r="I1527" s="197"/>
      <c r="J1527" s="197"/>
      <c r="K1527" s="197"/>
      <c r="L1527" s="197"/>
      <c r="M1527" s="197"/>
      <c r="N1527" s="197"/>
      <c r="O1527" s="197"/>
      <c r="P1527" s="197"/>
      <c r="Q1527" s="197"/>
      <c r="R1527" s="197"/>
      <c r="S1527" s="197"/>
      <c r="T1527" s="197"/>
      <c r="U1527" s="197"/>
      <c r="V1527" s="197"/>
      <c r="W1527" s="197"/>
      <c r="X1527" s="197"/>
      <c r="Y1527" s="197"/>
      <c r="Z1527" s="197"/>
      <c r="AA1527" s="197"/>
      <c r="AB1527" s="197"/>
      <c r="AC1527" s="197"/>
      <c r="AD1527" s="197"/>
      <c r="AE1527" s="197"/>
      <c r="AF1527" s="197"/>
      <c r="AG1527" s="197"/>
      <c r="AH1527" s="197"/>
      <c r="AI1527" s="197"/>
      <c r="AJ1527" s="197"/>
      <c r="AK1527" s="197"/>
      <c r="AL1527" s="197"/>
    </row>
    <row r="1528" spans="1:38">
      <c r="A1528" s="11" t="str">
        <f t="shared" si="89"/>
        <v>15-799397122013</v>
      </c>
      <c r="B1528" t="s">
        <v>811</v>
      </c>
      <c r="C1528" t="s">
        <v>812</v>
      </c>
      <c r="D1528">
        <v>2013</v>
      </c>
      <c r="E1528" t="s">
        <v>133</v>
      </c>
      <c r="F1528">
        <v>211667.82</v>
      </c>
      <c r="G1528">
        <v>459</v>
      </c>
      <c r="H1528" s="11" t="str">
        <f t="shared" si="88"/>
        <v>count</v>
      </c>
      <c r="I1528" s="197"/>
      <c r="J1528" s="197"/>
      <c r="K1528" s="197"/>
      <c r="L1528" s="197"/>
      <c r="M1528" s="197"/>
      <c r="N1528" s="197"/>
      <c r="O1528" s="197"/>
      <c r="P1528" s="197"/>
      <c r="Q1528" s="197"/>
      <c r="R1528" s="197"/>
      <c r="S1528" s="197"/>
      <c r="T1528" s="197"/>
      <c r="U1528" s="197"/>
      <c r="V1528" s="197"/>
      <c r="W1528" s="197"/>
      <c r="X1528" s="197"/>
      <c r="Y1528" s="197"/>
      <c r="Z1528" s="197"/>
      <c r="AA1528" s="197"/>
      <c r="AB1528" s="197"/>
      <c r="AC1528" s="197"/>
      <c r="AD1528" s="197"/>
      <c r="AE1528" s="197"/>
      <c r="AF1528" s="197"/>
      <c r="AG1528" s="197"/>
      <c r="AH1528" s="197"/>
      <c r="AI1528" s="197"/>
      <c r="AJ1528" s="197"/>
      <c r="AK1528" s="197"/>
      <c r="AL1528" s="197"/>
    </row>
    <row r="1529" spans="1:38">
      <c r="A1529" s="11" t="str">
        <f t="shared" si="89"/>
        <v>15-799397122013</v>
      </c>
      <c r="B1529" t="s">
        <v>811</v>
      </c>
      <c r="C1529" t="s">
        <v>812</v>
      </c>
      <c r="D1529">
        <v>2013</v>
      </c>
      <c r="E1529" t="s">
        <v>63</v>
      </c>
      <c r="F1529">
        <v>610427.42000000004</v>
      </c>
      <c r="G1529">
        <v>1171</v>
      </c>
      <c r="H1529" s="11" t="str">
        <f t="shared" si="88"/>
        <v>count</v>
      </c>
      <c r="I1529" s="197"/>
      <c r="J1529" s="197"/>
      <c r="K1529" s="197"/>
      <c r="L1529" s="197"/>
      <c r="M1529" s="197"/>
      <c r="N1529" s="197"/>
      <c r="O1529" s="197"/>
      <c r="P1529" s="197"/>
      <c r="Q1529" s="197"/>
      <c r="R1529" s="197"/>
      <c r="S1529" s="197"/>
      <c r="T1529" s="197"/>
      <c r="U1529" s="197"/>
      <c r="V1529" s="197"/>
      <c r="W1529" s="197"/>
      <c r="X1529" s="197"/>
      <c r="Y1529" s="197"/>
      <c r="Z1529" s="197"/>
      <c r="AA1529" s="197"/>
      <c r="AB1529" s="197"/>
      <c r="AC1529" s="197"/>
      <c r="AD1529" s="197"/>
      <c r="AE1529" s="197"/>
      <c r="AF1529" s="197"/>
      <c r="AG1529" s="197"/>
      <c r="AH1529" s="197"/>
      <c r="AI1529" s="197"/>
      <c r="AJ1529" s="197"/>
      <c r="AK1529" s="197"/>
      <c r="AL1529" s="197"/>
    </row>
    <row r="1530" spans="1:38">
      <c r="A1530" s="11" t="str">
        <f t="shared" si="89"/>
        <v>15-799397122013</v>
      </c>
      <c r="B1530" t="s">
        <v>811</v>
      </c>
      <c r="C1530" t="s">
        <v>812</v>
      </c>
      <c r="D1530">
        <v>2013</v>
      </c>
      <c r="E1530" t="s">
        <v>69</v>
      </c>
      <c r="F1530">
        <v>142848.79</v>
      </c>
      <c r="G1530">
        <v>415</v>
      </c>
      <c r="H1530" s="11" t="str">
        <f t="shared" si="88"/>
        <v>count</v>
      </c>
      <c r="I1530" s="197"/>
      <c r="J1530" s="197"/>
      <c r="K1530" s="197"/>
      <c r="L1530" s="197"/>
      <c r="M1530" s="197"/>
      <c r="N1530" s="197"/>
      <c r="O1530" s="197"/>
      <c r="P1530" s="197"/>
      <c r="Q1530" s="197"/>
      <c r="R1530" s="197"/>
      <c r="S1530" s="197"/>
      <c r="T1530" s="197"/>
      <c r="U1530" s="197"/>
      <c r="V1530" s="197"/>
      <c r="W1530" s="197"/>
      <c r="X1530" s="197"/>
      <c r="Y1530" s="197"/>
      <c r="Z1530" s="197"/>
      <c r="AA1530" s="197"/>
      <c r="AB1530" s="197"/>
      <c r="AC1530" s="197"/>
      <c r="AD1530" s="197"/>
      <c r="AE1530" s="197"/>
      <c r="AF1530" s="197"/>
      <c r="AG1530" s="197"/>
      <c r="AH1530" s="197"/>
      <c r="AI1530" s="197"/>
      <c r="AJ1530" s="197"/>
      <c r="AK1530" s="197"/>
      <c r="AL1530" s="197"/>
    </row>
    <row r="1531" spans="1:38">
      <c r="A1531" s="11" t="str">
        <f t="shared" si="89"/>
        <v>15-799397122011</v>
      </c>
      <c r="B1531" t="s">
        <v>811</v>
      </c>
      <c r="C1531" t="s">
        <v>812</v>
      </c>
      <c r="D1531">
        <v>2011</v>
      </c>
      <c r="E1531" t="s">
        <v>105</v>
      </c>
      <c r="F1531">
        <v>75883.75</v>
      </c>
      <c r="G1531">
        <v>154</v>
      </c>
      <c r="H1531" s="11" t="str">
        <f t="shared" si="88"/>
        <v>count</v>
      </c>
      <c r="I1531" s="197"/>
      <c r="J1531" s="197"/>
      <c r="K1531" s="197"/>
      <c r="L1531" s="197"/>
      <c r="M1531" s="197"/>
      <c r="N1531" s="197"/>
      <c r="O1531" s="197"/>
      <c r="P1531" s="197"/>
      <c r="Q1531" s="197"/>
      <c r="R1531" s="197"/>
      <c r="S1531" s="197"/>
      <c r="T1531" s="197"/>
      <c r="U1531" s="197"/>
      <c r="V1531" s="197"/>
      <c r="W1531" s="197"/>
      <c r="X1531" s="197"/>
      <c r="Y1531" s="197"/>
      <c r="Z1531" s="197"/>
      <c r="AA1531" s="197"/>
      <c r="AB1531" s="197"/>
      <c r="AC1531" s="197"/>
      <c r="AD1531" s="197"/>
      <c r="AE1531" s="197"/>
      <c r="AF1531" s="197"/>
      <c r="AG1531" s="197"/>
      <c r="AH1531" s="197"/>
      <c r="AI1531" s="197"/>
      <c r="AJ1531" s="197"/>
      <c r="AK1531" s="197"/>
      <c r="AL1531" s="197"/>
    </row>
    <row r="1532" spans="1:38">
      <c r="A1532" s="11" t="str">
        <f t="shared" si="89"/>
        <v>15-799397122013</v>
      </c>
      <c r="B1532" t="s">
        <v>811</v>
      </c>
      <c r="C1532" t="s">
        <v>812</v>
      </c>
      <c r="D1532">
        <v>2013</v>
      </c>
      <c r="E1532" t="s">
        <v>104</v>
      </c>
      <c r="F1532">
        <v>312021.34000000003</v>
      </c>
      <c r="G1532">
        <v>612</v>
      </c>
      <c r="H1532" s="11" t="str">
        <f t="shared" si="88"/>
        <v>count</v>
      </c>
      <c r="I1532" s="197"/>
      <c r="J1532" s="197"/>
      <c r="K1532" s="197"/>
      <c r="L1532" s="197"/>
      <c r="M1532" s="197"/>
      <c r="N1532" s="197"/>
      <c r="O1532" s="197"/>
      <c r="P1532" s="197"/>
      <c r="Q1532" s="197"/>
      <c r="R1532" s="197"/>
      <c r="S1532" s="197"/>
      <c r="T1532" s="197"/>
      <c r="U1532" s="197"/>
      <c r="V1532" s="197"/>
      <c r="W1532" s="197"/>
      <c r="X1532" s="197"/>
      <c r="Y1532" s="197"/>
      <c r="Z1532" s="197"/>
      <c r="AA1532" s="197"/>
      <c r="AB1532" s="197"/>
      <c r="AC1532" s="197"/>
      <c r="AD1532" s="197"/>
      <c r="AE1532" s="197"/>
      <c r="AF1532" s="197"/>
      <c r="AG1532" s="197"/>
      <c r="AH1532" s="197"/>
      <c r="AI1532" s="197"/>
      <c r="AJ1532" s="197"/>
      <c r="AK1532" s="197"/>
      <c r="AL1532" s="197"/>
    </row>
    <row r="1533" spans="1:38">
      <c r="A1533" s="11" t="str">
        <f t="shared" si="89"/>
        <v>15-799822862012</v>
      </c>
      <c r="B1533" t="s">
        <v>813</v>
      </c>
      <c r="C1533" t="s">
        <v>814</v>
      </c>
      <c r="D1533">
        <v>2012</v>
      </c>
      <c r="E1533" t="s">
        <v>63</v>
      </c>
      <c r="F1533">
        <v>227965.64</v>
      </c>
      <c r="G1533">
        <v>1513</v>
      </c>
      <c r="H1533" s="11" t="str">
        <f t="shared" si="88"/>
        <v>volume</v>
      </c>
      <c r="I1533" s="197"/>
      <c r="J1533" s="197"/>
      <c r="K1533" s="197"/>
      <c r="L1533" s="197"/>
      <c r="M1533" s="197"/>
      <c r="N1533" s="197"/>
      <c r="O1533" s="197"/>
      <c r="P1533" s="197"/>
      <c r="Q1533" s="197"/>
      <c r="R1533" s="197"/>
      <c r="S1533" s="197"/>
      <c r="T1533" s="197"/>
      <c r="U1533" s="197"/>
      <c r="V1533" s="197"/>
      <c r="W1533" s="197"/>
      <c r="X1533" s="197"/>
      <c r="Y1533" s="197"/>
      <c r="Z1533" s="197"/>
      <c r="AA1533" s="197"/>
      <c r="AB1533" s="197"/>
      <c r="AC1533" s="197"/>
      <c r="AD1533" s="197"/>
      <c r="AE1533" s="197"/>
      <c r="AF1533" s="197"/>
      <c r="AG1533" s="197"/>
      <c r="AH1533" s="197"/>
      <c r="AI1533" s="197"/>
      <c r="AJ1533" s="197"/>
      <c r="AK1533" s="197"/>
      <c r="AL1533" s="197"/>
    </row>
    <row r="1534" spans="1:38">
      <c r="A1534" s="11" t="str">
        <f t="shared" si="89"/>
        <v>15-799822862012</v>
      </c>
      <c r="B1534" t="s">
        <v>813</v>
      </c>
      <c r="C1534" t="s">
        <v>814</v>
      </c>
      <c r="D1534">
        <v>2012</v>
      </c>
      <c r="E1534" t="s">
        <v>104</v>
      </c>
      <c r="F1534">
        <v>149137.65</v>
      </c>
      <c r="G1534">
        <v>1170</v>
      </c>
      <c r="H1534" s="11" t="str">
        <f t="shared" si="88"/>
        <v>count</v>
      </c>
      <c r="I1534" s="197"/>
      <c r="J1534" s="197"/>
      <c r="K1534" s="197"/>
      <c r="L1534" s="197"/>
      <c r="M1534" s="197"/>
      <c r="N1534" s="197"/>
      <c r="O1534" s="197"/>
      <c r="P1534" s="197"/>
      <c r="Q1534" s="197"/>
      <c r="R1534" s="197"/>
      <c r="S1534" s="197"/>
      <c r="T1534" s="197"/>
      <c r="U1534" s="197"/>
      <c r="V1534" s="197"/>
      <c r="W1534" s="197"/>
      <c r="X1534" s="197"/>
      <c r="Y1534" s="197"/>
      <c r="Z1534" s="197"/>
      <c r="AA1534" s="197"/>
      <c r="AB1534" s="197"/>
      <c r="AC1534" s="197"/>
      <c r="AD1534" s="197"/>
      <c r="AE1534" s="197"/>
      <c r="AF1534" s="197"/>
      <c r="AG1534" s="197"/>
      <c r="AH1534" s="197"/>
      <c r="AI1534" s="197"/>
      <c r="AJ1534" s="197"/>
      <c r="AK1534" s="197"/>
      <c r="AL1534" s="197"/>
    </row>
    <row r="1535" spans="1:38">
      <c r="A1535" s="11" t="str">
        <f t="shared" si="89"/>
        <v>15-799822862012</v>
      </c>
      <c r="B1535" t="s">
        <v>813</v>
      </c>
      <c r="C1535" t="s">
        <v>814</v>
      </c>
      <c r="D1535">
        <v>2012</v>
      </c>
      <c r="E1535" t="s">
        <v>69</v>
      </c>
      <c r="F1535">
        <v>146620.82</v>
      </c>
      <c r="G1535">
        <v>1268</v>
      </c>
      <c r="H1535" s="11" t="str">
        <f t="shared" si="88"/>
        <v>count</v>
      </c>
      <c r="I1535" s="197"/>
      <c r="J1535" s="197"/>
      <c r="K1535" s="197"/>
      <c r="L1535" s="197"/>
      <c r="M1535" s="197"/>
      <c r="N1535" s="197"/>
      <c r="O1535" s="197"/>
      <c r="P1535" s="197"/>
      <c r="Q1535" s="197"/>
      <c r="R1535" s="197"/>
      <c r="S1535" s="197"/>
      <c r="T1535" s="197"/>
      <c r="U1535" s="197"/>
      <c r="V1535" s="197"/>
      <c r="W1535" s="197"/>
      <c r="X1535" s="197"/>
      <c r="Y1535" s="197"/>
      <c r="Z1535" s="197"/>
      <c r="AA1535" s="197"/>
      <c r="AB1535" s="197"/>
      <c r="AC1535" s="197"/>
      <c r="AD1535" s="197"/>
      <c r="AE1535" s="197"/>
      <c r="AF1535" s="197"/>
      <c r="AG1535" s="197"/>
      <c r="AH1535" s="197"/>
      <c r="AI1535" s="197"/>
      <c r="AJ1535" s="197"/>
      <c r="AK1535" s="197"/>
      <c r="AL1535" s="197"/>
    </row>
    <row r="1536" spans="1:38">
      <c r="A1536" s="11" t="str">
        <f t="shared" si="89"/>
        <v>15-799822862011</v>
      </c>
      <c r="B1536" t="s">
        <v>813</v>
      </c>
      <c r="C1536" t="s">
        <v>814</v>
      </c>
      <c r="D1536">
        <v>2011</v>
      </c>
      <c r="E1536" t="s">
        <v>105</v>
      </c>
      <c r="F1536">
        <v>1980</v>
      </c>
      <c r="G1536">
        <v>4</v>
      </c>
      <c r="H1536" s="11" t="str">
        <f t="shared" si="88"/>
        <v>count</v>
      </c>
      <c r="I1536" s="197"/>
      <c r="J1536" s="197"/>
      <c r="K1536" s="197"/>
      <c r="L1536" s="197"/>
      <c r="M1536" s="197"/>
      <c r="N1536" s="197"/>
      <c r="O1536" s="197"/>
      <c r="P1536" s="197"/>
      <c r="Q1536" s="197"/>
      <c r="R1536" s="197"/>
      <c r="S1536" s="197"/>
      <c r="T1536" s="197"/>
      <c r="U1536" s="197"/>
      <c r="V1536" s="197"/>
      <c r="W1536" s="197"/>
      <c r="X1536" s="197"/>
      <c r="Y1536" s="197"/>
      <c r="Z1536" s="197"/>
      <c r="AA1536" s="197"/>
      <c r="AB1536" s="197"/>
      <c r="AC1536" s="197"/>
      <c r="AD1536" s="197"/>
      <c r="AE1536" s="197"/>
      <c r="AF1536" s="197"/>
      <c r="AG1536" s="197"/>
      <c r="AH1536" s="197"/>
      <c r="AI1536" s="197"/>
      <c r="AJ1536" s="197"/>
      <c r="AK1536" s="197"/>
      <c r="AL1536" s="197"/>
    </row>
    <row r="1537" spans="1:38">
      <c r="A1537" s="11" t="str">
        <f t="shared" si="89"/>
        <v>15-799822862011</v>
      </c>
      <c r="B1537" t="s">
        <v>813</v>
      </c>
      <c r="C1537" t="s">
        <v>814</v>
      </c>
      <c r="D1537">
        <v>2011</v>
      </c>
      <c r="E1537" t="s">
        <v>69</v>
      </c>
      <c r="F1537">
        <v>548.48</v>
      </c>
      <c r="G1537">
        <v>8</v>
      </c>
      <c r="H1537" s="11" t="str">
        <f t="shared" si="88"/>
        <v>count</v>
      </c>
      <c r="I1537" s="197"/>
      <c r="J1537" s="197"/>
      <c r="K1537" s="197"/>
      <c r="L1537" s="197"/>
      <c r="M1537" s="197"/>
      <c r="N1537" s="197"/>
      <c r="O1537" s="197"/>
      <c r="P1537" s="197"/>
      <c r="Q1537" s="197"/>
      <c r="R1537" s="197"/>
      <c r="S1537" s="197"/>
      <c r="T1537" s="197"/>
      <c r="U1537" s="197"/>
      <c r="V1537" s="197"/>
      <c r="W1537" s="197"/>
      <c r="X1537" s="197"/>
      <c r="Y1537" s="197"/>
      <c r="Z1537" s="197"/>
      <c r="AA1537" s="197"/>
      <c r="AB1537" s="197"/>
      <c r="AC1537" s="197"/>
      <c r="AD1537" s="197"/>
      <c r="AE1537" s="197"/>
      <c r="AF1537" s="197"/>
      <c r="AG1537" s="197"/>
      <c r="AH1537" s="197"/>
      <c r="AI1537" s="197"/>
      <c r="AJ1537" s="197"/>
      <c r="AK1537" s="197"/>
      <c r="AL1537" s="197"/>
    </row>
    <row r="1538" spans="1:38">
      <c r="A1538" s="11" t="str">
        <f t="shared" si="89"/>
        <v>15-799822862011</v>
      </c>
      <c r="B1538" t="s">
        <v>813</v>
      </c>
      <c r="C1538" t="s">
        <v>814</v>
      </c>
      <c r="D1538">
        <v>2011</v>
      </c>
      <c r="E1538" t="s">
        <v>63</v>
      </c>
      <c r="F1538">
        <v>536794.84</v>
      </c>
      <c r="G1538">
        <v>3824</v>
      </c>
      <c r="H1538" s="11" t="str">
        <f t="shared" ref="H1538:H1601" si="90">IF(B1538=B1537,"count","volume")</f>
        <v>count</v>
      </c>
      <c r="I1538" s="197"/>
      <c r="J1538" s="197"/>
      <c r="K1538" s="197"/>
      <c r="L1538" s="197"/>
      <c r="M1538" s="197"/>
      <c r="N1538" s="197"/>
      <c r="O1538" s="197"/>
      <c r="P1538" s="197"/>
      <c r="Q1538" s="197"/>
      <c r="R1538" s="197"/>
      <c r="S1538" s="197"/>
      <c r="T1538" s="197"/>
      <c r="U1538" s="197"/>
      <c r="V1538" s="197"/>
      <c r="W1538" s="197"/>
      <c r="X1538" s="197"/>
      <c r="Y1538" s="197"/>
      <c r="Z1538" s="197"/>
      <c r="AA1538" s="197"/>
      <c r="AB1538" s="197"/>
      <c r="AC1538" s="197"/>
      <c r="AD1538" s="197"/>
      <c r="AE1538" s="197"/>
      <c r="AF1538" s="197"/>
      <c r="AG1538" s="197"/>
      <c r="AH1538" s="197"/>
      <c r="AI1538" s="197"/>
      <c r="AJ1538" s="197"/>
      <c r="AK1538" s="197"/>
      <c r="AL1538" s="197"/>
    </row>
    <row r="1539" spans="1:38">
      <c r="A1539" s="11" t="str">
        <f t="shared" ref="A1539:A1602" si="91">B1539&amp;D1539</f>
        <v>15-799822862011</v>
      </c>
      <c r="B1539" t="s">
        <v>813</v>
      </c>
      <c r="C1539" t="s">
        <v>814</v>
      </c>
      <c r="D1539">
        <v>2011</v>
      </c>
      <c r="E1539" t="s">
        <v>104</v>
      </c>
      <c r="F1539">
        <v>250715.86</v>
      </c>
      <c r="G1539">
        <v>1912</v>
      </c>
      <c r="H1539" s="11" t="str">
        <f t="shared" si="90"/>
        <v>count</v>
      </c>
      <c r="I1539" s="197"/>
      <c r="J1539" s="197"/>
      <c r="K1539" s="197"/>
      <c r="L1539" s="197"/>
      <c r="M1539" s="197"/>
      <c r="N1539" s="197"/>
      <c r="O1539" s="197"/>
      <c r="P1539" s="197"/>
      <c r="Q1539" s="197"/>
      <c r="R1539" s="197"/>
      <c r="S1539" s="197"/>
      <c r="T1539" s="197"/>
      <c r="U1539" s="197"/>
      <c r="V1539" s="197"/>
      <c r="W1539" s="197"/>
      <c r="X1539" s="197"/>
      <c r="Y1539" s="197"/>
      <c r="Z1539" s="197"/>
      <c r="AA1539" s="197"/>
      <c r="AB1539" s="197"/>
      <c r="AC1539" s="197"/>
      <c r="AD1539" s="197"/>
      <c r="AE1539" s="197"/>
      <c r="AF1539" s="197"/>
      <c r="AG1539" s="197"/>
      <c r="AH1539" s="197"/>
      <c r="AI1539" s="197"/>
      <c r="AJ1539" s="197"/>
      <c r="AK1539" s="197"/>
      <c r="AL1539" s="197"/>
    </row>
    <row r="1540" spans="1:38">
      <c r="A1540" s="11" t="str">
        <f t="shared" si="91"/>
        <v>15-799822862012</v>
      </c>
      <c r="B1540" t="s">
        <v>813</v>
      </c>
      <c r="C1540" t="s">
        <v>814</v>
      </c>
      <c r="D1540">
        <v>2012</v>
      </c>
      <c r="E1540" t="s">
        <v>105</v>
      </c>
      <c r="F1540">
        <v>3960</v>
      </c>
      <c r="G1540">
        <v>6</v>
      </c>
      <c r="H1540" s="11" t="str">
        <f t="shared" si="90"/>
        <v>count</v>
      </c>
      <c r="I1540" s="197"/>
      <c r="J1540" s="197"/>
      <c r="K1540" s="197"/>
      <c r="L1540" s="197"/>
      <c r="M1540" s="197"/>
      <c r="N1540" s="197"/>
      <c r="O1540" s="197"/>
      <c r="P1540" s="197"/>
      <c r="Q1540" s="197"/>
      <c r="R1540" s="197"/>
      <c r="S1540" s="197"/>
      <c r="T1540" s="197"/>
      <c r="U1540" s="197"/>
      <c r="V1540" s="197"/>
      <c r="W1540" s="197"/>
      <c r="X1540" s="197"/>
      <c r="Y1540" s="197"/>
      <c r="Z1540" s="197"/>
      <c r="AA1540" s="197"/>
      <c r="AB1540" s="197"/>
      <c r="AC1540" s="197"/>
      <c r="AD1540" s="197"/>
      <c r="AE1540" s="197"/>
      <c r="AF1540" s="197"/>
      <c r="AG1540" s="197"/>
      <c r="AH1540" s="197"/>
      <c r="AI1540" s="197"/>
      <c r="AJ1540" s="197"/>
      <c r="AK1540" s="197"/>
      <c r="AL1540" s="197"/>
    </row>
    <row r="1541" spans="1:38">
      <c r="A1541" s="11" t="str">
        <f t="shared" si="91"/>
        <v>15-800181942012</v>
      </c>
      <c r="B1541" t="s">
        <v>815</v>
      </c>
      <c r="C1541" t="s">
        <v>816</v>
      </c>
      <c r="D1541">
        <v>2012</v>
      </c>
      <c r="E1541" t="s">
        <v>133</v>
      </c>
      <c r="F1541">
        <v>988471.63</v>
      </c>
      <c r="G1541">
        <v>1033</v>
      </c>
      <c r="H1541" s="11" t="str">
        <f t="shared" si="90"/>
        <v>volume</v>
      </c>
      <c r="I1541" s="197"/>
      <c r="J1541" s="197"/>
      <c r="K1541" s="197"/>
      <c r="L1541" s="197"/>
      <c r="M1541" s="197"/>
      <c r="N1541" s="197"/>
      <c r="O1541" s="197"/>
      <c r="P1541" s="197"/>
      <c r="Q1541" s="197"/>
      <c r="R1541" s="197"/>
      <c r="S1541" s="197"/>
      <c r="T1541" s="197"/>
      <c r="U1541" s="197"/>
      <c r="V1541" s="197"/>
      <c r="W1541" s="197"/>
      <c r="X1541" s="197"/>
      <c r="Y1541" s="197"/>
      <c r="Z1541" s="197"/>
      <c r="AA1541" s="197"/>
      <c r="AB1541" s="197"/>
      <c r="AC1541" s="197"/>
      <c r="AD1541" s="197"/>
      <c r="AE1541" s="197"/>
      <c r="AF1541" s="197"/>
      <c r="AG1541" s="197"/>
      <c r="AH1541" s="197"/>
      <c r="AI1541" s="197"/>
      <c r="AJ1541" s="197"/>
      <c r="AK1541" s="197"/>
      <c r="AL1541" s="197"/>
    </row>
    <row r="1542" spans="1:38">
      <c r="A1542" s="11" t="str">
        <f t="shared" si="91"/>
        <v>15-800181942012</v>
      </c>
      <c r="B1542" t="s">
        <v>815</v>
      </c>
      <c r="C1542" t="s">
        <v>816</v>
      </c>
      <c r="D1542">
        <v>2012</v>
      </c>
      <c r="E1542" t="s">
        <v>63</v>
      </c>
      <c r="F1542">
        <v>996461.76</v>
      </c>
      <c r="G1542">
        <v>1175</v>
      </c>
      <c r="H1542" s="11" t="str">
        <f t="shared" si="90"/>
        <v>count</v>
      </c>
      <c r="I1542" s="197"/>
      <c r="J1542" s="197"/>
      <c r="K1542" s="197"/>
      <c r="L1542" s="197"/>
      <c r="M1542" s="197"/>
      <c r="N1542" s="197"/>
      <c r="O1542" s="197"/>
      <c r="P1542" s="197"/>
      <c r="Q1542" s="197"/>
      <c r="R1542" s="197"/>
      <c r="S1542" s="197"/>
      <c r="T1542" s="197"/>
      <c r="U1542" s="197"/>
      <c r="V1542" s="197"/>
      <c r="W1542" s="197"/>
      <c r="X1542" s="197"/>
      <c r="Y1542" s="197"/>
      <c r="Z1542" s="197"/>
      <c r="AA1542" s="197"/>
      <c r="AB1542" s="197"/>
      <c r="AC1542" s="197"/>
      <c r="AD1542" s="197"/>
      <c r="AE1542" s="197"/>
      <c r="AF1542" s="197"/>
      <c r="AG1542" s="197"/>
      <c r="AH1542" s="197"/>
      <c r="AI1542" s="197"/>
      <c r="AJ1542" s="197"/>
      <c r="AK1542" s="197"/>
      <c r="AL1542" s="197"/>
    </row>
    <row r="1543" spans="1:38">
      <c r="A1543" s="11" t="str">
        <f t="shared" si="91"/>
        <v>15-800181942011</v>
      </c>
      <c r="B1543" t="s">
        <v>815</v>
      </c>
      <c r="C1543" t="s">
        <v>816</v>
      </c>
      <c r="D1543">
        <v>2011</v>
      </c>
      <c r="E1543" t="s">
        <v>106</v>
      </c>
      <c r="F1543">
        <v>1156.22</v>
      </c>
      <c r="G1543">
        <v>2</v>
      </c>
      <c r="H1543" s="11" t="str">
        <f t="shared" si="90"/>
        <v>count</v>
      </c>
      <c r="I1543" s="197"/>
      <c r="J1543" s="197"/>
      <c r="K1543" s="197"/>
      <c r="L1543" s="197"/>
      <c r="M1543" s="197"/>
      <c r="N1543" s="197"/>
      <c r="O1543" s="197"/>
      <c r="P1543" s="197"/>
      <c r="Q1543" s="197"/>
      <c r="R1543" s="197"/>
      <c r="S1543" s="197"/>
      <c r="T1543" s="197"/>
      <c r="U1543" s="197"/>
      <c r="V1543" s="197"/>
      <c r="W1543" s="197"/>
      <c r="X1543" s="197"/>
      <c r="Y1543" s="197"/>
      <c r="Z1543" s="197"/>
      <c r="AA1543" s="197"/>
      <c r="AB1543" s="197"/>
      <c r="AC1543" s="197"/>
      <c r="AD1543" s="197"/>
      <c r="AE1543" s="197"/>
      <c r="AF1543" s="197"/>
      <c r="AG1543" s="197"/>
      <c r="AH1543" s="197"/>
      <c r="AI1543" s="197"/>
      <c r="AJ1543" s="197"/>
      <c r="AK1543" s="197"/>
      <c r="AL1543" s="197"/>
    </row>
    <row r="1544" spans="1:38">
      <c r="A1544" s="11" t="str">
        <f t="shared" si="91"/>
        <v>15-800181942013</v>
      </c>
      <c r="B1544" t="s">
        <v>815</v>
      </c>
      <c r="C1544" t="s">
        <v>816</v>
      </c>
      <c r="D1544">
        <v>2013</v>
      </c>
      <c r="E1544" t="s">
        <v>105</v>
      </c>
      <c r="F1544">
        <v>50335.58</v>
      </c>
      <c r="G1544">
        <v>78</v>
      </c>
      <c r="H1544" s="11" t="str">
        <f t="shared" si="90"/>
        <v>count</v>
      </c>
      <c r="I1544" s="197"/>
      <c r="J1544" s="197"/>
      <c r="K1544" s="197"/>
      <c r="L1544" s="197"/>
      <c r="M1544" s="197"/>
      <c r="N1544" s="197"/>
      <c r="O1544" s="197"/>
      <c r="P1544" s="197"/>
      <c r="Q1544" s="197"/>
      <c r="R1544" s="197"/>
      <c r="S1544" s="197"/>
      <c r="T1544" s="197"/>
      <c r="U1544" s="197"/>
      <c r="V1544" s="197"/>
      <c r="W1544" s="197"/>
      <c r="X1544" s="197"/>
      <c r="Y1544" s="197"/>
      <c r="Z1544" s="197"/>
      <c r="AA1544" s="197"/>
      <c r="AB1544" s="197"/>
      <c r="AC1544" s="197"/>
      <c r="AD1544" s="197"/>
      <c r="AE1544" s="197"/>
      <c r="AF1544" s="197"/>
      <c r="AG1544" s="197"/>
      <c r="AH1544" s="197"/>
      <c r="AI1544" s="197"/>
      <c r="AJ1544" s="197"/>
      <c r="AK1544" s="197"/>
      <c r="AL1544" s="197"/>
    </row>
    <row r="1545" spans="1:38">
      <c r="A1545" s="11" t="str">
        <f t="shared" si="91"/>
        <v>15-800181942012</v>
      </c>
      <c r="B1545" t="s">
        <v>815</v>
      </c>
      <c r="C1545" t="s">
        <v>816</v>
      </c>
      <c r="D1545">
        <v>2012</v>
      </c>
      <c r="E1545" t="s">
        <v>104</v>
      </c>
      <c r="F1545">
        <v>564052.47999999998</v>
      </c>
      <c r="G1545">
        <v>662</v>
      </c>
      <c r="H1545" s="11" t="str">
        <f t="shared" si="90"/>
        <v>count</v>
      </c>
      <c r="I1545" s="197"/>
      <c r="J1545" s="197"/>
      <c r="K1545" s="197"/>
      <c r="L1545" s="197"/>
      <c r="M1545" s="197"/>
      <c r="N1545" s="197"/>
      <c r="O1545" s="197"/>
      <c r="P1545" s="197"/>
      <c r="Q1545" s="197"/>
      <c r="R1545" s="197"/>
      <c r="S1545" s="197"/>
      <c r="T1545" s="197"/>
      <c r="U1545" s="197"/>
      <c r="V1545" s="197"/>
      <c r="W1545" s="197"/>
      <c r="X1545" s="197"/>
      <c r="Y1545" s="197"/>
      <c r="Z1545" s="197"/>
      <c r="AA1545" s="197"/>
      <c r="AB1545" s="197"/>
      <c r="AC1545" s="197"/>
      <c r="AD1545" s="197"/>
      <c r="AE1545" s="197"/>
      <c r="AF1545" s="197"/>
      <c r="AG1545" s="197"/>
      <c r="AH1545" s="197"/>
      <c r="AI1545" s="197"/>
      <c r="AJ1545" s="197"/>
      <c r="AK1545" s="197"/>
      <c r="AL1545" s="197"/>
    </row>
    <row r="1546" spans="1:38">
      <c r="A1546" s="11" t="str">
        <f t="shared" si="91"/>
        <v>15-800181942011</v>
      </c>
      <c r="B1546" t="s">
        <v>815</v>
      </c>
      <c r="C1546" t="s">
        <v>816</v>
      </c>
      <c r="D1546">
        <v>2011</v>
      </c>
      <c r="E1546" t="s">
        <v>105</v>
      </c>
      <c r="F1546">
        <v>90468.08</v>
      </c>
      <c r="G1546">
        <v>104</v>
      </c>
      <c r="H1546" s="11" t="str">
        <f t="shared" si="90"/>
        <v>count</v>
      </c>
      <c r="I1546" s="197"/>
      <c r="J1546" s="197"/>
      <c r="K1546" s="197"/>
      <c r="L1546" s="197"/>
      <c r="M1546" s="197"/>
      <c r="N1546" s="197"/>
      <c r="O1546" s="197"/>
      <c r="P1546" s="197"/>
      <c r="Q1546" s="197"/>
      <c r="R1546" s="197"/>
      <c r="S1546" s="197"/>
      <c r="T1546" s="197"/>
      <c r="U1546" s="197"/>
      <c r="V1546" s="197"/>
      <c r="W1546" s="197"/>
      <c r="X1546" s="197"/>
      <c r="Y1546" s="197"/>
      <c r="Z1546" s="197"/>
      <c r="AA1546" s="197"/>
      <c r="AB1546" s="197"/>
      <c r="AC1546" s="197"/>
      <c r="AD1546" s="197"/>
      <c r="AE1546" s="197"/>
      <c r="AF1546" s="197"/>
      <c r="AG1546" s="197"/>
      <c r="AH1546" s="197"/>
      <c r="AI1546" s="197"/>
      <c r="AJ1546" s="197"/>
      <c r="AK1546" s="197"/>
      <c r="AL1546" s="197"/>
    </row>
    <row r="1547" spans="1:38">
      <c r="A1547" s="11" t="str">
        <f t="shared" si="91"/>
        <v>15-800181942012</v>
      </c>
      <c r="B1547" t="s">
        <v>815</v>
      </c>
      <c r="C1547" t="s">
        <v>816</v>
      </c>
      <c r="D1547">
        <v>2012</v>
      </c>
      <c r="E1547" t="s">
        <v>69</v>
      </c>
      <c r="F1547">
        <v>210222.55</v>
      </c>
      <c r="G1547">
        <v>279</v>
      </c>
      <c r="H1547" s="11" t="str">
        <f t="shared" si="90"/>
        <v>count</v>
      </c>
      <c r="I1547" s="197"/>
      <c r="J1547" s="197"/>
      <c r="K1547" s="197"/>
      <c r="L1547" s="197"/>
      <c r="M1547" s="197"/>
      <c r="N1547" s="197"/>
      <c r="O1547" s="197"/>
      <c r="P1547" s="197"/>
      <c r="Q1547" s="197"/>
      <c r="R1547" s="197"/>
      <c r="S1547" s="197"/>
      <c r="T1547" s="197"/>
      <c r="U1547" s="197"/>
      <c r="V1547" s="197"/>
      <c r="W1547" s="197"/>
      <c r="X1547" s="197"/>
      <c r="Y1547" s="197"/>
      <c r="Z1547" s="197"/>
      <c r="AA1547" s="197"/>
      <c r="AB1547" s="197"/>
      <c r="AC1547" s="197"/>
      <c r="AD1547" s="197"/>
      <c r="AE1547" s="197"/>
      <c r="AF1547" s="197"/>
      <c r="AG1547" s="197"/>
      <c r="AH1547" s="197"/>
      <c r="AI1547" s="197"/>
      <c r="AJ1547" s="197"/>
      <c r="AK1547" s="197"/>
      <c r="AL1547" s="197"/>
    </row>
    <row r="1548" spans="1:38">
      <c r="A1548" s="11" t="str">
        <f t="shared" si="91"/>
        <v>15-800181942013</v>
      </c>
      <c r="B1548" t="s">
        <v>815</v>
      </c>
      <c r="C1548" t="s">
        <v>816</v>
      </c>
      <c r="D1548">
        <v>2013</v>
      </c>
      <c r="E1548" t="s">
        <v>104</v>
      </c>
      <c r="F1548">
        <v>502940.8</v>
      </c>
      <c r="G1548">
        <v>578</v>
      </c>
      <c r="H1548" s="11" t="str">
        <f t="shared" si="90"/>
        <v>count</v>
      </c>
      <c r="I1548" s="197"/>
      <c r="J1548" s="197"/>
      <c r="K1548" s="197"/>
      <c r="L1548" s="197"/>
      <c r="M1548" s="197"/>
      <c r="N1548" s="197"/>
      <c r="O1548" s="197"/>
      <c r="P1548" s="197"/>
      <c r="Q1548" s="197"/>
      <c r="R1548" s="197"/>
      <c r="S1548" s="197"/>
      <c r="T1548" s="197"/>
      <c r="U1548" s="197"/>
      <c r="V1548" s="197"/>
      <c r="W1548" s="197"/>
      <c r="X1548" s="197"/>
      <c r="Y1548" s="197"/>
      <c r="Z1548" s="197"/>
      <c r="AA1548" s="197"/>
      <c r="AB1548" s="197"/>
      <c r="AC1548" s="197"/>
      <c r="AD1548" s="197"/>
      <c r="AE1548" s="197"/>
      <c r="AF1548" s="197"/>
      <c r="AG1548" s="197"/>
      <c r="AH1548" s="197"/>
      <c r="AI1548" s="197"/>
      <c r="AJ1548" s="197"/>
      <c r="AK1548" s="197"/>
      <c r="AL1548" s="197"/>
    </row>
    <row r="1549" spans="1:38">
      <c r="A1549" s="11" t="str">
        <f t="shared" si="91"/>
        <v>15-800181942013</v>
      </c>
      <c r="B1549" t="s">
        <v>815</v>
      </c>
      <c r="C1549" t="s">
        <v>816</v>
      </c>
      <c r="D1549">
        <v>2013</v>
      </c>
      <c r="E1549" t="s">
        <v>63</v>
      </c>
      <c r="F1549">
        <v>925852.88</v>
      </c>
      <c r="G1549">
        <v>1126</v>
      </c>
      <c r="H1549" s="11" t="str">
        <f t="shared" si="90"/>
        <v>count</v>
      </c>
      <c r="I1549" s="197"/>
      <c r="J1549" s="197"/>
      <c r="K1549" s="197"/>
      <c r="L1549" s="197"/>
      <c r="M1549" s="197"/>
      <c r="N1549" s="197"/>
      <c r="O1549" s="197"/>
      <c r="P1549" s="197"/>
      <c r="Q1549" s="197"/>
      <c r="R1549" s="197"/>
      <c r="S1549" s="197"/>
      <c r="T1549" s="197"/>
      <c r="U1549" s="197"/>
      <c r="V1549" s="197"/>
      <c r="W1549" s="197"/>
      <c r="X1549" s="197"/>
      <c r="Y1549" s="197"/>
      <c r="Z1549" s="197"/>
      <c r="AA1549" s="197"/>
      <c r="AB1549" s="197"/>
      <c r="AC1549" s="197"/>
      <c r="AD1549" s="197"/>
      <c r="AE1549" s="197"/>
      <c r="AF1549" s="197"/>
      <c r="AG1549" s="197"/>
      <c r="AH1549" s="197"/>
      <c r="AI1549" s="197"/>
      <c r="AJ1549" s="197"/>
      <c r="AK1549" s="197"/>
      <c r="AL1549" s="197"/>
    </row>
    <row r="1550" spans="1:38">
      <c r="A1550" s="11" t="str">
        <f t="shared" si="91"/>
        <v>15-800181942011</v>
      </c>
      <c r="B1550" t="s">
        <v>815</v>
      </c>
      <c r="C1550" t="s">
        <v>816</v>
      </c>
      <c r="D1550">
        <v>2011</v>
      </c>
      <c r="E1550" t="s">
        <v>69</v>
      </c>
      <c r="F1550">
        <v>35</v>
      </c>
      <c r="G1550">
        <v>2</v>
      </c>
      <c r="H1550" s="11" t="str">
        <f t="shared" si="90"/>
        <v>count</v>
      </c>
      <c r="I1550" s="197"/>
      <c r="J1550" s="197"/>
      <c r="K1550" s="197"/>
      <c r="L1550" s="197"/>
      <c r="M1550" s="197"/>
      <c r="N1550" s="197"/>
      <c r="O1550" s="197"/>
      <c r="P1550" s="197"/>
      <c r="Q1550" s="197"/>
      <c r="R1550" s="197"/>
      <c r="S1550" s="197"/>
      <c r="T1550" s="197"/>
      <c r="U1550" s="197"/>
      <c r="V1550" s="197"/>
      <c r="W1550" s="197"/>
      <c r="X1550" s="197"/>
      <c r="Y1550" s="197"/>
      <c r="Z1550" s="197"/>
      <c r="AA1550" s="197"/>
      <c r="AB1550" s="197"/>
      <c r="AC1550" s="197"/>
      <c r="AD1550" s="197"/>
      <c r="AE1550" s="197"/>
      <c r="AF1550" s="197"/>
      <c r="AG1550" s="197"/>
      <c r="AH1550" s="197"/>
      <c r="AI1550" s="197"/>
      <c r="AJ1550" s="197"/>
      <c r="AK1550" s="197"/>
      <c r="AL1550" s="197"/>
    </row>
    <row r="1551" spans="1:38">
      <c r="A1551" s="11" t="str">
        <f t="shared" si="91"/>
        <v>15-800181942013</v>
      </c>
      <c r="B1551" t="s">
        <v>815</v>
      </c>
      <c r="C1551" t="s">
        <v>816</v>
      </c>
      <c r="D1551">
        <v>2013</v>
      </c>
      <c r="E1551" t="s">
        <v>106</v>
      </c>
      <c r="F1551">
        <v>552.29</v>
      </c>
      <c r="G1551">
        <v>1</v>
      </c>
      <c r="H1551" s="11" t="str">
        <f t="shared" si="90"/>
        <v>count</v>
      </c>
      <c r="I1551" s="197"/>
      <c r="J1551" s="197"/>
      <c r="K1551" s="197"/>
      <c r="L1551" s="197"/>
      <c r="M1551" s="197"/>
      <c r="N1551" s="197"/>
      <c r="O1551" s="197"/>
      <c r="P1551" s="197"/>
      <c r="Q1551" s="197"/>
      <c r="R1551" s="197"/>
      <c r="S1551" s="197"/>
      <c r="T1551" s="197"/>
      <c r="U1551" s="197"/>
      <c r="V1551" s="197"/>
      <c r="W1551" s="197"/>
      <c r="X1551" s="197"/>
      <c r="Y1551" s="197"/>
      <c r="Z1551" s="197"/>
      <c r="AA1551" s="197"/>
      <c r="AB1551" s="197"/>
      <c r="AC1551" s="197"/>
      <c r="AD1551" s="197"/>
      <c r="AE1551" s="197"/>
      <c r="AF1551" s="197"/>
      <c r="AG1551" s="197"/>
      <c r="AH1551" s="197"/>
      <c r="AI1551" s="197"/>
      <c r="AJ1551" s="197"/>
      <c r="AK1551" s="197"/>
      <c r="AL1551" s="197"/>
    </row>
    <row r="1552" spans="1:38">
      <c r="A1552" s="11" t="str">
        <f t="shared" si="91"/>
        <v>15-800181942012</v>
      </c>
      <c r="B1552" t="s">
        <v>815</v>
      </c>
      <c r="C1552" t="s">
        <v>816</v>
      </c>
      <c r="D1552">
        <v>2012</v>
      </c>
      <c r="E1552" t="s">
        <v>105</v>
      </c>
      <c r="F1552">
        <v>70279.360000000001</v>
      </c>
      <c r="G1552">
        <v>108</v>
      </c>
      <c r="H1552" s="11" t="str">
        <f t="shared" si="90"/>
        <v>count</v>
      </c>
      <c r="I1552" s="197"/>
      <c r="J1552" s="197"/>
      <c r="K1552" s="197"/>
      <c r="L1552" s="197"/>
      <c r="M1552" s="197"/>
      <c r="N1552" s="197"/>
      <c r="O1552" s="197"/>
      <c r="P1552" s="197"/>
      <c r="Q1552" s="197"/>
      <c r="R1552" s="197"/>
      <c r="S1552" s="197"/>
      <c r="T1552" s="197"/>
      <c r="U1552" s="197"/>
      <c r="V1552" s="197"/>
      <c r="W1552" s="197"/>
      <c r="X1552" s="197"/>
      <c r="Y1552" s="197"/>
      <c r="Z1552" s="197"/>
      <c r="AA1552" s="197"/>
      <c r="AB1552" s="197"/>
      <c r="AC1552" s="197"/>
      <c r="AD1552" s="197"/>
      <c r="AE1552" s="197"/>
      <c r="AF1552" s="197"/>
      <c r="AG1552" s="197"/>
      <c r="AH1552" s="197"/>
      <c r="AI1552" s="197"/>
      <c r="AJ1552" s="197"/>
      <c r="AK1552" s="197"/>
      <c r="AL1552" s="197"/>
    </row>
    <row r="1553" spans="1:38">
      <c r="A1553" s="11" t="str">
        <f t="shared" si="91"/>
        <v>15-800181942011</v>
      </c>
      <c r="B1553" t="s">
        <v>815</v>
      </c>
      <c r="C1553" t="s">
        <v>816</v>
      </c>
      <c r="D1553">
        <v>2011</v>
      </c>
      <c r="E1553" t="s">
        <v>133</v>
      </c>
      <c r="F1553">
        <v>1119001.1100000001</v>
      </c>
      <c r="G1553">
        <v>1070</v>
      </c>
      <c r="H1553" s="11" t="str">
        <f t="shared" si="90"/>
        <v>count</v>
      </c>
      <c r="I1553" s="197"/>
      <c r="J1553" s="197"/>
      <c r="K1553" s="197"/>
      <c r="L1553" s="197"/>
      <c r="M1553" s="197"/>
      <c r="N1553" s="197"/>
      <c r="O1553" s="197"/>
      <c r="P1553" s="197"/>
      <c r="Q1553" s="197"/>
      <c r="R1553" s="197"/>
      <c r="S1553" s="197"/>
      <c r="T1553" s="197"/>
      <c r="U1553" s="197"/>
      <c r="V1553" s="197"/>
      <c r="W1553" s="197"/>
      <c r="X1553" s="197"/>
      <c r="Y1553" s="197"/>
      <c r="Z1553" s="197"/>
      <c r="AA1553" s="197"/>
      <c r="AB1553" s="197"/>
      <c r="AC1553" s="197"/>
      <c r="AD1553" s="197"/>
      <c r="AE1553" s="197"/>
      <c r="AF1553" s="197"/>
      <c r="AG1553" s="197"/>
      <c r="AH1553" s="197"/>
      <c r="AI1553" s="197"/>
      <c r="AJ1553" s="197"/>
      <c r="AK1553" s="197"/>
      <c r="AL1553" s="197"/>
    </row>
    <row r="1554" spans="1:38">
      <c r="A1554" s="11" t="str">
        <f t="shared" si="91"/>
        <v>15-800181942011</v>
      </c>
      <c r="B1554" t="s">
        <v>815</v>
      </c>
      <c r="C1554" t="s">
        <v>816</v>
      </c>
      <c r="D1554">
        <v>2011</v>
      </c>
      <c r="E1554" t="s">
        <v>104</v>
      </c>
      <c r="F1554">
        <v>708921.32</v>
      </c>
      <c r="G1554">
        <v>746</v>
      </c>
      <c r="H1554" s="11" t="str">
        <f t="shared" si="90"/>
        <v>count</v>
      </c>
      <c r="I1554" s="197"/>
      <c r="J1554" s="197"/>
      <c r="K1554" s="197"/>
      <c r="L1554" s="197"/>
      <c r="M1554" s="197"/>
      <c r="N1554" s="197"/>
      <c r="O1554" s="197"/>
      <c r="P1554" s="197"/>
      <c r="Q1554" s="197"/>
      <c r="R1554" s="197"/>
      <c r="S1554" s="197"/>
      <c r="T1554" s="197"/>
      <c r="U1554" s="197"/>
      <c r="V1554" s="197"/>
      <c r="W1554" s="197"/>
      <c r="X1554" s="197"/>
      <c r="Y1554" s="197"/>
      <c r="Z1554" s="197"/>
      <c r="AA1554" s="197"/>
      <c r="AB1554" s="197"/>
      <c r="AC1554" s="197"/>
      <c r="AD1554" s="197"/>
      <c r="AE1554" s="197"/>
      <c r="AF1554" s="197"/>
      <c r="AG1554" s="197"/>
      <c r="AH1554" s="197"/>
      <c r="AI1554" s="197"/>
      <c r="AJ1554" s="197"/>
      <c r="AK1554" s="197"/>
      <c r="AL1554" s="197"/>
    </row>
    <row r="1555" spans="1:38">
      <c r="A1555" s="11" t="str">
        <f t="shared" si="91"/>
        <v>15-800181942013</v>
      </c>
      <c r="B1555" t="s">
        <v>815</v>
      </c>
      <c r="C1555" t="s">
        <v>816</v>
      </c>
      <c r="D1555">
        <v>2013</v>
      </c>
      <c r="E1555" t="s">
        <v>69</v>
      </c>
      <c r="F1555">
        <v>227073.88</v>
      </c>
      <c r="G1555">
        <v>332</v>
      </c>
      <c r="H1555" s="11" t="str">
        <f t="shared" si="90"/>
        <v>count</v>
      </c>
      <c r="I1555" s="197"/>
      <c r="J1555" s="197"/>
      <c r="K1555" s="197"/>
      <c r="L1555" s="197"/>
      <c r="M1555" s="197"/>
      <c r="N1555" s="197"/>
      <c r="O1555" s="197"/>
      <c r="P1555" s="197"/>
      <c r="Q1555" s="197"/>
      <c r="R1555" s="197"/>
      <c r="S1555" s="197"/>
      <c r="T1555" s="197"/>
      <c r="U1555" s="197"/>
      <c r="V1555" s="197"/>
      <c r="W1555" s="197"/>
      <c r="X1555" s="197"/>
      <c r="Y1555" s="197"/>
      <c r="Z1555" s="197"/>
      <c r="AA1555" s="197"/>
      <c r="AB1555" s="197"/>
      <c r="AC1555" s="197"/>
      <c r="AD1555" s="197"/>
      <c r="AE1555" s="197"/>
      <c r="AF1555" s="197"/>
      <c r="AG1555" s="197"/>
      <c r="AH1555" s="197"/>
      <c r="AI1555" s="197"/>
      <c r="AJ1555" s="197"/>
      <c r="AK1555" s="197"/>
      <c r="AL1555" s="197"/>
    </row>
    <row r="1556" spans="1:38">
      <c r="A1556" s="11" t="str">
        <f t="shared" si="91"/>
        <v>15-800181942012</v>
      </c>
      <c r="B1556" t="s">
        <v>815</v>
      </c>
      <c r="C1556" t="s">
        <v>816</v>
      </c>
      <c r="D1556">
        <v>2012</v>
      </c>
      <c r="E1556" t="s">
        <v>106</v>
      </c>
      <c r="F1556">
        <v>3812.36</v>
      </c>
      <c r="G1556">
        <v>2</v>
      </c>
      <c r="H1556" s="11" t="str">
        <f t="shared" si="90"/>
        <v>count</v>
      </c>
      <c r="I1556" s="197"/>
      <c r="J1556" s="197"/>
      <c r="K1556" s="197"/>
      <c r="L1556" s="197"/>
      <c r="M1556" s="197"/>
      <c r="N1556" s="197"/>
      <c r="O1556" s="197"/>
      <c r="P1556" s="197"/>
      <c r="Q1556" s="197"/>
      <c r="R1556" s="197"/>
      <c r="S1556" s="197"/>
      <c r="T1556" s="197"/>
      <c r="U1556" s="197"/>
      <c r="V1556" s="197"/>
      <c r="W1556" s="197"/>
      <c r="X1556" s="197"/>
      <c r="Y1556" s="197"/>
      <c r="Z1556" s="197"/>
      <c r="AA1556" s="197"/>
      <c r="AB1556" s="197"/>
      <c r="AC1556" s="197"/>
      <c r="AD1556" s="197"/>
      <c r="AE1556" s="197"/>
      <c r="AF1556" s="197"/>
      <c r="AG1556" s="197"/>
      <c r="AH1556" s="197"/>
      <c r="AI1556" s="197"/>
      <c r="AJ1556" s="197"/>
      <c r="AK1556" s="197"/>
      <c r="AL1556" s="197"/>
    </row>
    <row r="1557" spans="1:38">
      <c r="A1557" s="11" t="str">
        <f t="shared" si="91"/>
        <v>15-800181942011</v>
      </c>
      <c r="B1557" t="s">
        <v>815</v>
      </c>
      <c r="C1557" t="s">
        <v>816</v>
      </c>
      <c r="D1557">
        <v>2011</v>
      </c>
      <c r="E1557" t="s">
        <v>63</v>
      </c>
      <c r="F1557">
        <v>1291158.3600000001</v>
      </c>
      <c r="G1557">
        <v>1569</v>
      </c>
      <c r="H1557" s="11" t="str">
        <f t="shared" si="90"/>
        <v>count</v>
      </c>
      <c r="I1557" s="197"/>
      <c r="J1557" s="197"/>
      <c r="K1557" s="197"/>
      <c r="L1557" s="197"/>
      <c r="M1557" s="197"/>
      <c r="N1557" s="197"/>
      <c r="O1557" s="197"/>
      <c r="P1557" s="197"/>
      <c r="Q1557" s="197"/>
      <c r="R1557" s="197"/>
      <c r="S1557" s="197"/>
      <c r="T1557" s="197"/>
      <c r="U1557" s="197"/>
      <c r="V1557" s="197"/>
      <c r="W1557" s="197"/>
      <c r="X1557" s="197"/>
      <c r="Y1557" s="197"/>
      <c r="Z1557" s="197"/>
      <c r="AA1557" s="197"/>
      <c r="AB1557" s="197"/>
      <c r="AC1557" s="197"/>
      <c r="AD1557" s="197"/>
      <c r="AE1557" s="197"/>
      <c r="AF1557" s="197"/>
      <c r="AG1557" s="197"/>
      <c r="AH1557" s="197"/>
      <c r="AI1557" s="197"/>
      <c r="AJ1557" s="197"/>
      <c r="AK1557" s="197"/>
      <c r="AL1557" s="197"/>
    </row>
    <row r="1558" spans="1:38">
      <c r="A1558" s="11" t="str">
        <f t="shared" si="91"/>
        <v>15-800181942013</v>
      </c>
      <c r="B1558" t="s">
        <v>815</v>
      </c>
      <c r="C1558" t="s">
        <v>816</v>
      </c>
      <c r="D1558">
        <v>2013</v>
      </c>
      <c r="E1558" t="s">
        <v>133</v>
      </c>
      <c r="F1558">
        <v>1000986.36</v>
      </c>
      <c r="G1558">
        <v>1061</v>
      </c>
      <c r="H1558" s="11" t="str">
        <f t="shared" si="90"/>
        <v>count</v>
      </c>
      <c r="I1558" s="197"/>
      <c r="J1558" s="197"/>
      <c r="K1558" s="197"/>
      <c r="L1558" s="197"/>
      <c r="M1558" s="197"/>
      <c r="N1558" s="197"/>
      <c r="O1558" s="197"/>
      <c r="P1558" s="197"/>
      <c r="Q1558" s="197"/>
      <c r="R1558" s="197"/>
      <c r="S1558" s="197"/>
      <c r="T1558" s="197"/>
      <c r="U1558" s="197"/>
      <c r="V1558" s="197"/>
      <c r="W1558" s="197"/>
      <c r="X1558" s="197"/>
      <c r="Y1558" s="197"/>
      <c r="Z1558" s="197"/>
      <c r="AA1558" s="197"/>
      <c r="AB1558" s="197"/>
      <c r="AC1558" s="197"/>
      <c r="AD1558" s="197"/>
      <c r="AE1558" s="197"/>
      <c r="AF1558" s="197"/>
      <c r="AG1558" s="197"/>
      <c r="AH1558" s="197"/>
      <c r="AI1558" s="197"/>
      <c r="AJ1558" s="197"/>
      <c r="AK1558" s="197"/>
      <c r="AL1558" s="197"/>
    </row>
    <row r="1559" spans="1:38">
      <c r="A1559" s="11" t="str">
        <f t="shared" si="91"/>
        <v>15-800587342013</v>
      </c>
      <c r="B1559" t="s">
        <v>818</v>
      </c>
      <c r="C1559" t="s">
        <v>819</v>
      </c>
      <c r="D1559">
        <v>2013</v>
      </c>
      <c r="E1559" t="s">
        <v>63</v>
      </c>
      <c r="F1559">
        <v>639273.69999999995</v>
      </c>
      <c r="G1559">
        <v>1356</v>
      </c>
      <c r="H1559" s="11" t="str">
        <f t="shared" si="90"/>
        <v>volume</v>
      </c>
      <c r="I1559" s="197"/>
      <c r="J1559" s="197"/>
      <c r="K1559" s="197"/>
      <c r="L1559" s="197"/>
      <c r="M1559" s="197"/>
      <c r="N1559" s="197"/>
      <c r="O1559" s="197"/>
      <c r="P1559" s="197"/>
      <c r="Q1559" s="197"/>
      <c r="R1559" s="197"/>
      <c r="S1559" s="197"/>
      <c r="T1559" s="197"/>
      <c r="U1559" s="197"/>
      <c r="V1559" s="197"/>
      <c r="W1559" s="197"/>
      <c r="X1559" s="197"/>
      <c r="Y1559" s="197"/>
      <c r="Z1559" s="197"/>
      <c r="AA1559" s="197"/>
      <c r="AB1559" s="197"/>
      <c r="AC1559" s="197"/>
      <c r="AD1559" s="197"/>
      <c r="AE1559" s="197"/>
      <c r="AF1559" s="197"/>
      <c r="AG1559" s="197"/>
      <c r="AH1559" s="197"/>
      <c r="AI1559" s="197"/>
      <c r="AJ1559" s="197"/>
      <c r="AK1559" s="197"/>
      <c r="AL1559" s="197"/>
    </row>
    <row r="1560" spans="1:38">
      <c r="A1560" s="11" t="str">
        <f t="shared" si="91"/>
        <v>15-800587342013</v>
      </c>
      <c r="B1560" t="s">
        <v>818</v>
      </c>
      <c r="C1560" t="s">
        <v>819</v>
      </c>
      <c r="D1560">
        <v>2013</v>
      </c>
      <c r="E1560" t="s">
        <v>104</v>
      </c>
      <c r="F1560">
        <v>283578.5</v>
      </c>
      <c r="G1560">
        <v>606</v>
      </c>
      <c r="H1560" s="11" t="str">
        <f t="shared" si="90"/>
        <v>count</v>
      </c>
      <c r="I1560" s="197"/>
      <c r="J1560" s="197"/>
      <c r="K1560" s="197"/>
      <c r="L1560" s="197"/>
      <c r="M1560" s="197"/>
      <c r="N1560" s="197"/>
      <c r="O1560" s="197"/>
      <c r="P1560" s="197"/>
      <c r="Q1560" s="197"/>
      <c r="R1560" s="197"/>
      <c r="S1560" s="197"/>
      <c r="T1560" s="197"/>
      <c r="U1560" s="197"/>
      <c r="V1560" s="197"/>
      <c r="W1560" s="197"/>
      <c r="X1560" s="197"/>
      <c r="Y1560" s="197"/>
      <c r="Z1560" s="197"/>
      <c r="AA1560" s="197"/>
      <c r="AB1560" s="197"/>
      <c r="AC1560" s="197"/>
      <c r="AD1560" s="197"/>
      <c r="AE1560" s="197"/>
      <c r="AF1560" s="197"/>
      <c r="AG1560" s="197"/>
      <c r="AH1560" s="197"/>
      <c r="AI1560" s="197"/>
      <c r="AJ1560" s="197"/>
      <c r="AK1560" s="197"/>
      <c r="AL1560" s="197"/>
    </row>
    <row r="1561" spans="1:38">
      <c r="A1561" s="11" t="str">
        <f t="shared" si="91"/>
        <v>15-800587342013</v>
      </c>
      <c r="B1561" t="s">
        <v>818</v>
      </c>
      <c r="C1561" t="s">
        <v>819</v>
      </c>
      <c r="D1561">
        <v>2013</v>
      </c>
      <c r="E1561" t="s">
        <v>133</v>
      </c>
      <c r="F1561">
        <v>186310.34</v>
      </c>
      <c r="G1561">
        <v>399</v>
      </c>
      <c r="H1561" s="11" t="str">
        <f t="shared" si="90"/>
        <v>count</v>
      </c>
      <c r="I1561" s="197"/>
      <c r="J1561" s="197"/>
      <c r="K1561" s="197"/>
      <c r="L1561" s="197"/>
      <c r="M1561" s="197"/>
      <c r="N1561" s="197"/>
      <c r="O1561" s="197"/>
      <c r="P1561" s="197"/>
      <c r="Q1561" s="197"/>
      <c r="R1561" s="197"/>
      <c r="S1561" s="197"/>
      <c r="T1561" s="197"/>
      <c r="U1561" s="197"/>
      <c r="V1561" s="197"/>
      <c r="W1561" s="197"/>
      <c r="X1561" s="197"/>
      <c r="Y1561" s="197"/>
      <c r="Z1561" s="197"/>
      <c r="AA1561" s="197"/>
      <c r="AB1561" s="197"/>
      <c r="AC1561" s="197"/>
      <c r="AD1561" s="197"/>
      <c r="AE1561" s="197"/>
      <c r="AF1561" s="197"/>
      <c r="AG1561" s="197"/>
      <c r="AH1561" s="197"/>
      <c r="AI1561" s="197"/>
      <c r="AJ1561" s="197"/>
      <c r="AK1561" s="197"/>
      <c r="AL1561" s="197"/>
    </row>
    <row r="1562" spans="1:38">
      <c r="A1562" s="11" t="str">
        <f t="shared" si="91"/>
        <v>15-800587342013</v>
      </c>
      <c r="B1562" t="s">
        <v>818</v>
      </c>
      <c r="C1562" t="s">
        <v>819</v>
      </c>
      <c r="D1562">
        <v>2013</v>
      </c>
      <c r="E1562" t="s">
        <v>69</v>
      </c>
      <c r="F1562">
        <v>158422.10999999999</v>
      </c>
      <c r="G1562">
        <v>424</v>
      </c>
      <c r="H1562" s="11" t="str">
        <f t="shared" si="90"/>
        <v>count</v>
      </c>
      <c r="I1562" s="197"/>
      <c r="J1562" s="197"/>
      <c r="K1562" s="197"/>
      <c r="L1562" s="197"/>
      <c r="M1562" s="197"/>
      <c r="N1562" s="197"/>
      <c r="O1562" s="197"/>
      <c r="P1562" s="197"/>
      <c r="Q1562" s="197"/>
      <c r="R1562" s="197"/>
      <c r="S1562" s="197"/>
      <c r="T1562" s="197"/>
      <c r="U1562" s="197"/>
      <c r="V1562" s="197"/>
      <c r="W1562" s="197"/>
      <c r="X1562" s="197"/>
      <c r="Y1562" s="197"/>
      <c r="Z1562" s="197"/>
      <c r="AA1562" s="197"/>
      <c r="AB1562" s="197"/>
      <c r="AC1562" s="197"/>
      <c r="AD1562" s="197"/>
      <c r="AE1562" s="197"/>
      <c r="AF1562" s="197"/>
      <c r="AG1562" s="197"/>
      <c r="AH1562" s="197"/>
      <c r="AI1562" s="197"/>
      <c r="AJ1562" s="197"/>
      <c r="AK1562" s="197"/>
      <c r="AL1562" s="197"/>
    </row>
    <row r="1563" spans="1:38">
      <c r="A1563" s="11" t="str">
        <f t="shared" si="91"/>
        <v>15-800587342011</v>
      </c>
      <c r="B1563" t="s">
        <v>818</v>
      </c>
      <c r="C1563" t="s">
        <v>819</v>
      </c>
      <c r="D1563">
        <v>2011</v>
      </c>
      <c r="E1563" t="s">
        <v>69</v>
      </c>
      <c r="F1563">
        <v>3385.04</v>
      </c>
      <c r="G1563">
        <v>6</v>
      </c>
      <c r="H1563" s="11" t="str">
        <f t="shared" si="90"/>
        <v>count</v>
      </c>
      <c r="I1563" s="197"/>
      <c r="J1563" s="197"/>
      <c r="K1563" s="197"/>
      <c r="L1563" s="197"/>
      <c r="M1563" s="197"/>
      <c r="N1563" s="197"/>
      <c r="O1563" s="197"/>
      <c r="P1563" s="197"/>
      <c r="Q1563" s="197"/>
      <c r="R1563" s="197"/>
      <c r="S1563" s="197"/>
      <c r="T1563" s="197"/>
      <c r="U1563" s="197"/>
      <c r="V1563" s="197"/>
      <c r="W1563" s="197"/>
      <c r="X1563" s="197"/>
      <c r="Y1563" s="197"/>
      <c r="Z1563" s="197"/>
      <c r="AA1563" s="197"/>
      <c r="AB1563" s="197"/>
      <c r="AC1563" s="197"/>
      <c r="AD1563" s="197"/>
      <c r="AE1563" s="197"/>
      <c r="AF1563" s="197"/>
      <c r="AG1563" s="197"/>
      <c r="AH1563" s="197"/>
      <c r="AI1563" s="197"/>
      <c r="AJ1563" s="197"/>
      <c r="AK1563" s="197"/>
      <c r="AL1563" s="197"/>
    </row>
    <row r="1564" spans="1:38">
      <c r="A1564" s="11" t="str">
        <f t="shared" si="91"/>
        <v>15-800587342011</v>
      </c>
      <c r="B1564" t="s">
        <v>818</v>
      </c>
      <c r="C1564" t="s">
        <v>819</v>
      </c>
      <c r="D1564">
        <v>2011</v>
      </c>
      <c r="E1564" t="s">
        <v>133</v>
      </c>
      <c r="F1564">
        <v>168234.66</v>
      </c>
      <c r="G1564">
        <v>322</v>
      </c>
      <c r="H1564" s="11" t="str">
        <f t="shared" si="90"/>
        <v>count</v>
      </c>
      <c r="I1564" s="197"/>
      <c r="J1564" s="197"/>
      <c r="K1564" s="197"/>
      <c r="L1564" s="197"/>
      <c r="M1564" s="197"/>
      <c r="N1564" s="197"/>
      <c r="O1564" s="197"/>
      <c r="P1564" s="197"/>
      <c r="Q1564" s="197"/>
      <c r="R1564" s="197"/>
      <c r="S1564" s="197"/>
      <c r="T1564" s="197"/>
      <c r="U1564" s="197"/>
      <c r="V1564" s="197"/>
      <c r="W1564" s="197"/>
      <c r="X1564" s="197"/>
      <c r="Y1564" s="197"/>
      <c r="Z1564" s="197"/>
      <c r="AA1564" s="197"/>
      <c r="AB1564" s="197"/>
      <c r="AC1564" s="197"/>
      <c r="AD1564" s="197"/>
      <c r="AE1564" s="197"/>
      <c r="AF1564" s="197"/>
      <c r="AG1564" s="197"/>
      <c r="AH1564" s="197"/>
      <c r="AI1564" s="197"/>
      <c r="AJ1564" s="197"/>
      <c r="AK1564" s="197"/>
      <c r="AL1564" s="197"/>
    </row>
    <row r="1565" spans="1:38">
      <c r="A1565" s="11" t="str">
        <f t="shared" si="91"/>
        <v>15-800587342011</v>
      </c>
      <c r="B1565" t="s">
        <v>818</v>
      </c>
      <c r="C1565" t="s">
        <v>819</v>
      </c>
      <c r="D1565">
        <v>2011</v>
      </c>
      <c r="E1565" t="s">
        <v>105</v>
      </c>
      <c r="F1565">
        <v>50094.77</v>
      </c>
      <c r="G1565">
        <v>117</v>
      </c>
      <c r="H1565" s="11" t="str">
        <f t="shared" si="90"/>
        <v>count</v>
      </c>
      <c r="I1565" s="197"/>
      <c r="J1565" s="197"/>
      <c r="K1565" s="197"/>
      <c r="L1565" s="197"/>
      <c r="M1565" s="197"/>
      <c r="N1565" s="197"/>
      <c r="O1565" s="197"/>
      <c r="P1565" s="197"/>
      <c r="Q1565" s="197"/>
      <c r="R1565" s="197"/>
      <c r="S1565" s="197"/>
      <c r="T1565" s="197"/>
      <c r="U1565" s="197"/>
      <c r="V1565" s="197"/>
      <c r="W1565" s="197"/>
      <c r="X1565" s="197"/>
      <c r="Y1565" s="197"/>
      <c r="Z1565" s="197"/>
      <c r="AA1565" s="197"/>
      <c r="AB1565" s="197"/>
      <c r="AC1565" s="197"/>
      <c r="AD1565" s="197"/>
      <c r="AE1565" s="197"/>
      <c r="AF1565" s="197"/>
      <c r="AG1565" s="197"/>
      <c r="AH1565" s="197"/>
      <c r="AI1565" s="197"/>
      <c r="AJ1565" s="197"/>
      <c r="AK1565" s="197"/>
      <c r="AL1565" s="197"/>
    </row>
    <row r="1566" spans="1:38">
      <c r="A1566" s="11" t="str">
        <f t="shared" si="91"/>
        <v>15-800587342012</v>
      </c>
      <c r="B1566" t="s">
        <v>818</v>
      </c>
      <c r="C1566" t="s">
        <v>819</v>
      </c>
      <c r="D1566">
        <v>2012</v>
      </c>
      <c r="E1566" t="s">
        <v>104</v>
      </c>
      <c r="F1566">
        <v>335892.63</v>
      </c>
      <c r="G1566">
        <v>697</v>
      </c>
      <c r="H1566" s="11" t="str">
        <f t="shared" si="90"/>
        <v>count</v>
      </c>
      <c r="I1566" s="197"/>
      <c r="J1566" s="197"/>
      <c r="K1566" s="197"/>
      <c r="L1566" s="197"/>
      <c r="M1566" s="197"/>
      <c r="N1566" s="197"/>
      <c r="O1566" s="197"/>
      <c r="P1566" s="197"/>
      <c r="Q1566" s="197"/>
      <c r="R1566" s="197"/>
      <c r="S1566" s="197"/>
      <c r="T1566" s="197"/>
      <c r="U1566" s="197"/>
      <c r="V1566" s="197"/>
      <c r="W1566" s="197"/>
      <c r="X1566" s="197"/>
      <c r="Y1566" s="197"/>
      <c r="Z1566" s="197"/>
      <c r="AA1566" s="197"/>
      <c r="AB1566" s="197"/>
      <c r="AC1566" s="197"/>
      <c r="AD1566" s="197"/>
      <c r="AE1566" s="197"/>
      <c r="AF1566" s="197"/>
      <c r="AG1566" s="197"/>
      <c r="AH1566" s="197"/>
      <c r="AI1566" s="197"/>
      <c r="AJ1566" s="197"/>
      <c r="AK1566" s="197"/>
      <c r="AL1566" s="197"/>
    </row>
    <row r="1567" spans="1:38">
      <c r="A1567" s="11" t="str">
        <f t="shared" si="91"/>
        <v>15-800587342013</v>
      </c>
      <c r="B1567" t="s">
        <v>818</v>
      </c>
      <c r="C1567" t="s">
        <v>819</v>
      </c>
      <c r="D1567">
        <v>2013</v>
      </c>
      <c r="E1567" t="s">
        <v>105</v>
      </c>
      <c r="F1567">
        <v>71195.520000000004</v>
      </c>
      <c r="G1567">
        <v>175</v>
      </c>
      <c r="H1567" s="11" t="str">
        <f t="shared" si="90"/>
        <v>count</v>
      </c>
      <c r="I1567" s="197"/>
      <c r="J1567" s="197"/>
      <c r="K1567" s="197"/>
      <c r="L1567" s="197"/>
      <c r="M1567" s="197"/>
      <c r="N1567" s="197"/>
      <c r="O1567" s="197"/>
      <c r="P1567" s="197"/>
      <c r="Q1567" s="197"/>
      <c r="R1567" s="197"/>
      <c r="S1567" s="197"/>
      <c r="T1567" s="197"/>
      <c r="U1567" s="197"/>
      <c r="V1567" s="197"/>
      <c r="W1567" s="197"/>
      <c r="X1567" s="197"/>
      <c r="Y1567" s="197"/>
      <c r="Z1567" s="197"/>
      <c r="AA1567" s="197"/>
      <c r="AB1567" s="197"/>
      <c r="AC1567" s="197"/>
      <c r="AD1567" s="197"/>
      <c r="AE1567" s="197"/>
      <c r="AF1567" s="197"/>
      <c r="AG1567" s="197"/>
      <c r="AH1567" s="197"/>
      <c r="AI1567" s="197"/>
      <c r="AJ1567" s="197"/>
      <c r="AK1567" s="197"/>
      <c r="AL1567" s="197"/>
    </row>
    <row r="1568" spans="1:38">
      <c r="A1568" s="11" t="str">
        <f t="shared" si="91"/>
        <v>15-800587342012</v>
      </c>
      <c r="B1568" t="s">
        <v>818</v>
      </c>
      <c r="C1568" t="s">
        <v>819</v>
      </c>
      <c r="D1568">
        <v>2012</v>
      </c>
      <c r="E1568" t="s">
        <v>63</v>
      </c>
      <c r="F1568">
        <v>586833.07999999996</v>
      </c>
      <c r="G1568">
        <v>1250</v>
      </c>
      <c r="H1568" s="11" t="str">
        <f t="shared" si="90"/>
        <v>count</v>
      </c>
      <c r="I1568" s="197"/>
      <c r="J1568" s="197"/>
      <c r="K1568" s="197"/>
      <c r="L1568" s="197"/>
      <c r="M1568" s="197"/>
      <c r="N1568" s="197"/>
      <c r="O1568" s="197"/>
      <c r="P1568" s="197"/>
      <c r="Q1568" s="197"/>
      <c r="R1568" s="197"/>
      <c r="S1568" s="197"/>
      <c r="T1568" s="197"/>
      <c r="U1568" s="197"/>
      <c r="V1568" s="197"/>
      <c r="W1568" s="197"/>
      <c r="X1568" s="197"/>
      <c r="Y1568" s="197"/>
      <c r="Z1568" s="197"/>
      <c r="AA1568" s="197"/>
      <c r="AB1568" s="197"/>
      <c r="AC1568" s="197"/>
      <c r="AD1568" s="197"/>
      <c r="AE1568" s="197"/>
      <c r="AF1568" s="197"/>
      <c r="AG1568" s="197"/>
      <c r="AH1568" s="197"/>
      <c r="AI1568" s="197"/>
      <c r="AJ1568" s="197"/>
      <c r="AK1568" s="197"/>
      <c r="AL1568" s="197"/>
    </row>
    <row r="1569" spans="1:38">
      <c r="A1569" s="11" t="str">
        <f t="shared" si="91"/>
        <v>15-800587342012</v>
      </c>
      <c r="B1569" t="s">
        <v>818</v>
      </c>
      <c r="C1569" t="s">
        <v>819</v>
      </c>
      <c r="D1569">
        <v>2012</v>
      </c>
      <c r="E1569" t="s">
        <v>105</v>
      </c>
      <c r="F1569">
        <v>60241.38</v>
      </c>
      <c r="G1569">
        <v>147</v>
      </c>
      <c r="H1569" s="11" t="str">
        <f t="shared" si="90"/>
        <v>count</v>
      </c>
      <c r="I1569" s="197"/>
      <c r="J1569" s="197"/>
      <c r="K1569" s="197"/>
      <c r="L1569" s="197"/>
      <c r="M1569" s="197"/>
      <c r="N1569" s="197"/>
      <c r="O1569" s="197"/>
      <c r="P1569" s="197"/>
      <c r="Q1569" s="197"/>
      <c r="R1569" s="197"/>
      <c r="S1569" s="197"/>
      <c r="T1569" s="197"/>
      <c r="U1569" s="197"/>
      <c r="V1569" s="197"/>
      <c r="W1569" s="197"/>
      <c r="X1569" s="197"/>
      <c r="Y1569" s="197"/>
      <c r="Z1569" s="197"/>
      <c r="AA1569" s="197"/>
      <c r="AB1569" s="197"/>
      <c r="AC1569" s="197"/>
      <c r="AD1569" s="197"/>
      <c r="AE1569" s="197"/>
      <c r="AF1569" s="197"/>
      <c r="AG1569" s="197"/>
      <c r="AH1569" s="197"/>
      <c r="AI1569" s="197"/>
      <c r="AJ1569" s="197"/>
      <c r="AK1569" s="197"/>
      <c r="AL1569" s="197"/>
    </row>
    <row r="1570" spans="1:38">
      <c r="A1570" s="11" t="str">
        <f t="shared" si="91"/>
        <v>15-800587342012</v>
      </c>
      <c r="B1570" t="s">
        <v>818</v>
      </c>
      <c r="C1570" t="s">
        <v>819</v>
      </c>
      <c r="D1570">
        <v>2012</v>
      </c>
      <c r="E1570" t="s">
        <v>133</v>
      </c>
      <c r="F1570">
        <v>175216.42</v>
      </c>
      <c r="G1570">
        <v>359</v>
      </c>
      <c r="H1570" s="11" t="str">
        <f t="shared" si="90"/>
        <v>count</v>
      </c>
      <c r="I1570" s="197"/>
      <c r="J1570" s="197"/>
      <c r="K1570" s="197"/>
      <c r="L1570" s="197"/>
      <c r="M1570" s="197"/>
      <c r="N1570" s="197"/>
      <c r="O1570" s="197"/>
      <c r="P1570" s="197"/>
      <c r="Q1570" s="197"/>
      <c r="R1570" s="197"/>
      <c r="S1570" s="197"/>
      <c r="T1570" s="197"/>
      <c r="U1570" s="197"/>
      <c r="V1570" s="197"/>
      <c r="W1570" s="197"/>
      <c r="X1570" s="197"/>
      <c r="Y1570" s="197"/>
      <c r="Z1570" s="197"/>
      <c r="AA1570" s="197"/>
      <c r="AB1570" s="197"/>
      <c r="AC1570" s="197"/>
      <c r="AD1570" s="197"/>
      <c r="AE1570" s="197"/>
      <c r="AF1570" s="197"/>
      <c r="AG1570" s="197"/>
      <c r="AH1570" s="197"/>
      <c r="AI1570" s="197"/>
      <c r="AJ1570" s="197"/>
      <c r="AK1570" s="197"/>
      <c r="AL1570" s="197"/>
    </row>
    <row r="1571" spans="1:38">
      <c r="A1571" s="11" t="str">
        <f t="shared" si="91"/>
        <v>15-800587342012</v>
      </c>
      <c r="B1571" t="s">
        <v>818</v>
      </c>
      <c r="C1571" t="s">
        <v>819</v>
      </c>
      <c r="D1571">
        <v>2012</v>
      </c>
      <c r="E1571" t="s">
        <v>69</v>
      </c>
      <c r="F1571">
        <v>144358.10999999999</v>
      </c>
      <c r="G1571">
        <v>409</v>
      </c>
      <c r="H1571" s="11" t="str">
        <f t="shared" si="90"/>
        <v>count</v>
      </c>
      <c r="I1571" s="197"/>
      <c r="J1571" s="197"/>
      <c r="K1571" s="197"/>
      <c r="L1571" s="197"/>
      <c r="M1571" s="197"/>
      <c r="N1571" s="197"/>
      <c r="O1571" s="197"/>
      <c r="P1571" s="197"/>
      <c r="Q1571" s="197"/>
      <c r="R1571" s="197"/>
      <c r="S1571" s="197"/>
      <c r="T1571" s="197"/>
      <c r="U1571" s="197"/>
      <c r="V1571" s="197"/>
      <c r="W1571" s="197"/>
      <c r="X1571" s="197"/>
      <c r="Y1571" s="197"/>
      <c r="Z1571" s="197"/>
      <c r="AA1571" s="197"/>
      <c r="AB1571" s="197"/>
      <c r="AC1571" s="197"/>
      <c r="AD1571" s="197"/>
      <c r="AE1571" s="197"/>
      <c r="AF1571" s="197"/>
      <c r="AG1571" s="197"/>
      <c r="AH1571" s="197"/>
      <c r="AI1571" s="197"/>
      <c r="AJ1571" s="197"/>
      <c r="AK1571" s="197"/>
      <c r="AL1571" s="197"/>
    </row>
    <row r="1572" spans="1:38">
      <c r="A1572" s="11" t="str">
        <f t="shared" si="91"/>
        <v>15-800587342011</v>
      </c>
      <c r="B1572" t="s">
        <v>818</v>
      </c>
      <c r="C1572" t="s">
        <v>819</v>
      </c>
      <c r="D1572">
        <v>2011</v>
      </c>
      <c r="E1572" t="s">
        <v>104</v>
      </c>
      <c r="F1572">
        <v>301071.14</v>
      </c>
      <c r="G1572">
        <v>602</v>
      </c>
      <c r="H1572" s="11" t="str">
        <f t="shared" si="90"/>
        <v>count</v>
      </c>
      <c r="I1572" s="197"/>
      <c r="J1572" s="197"/>
      <c r="K1572" s="197"/>
      <c r="L1572" s="197"/>
      <c r="M1572" s="197"/>
      <c r="N1572" s="197"/>
      <c r="O1572" s="197"/>
      <c r="P1572" s="197"/>
      <c r="Q1572" s="197"/>
      <c r="R1572" s="197"/>
      <c r="S1572" s="197"/>
      <c r="T1572" s="197"/>
      <c r="U1572" s="197"/>
      <c r="V1572" s="197"/>
      <c r="W1572" s="197"/>
      <c r="X1572" s="197"/>
      <c r="Y1572" s="197"/>
      <c r="Z1572" s="197"/>
      <c r="AA1572" s="197"/>
      <c r="AB1572" s="197"/>
      <c r="AC1572" s="197"/>
      <c r="AD1572" s="197"/>
      <c r="AE1572" s="197"/>
      <c r="AF1572" s="197"/>
      <c r="AG1572" s="197"/>
      <c r="AH1572" s="197"/>
      <c r="AI1572" s="197"/>
      <c r="AJ1572" s="197"/>
      <c r="AK1572" s="197"/>
      <c r="AL1572" s="197"/>
    </row>
    <row r="1573" spans="1:38">
      <c r="A1573" s="11" t="str">
        <f t="shared" si="91"/>
        <v>15-800587342011</v>
      </c>
      <c r="B1573" t="s">
        <v>818</v>
      </c>
      <c r="C1573" t="s">
        <v>819</v>
      </c>
      <c r="D1573">
        <v>2011</v>
      </c>
      <c r="E1573" t="s">
        <v>63</v>
      </c>
      <c r="F1573">
        <v>595069.23</v>
      </c>
      <c r="G1573">
        <v>1396</v>
      </c>
      <c r="H1573" s="11" t="str">
        <f t="shared" si="90"/>
        <v>count</v>
      </c>
      <c r="I1573" s="197"/>
      <c r="J1573" s="197"/>
      <c r="K1573" s="197"/>
      <c r="L1573" s="197"/>
      <c r="M1573" s="197"/>
      <c r="N1573" s="197"/>
      <c r="O1573" s="197"/>
      <c r="P1573" s="197"/>
      <c r="Q1573" s="197"/>
      <c r="R1573" s="197"/>
      <c r="S1573" s="197"/>
      <c r="T1573" s="197"/>
      <c r="U1573" s="197"/>
      <c r="V1573" s="197"/>
      <c r="W1573" s="197"/>
      <c r="X1573" s="197"/>
      <c r="Y1573" s="197"/>
      <c r="Z1573" s="197"/>
      <c r="AA1573" s="197"/>
      <c r="AB1573" s="197"/>
      <c r="AC1573" s="197"/>
      <c r="AD1573" s="197"/>
      <c r="AE1573" s="197"/>
      <c r="AF1573" s="197"/>
      <c r="AG1573" s="197"/>
      <c r="AH1573" s="197"/>
      <c r="AI1573" s="197"/>
      <c r="AJ1573" s="197"/>
      <c r="AK1573" s="197"/>
      <c r="AL1573" s="197"/>
    </row>
    <row r="1574" spans="1:38">
      <c r="A1574" s="11" t="str">
        <f t="shared" si="91"/>
        <v>15-800649112013</v>
      </c>
      <c r="B1574" t="s">
        <v>820</v>
      </c>
      <c r="C1574" t="s">
        <v>821</v>
      </c>
      <c r="D1574">
        <v>2013</v>
      </c>
      <c r="E1574" t="s">
        <v>105</v>
      </c>
      <c r="F1574">
        <v>390138.37</v>
      </c>
      <c r="G1574">
        <v>472</v>
      </c>
      <c r="H1574" s="11" t="str">
        <f t="shared" si="90"/>
        <v>volume</v>
      </c>
      <c r="I1574" s="197"/>
      <c r="J1574" s="197"/>
      <c r="K1574" s="197"/>
      <c r="L1574" s="197"/>
      <c r="M1574" s="197"/>
      <c r="N1574" s="197"/>
      <c r="O1574" s="197"/>
      <c r="P1574" s="197"/>
      <c r="Q1574" s="197"/>
      <c r="R1574" s="197"/>
      <c r="S1574" s="197"/>
      <c r="T1574" s="197"/>
      <c r="U1574" s="197"/>
      <c r="V1574" s="197"/>
      <c r="W1574" s="197"/>
      <c r="X1574" s="197"/>
      <c r="Y1574" s="197"/>
      <c r="Z1574" s="197"/>
      <c r="AA1574" s="197"/>
      <c r="AB1574" s="197"/>
      <c r="AC1574" s="197"/>
      <c r="AD1574" s="197"/>
      <c r="AE1574" s="197"/>
      <c r="AF1574" s="197"/>
      <c r="AG1574" s="197"/>
      <c r="AH1574" s="197"/>
      <c r="AI1574" s="197"/>
      <c r="AJ1574" s="197"/>
      <c r="AK1574" s="197"/>
      <c r="AL1574" s="197"/>
    </row>
    <row r="1575" spans="1:38">
      <c r="A1575" s="11" t="str">
        <f t="shared" si="91"/>
        <v>15-800649112012</v>
      </c>
      <c r="B1575" t="s">
        <v>820</v>
      </c>
      <c r="C1575" t="s">
        <v>821</v>
      </c>
      <c r="D1575">
        <v>2012</v>
      </c>
      <c r="E1575" t="s">
        <v>133</v>
      </c>
      <c r="F1575">
        <v>730161.22</v>
      </c>
      <c r="G1575">
        <v>1043</v>
      </c>
      <c r="H1575" s="11" t="str">
        <f t="shared" si="90"/>
        <v>count</v>
      </c>
      <c r="I1575" s="197"/>
      <c r="J1575" s="197"/>
      <c r="K1575" s="197"/>
      <c r="L1575" s="197"/>
      <c r="M1575" s="197"/>
      <c r="N1575" s="197"/>
      <c r="O1575" s="197"/>
      <c r="P1575" s="197"/>
      <c r="Q1575" s="197"/>
      <c r="R1575" s="197"/>
      <c r="S1575" s="197"/>
      <c r="T1575" s="197"/>
      <c r="U1575" s="197"/>
      <c r="V1575" s="197"/>
      <c r="W1575" s="197"/>
      <c r="X1575" s="197"/>
      <c r="Y1575" s="197"/>
      <c r="Z1575" s="197"/>
      <c r="AA1575" s="197"/>
      <c r="AB1575" s="197"/>
      <c r="AC1575" s="197"/>
      <c r="AD1575" s="197"/>
      <c r="AE1575" s="197"/>
      <c r="AF1575" s="197"/>
      <c r="AG1575" s="197"/>
      <c r="AH1575" s="197"/>
      <c r="AI1575" s="197"/>
      <c r="AJ1575" s="197"/>
      <c r="AK1575" s="197"/>
      <c r="AL1575" s="197"/>
    </row>
    <row r="1576" spans="1:38">
      <c r="A1576" s="11" t="str">
        <f t="shared" si="91"/>
        <v>15-800649112012</v>
      </c>
      <c r="B1576" t="s">
        <v>820</v>
      </c>
      <c r="C1576" t="s">
        <v>821</v>
      </c>
      <c r="D1576">
        <v>2012</v>
      </c>
      <c r="E1576" t="s">
        <v>69</v>
      </c>
      <c r="F1576">
        <v>1406201.09</v>
      </c>
      <c r="G1576">
        <v>2224</v>
      </c>
      <c r="H1576" s="11" t="str">
        <f t="shared" si="90"/>
        <v>count</v>
      </c>
      <c r="I1576" s="197"/>
      <c r="J1576" s="197"/>
      <c r="K1576" s="197"/>
      <c r="L1576" s="197"/>
      <c r="M1576" s="197"/>
      <c r="N1576" s="197"/>
      <c r="O1576" s="197"/>
      <c r="P1576" s="197"/>
      <c r="Q1576" s="197"/>
      <c r="R1576" s="197"/>
      <c r="S1576" s="197"/>
      <c r="T1576" s="197"/>
      <c r="U1576" s="197"/>
      <c r="V1576" s="197"/>
      <c r="W1576" s="197"/>
      <c r="X1576" s="197"/>
      <c r="Y1576" s="197"/>
      <c r="Z1576" s="197"/>
      <c r="AA1576" s="197"/>
      <c r="AB1576" s="197"/>
      <c r="AC1576" s="197"/>
      <c r="AD1576" s="197"/>
      <c r="AE1576" s="197"/>
      <c r="AF1576" s="197"/>
      <c r="AG1576" s="197"/>
      <c r="AH1576" s="197"/>
      <c r="AI1576" s="197"/>
      <c r="AJ1576" s="197"/>
      <c r="AK1576" s="197"/>
      <c r="AL1576" s="197"/>
    </row>
    <row r="1577" spans="1:38">
      <c r="A1577" s="11" t="str">
        <f t="shared" si="91"/>
        <v>15-800649112011</v>
      </c>
      <c r="B1577" t="s">
        <v>820</v>
      </c>
      <c r="C1577" t="s">
        <v>821</v>
      </c>
      <c r="D1577">
        <v>2011</v>
      </c>
      <c r="E1577" t="s">
        <v>106</v>
      </c>
      <c r="F1577">
        <v>16859.439999999999</v>
      </c>
      <c r="G1577">
        <v>25</v>
      </c>
      <c r="H1577" s="11" t="str">
        <f t="shared" si="90"/>
        <v>count</v>
      </c>
      <c r="I1577" s="197"/>
      <c r="J1577" s="197"/>
      <c r="K1577" s="197"/>
      <c r="L1577" s="197"/>
      <c r="M1577" s="197"/>
      <c r="N1577" s="197"/>
      <c r="O1577" s="197"/>
      <c r="P1577" s="197"/>
      <c r="Q1577" s="197"/>
      <c r="R1577" s="197"/>
      <c r="S1577" s="197"/>
      <c r="T1577" s="197"/>
      <c r="U1577" s="197"/>
      <c r="V1577" s="197"/>
      <c r="W1577" s="197"/>
      <c r="X1577" s="197"/>
      <c r="Y1577" s="197"/>
      <c r="Z1577" s="197"/>
      <c r="AA1577" s="197"/>
      <c r="AB1577" s="197"/>
      <c r="AC1577" s="197"/>
      <c r="AD1577" s="197"/>
      <c r="AE1577" s="197"/>
      <c r="AF1577" s="197"/>
      <c r="AG1577" s="197"/>
      <c r="AH1577" s="197"/>
      <c r="AI1577" s="197"/>
      <c r="AJ1577" s="197"/>
      <c r="AK1577" s="197"/>
      <c r="AL1577" s="197"/>
    </row>
    <row r="1578" spans="1:38">
      <c r="A1578" s="11" t="str">
        <f t="shared" si="91"/>
        <v>15-800649112012</v>
      </c>
      <c r="B1578" t="s">
        <v>820</v>
      </c>
      <c r="C1578" t="s">
        <v>821</v>
      </c>
      <c r="D1578">
        <v>2012</v>
      </c>
      <c r="E1578" t="s">
        <v>104</v>
      </c>
      <c r="F1578">
        <v>1363381.65</v>
      </c>
      <c r="G1578">
        <v>1921</v>
      </c>
      <c r="H1578" s="11" t="str">
        <f t="shared" si="90"/>
        <v>count</v>
      </c>
      <c r="I1578" s="197"/>
      <c r="J1578" s="197"/>
      <c r="K1578" s="197"/>
      <c r="L1578" s="197"/>
      <c r="M1578" s="197"/>
      <c r="N1578" s="197"/>
      <c r="O1578" s="197"/>
      <c r="P1578" s="197"/>
      <c r="Q1578" s="197"/>
      <c r="R1578" s="197"/>
      <c r="S1578" s="197"/>
      <c r="T1578" s="197"/>
      <c r="U1578" s="197"/>
      <c r="V1578" s="197"/>
      <c r="W1578" s="197"/>
      <c r="X1578" s="197"/>
      <c r="Y1578" s="197"/>
      <c r="Z1578" s="197"/>
      <c r="AA1578" s="197"/>
      <c r="AB1578" s="197"/>
      <c r="AC1578" s="197"/>
      <c r="AD1578" s="197"/>
      <c r="AE1578" s="197"/>
      <c r="AF1578" s="197"/>
      <c r="AG1578" s="197"/>
      <c r="AH1578" s="197"/>
      <c r="AI1578" s="197"/>
      <c r="AJ1578" s="197"/>
      <c r="AK1578" s="197"/>
      <c r="AL1578" s="197"/>
    </row>
    <row r="1579" spans="1:38">
      <c r="A1579" s="11" t="str">
        <f t="shared" si="91"/>
        <v>15-800649112011</v>
      </c>
      <c r="B1579" t="s">
        <v>820</v>
      </c>
      <c r="C1579" t="s">
        <v>821</v>
      </c>
      <c r="D1579">
        <v>2011</v>
      </c>
      <c r="E1579" t="s">
        <v>133</v>
      </c>
      <c r="F1579">
        <v>668438.86</v>
      </c>
      <c r="G1579">
        <v>973</v>
      </c>
      <c r="H1579" s="11" t="str">
        <f t="shared" si="90"/>
        <v>count</v>
      </c>
      <c r="I1579" s="197"/>
      <c r="J1579" s="197"/>
      <c r="K1579" s="197"/>
      <c r="L1579" s="197"/>
      <c r="M1579" s="197"/>
      <c r="N1579" s="197"/>
      <c r="O1579" s="197"/>
      <c r="P1579" s="197"/>
      <c r="Q1579" s="197"/>
      <c r="R1579" s="197"/>
      <c r="S1579" s="197"/>
      <c r="T1579" s="197"/>
      <c r="U1579" s="197"/>
      <c r="V1579" s="197"/>
      <c r="W1579" s="197"/>
      <c r="X1579" s="197"/>
      <c r="Y1579" s="197"/>
      <c r="Z1579" s="197"/>
      <c r="AA1579" s="197"/>
      <c r="AB1579" s="197"/>
      <c r="AC1579" s="197"/>
      <c r="AD1579" s="197"/>
      <c r="AE1579" s="197"/>
      <c r="AF1579" s="197"/>
      <c r="AG1579" s="197"/>
      <c r="AH1579" s="197"/>
      <c r="AI1579" s="197"/>
      <c r="AJ1579" s="197"/>
      <c r="AK1579" s="197"/>
      <c r="AL1579" s="197"/>
    </row>
    <row r="1580" spans="1:38">
      <c r="A1580" s="11" t="str">
        <f t="shared" si="91"/>
        <v>15-800649112011</v>
      </c>
      <c r="B1580" t="s">
        <v>820</v>
      </c>
      <c r="C1580" t="s">
        <v>821</v>
      </c>
      <c r="D1580">
        <v>2011</v>
      </c>
      <c r="E1580" t="s">
        <v>69</v>
      </c>
      <c r="F1580">
        <v>488.4</v>
      </c>
      <c r="G1580">
        <v>1</v>
      </c>
      <c r="H1580" s="11" t="str">
        <f t="shared" si="90"/>
        <v>count</v>
      </c>
      <c r="I1580" s="197"/>
      <c r="J1580" s="197"/>
      <c r="K1580" s="197"/>
      <c r="L1580" s="197"/>
      <c r="M1580" s="197"/>
      <c r="N1580" s="197"/>
      <c r="O1580" s="197"/>
      <c r="P1580" s="197"/>
      <c r="Q1580" s="197"/>
      <c r="R1580" s="197"/>
      <c r="S1580" s="197"/>
      <c r="T1580" s="197"/>
      <c r="U1580" s="197"/>
      <c r="V1580" s="197"/>
      <c r="W1580" s="197"/>
      <c r="X1580" s="197"/>
      <c r="Y1580" s="197"/>
      <c r="Z1580" s="197"/>
      <c r="AA1580" s="197"/>
      <c r="AB1580" s="197"/>
      <c r="AC1580" s="197"/>
      <c r="AD1580" s="197"/>
      <c r="AE1580" s="197"/>
      <c r="AF1580" s="197"/>
      <c r="AG1580" s="197"/>
      <c r="AH1580" s="197"/>
      <c r="AI1580" s="197"/>
      <c r="AJ1580" s="197"/>
      <c r="AK1580" s="197"/>
      <c r="AL1580" s="197"/>
    </row>
    <row r="1581" spans="1:38">
      <c r="A1581" s="11" t="str">
        <f t="shared" si="91"/>
        <v>15-800649112012</v>
      </c>
      <c r="B1581" t="s">
        <v>820</v>
      </c>
      <c r="C1581" t="s">
        <v>821</v>
      </c>
      <c r="D1581">
        <v>2012</v>
      </c>
      <c r="E1581" t="s">
        <v>63</v>
      </c>
      <c r="F1581">
        <v>2076652.1</v>
      </c>
      <c r="G1581">
        <v>2791</v>
      </c>
      <c r="H1581" s="11" t="str">
        <f t="shared" si="90"/>
        <v>count</v>
      </c>
      <c r="I1581" s="197"/>
      <c r="J1581" s="197"/>
      <c r="K1581" s="197"/>
      <c r="L1581" s="197"/>
      <c r="M1581" s="197"/>
      <c r="N1581" s="197"/>
      <c r="O1581" s="197"/>
      <c r="P1581" s="197"/>
      <c r="Q1581" s="197"/>
      <c r="R1581" s="197"/>
      <c r="S1581" s="197"/>
      <c r="T1581" s="197"/>
      <c r="U1581" s="197"/>
      <c r="V1581" s="197"/>
      <c r="W1581" s="197"/>
      <c r="X1581" s="197"/>
      <c r="Y1581" s="197"/>
      <c r="Z1581" s="197"/>
      <c r="AA1581" s="197"/>
      <c r="AB1581" s="197"/>
      <c r="AC1581" s="197"/>
      <c r="AD1581" s="197"/>
      <c r="AE1581" s="197"/>
      <c r="AF1581" s="197"/>
      <c r="AG1581" s="197"/>
      <c r="AH1581" s="197"/>
      <c r="AI1581" s="197"/>
      <c r="AJ1581" s="197"/>
      <c r="AK1581" s="197"/>
      <c r="AL1581" s="197"/>
    </row>
    <row r="1582" spans="1:38">
      <c r="A1582" s="11" t="str">
        <f t="shared" si="91"/>
        <v>15-800649112013</v>
      </c>
      <c r="B1582" t="s">
        <v>820</v>
      </c>
      <c r="C1582" t="s">
        <v>821</v>
      </c>
      <c r="D1582">
        <v>2013</v>
      </c>
      <c r="E1582" t="s">
        <v>104</v>
      </c>
      <c r="F1582">
        <v>1220068.73</v>
      </c>
      <c r="G1582">
        <v>1481</v>
      </c>
      <c r="H1582" s="11" t="str">
        <f t="shared" si="90"/>
        <v>count</v>
      </c>
      <c r="I1582" s="197"/>
      <c r="J1582" s="197"/>
      <c r="K1582" s="197"/>
      <c r="L1582" s="197"/>
      <c r="M1582" s="197"/>
      <c r="N1582" s="197"/>
      <c r="O1582" s="197"/>
      <c r="P1582" s="197"/>
      <c r="Q1582" s="197"/>
      <c r="R1582" s="197"/>
      <c r="S1582" s="197"/>
      <c r="T1582" s="197"/>
      <c r="U1582" s="197"/>
      <c r="V1582" s="197"/>
      <c r="W1582" s="197"/>
      <c r="X1582" s="197"/>
      <c r="Y1582" s="197"/>
      <c r="Z1582" s="197"/>
      <c r="AA1582" s="197"/>
      <c r="AB1582" s="197"/>
      <c r="AC1582" s="197"/>
      <c r="AD1582" s="197"/>
      <c r="AE1582" s="197"/>
      <c r="AF1582" s="197"/>
      <c r="AG1582" s="197"/>
      <c r="AH1582" s="197"/>
      <c r="AI1582" s="197"/>
      <c r="AJ1582" s="197"/>
      <c r="AK1582" s="197"/>
      <c r="AL1582" s="197"/>
    </row>
    <row r="1583" spans="1:38">
      <c r="A1583" s="11" t="str">
        <f t="shared" si="91"/>
        <v>15-800649112013</v>
      </c>
      <c r="B1583" t="s">
        <v>820</v>
      </c>
      <c r="C1583" t="s">
        <v>821</v>
      </c>
      <c r="D1583">
        <v>2013</v>
      </c>
      <c r="E1583" t="s">
        <v>63</v>
      </c>
      <c r="F1583">
        <v>2094347.94</v>
      </c>
      <c r="G1583">
        <v>2585</v>
      </c>
      <c r="H1583" s="11" t="str">
        <f t="shared" si="90"/>
        <v>count</v>
      </c>
      <c r="I1583" s="197"/>
      <c r="J1583" s="197"/>
      <c r="K1583" s="197"/>
      <c r="L1583" s="197"/>
      <c r="M1583" s="197"/>
      <c r="N1583" s="197"/>
      <c r="O1583" s="197"/>
      <c r="P1583" s="197"/>
      <c r="Q1583" s="197"/>
      <c r="R1583" s="197"/>
      <c r="S1583" s="197"/>
      <c r="T1583" s="197"/>
      <c r="U1583" s="197"/>
      <c r="V1583" s="197"/>
      <c r="W1583" s="197"/>
      <c r="X1583" s="197"/>
      <c r="Y1583" s="197"/>
      <c r="Z1583" s="197"/>
      <c r="AA1583" s="197"/>
      <c r="AB1583" s="197"/>
      <c r="AC1583" s="197"/>
      <c r="AD1583" s="197"/>
      <c r="AE1583" s="197"/>
      <c r="AF1583" s="197"/>
      <c r="AG1583" s="197"/>
      <c r="AH1583" s="197"/>
      <c r="AI1583" s="197"/>
      <c r="AJ1583" s="197"/>
      <c r="AK1583" s="197"/>
      <c r="AL1583" s="197"/>
    </row>
    <row r="1584" spans="1:38">
      <c r="A1584" s="11" t="str">
        <f t="shared" si="91"/>
        <v>15-800649112011</v>
      </c>
      <c r="B1584" t="s">
        <v>820</v>
      </c>
      <c r="C1584" t="s">
        <v>821</v>
      </c>
      <c r="D1584">
        <v>2011</v>
      </c>
      <c r="E1584" t="s">
        <v>105</v>
      </c>
      <c r="F1584">
        <v>364167.36</v>
      </c>
      <c r="G1584">
        <v>479</v>
      </c>
      <c r="H1584" s="11" t="str">
        <f t="shared" si="90"/>
        <v>count</v>
      </c>
      <c r="I1584" s="197"/>
      <c r="J1584" s="197"/>
      <c r="K1584" s="197"/>
      <c r="L1584" s="197"/>
      <c r="M1584" s="197"/>
      <c r="N1584" s="197"/>
      <c r="O1584" s="197"/>
      <c r="P1584" s="197"/>
      <c r="Q1584" s="197"/>
      <c r="R1584" s="197"/>
      <c r="S1584" s="197"/>
      <c r="T1584" s="197"/>
      <c r="U1584" s="197"/>
      <c r="V1584" s="197"/>
      <c r="W1584" s="197"/>
      <c r="X1584" s="197"/>
      <c r="Y1584" s="197"/>
      <c r="Z1584" s="197"/>
      <c r="AA1584" s="197"/>
      <c r="AB1584" s="197"/>
      <c r="AC1584" s="197"/>
      <c r="AD1584" s="197"/>
      <c r="AE1584" s="197"/>
      <c r="AF1584" s="197"/>
      <c r="AG1584" s="197"/>
      <c r="AH1584" s="197"/>
      <c r="AI1584" s="197"/>
      <c r="AJ1584" s="197"/>
      <c r="AK1584" s="197"/>
      <c r="AL1584" s="197"/>
    </row>
    <row r="1585" spans="1:38">
      <c r="A1585" s="11" t="str">
        <f t="shared" si="91"/>
        <v>15-800649112011</v>
      </c>
      <c r="B1585" t="s">
        <v>820</v>
      </c>
      <c r="C1585" t="s">
        <v>821</v>
      </c>
      <c r="D1585">
        <v>2011</v>
      </c>
      <c r="E1585" t="s">
        <v>63</v>
      </c>
      <c r="F1585">
        <v>2699089.81</v>
      </c>
      <c r="G1585">
        <v>4152</v>
      </c>
      <c r="H1585" s="11" t="str">
        <f t="shared" si="90"/>
        <v>count</v>
      </c>
      <c r="I1585" s="197"/>
      <c r="J1585" s="197"/>
      <c r="K1585" s="197"/>
      <c r="L1585" s="197"/>
      <c r="M1585" s="197"/>
      <c r="N1585" s="197"/>
      <c r="O1585" s="197"/>
      <c r="P1585" s="197"/>
      <c r="Q1585" s="197"/>
      <c r="R1585" s="197"/>
      <c r="S1585" s="197"/>
      <c r="T1585" s="197"/>
      <c r="U1585" s="197"/>
      <c r="V1585" s="197"/>
      <c r="W1585" s="197"/>
      <c r="X1585" s="197"/>
      <c r="Y1585" s="197"/>
      <c r="Z1585" s="197"/>
      <c r="AA1585" s="197"/>
      <c r="AB1585" s="197"/>
      <c r="AC1585" s="197"/>
      <c r="AD1585" s="197"/>
      <c r="AE1585" s="197"/>
      <c r="AF1585" s="197"/>
      <c r="AG1585" s="197"/>
      <c r="AH1585" s="197"/>
      <c r="AI1585" s="197"/>
      <c r="AJ1585" s="197"/>
      <c r="AK1585" s="197"/>
      <c r="AL1585" s="197"/>
    </row>
    <row r="1586" spans="1:38">
      <c r="A1586" s="11" t="str">
        <f t="shared" si="91"/>
        <v>15-800649112012</v>
      </c>
      <c r="B1586" t="s">
        <v>820</v>
      </c>
      <c r="C1586" t="s">
        <v>821</v>
      </c>
      <c r="D1586">
        <v>2012</v>
      </c>
      <c r="E1586" t="s">
        <v>105</v>
      </c>
      <c r="F1586">
        <v>394330.03</v>
      </c>
      <c r="G1586">
        <v>505</v>
      </c>
      <c r="H1586" s="11" t="str">
        <f t="shared" si="90"/>
        <v>count</v>
      </c>
      <c r="I1586" s="197"/>
      <c r="J1586" s="197"/>
      <c r="K1586" s="197"/>
      <c r="L1586" s="197"/>
      <c r="M1586" s="197"/>
      <c r="N1586" s="197"/>
      <c r="O1586" s="197"/>
      <c r="P1586" s="197"/>
      <c r="Q1586" s="197"/>
      <c r="R1586" s="197"/>
      <c r="S1586" s="197"/>
      <c r="T1586" s="197"/>
      <c r="U1586" s="197"/>
      <c r="V1586" s="197"/>
      <c r="W1586" s="197"/>
      <c r="X1586" s="197"/>
      <c r="Y1586" s="197"/>
      <c r="Z1586" s="197"/>
      <c r="AA1586" s="197"/>
      <c r="AB1586" s="197"/>
      <c r="AC1586" s="197"/>
      <c r="AD1586" s="197"/>
      <c r="AE1586" s="197"/>
      <c r="AF1586" s="197"/>
      <c r="AG1586" s="197"/>
      <c r="AH1586" s="197"/>
      <c r="AI1586" s="197"/>
      <c r="AJ1586" s="197"/>
      <c r="AK1586" s="197"/>
      <c r="AL1586" s="197"/>
    </row>
    <row r="1587" spans="1:38">
      <c r="A1587" s="11" t="str">
        <f t="shared" si="91"/>
        <v>15-800649112013</v>
      </c>
      <c r="B1587" t="s">
        <v>820</v>
      </c>
      <c r="C1587" t="s">
        <v>821</v>
      </c>
      <c r="D1587">
        <v>2013</v>
      </c>
      <c r="E1587" t="s">
        <v>133</v>
      </c>
      <c r="F1587">
        <v>744241.12</v>
      </c>
      <c r="G1587">
        <v>956</v>
      </c>
      <c r="H1587" s="11" t="str">
        <f t="shared" si="90"/>
        <v>count</v>
      </c>
      <c r="I1587" s="197"/>
      <c r="J1587" s="197"/>
      <c r="K1587" s="197"/>
      <c r="L1587" s="197"/>
      <c r="M1587" s="197"/>
      <c r="N1587" s="197"/>
      <c r="O1587" s="197"/>
      <c r="P1587" s="197"/>
      <c r="Q1587" s="197"/>
      <c r="R1587" s="197"/>
      <c r="S1587" s="197"/>
      <c r="T1587" s="197"/>
      <c r="U1587" s="197"/>
      <c r="V1587" s="197"/>
      <c r="W1587" s="197"/>
      <c r="X1587" s="197"/>
      <c r="Y1587" s="197"/>
      <c r="Z1587" s="197"/>
      <c r="AA1587" s="197"/>
      <c r="AB1587" s="197"/>
      <c r="AC1587" s="197"/>
      <c r="AD1587" s="197"/>
      <c r="AE1587" s="197"/>
      <c r="AF1587" s="197"/>
      <c r="AG1587" s="197"/>
      <c r="AH1587" s="197"/>
      <c r="AI1587" s="197"/>
      <c r="AJ1587" s="197"/>
      <c r="AK1587" s="197"/>
      <c r="AL1587" s="197"/>
    </row>
    <row r="1588" spans="1:38">
      <c r="A1588" s="11" t="str">
        <f t="shared" si="91"/>
        <v>15-800649112011</v>
      </c>
      <c r="B1588" t="s">
        <v>820</v>
      </c>
      <c r="C1588" t="s">
        <v>821</v>
      </c>
      <c r="D1588">
        <v>2011</v>
      </c>
      <c r="E1588" t="s">
        <v>104</v>
      </c>
      <c r="F1588">
        <v>1407924.94</v>
      </c>
      <c r="G1588">
        <v>2157</v>
      </c>
      <c r="H1588" s="11" t="str">
        <f t="shared" si="90"/>
        <v>count</v>
      </c>
      <c r="I1588" s="197"/>
      <c r="J1588" s="197"/>
      <c r="K1588" s="197"/>
      <c r="L1588" s="197"/>
      <c r="M1588" s="197"/>
      <c r="N1588" s="197"/>
      <c r="O1588" s="197"/>
      <c r="P1588" s="197"/>
      <c r="Q1588" s="197"/>
      <c r="R1588" s="197"/>
      <c r="S1588" s="197"/>
      <c r="T1588" s="197"/>
      <c r="U1588" s="197"/>
      <c r="V1588" s="197"/>
      <c r="W1588" s="197"/>
      <c r="X1588" s="197"/>
      <c r="Y1588" s="197"/>
      <c r="Z1588" s="197"/>
      <c r="AA1588" s="197"/>
      <c r="AB1588" s="197"/>
      <c r="AC1588" s="197"/>
      <c r="AD1588" s="197"/>
      <c r="AE1588" s="197"/>
      <c r="AF1588" s="197"/>
      <c r="AG1588" s="197"/>
      <c r="AH1588" s="197"/>
      <c r="AI1588" s="197"/>
      <c r="AJ1588" s="197"/>
      <c r="AK1588" s="197"/>
      <c r="AL1588" s="197"/>
    </row>
    <row r="1589" spans="1:38">
      <c r="A1589" s="11" t="str">
        <f t="shared" si="91"/>
        <v>15-800649112013</v>
      </c>
      <c r="B1589" t="s">
        <v>820</v>
      </c>
      <c r="C1589" t="s">
        <v>821</v>
      </c>
      <c r="D1589">
        <v>2013</v>
      </c>
      <c r="E1589" t="s">
        <v>69</v>
      </c>
      <c r="F1589">
        <v>1710495.53</v>
      </c>
      <c r="G1589">
        <v>2580</v>
      </c>
      <c r="H1589" s="11" t="str">
        <f t="shared" si="90"/>
        <v>count</v>
      </c>
      <c r="I1589" s="197"/>
      <c r="J1589" s="197"/>
      <c r="K1589" s="197"/>
      <c r="L1589" s="197"/>
      <c r="M1589" s="197"/>
      <c r="N1589" s="197"/>
      <c r="O1589" s="197"/>
      <c r="P1589" s="197"/>
      <c r="Q1589" s="197"/>
      <c r="R1589" s="197"/>
      <c r="S1589" s="197"/>
      <c r="T1589" s="197"/>
      <c r="U1589" s="197"/>
      <c r="V1589" s="197"/>
      <c r="W1589" s="197"/>
      <c r="X1589" s="197"/>
      <c r="Y1589" s="197"/>
      <c r="Z1589" s="197"/>
      <c r="AA1589" s="197"/>
      <c r="AB1589" s="197"/>
      <c r="AC1589" s="197"/>
      <c r="AD1589" s="197"/>
      <c r="AE1589" s="197"/>
      <c r="AF1589" s="197"/>
      <c r="AG1589" s="197"/>
      <c r="AH1589" s="197"/>
      <c r="AI1589" s="197"/>
      <c r="AJ1589" s="197"/>
      <c r="AK1589" s="197"/>
      <c r="AL1589" s="197"/>
    </row>
    <row r="1590" spans="1:38">
      <c r="A1590" s="11" t="str">
        <f t="shared" si="91"/>
        <v>15-801448752012</v>
      </c>
      <c r="B1590" t="s">
        <v>822</v>
      </c>
      <c r="C1590" t="s">
        <v>823</v>
      </c>
      <c r="D1590">
        <v>2012</v>
      </c>
      <c r="E1590" t="s">
        <v>133</v>
      </c>
      <c r="F1590">
        <v>138927.9</v>
      </c>
      <c r="G1590">
        <v>216</v>
      </c>
      <c r="H1590" s="11" t="str">
        <f t="shared" si="90"/>
        <v>volume</v>
      </c>
      <c r="I1590" s="197"/>
      <c r="J1590" s="197"/>
      <c r="K1590" s="197"/>
      <c r="L1590" s="197"/>
      <c r="M1590" s="197"/>
      <c r="N1590" s="197"/>
      <c r="O1590" s="197"/>
      <c r="P1590" s="197"/>
      <c r="Q1590" s="197"/>
      <c r="R1590" s="197"/>
      <c r="S1590" s="197"/>
      <c r="T1590" s="197"/>
      <c r="U1590" s="197"/>
      <c r="V1590" s="197"/>
      <c r="W1590" s="197"/>
      <c r="X1590" s="197"/>
      <c r="Y1590" s="197"/>
      <c r="Z1590" s="197"/>
      <c r="AA1590" s="197"/>
      <c r="AB1590" s="197"/>
      <c r="AC1590" s="197"/>
      <c r="AD1590" s="197"/>
      <c r="AE1590" s="197"/>
      <c r="AF1590" s="197"/>
      <c r="AG1590" s="197"/>
      <c r="AH1590" s="197"/>
      <c r="AI1590" s="197"/>
      <c r="AJ1590" s="197"/>
      <c r="AK1590" s="197"/>
      <c r="AL1590" s="197"/>
    </row>
    <row r="1591" spans="1:38">
      <c r="A1591" s="11" t="str">
        <f t="shared" si="91"/>
        <v>15-801448752012</v>
      </c>
      <c r="B1591" t="s">
        <v>822</v>
      </c>
      <c r="C1591" t="s">
        <v>823</v>
      </c>
      <c r="D1591">
        <v>2012</v>
      </c>
      <c r="E1591" t="s">
        <v>104</v>
      </c>
      <c r="F1591">
        <v>285310.73</v>
      </c>
      <c r="G1591">
        <v>408</v>
      </c>
      <c r="H1591" s="11" t="str">
        <f t="shared" si="90"/>
        <v>count</v>
      </c>
      <c r="I1591" s="197"/>
      <c r="J1591" s="197"/>
      <c r="K1591" s="197"/>
      <c r="L1591" s="197"/>
      <c r="M1591" s="197"/>
      <c r="N1591" s="197"/>
      <c r="O1591" s="197"/>
      <c r="P1591" s="197"/>
      <c r="Q1591" s="197"/>
      <c r="R1591" s="197"/>
      <c r="S1591" s="197"/>
      <c r="T1591" s="197"/>
      <c r="U1591" s="197"/>
      <c r="V1591" s="197"/>
      <c r="W1591" s="197"/>
      <c r="X1591" s="197"/>
      <c r="Y1591" s="197"/>
      <c r="Z1591" s="197"/>
      <c r="AA1591" s="197"/>
      <c r="AB1591" s="197"/>
      <c r="AC1591" s="197"/>
      <c r="AD1591" s="197"/>
      <c r="AE1591" s="197"/>
      <c r="AF1591" s="197"/>
      <c r="AG1591" s="197"/>
      <c r="AH1591" s="197"/>
      <c r="AI1591" s="197"/>
      <c r="AJ1591" s="197"/>
      <c r="AK1591" s="197"/>
      <c r="AL1591" s="197"/>
    </row>
    <row r="1592" spans="1:38">
      <c r="A1592" s="11" t="str">
        <f t="shared" si="91"/>
        <v>15-801448752012</v>
      </c>
      <c r="B1592" t="s">
        <v>822</v>
      </c>
      <c r="C1592" t="s">
        <v>823</v>
      </c>
      <c r="D1592">
        <v>2012</v>
      </c>
      <c r="E1592" t="s">
        <v>63</v>
      </c>
      <c r="F1592">
        <v>457690.81</v>
      </c>
      <c r="G1592">
        <v>608</v>
      </c>
      <c r="H1592" s="11" t="str">
        <f t="shared" si="90"/>
        <v>count</v>
      </c>
      <c r="I1592" s="197"/>
      <c r="J1592" s="197"/>
      <c r="K1592" s="197"/>
      <c r="L1592" s="197"/>
      <c r="M1592" s="197"/>
      <c r="N1592" s="197"/>
      <c r="O1592" s="197"/>
      <c r="P1592" s="197"/>
      <c r="Q1592" s="197"/>
      <c r="R1592" s="197"/>
      <c r="S1592" s="197"/>
      <c r="T1592" s="197"/>
      <c r="U1592" s="197"/>
      <c r="V1592" s="197"/>
      <c r="W1592" s="197"/>
      <c r="X1592" s="197"/>
      <c r="Y1592" s="197"/>
      <c r="Z1592" s="197"/>
      <c r="AA1592" s="197"/>
      <c r="AB1592" s="197"/>
      <c r="AC1592" s="197"/>
      <c r="AD1592" s="197"/>
      <c r="AE1592" s="197"/>
      <c r="AF1592" s="197"/>
      <c r="AG1592" s="197"/>
      <c r="AH1592" s="197"/>
      <c r="AI1592" s="197"/>
      <c r="AJ1592" s="197"/>
      <c r="AK1592" s="197"/>
      <c r="AL1592" s="197"/>
    </row>
    <row r="1593" spans="1:38">
      <c r="A1593" s="11" t="str">
        <f t="shared" si="91"/>
        <v>15-801448752012</v>
      </c>
      <c r="B1593" t="s">
        <v>822</v>
      </c>
      <c r="C1593" t="s">
        <v>823</v>
      </c>
      <c r="D1593">
        <v>2012</v>
      </c>
      <c r="E1593" t="s">
        <v>69</v>
      </c>
      <c r="F1593">
        <v>129803.15</v>
      </c>
      <c r="G1593">
        <v>219</v>
      </c>
      <c r="H1593" s="11" t="str">
        <f t="shared" si="90"/>
        <v>count</v>
      </c>
      <c r="I1593" s="197"/>
      <c r="J1593" s="197"/>
      <c r="K1593" s="197"/>
      <c r="L1593" s="197"/>
      <c r="M1593" s="197"/>
      <c r="N1593" s="197"/>
      <c r="O1593" s="197"/>
      <c r="P1593" s="197"/>
      <c r="Q1593" s="197"/>
      <c r="R1593" s="197"/>
      <c r="S1593" s="197"/>
      <c r="T1593" s="197"/>
      <c r="U1593" s="197"/>
      <c r="V1593" s="197"/>
      <c r="W1593" s="197"/>
      <c r="X1593" s="197"/>
      <c r="Y1593" s="197"/>
      <c r="Z1593" s="197"/>
      <c r="AA1593" s="197"/>
      <c r="AB1593" s="197"/>
      <c r="AC1593" s="197"/>
      <c r="AD1593" s="197"/>
      <c r="AE1593" s="197"/>
      <c r="AF1593" s="197"/>
      <c r="AG1593" s="197"/>
      <c r="AH1593" s="197"/>
      <c r="AI1593" s="197"/>
      <c r="AJ1593" s="197"/>
      <c r="AK1593" s="197"/>
      <c r="AL1593" s="197"/>
    </row>
    <row r="1594" spans="1:38">
      <c r="A1594" s="11" t="str">
        <f t="shared" si="91"/>
        <v>15-801448752011</v>
      </c>
      <c r="B1594" t="s">
        <v>822</v>
      </c>
      <c r="C1594" t="s">
        <v>823</v>
      </c>
      <c r="D1594">
        <v>2011</v>
      </c>
      <c r="E1594" t="s">
        <v>106</v>
      </c>
      <c r="F1594">
        <v>191171.81</v>
      </c>
      <c r="G1594">
        <v>251</v>
      </c>
      <c r="H1594" s="11" t="str">
        <f t="shared" si="90"/>
        <v>count</v>
      </c>
      <c r="I1594" s="197"/>
      <c r="J1594" s="197"/>
      <c r="K1594" s="197"/>
      <c r="L1594" s="197"/>
      <c r="M1594" s="197"/>
      <c r="N1594" s="197"/>
      <c r="O1594" s="197"/>
      <c r="P1594" s="197"/>
      <c r="Q1594" s="197"/>
      <c r="R1594" s="197"/>
      <c r="S1594" s="197"/>
      <c r="T1594" s="197"/>
      <c r="U1594" s="197"/>
      <c r="V1594" s="197"/>
      <c r="W1594" s="197"/>
      <c r="X1594" s="197"/>
      <c r="Y1594" s="197"/>
      <c r="Z1594" s="197"/>
      <c r="AA1594" s="197"/>
      <c r="AB1594" s="197"/>
      <c r="AC1594" s="197"/>
      <c r="AD1594" s="197"/>
      <c r="AE1594" s="197"/>
      <c r="AF1594" s="197"/>
      <c r="AG1594" s="197"/>
      <c r="AH1594" s="197"/>
      <c r="AI1594" s="197"/>
      <c r="AJ1594" s="197"/>
      <c r="AK1594" s="197"/>
      <c r="AL1594" s="197"/>
    </row>
    <row r="1595" spans="1:38">
      <c r="A1595" s="11" t="str">
        <f t="shared" si="91"/>
        <v>15-801448752012</v>
      </c>
      <c r="B1595" t="s">
        <v>822</v>
      </c>
      <c r="C1595" t="s">
        <v>823</v>
      </c>
      <c r="D1595">
        <v>2012</v>
      </c>
      <c r="E1595" t="s">
        <v>106</v>
      </c>
      <c r="F1595">
        <v>50209.07</v>
      </c>
      <c r="G1595">
        <v>60</v>
      </c>
      <c r="H1595" s="11" t="str">
        <f t="shared" si="90"/>
        <v>count</v>
      </c>
      <c r="I1595" s="197"/>
      <c r="J1595" s="197"/>
      <c r="K1595" s="197"/>
      <c r="L1595" s="197"/>
      <c r="M1595" s="197"/>
      <c r="N1595" s="197"/>
      <c r="O1595" s="197"/>
      <c r="P1595" s="197"/>
      <c r="Q1595" s="197"/>
      <c r="R1595" s="197"/>
      <c r="S1595" s="197"/>
      <c r="T1595" s="197"/>
      <c r="U1595" s="197"/>
      <c r="V1595" s="197"/>
      <c r="W1595" s="197"/>
      <c r="X1595" s="197"/>
      <c r="Y1595" s="197"/>
      <c r="Z1595" s="197"/>
      <c r="AA1595" s="197"/>
      <c r="AB1595" s="197"/>
      <c r="AC1595" s="197"/>
      <c r="AD1595" s="197"/>
      <c r="AE1595" s="197"/>
      <c r="AF1595" s="197"/>
      <c r="AG1595" s="197"/>
      <c r="AH1595" s="197"/>
      <c r="AI1595" s="197"/>
      <c r="AJ1595" s="197"/>
      <c r="AK1595" s="197"/>
      <c r="AL1595" s="197"/>
    </row>
    <row r="1596" spans="1:38">
      <c r="A1596" s="11" t="str">
        <f t="shared" si="91"/>
        <v>15-801448752012</v>
      </c>
      <c r="B1596" t="s">
        <v>822</v>
      </c>
      <c r="C1596" t="s">
        <v>823</v>
      </c>
      <c r="D1596">
        <v>2012</v>
      </c>
      <c r="E1596" t="s">
        <v>105</v>
      </c>
      <c r="F1596">
        <v>74180.479999999996</v>
      </c>
      <c r="G1596">
        <v>96</v>
      </c>
      <c r="H1596" s="11" t="str">
        <f t="shared" si="90"/>
        <v>count</v>
      </c>
      <c r="I1596" s="197"/>
      <c r="J1596" s="197"/>
      <c r="K1596" s="197"/>
      <c r="L1596" s="197"/>
      <c r="M1596" s="197"/>
      <c r="N1596" s="197"/>
      <c r="O1596" s="197"/>
      <c r="P1596" s="197"/>
      <c r="Q1596" s="197"/>
      <c r="R1596" s="197"/>
      <c r="S1596" s="197"/>
      <c r="T1596" s="197"/>
      <c r="U1596" s="197"/>
      <c r="V1596" s="197"/>
      <c r="W1596" s="197"/>
      <c r="X1596" s="197"/>
      <c r="Y1596" s="197"/>
      <c r="Z1596" s="197"/>
      <c r="AA1596" s="197"/>
      <c r="AB1596" s="197"/>
      <c r="AC1596" s="197"/>
      <c r="AD1596" s="197"/>
      <c r="AE1596" s="197"/>
      <c r="AF1596" s="197"/>
      <c r="AG1596" s="197"/>
      <c r="AH1596" s="197"/>
      <c r="AI1596" s="197"/>
      <c r="AJ1596" s="197"/>
      <c r="AK1596" s="197"/>
      <c r="AL1596" s="197"/>
    </row>
    <row r="1597" spans="1:38">
      <c r="A1597" s="11" t="str">
        <f t="shared" si="91"/>
        <v>15-801448752011</v>
      </c>
      <c r="B1597" t="s">
        <v>822</v>
      </c>
      <c r="C1597" t="s">
        <v>823</v>
      </c>
      <c r="D1597">
        <v>2011</v>
      </c>
      <c r="E1597" t="s">
        <v>63</v>
      </c>
      <c r="F1597">
        <v>3615683.72</v>
      </c>
      <c r="G1597">
        <v>5338</v>
      </c>
      <c r="H1597" s="11" t="str">
        <f t="shared" si="90"/>
        <v>count</v>
      </c>
      <c r="I1597" s="197"/>
      <c r="J1597" s="197"/>
      <c r="K1597" s="197"/>
      <c r="L1597" s="197"/>
      <c r="M1597" s="197"/>
      <c r="N1597" s="197"/>
      <c r="O1597" s="197"/>
      <c r="P1597" s="197"/>
      <c r="Q1597" s="197"/>
      <c r="R1597" s="197"/>
      <c r="S1597" s="197"/>
      <c r="T1597" s="197"/>
      <c r="U1597" s="197"/>
      <c r="V1597" s="197"/>
      <c r="W1597" s="197"/>
      <c r="X1597" s="197"/>
      <c r="Y1597" s="197"/>
      <c r="Z1597" s="197"/>
      <c r="AA1597" s="197"/>
      <c r="AB1597" s="197"/>
      <c r="AC1597" s="197"/>
      <c r="AD1597" s="197"/>
      <c r="AE1597" s="197"/>
      <c r="AF1597" s="197"/>
      <c r="AG1597" s="197"/>
      <c r="AH1597" s="197"/>
      <c r="AI1597" s="197"/>
      <c r="AJ1597" s="197"/>
      <c r="AK1597" s="197"/>
      <c r="AL1597" s="197"/>
    </row>
    <row r="1598" spans="1:38">
      <c r="A1598" s="11" t="str">
        <f t="shared" si="91"/>
        <v>15-801448752011</v>
      </c>
      <c r="B1598" t="s">
        <v>822</v>
      </c>
      <c r="C1598" t="s">
        <v>823</v>
      </c>
      <c r="D1598">
        <v>2011</v>
      </c>
      <c r="E1598" t="s">
        <v>104</v>
      </c>
      <c r="F1598">
        <v>2022298.98</v>
      </c>
      <c r="G1598">
        <v>2903</v>
      </c>
      <c r="H1598" s="11" t="str">
        <f t="shared" si="90"/>
        <v>count</v>
      </c>
      <c r="I1598" s="197"/>
      <c r="J1598" s="197"/>
      <c r="K1598" s="197"/>
      <c r="L1598" s="197"/>
      <c r="M1598" s="197"/>
      <c r="N1598" s="197"/>
      <c r="O1598" s="197"/>
      <c r="P1598" s="197"/>
      <c r="Q1598" s="197"/>
      <c r="R1598" s="197"/>
      <c r="S1598" s="197"/>
      <c r="T1598" s="197"/>
      <c r="U1598" s="197"/>
      <c r="V1598" s="197"/>
      <c r="W1598" s="197"/>
      <c r="X1598" s="197"/>
      <c r="Y1598" s="197"/>
      <c r="Z1598" s="197"/>
      <c r="AA1598" s="197"/>
      <c r="AB1598" s="197"/>
      <c r="AC1598" s="197"/>
      <c r="AD1598" s="197"/>
      <c r="AE1598" s="197"/>
      <c r="AF1598" s="197"/>
      <c r="AG1598" s="197"/>
      <c r="AH1598" s="197"/>
      <c r="AI1598" s="197"/>
      <c r="AJ1598" s="197"/>
      <c r="AK1598" s="197"/>
      <c r="AL1598" s="197"/>
    </row>
    <row r="1599" spans="1:38">
      <c r="A1599" s="11" t="str">
        <f t="shared" si="91"/>
        <v>15-801448752011</v>
      </c>
      <c r="B1599" t="s">
        <v>822</v>
      </c>
      <c r="C1599" t="s">
        <v>823</v>
      </c>
      <c r="D1599">
        <v>2011</v>
      </c>
      <c r="E1599" t="s">
        <v>69</v>
      </c>
      <c r="F1599">
        <v>55.5</v>
      </c>
      <c r="G1599">
        <v>1</v>
      </c>
      <c r="H1599" s="11" t="str">
        <f t="shared" si="90"/>
        <v>count</v>
      </c>
      <c r="I1599" s="197"/>
      <c r="J1599" s="197"/>
      <c r="K1599" s="197"/>
      <c r="L1599" s="197"/>
      <c r="M1599" s="197"/>
      <c r="N1599" s="197"/>
      <c r="O1599" s="197"/>
      <c r="P1599" s="197"/>
      <c r="Q1599" s="197"/>
      <c r="R1599" s="197"/>
      <c r="S1599" s="197"/>
      <c r="T1599" s="197"/>
      <c r="U1599" s="197"/>
      <c r="V1599" s="197"/>
      <c r="W1599" s="197"/>
      <c r="X1599" s="197"/>
      <c r="Y1599" s="197"/>
      <c r="Z1599" s="197"/>
      <c r="AA1599" s="197"/>
      <c r="AB1599" s="197"/>
      <c r="AC1599" s="197"/>
      <c r="AD1599" s="197"/>
      <c r="AE1599" s="197"/>
      <c r="AF1599" s="197"/>
      <c r="AG1599" s="197"/>
      <c r="AH1599" s="197"/>
      <c r="AI1599" s="197"/>
      <c r="AJ1599" s="197"/>
      <c r="AK1599" s="197"/>
      <c r="AL1599" s="197"/>
    </row>
    <row r="1600" spans="1:38">
      <c r="A1600" s="11" t="str">
        <f t="shared" si="91"/>
        <v>15-801448752011</v>
      </c>
      <c r="B1600" t="s">
        <v>822</v>
      </c>
      <c r="C1600" t="s">
        <v>823</v>
      </c>
      <c r="D1600">
        <v>2011</v>
      </c>
      <c r="E1600" t="s">
        <v>105</v>
      </c>
      <c r="F1600">
        <v>626164.29</v>
      </c>
      <c r="G1600">
        <v>834</v>
      </c>
      <c r="H1600" s="11" t="str">
        <f t="shared" si="90"/>
        <v>count</v>
      </c>
      <c r="I1600" s="197"/>
      <c r="J1600" s="197"/>
      <c r="K1600" s="197"/>
      <c r="L1600" s="197"/>
      <c r="M1600" s="197"/>
      <c r="N1600" s="197"/>
      <c r="O1600" s="197"/>
      <c r="P1600" s="197"/>
      <c r="Q1600" s="197"/>
      <c r="R1600" s="197"/>
      <c r="S1600" s="197"/>
      <c r="T1600" s="197"/>
      <c r="U1600" s="197"/>
      <c r="V1600" s="197"/>
      <c r="W1600" s="197"/>
      <c r="X1600" s="197"/>
      <c r="Y1600" s="197"/>
      <c r="Z1600" s="197"/>
      <c r="AA1600" s="197"/>
      <c r="AB1600" s="197"/>
      <c r="AC1600" s="197"/>
      <c r="AD1600" s="197"/>
      <c r="AE1600" s="197"/>
      <c r="AF1600" s="197"/>
      <c r="AG1600" s="197"/>
      <c r="AH1600" s="197"/>
      <c r="AI1600" s="197"/>
      <c r="AJ1600" s="197"/>
      <c r="AK1600" s="197"/>
      <c r="AL1600" s="197"/>
    </row>
    <row r="1601" spans="1:38">
      <c r="A1601" s="11" t="str">
        <f t="shared" si="91"/>
        <v>15-801448752011</v>
      </c>
      <c r="B1601" t="s">
        <v>822</v>
      </c>
      <c r="C1601" t="s">
        <v>823</v>
      </c>
      <c r="D1601">
        <v>2011</v>
      </c>
      <c r="E1601" t="s">
        <v>133</v>
      </c>
      <c r="F1601">
        <v>996820.52</v>
      </c>
      <c r="G1601">
        <v>1286</v>
      </c>
      <c r="H1601" s="11" t="str">
        <f t="shared" si="90"/>
        <v>count</v>
      </c>
      <c r="I1601" s="197"/>
      <c r="J1601" s="197"/>
      <c r="K1601" s="197"/>
      <c r="L1601" s="197"/>
      <c r="M1601" s="197"/>
      <c r="N1601" s="197"/>
      <c r="O1601" s="197"/>
      <c r="P1601" s="197"/>
      <c r="Q1601" s="197"/>
      <c r="R1601" s="197"/>
      <c r="S1601" s="197"/>
      <c r="T1601" s="197"/>
      <c r="U1601" s="197"/>
      <c r="V1601" s="197"/>
      <c r="W1601" s="197"/>
      <c r="X1601" s="197"/>
      <c r="Y1601" s="197"/>
      <c r="Z1601" s="197"/>
      <c r="AA1601" s="197"/>
      <c r="AB1601" s="197"/>
      <c r="AC1601" s="197"/>
      <c r="AD1601" s="197"/>
      <c r="AE1601" s="197"/>
      <c r="AF1601" s="197"/>
      <c r="AG1601" s="197"/>
      <c r="AH1601" s="197"/>
      <c r="AI1601" s="197"/>
      <c r="AJ1601" s="197"/>
      <c r="AK1601" s="197"/>
      <c r="AL1601" s="197"/>
    </row>
    <row r="1602" spans="1:38">
      <c r="A1602" s="11" t="str">
        <f t="shared" si="91"/>
        <v>15-802560192011</v>
      </c>
      <c r="B1602" t="s">
        <v>824</v>
      </c>
      <c r="C1602" t="s">
        <v>825</v>
      </c>
      <c r="D1602">
        <v>2011</v>
      </c>
      <c r="E1602" t="s">
        <v>105</v>
      </c>
      <c r="F1602">
        <v>75856.11</v>
      </c>
      <c r="G1602">
        <v>105</v>
      </c>
      <c r="H1602" s="11" t="str">
        <f t="shared" ref="H1602:H1665" si="92">IF(B1602=B1601,"count","volume")</f>
        <v>volume</v>
      </c>
      <c r="I1602" s="197"/>
      <c r="J1602" s="197"/>
      <c r="K1602" s="197"/>
      <c r="L1602" s="197"/>
      <c r="M1602" s="197"/>
      <c r="N1602" s="197"/>
      <c r="O1602" s="197"/>
      <c r="P1602" s="197"/>
      <c r="Q1602" s="197"/>
      <c r="R1602" s="197"/>
      <c r="S1602" s="197"/>
      <c r="T1602" s="197"/>
      <c r="U1602" s="197"/>
      <c r="V1602" s="197"/>
      <c r="W1602" s="197"/>
      <c r="X1602" s="197"/>
      <c r="Y1602" s="197"/>
      <c r="Z1602" s="197"/>
      <c r="AA1602" s="197"/>
      <c r="AB1602" s="197"/>
      <c r="AC1602" s="197"/>
      <c r="AD1602" s="197"/>
      <c r="AE1602" s="197"/>
      <c r="AF1602" s="197"/>
      <c r="AG1602" s="197"/>
      <c r="AH1602" s="197"/>
      <c r="AI1602" s="197"/>
      <c r="AJ1602" s="197"/>
      <c r="AK1602" s="197"/>
      <c r="AL1602" s="197"/>
    </row>
    <row r="1603" spans="1:38">
      <c r="A1603" s="11" t="str">
        <f t="shared" ref="A1603:A1666" si="93">B1603&amp;D1603</f>
        <v>15-802560192011</v>
      </c>
      <c r="B1603" t="s">
        <v>824</v>
      </c>
      <c r="C1603" t="s">
        <v>825</v>
      </c>
      <c r="D1603">
        <v>2011</v>
      </c>
      <c r="E1603" t="s">
        <v>133</v>
      </c>
      <c r="F1603">
        <v>267250.90999999997</v>
      </c>
      <c r="G1603">
        <v>256</v>
      </c>
      <c r="H1603" s="11" t="str">
        <f t="shared" si="92"/>
        <v>count</v>
      </c>
      <c r="I1603" s="197"/>
      <c r="J1603" s="197"/>
      <c r="K1603" s="197"/>
      <c r="L1603" s="197"/>
      <c r="M1603" s="197"/>
      <c r="N1603" s="197"/>
      <c r="O1603" s="197"/>
      <c r="P1603" s="197"/>
      <c r="Q1603" s="197"/>
      <c r="R1603" s="197"/>
      <c r="S1603" s="197"/>
      <c r="T1603" s="197"/>
      <c r="U1603" s="197"/>
      <c r="V1603" s="197"/>
      <c r="W1603" s="197"/>
      <c r="X1603" s="197"/>
      <c r="Y1603" s="197"/>
      <c r="Z1603" s="197"/>
      <c r="AA1603" s="197"/>
      <c r="AB1603" s="197"/>
      <c r="AC1603" s="197"/>
      <c r="AD1603" s="197"/>
      <c r="AE1603" s="197"/>
      <c r="AF1603" s="197"/>
      <c r="AG1603" s="197"/>
      <c r="AH1603" s="197"/>
      <c r="AI1603" s="197"/>
      <c r="AJ1603" s="197"/>
      <c r="AK1603" s="197"/>
      <c r="AL1603" s="197"/>
    </row>
    <row r="1604" spans="1:38">
      <c r="A1604" s="11" t="str">
        <f t="shared" si="93"/>
        <v>15-802560192013</v>
      </c>
      <c r="B1604" t="s">
        <v>824</v>
      </c>
      <c r="C1604" t="s">
        <v>825</v>
      </c>
      <c r="D1604">
        <v>2013</v>
      </c>
      <c r="E1604" t="s">
        <v>104</v>
      </c>
      <c r="F1604">
        <v>401128.01</v>
      </c>
      <c r="G1604">
        <v>498</v>
      </c>
      <c r="H1604" s="11" t="str">
        <f t="shared" si="92"/>
        <v>count</v>
      </c>
      <c r="I1604" s="197"/>
      <c r="J1604" s="197"/>
      <c r="K1604" s="197"/>
      <c r="L1604" s="197"/>
      <c r="M1604" s="197"/>
      <c r="N1604" s="197"/>
      <c r="O1604" s="197"/>
      <c r="P1604" s="197"/>
      <c r="Q1604" s="197"/>
      <c r="R1604" s="197"/>
      <c r="S1604" s="197"/>
      <c r="T1604" s="197"/>
      <c r="U1604" s="197"/>
      <c r="V1604" s="197"/>
      <c r="W1604" s="197"/>
      <c r="X1604" s="197"/>
      <c r="Y1604" s="197"/>
      <c r="Z1604" s="197"/>
      <c r="AA1604" s="197"/>
      <c r="AB1604" s="197"/>
      <c r="AC1604" s="197"/>
      <c r="AD1604" s="197"/>
      <c r="AE1604" s="197"/>
      <c r="AF1604" s="197"/>
      <c r="AG1604" s="197"/>
      <c r="AH1604" s="197"/>
      <c r="AI1604" s="197"/>
      <c r="AJ1604" s="197"/>
      <c r="AK1604" s="197"/>
      <c r="AL1604" s="197"/>
    </row>
    <row r="1605" spans="1:38">
      <c r="A1605" s="11" t="str">
        <f t="shared" si="93"/>
        <v>15-802560192013</v>
      </c>
      <c r="B1605" t="s">
        <v>824</v>
      </c>
      <c r="C1605" t="s">
        <v>825</v>
      </c>
      <c r="D1605">
        <v>2013</v>
      </c>
      <c r="E1605" t="s">
        <v>63</v>
      </c>
      <c r="F1605">
        <v>835899.03</v>
      </c>
      <c r="G1605">
        <v>1022</v>
      </c>
      <c r="H1605" s="11" t="str">
        <f t="shared" si="92"/>
        <v>count</v>
      </c>
    </row>
    <row r="1606" spans="1:38">
      <c r="A1606" s="11" t="str">
        <f t="shared" si="93"/>
        <v>15-802560192012</v>
      </c>
      <c r="B1606" t="s">
        <v>824</v>
      </c>
      <c r="C1606" t="s">
        <v>825</v>
      </c>
      <c r="D1606">
        <v>2012</v>
      </c>
      <c r="E1606" t="s">
        <v>105</v>
      </c>
      <c r="F1606">
        <v>107846.18</v>
      </c>
      <c r="G1606">
        <v>127</v>
      </c>
      <c r="H1606" s="11" t="str">
        <f t="shared" si="92"/>
        <v>count</v>
      </c>
    </row>
    <row r="1607" spans="1:38">
      <c r="A1607" s="11" t="str">
        <f t="shared" si="93"/>
        <v>15-802560192012</v>
      </c>
      <c r="B1607" t="s">
        <v>824</v>
      </c>
      <c r="C1607" t="s">
        <v>825</v>
      </c>
      <c r="D1607">
        <v>2012</v>
      </c>
      <c r="E1607" t="s">
        <v>104</v>
      </c>
      <c r="F1607">
        <v>495588.91</v>
      </c>
      <c r="G1607">
        <v>604</v>
      </c>
      <c r="H1607" s="11" t="str">
        <f t="shared" si="92"/>
        <v>count</v>
      </c>
    </row>
    <row r="1608" spans="1:38">
      <c r="A1608" s="11" t="str">
        <f t="shared" si="93"/>
        <v>15-802560192012</v>
      </c>
      <c r="B1608" t="s">
        <v>824</v>
      </c>
      <c r="C1608" t="s">
        <v>825</v>
      </c>
      <c r="D1608">
        <v>2012</v>
      </c>
      <c r="E1608" t="s">
        <v>69</v>
      </c>
      <c r="F1608">
        <v>109897.09</v>
      </c>
      <c r="G1608">
        <v>172</v>
      </c>
      <c r="H1608" s="11" t="str">
        <f t="shared" si="92"/>
        <v>count</v>
      </c>
    </row>
    <row r="1609" spans="1:38">
      <c r="A1609" s="11" t="str">
        <f t="shared" si="93"/>
        <v>15-802560192012</v>
      </c>
      <c r="B1609" t="s">
        <v>824</v>
      </c>
      <c r="C1609" t="s">
        <v>825</v>
      </c>
      <c r="D1609">
        <v>2012</v>
      </c>
      <c r="E1609" t="s">
        <v>133</v>
      </c>
      <c r="F1609">
        <v>330366.92</v>
      </c>
      <c r="G1609">
        <v>365</v>
      </c>
      <c r="H1609" s="11" t="str">
        <f t="shared" si="92"/>
        <v>count</v>
      </c>
    </row>
    <row r="1610" spans="1:38">
      <c r="A1610" s="11" t="str">
        <f t="shared" si="93"/>
        <v>15-802560192012</v>
      </c>
      <c r="B1610" t="s">
        <v>824</v>
      </c>
      <c r="C1610" t="s">
        <v>825</v>
      </c>
      <c r="D1610">
        <v>2012</v>
      </c>
      <c r="E1610" t="s">
        <v>63</v>
      </c>
      <c r="F1610">
        <v>875318.39</v>
      </c>
      <c r="G1610">
        <v>969</v>
      </c>
      <c r="H1610" s="11" t="str">
        <f t="shared" si="92"/>
        <v>count</v>
      </c>
    </row>
    <row r="1611" spans="1:38">
      <c r="A1611" s="11" t="str">
        <f t="shared" si="93"/>
        <v>15-802560192011</v>
      </c>
      <c r="B1611" t="s">
        <v>824</v>
      </c>
      <c r="C1611" t="s">
        <v>825</v>
      </c>
      <c r="D1611">
        <v>2011</v>
      </c>
      <c r="E1611" t="s">
        <v>63</v>
      </c>
      <c r="F1611">
        <v>826961.89</v>
      </c>
      <c r="G1611">
        <v>1028</v>
      </c>
      <c r="H1611" s="11" t="str">
        <f t="shared" si="92"/>
        <v>count</v>
      </c>
    </row>
    <row r="1612" spans="1:38">
      <c r="A1612" s="11" t="str">
        <f t="shared" si="93"/>
        <v>15-802560192011</v>
      </c>
      <c r="B1612" t="s">
        <v>824</v>
      </c>
      <c r="C1612" t="s">
        <v>825</v>
      </c>
      <c r="D1612">
        <v>2011</v>
      </c>
      <c r="E1612" t="s">
        <v>104</v>
      </c>
      <c r="F1612">
        <v>473478.6</v>
      </c>
      <c r="G1612">
        <v>537</v>
      </c>
      <c r="H1612" s="11" t="str">
        <f t="shared" si="92"/>
        <v>count</v>
      </c>
    </row>
    <row r="1613" spans="1:38">
      <c r="A1613" s="11" t="str">
        <f t="shared" si="93"/>
        <v>15-802560192013</v>
      </c>
      <c r="B1613" t="s">
        <v>824</v>
      </c>
      <c r="C1613" t="s">
        <v>825</v>
      </c>
      <c r="D1613">
        <v>2013</v>
      </c>
      <c r="E1613" t="s">
        <v>69</v>
      </c>
      <c r="F1613">
        <v>130720.2</v>
      </c>
      <c r="G1613">
        <v>226</v>
      </c>
      <c r="H1613" s="11" t="str">
        <f t="shared" si="92"/>
        <v>count</v>
      </c>
    </row>
    <row r="1614" spans="1:38">
      <c r="A1614" s="11" t="str">
        <f t="shared" si="93"/>
        <v>15-802560192013</v>
      </c>
      <c r="B1614" t="s">
        <v>824</v>
      </c>
      <c r="C1614" t="s">
        <v>825</v>
      </c>
      <c r="D1614">
        <v>2013</v>
      </c>
      <c r="E1614" t="s">
        <v>105</v>
      </c>
      <c r="F1614">
        <v>107929.68</v>
      </c>
      <c r="G1614">
        <v>137</v>
      </c>
      <c r="H1614" s="11" t="str">
        <f t="shared" si="92"/>
        <v>count</v>
      </c>
    </row>
    <row r="1615" spans="1:38">
      <c r="A1615" s="11" t="str">
        <f t="shared" si="93"/>
        <v>15-802560192013</v>
      </c>
      <c r="B1615" t="s">
        <v>824</v>
      </c>
      <c r="C1615" t="s">
        <v>825</v>
      </c>
      <c r="D1615">
        <v>2013</v>
      </c>
      <c r="E1615" t="s">
        <v>133</v>
      </c>
      <c r="F1615">
        <v>291340.77</v>
      </c>
      <c r="G1615">
        <v>348</v>
      </c>
      <c r="H1615" s="11" t="str">
        <f t="shared" si="92"/>
        <v>count</v>
      </c>
    </row>
    <row r="1616" spans="1:38">
      <c r="A1616" s="11" t="str">
        <f t="shared" si="93"/>
        <v>15-825092472012</v>
      </c>
      <c r="B1616" t="s">
        <v>832</v>
      </c>
      <c r="C1616" t="s">
        <v>833</v>
      </c>
      <c r="D1616">
        <v>2012</v>
      </c>
      <c r="E1616" t="s">
        <v>63</v>
      </c>
      <c r="F1616">
        <v>380747.42</v>
      </c>
      <c r="G1616">
        <v>526</v>
      </c>
      <c r="H1616" s="11" t="str">
        <f t="shared" si="92"/>
        <v>volume</v>
      </c>
    </row>
    <row r="1617" spans="1:8">
      <c r="A1617" s="11" t="str">
        <f t="shared" si="93"/>
        <v>15-825092472013</v>
      </c>
      <c r="B1617" t="s">
        <v>832</v>
      </c>
      <c r="C1617" t="s">
        <v>833</v>
      </c>
      <c r="D1617">
        <v>2013</v>
      </c>
      <c r="E1617" t="s">
        <v>69</v>
      </c>
      <c r="F1617">
        <v>273546.75</v>
      </c>
      <c r="G1617">
        <v>343</v>
      </c>
      <c r="H1617" s="11" t="str">
        <f t="shared" si="92"/>
        <v>count</v>
      </c>
    </row>
    <row r="1618" spans="1:8">
      <c r="A1618" s="11" t="str">
        <f t="shared" si="93"/>
        <v>15-825092472013</v>
      </c>
      <c r="B1618" t="s">
        <v>832</v>
      </c>
      <c r="C1618" t="s">
        <v>833</v>
      </c>
      <c r="D1618">
        <v>2013</v>
      </c>
      <c r="E1618" t="s">
        <v>105</v>
      </c>
      <c r="F1618">
        <v>82900.61</v>
      </c>
      <c r="G1618">
        <v>87</v>
      </c>
      <c r="H1618" s="11" t="str">
        <f t="shared" si="92"/>
        <v>count</v>
      </c>
    </row>
    <row r="1619" spans="1:8">
      <c r="A1619" s="11" t="str">
        <f t="shared" si="93"/>
        <v>15-825092472011</v>
      </c>
      <c r="B1619" t="s">
        <v>832</v>
      </c>
      <c r="C1619" t="s">
        <v>833</v>
      </c>
      <c r="D1619">
        <v>2011</v>
      </c>
      <c r="E1619" t="s">
        <v>1074</v>
      </c>
      <c r="F1619">
        <v>2894.59</v>
      </c>
      <c r="G1619">
        <v>6</v>
      </c>
      <c r="H1619" s="11" t="str">
        <f t="shared" si="92"/>
        <v>count</v>
      </c>
    </row>
    <row r="1620" spans="1:8">
      <c r="A1620" s="11" t="str">
        <f t="shared" si="93"/>
        <v>15-825092472011</v>
      </c>
      <c r="B1620" t="s">
        <v>832</v>
      </c>
      <c r="C1620" t="s">
        <v>833</v>
      </c>
      <c r="D1620">
        <v>2011</v>
      </c>
      <c r="E1620" t="s">
        <v>63</v>
      </c>
      <c r="F1620">
        <v>394091.58</v>
      </c>
      <c r="G1620">
        <v>588</v>
      </c>
      <c r="H1620" s="11" t="str">
        <f t="shared" si="92"/>
        <v>count</v>
      </c>
    </row>
    <row r="1621" spans="1:8">
      <c r="A1621" s="11" t="str">
        <f t="shared" si="93"/>
        <v>15-825092472012</v>
      </c>
      <c r="B1621" t="s">
        <v>832</v>
      </c>
      <c r="C1621" t="s">
        <v>833</v>
      </c>
      <c r="D1621">
        <v>2012</v>
      </c>
      <c r="E1621" t="s">
        <v>105</v>
      </c>
      <c r="F1621">
        <v>108215.1</v>
      </c>
      <c r="G1621">
        <v>135</v>
      </c>
      <c r="H1621" s="11" t="str">
        <f t="shared" si="92"/>
        <v>count</v>
      </c>
    </row>
    <row r="1622" spans="1:8">
      <c r="A1622" s="11" t="str">
        <f t="shared" si="93"/>
        <v>15-825092472011</v>
      </c>
      <c r="B1622" t="s">
        <v>832</v>
      </c>
      <c r="C1622" t="s">
        <v>833</v>
      </c>
      <c r="D1622">
        <v>2011</v>
      </c>
      <c r="E1622" t="s">
        <v>104</v>
      </c>
      <c r="F1622">
        <v>236540.74</v>
      </c>
      <c r="G1622">
        <v>325</v>
      </c>
      <c r="H1622" s="11" t="str">
        <f t="shared" si="92"/>
        <v>count</v>
      </c>
    </row>
    <row r="1623" spans="1:8">
      <c r="A1623" s="11" t="str">
        <f t="shared" si="93"/>
        <v>15-825092472012</v>
      </c>
      <c r="B1623" t="s">
        <v>832</v>
      </c>
      <c r="C1623" t="s">
        <v>833</v>
      </c>
      <c r="D1623">
        <v>2012</v>
      </c>
      <c r="E1623" t="s">
        <v>104</v>
      </c>
      <c r="F1623">
        <v>231360.11</v>
      </c>
      <c r="G1623">
        <v>306</v>
      </c>
      <c r="H1623" s="11" t="str">
        <f t="shared" si="92"/>
        <v>count</v>
      </c>
    </row>
    <row r="1624" spans="1:8">
      <c r="A1624" s="11" t="str">
        <f t="shared" si="93"/>
        <v>15-825092472011</v>
      </c>
      <c r="B1624" t="s">
        <v>832</v>
      </c>
      <c r="C1624" t="s">
        <v>833</v>
      </c>
      <c r="D1624">
        <v>2011</v>
      </c>
      <c r="E1624" t="s">
        <v>1076</v>
      </c>
      <c r="F1624">
        <v>1125.8699999999999</v>
      </c>
      <c r="G1624">
        <v>3</v>
      </c>
      <c r="H1624" s="11" t="str">
        <f t="shared" si="92"/>
        <v>count</v>
      </c>
    </row>
    <row r="1625" spans="1:8">
      <c r="A1625" s="11" t="str">
        <f t="shared" si="93"/>
        <v>15-825092472012</v>
      </c>
      <c r="B1625" t="s">
        <v>832</v>
      </c>
      <c r="C1625" t="s">
        <v>833</v>
      </c>
      <c r="D1625">
        <v>2012</v>
      </c>
      <c r="E1625" t="s">
        <v>69</v>
      </c>
      <c r="F1625">
        <v>188922.62</v>
      </c>
      <c r="G1625">
        <v>303</v>
      </c>
      <c r="H1625" s="11" t="str">
        <f t="shared" si="92"/>
        <v>count</v>
      </c>
    </row>
    <row r="1626" spans="1:8">
      <c r="A1626" s="11" t="str">
        <f t="shared" si="93"/>
        <v>15-825092472011</v>
      </c>
      <c r="B1626" t="s">
        <v>832</v>
      </c>
      <c r="C1626" t="s">
        <v>833</v>
      </c>
      <c r="D1626">
        <v>2011</v>
      </c>
      <c r="E1626" t="s">
        <v>1075</v>
      </c>
      <c r="F1626">
        <v>3083.75</v>
      </c>
      <c r="G1626">
        <v>11</v>
      </c>
      <c r="H1626" s="11" t="str">
        <f t="shared" si="92"/>
        <v>count</v>
      </c>
    </row>
    <row r="1627" spans="1:8">
      <c r="A1627" s="11" t="str">
        <f t="shared" si="93"/>
        <v>15-825092472011</v>
      </c>
      <c r="B1627" t="s">
        <v>832</v>
      </c>
      <c r="C1627" t="s">
        <v>833</v>
      </c>
      <c r="D1627">
        <v>2011</v>
      </c>
      <c r="E1627" t="s">
        <v>105</v>
      </c>
      <c r="F1627">
        <v>60232.81</v>
      </c>
      <c r="G1627">
        <v>74</v>
      </c>
      <c r="H1627" s="11" t="str">
        <f t="shared" si="92"/>
        <v>count</v>
      </c>
    </row>
    <row r="1628" spans="1:8">
      <c r="A1628" s="11" t="str">
        <f t="shared" si="93"/>
        <v>15-825092472013</v>
      </c>
      <c r="B1628" t="s">
        <v>832</v>
      </c>
      <c r="C1628" t="s">
        <v>833</v>
      </c>
      <c r="D1628">
        <v>2013</v>
      </c>
      <c r="E1628" t="s">
        <v>104</v>
      </c>
      <c r="F1628">
        <v>208895.49</v>
      </c>
      <c r="G1628">
        <v>230</v>
      </c>
      <c r="H1628" s="11" t="str">
        <f t="shared" si="92"/>
        <v>count</v>
      </c>
    </row>
    <row r="1629" spans="1:8">
      <c r="A1629" s="11" t="str">
        <f t="shared" si="93"/>
        <v>15-825092472013</v>
      </c>
      <c r="B1629" t="s">
        <v>832</v>
      </c>
      <c r="C1629" t="s">
        <v>833</v>
      </c>
      <c r="D1629">
        <v>2013</v>
      </c>
      <c r="E1629" t="s">
        <v>63</v>
      </c>
      <c r="F1629">
        <v>317031.81</v>
      </c>
      <c r="G1629">
        <v>356</v>
      </c>
      <c r="H1629" s="11" t="str">
        <f t="shared" si="92"/>
        <v>count</v>
      </c>
    </row>
    <row r="1630" spans="1:8">
      <c r="A1630" s="11" t="str">
        <f t="shared" si="93"/>
        <v>15-825528742011</v>
      </c>
      <c r="B1630" t="s">
        <v>835</v>
      </c>
      <c r="C1630" t="s">
        <v>836</v>
      </c>
      <c r="D1630">
        <v>2011</v>
      </c>
      <c r="E1630" t="s">
        <v>63</v>
      </c>
      <c r="F1630">
        <v>191769.29</v>
      </c>
      <c r="G1630">
        <v>328</v>
      </c>
      <c r="H1630" s="11" t="str">
        <f t="shared" si="92"/>
        <v>volume</v>
      </c>
    </row>
    <row r="1631" spans="1:8">
      <c r="A1631" s="11" t="str">
        <f t="shared" si="93"/>
        <v>15-825528742011</v>
      </c>
      <c r="B1631" t="s">
        <v>835</v>
      </c>
      <c r="C1631" t="s">
        <v>836</v>
      </c>
      <c r="D1631">
        <v>2011</v>
      </c>
      <c r="E1631" t="s">
        <v>104</v>
      </c>
      <c r="F1631">
        <v>97849.35</v>
      </c>
      <c r="G1631">
        <v>145</v>
      </c>
      <c r="H1631" s="11" t="str">
        <f t="shared" si="92"/>
        <v>count</v>
      </c>
    </row>
    <row r="1632" spans="1:8">
      <c r="A1632" s="11" t="str">
        <f t="shared" si="93"/>
        <v>15-825528742012</v>
      </c>
      <c r="B1632" t="s">
        <v>835</v>
      </c>
      <c r="C1632" t="s">
        <v>836</v>
      </c>
      <c r="D1632">
        <v>2012</v>
      </c>
      <c r="E1632" t="s">
        <v>1075</v>
      </c>
      <c r="F1632">
        <v>1717.38</v>
      </c>
      <c r="G1632">
        <v>2</v>
      </c>
      <c r="H1632" s="11" t="str">
        <f t="shared" si="92"/>
        <v>count</v>
      </c>
    </row>
    <row r="1633" spans="1:8">
      <c r="A1633" s="11" t="str">
        <f t="shared" si="93"/>
        <v>15-825528742011</v>
      </c>
      <c r="B1633" t="s">
        <v>835</v>
      </c>
      <c r="C1633" t="s">
        <v>836</v>
      </c>
      <c r="D1633">
        <v>2011</v>
      </c>
      <c r="E1633" t="s">
        <v>1074</v>
      </c>
      <c r="F1633">
        <v>4706.74</v>
      </c>
      <c r="G1633">
        <v>12</v>
      </c>
      <c r="H1633" s="11" t="str">
        <f t="shared" si="92"/>
        <v>count</v>
      </c>
    </row>
    <row r="1634" spans="1:8">
      <c r="A1634" s="11" t="str">
        <f t="shared" si="93"/>
        <v>15-825528742012</v>
      </c>
      <c r="B1634" t="s">
        <v>835</v>
      </c>
      <c r="C1634" t="s">
        <v>836</v>
      </c>
      <c r="D1634">
        <v>2012</v>
      </c>
      <c r="E1634" t="s">
        <v>133</v>
      </c>
      <c r="F1634">
        <v>120353.65</v>
      </c>
      <c r="G1634">
        <v>223</v>
      </c>
      <c r="H1634" s="11" t="str">
        <f t="shared" si="92"/>
        <v>count</v>
      </c>
    </row>
    <row r="1635" spans="1:8">
      <c r="A1635" s="11" t="str">
        <f t="shared" si="93"/>
        <v>15-825528742013</v>
      </c>
      <c r="B1635" t="s">
        <v>835</v>
      </c>
      <c r="C1635" t="s">
        <v>836</v>
      </c>
      <c r="D1635">
        <v>2013</v>
      </c>
      <c r="E1635" t="s">
        <v>133</v>
      </c>
      <c r="F1635">
        <v>181627.84</v>
      </c>
      <c r="G1635">
        <v>270</v>
      </c>
      <c r="H1635" s="11" t="str">
        <f t="shared" si="92"/>
        <v>count</v>
      </c>
    </row>
    <row r="1636" spans="1:8">
      <c r="A1636" s="11" t="str">
        <f t="shared" si="93"/>
        <v>15-825528742012</v>
      </c>
      <c r="B1636" t="s">
        <v>835</v>
      </c>
      <c r="C1636" t="s">
        <v>836</v>
      </c>
      <c r="D1636">
        <v>2012</v>
      </c>
      <c r="E1636" t="s">
        <v>105</v>
      </c>
      <c r="F1636">
        <v>17288.509999999998</v>
      </c>
      <c r="G1636">
        <v>39</v>
      </c>
      <c r="H1636" s="11" t="str">
        <f t="shared" si="92"/>
        <v>count</v>
      </c>
    </row>
    <row r="1637" spans="1:8">
      <c r="A1637" s="11" t="str">
        <f t="shared" si="93"/>
        <v>15-825528742013</v>
      </c>
      <c r="B1637" t="s">
        <v>835</v>
      </c>
      <c r="C1637" t="s">
        <v>836</v>
      </c>
      <c r="D1637">
        <v>2013</v>
      </c>
      <c r="E1637" t="s">
        <v>69</v>
      </c>
      <c r="F1637">
        <v>93651.76</v>
      </c>
      <c r="G1637">
        <v>187</v>
      </c>
      <c r="H1637" s="11" t="str">
        <f t="shared" si="92"/>
        <v>count</v>
      </c>
    </row>
    <row r="1638" spans="1:8">
      <c r="A1638" s="11" t="str">
        <f t="shared" si="93"/>
        <v>15-825528742012</v>
      </c>
      <c r="B1638" t="s">
        <v>835</v>
      </c>
      <c r="C1638" t="s">
        <v>836</v>
      </c>
      <c r="D1638">
        <v>2012</v>
      </c>
      <c r="E1638" t="s">
        <v>1076</v>
      </c>
      <c r="F1638">
        <v>977.29</v>
      </c>
      <c r="G1638">
        <v>2</v>
      </c>
      <c r="H1638" s="11" t="str">
        <f t="shared" si="92"/>
        <v>count</v>
      </c>
    </row>
    <row r="1639" spans="1:8">
      <c r="A1639" s="11" t="str">
        <f t="shared" si="93"/>
        <v>15-825528742013</v>
      </c>
      <c r="B1639" t="s">
        <v>835</v>
      </c>
      <c r="C1639" t="s">
        <v>836</v>
      </c>
      <c r="D1639">
        <v>2013</v>
      </c>
      <c r="E1639" t="s">
        <v>105</v>
      </c>
      <c r="F1639">
        <v>19671.22</v>
      </c>
      <c r="G1639">
        <v>39</v>
      </c>
      <c r="H1639" s="11" t="str">
        <f t="shared" si="92"/>
        <v>count</v>
      </c>
    </row>
    <row r="1640" spans="1:8">
      <c r="A1640" s="11" t="str">
        <f t="shared" si="93"/>
        <v>15-825528742012</v>
      </c>
      <c r="B1640" t="s">
        <v>835</v>
      </c>
      <c r="C1640" t="s">
        <v>836</v>
      </c>
      <c r="D1640">
        <v>2012</v>
      </c>
      <c r="E1640" t="s">
        <v>104</v>
      </c>
      <c r="F1640">
        <v>154925.31</v>
      </c>
      <c r="G1640">
        <v>294</v>
      </c>
      <c r="H1640" s="11" t="str">
        <f t="shared" si="92"/>
        <v>count</v>
      </c>
    </row>
    <row r="1641" spans="1:8">
      <c r="A1641" s="11" t="str">
        <f t="shared" si="93"/>
        <v>15-825528742012</v>
      </c>
      <c r="B1641" t="s">
        <v>835</v>
      </c>
      <c r="C1641" t="s">
        <v>836</v>
      </c>
      <c r="D1641">
        <v>2012</v>
      </c>
      <c r="E1641" t="s">
        <v>69</v>
      </c>
      <c r="F1641">
        <v>47824.89</v>
      </c>
      <c r="G1641">
        <v>90</v>
      </c>
      <c r="H1641" s="11" t="str">
        <f t="shared" si="92"/>
        <v>count</v>
      </c>
    </row>
    <row r="1642" spans="1:8">
      <c r="A1642" s="11" t="str">
        <f t="shared" si="93"/>
        <v>15-825528742012</v>
      </c>
      <c r="B1642" t="s">
        <v>835</v>
      </c>
      <c r="C1642" t="s">
        <v>836</v>
      </c>
      <c r="D1642">
        <v>2012</v>
      </c>
      <c r="E1642" t="s">
        <v>1074</v>
      </c>
      <c r="F1642">
        <v>4694.4799999999996</v>
      </c>
      <c r="G1642">
        <v>8</v>
      </c>
      <c r="H1642" s="11" t="str">
        <f t="shared" si="92"/>
        <v>count</v>
      </c>
    </row>
    <row r="1643" spans="1:8">
      <c r="A1643" s="11" t="str">
        <f t="shared" si="93"/>
        <v>15-825528742012</v>
      </c>
      <c r="B1643" t="s">
        <v>835</v>
      </c>
      <c r="C1643" t="s">
        <v>836</v>
      </c>
      <c r="D1643">
        <v>2012</v>
      </c>
      <c r="E1643" t="s">
        <v>63</v>
      </c>
      <c r="F1643">
        <v>322785.57</v>
      </c>
      <c r="G1643">
        <v>637</v>
      </c>
      <c r="H1643" s="11" t="str">
        <f t="shared" si="92"/>
        <v>count</v>
      </c>
    </row>
    <row r="1644" spans="1:8">
      <c r="A1644" s="11" t="str">
        <f t="shared" si="93"/>
        <v>15-825528742013</v>
      </c>
      <c r="B1644" t="s">
        <v>835</v>
      </c>
      <c r="C1644" t="s">
        <v>836</v>
      </c>
      <c r="D1644">
        <v>2013</v>
      </c>
      <c r="E1644" t="s">
        <v>104</v>
      </c>
      <c r="F1644">
        <v>254872.06</v>
      </c>
      <c r="G1644">
        <v>398</v>
      </c>
      <c r="H1644" s="11" t="str">
        <f t="shared" si="92"/>
        <v>count</v>
      </c>
    </row>
    <row r="1645" spans="1:8">
      <c r="A1645" s="11" t="str">
        <f t="shared" si="93"/>
        <v>15-825528742011</v>
      </c>
      <c r="B1645" t="s">
        <v>835</v>
      </c>
      <c r="C1645" t="s">
        <v>836</v>
      </c>
      <c r="D1645">
        <v>2011</v>
      </c>
      <c r="E1645" t="s">
        <v>105</v>
      </c>
      <c r="F1645">
        <v>12107.83</v>
      </c>
      <c r="G1645">
        <v>19</v>
      </c>
      <c r="H1645" s="11" t="str">
        <f t="shared" si="92"/>
        <v>count</v>
      </c>
    </row>
    <row r="1646" spans="1:8">
      <c r="A1646" s="11" t="str">
        <f t="shared" si="93"/>
        <v>15-825528742011</v>
      </c>
      <c r="B1646" t="s">
        <v>835</v>
      </c>
      <c r="C1646" t="s">
        <v>836</v>
      </c>
      <c r="D1646">
        <v>2011</v>
      </c>
      <c r="E1646" t="s">
        <v>1076</v>
      </c>
      <c r="F1646">
        <v>3237.28</v>
      </c>
      <c r="G1646">
        <v>5</v>
      </c>
      <c r="H1646" s="11" t="str">
        <f t="shared" si="92"/>
        <v>count</v>
      </c>
    </row>
    <row r="1647" spans="1:8">
      <c r="A1647" s="11" t="str">
        <f t="shared" si="93"/>
        <v>15-825528742011</v>
      </c>
      <c r="B1647" t="s">
        <v>835</v>
      </c>
      <c r="C1647" t="s">
        <v>836</v>
      </c>
      <c r="D1647">
        <v>2011</v>
      </c>
      <c r="E1647" t="s">
        <v>133</v>
      </c>
      <c r="F1647">
        <v>62403.77</v>
      </c>
      <c r="G1647">
        <v>102</v>
      </c>
      <c r="H1647" s="11" t="str">
        <f t="shared" si="92"/>
        <v>count</v>
      </c>
    </row>
    <row r="1648" spans="1:8">
      <c r="A1648" s="11" t="str">
        <f t="shared" si="93"/>
        <v>15-825528742013</v>
      </c>
      <c r="B1648" t="s">
        <v>835</v>
      </c>
      <c r="C1648" t="s">
        <v>836</v>
      </c>
      <c r="D1648">
        <v>2013</v>
      </c>
      <c r="E1648" t="s">
        <v>63</v>
      </c>
      <c r="F1648">
        <v>404166.15</v>
      </c>
      <c r="G1648">
        <v>792</v>
      </c>
      <c r="H1648" s="11" t="str">
        <f t="shared" si="92"/>
        <v>count</v>
      </c>
    </row>
    <row r="1649" spans="1:8">
      <c r="A1649" s="11" t="str">
        <f t="shared" si="93"/>
        <v>15-825528742012</v>
      </c>
      <c r="B1649" t="s">
        <v>835</v>
      </c>
      <c r="C1649" t="s">
        <v>836</v>
      </c>
      <c r="D1649">
        <v>2012</v>
      </c>
      <c r="E1649" t="s">
        <v>106</v>
      </c>
      <c r="F1649">
        <v>1001.93</v>
      </c>
      <c r="G1649">
        <v>1</v>
      </c>
      <c r="H1649" s="11" t="str">
        <f t="shared" si="92"/>
        <v>count</v>
      </c>
    </row>
    <row r="1650" spans="1:8">
      <c r="A1650" s="11" t="str">
        <f t="shared" si="93"/>
        <v>15-825528742011</v>
      </c>
      <c r="B1650" t="s">
        <v>835</v>
      </c>
      <c r="C1650" t="s">
        <v>836</v>
      </c>
      <c r="D1650">
        <v>2011</v>
      </c>
      <c r="E1650" t="s">
        <v>1075</v>
      </c>
      <c r="F1650">
        <v>5096.2299999999996</v>
      </c>
      <c r="G1650">
        <v>9</v>
      </c>
      <c r="H1650" s="11" t="str">
        <f t="shared" si="92"/>
        <v>count</v>
      </c>
    </row>
    <row r="1651" spans="1:8">
      <c r="A1651" s="11" t="str">
        <f t="shared" si="93"/>
        <v>15-839044212012</v>
      </c>
      <c r="B1651" t="s">
        <v>841</v>
      </c>
      <c r="C1651" t="s">
        <v>842</v>
      </c>
      <c r="D1651">
        <v>2012</v>
      </c>
      <c r="E1651" t="s">
        <v>1076</v>
      </c>
      <c r="F1651">
        <v>13590.27</v>
      </c>
      <c r="G1651">
        <v>10</v>
      </c>
      <c r="H1651" s="11" t="str">
        <f t="shared" si="92"/>
        <v>volume</v>
      </c>
    </row>
    <row r="1652" spans="1:8">
      <c r="A1652" s="11" t="str">
        <f t="shared" si="93"/>
        <v>15-839044212012</v>
      </c>
      <c r="B1652" t="s">
        <v>841</v>
      </c>
      <c r="C1652" t="s">
        <v>842</v>
      </c>
      <c r="D1652">
        <v>2012</v>
      </c>
      <c r="E1652" t="s">
        <v>106</v>
      </c>
      <c r="F1652">
        <v>25051128.07</v>
      </c>
      <c r="G1652">
        <v>20088</v>
      </c>
      <c r="H1652" s="11" t="str">
        <f t="shared" si="92"/>
        <v>count</v>
      </c>
    </row>
    <row r="1653" spans="1:8">
      <c r="A1653" s="11" t="str">
        <f t="shared" si="93"/>
        <v>15-839044212013</v>
      </c>
      <c r="B1653" t="s">
        <v>841</v>
      </c>
      <c r="C1653" t="s">
        <v>842</v>
      </c>
      <c r="D1653">
        <v>2013</v>
      </c>
      <c r="E1653" t="s">
        <v>63</v>
      </c>
      <c r="F1653">
        <v>762096.59</v>
      </c>
      <c r="G1653">
        <v>630</v>
      </c>
      <c r="H1653" s="11" t="str">
        <f t="shared" si="92"/>
        <v>count</v>
      </c>
    </row>
    <row r="1654" spans="1:8">
      <c r="A1654" s="11" t="str">
        <f t="shared" si="93"/>
        <v>15-839044212013</v>
      </c>
      <c r="B1654" t="s">
        <v>841</v>
      </c>
      <c r="C1654" t="s">
        <v>842</v>
      </c>
      <c r="D1654">
        <v>2013</v>
      </c>
      <c r="E1654" t="s">
        <v>104</v>
      </c>
      <c r="F1654">
        <v>631253.69999999995</v>
      </c>
      <c r="G1654">
        <v>502</v>
      </c>
      <c r="H1654" s="11" t="str">
        <f t="shared" si="92"/>
        <v>count</v>
      </c>
    </row>
    <row r="1655" spans="1:8">
      <c r="A1655" s="11" t="str">
        <f t="shared" si="93"/>
        <v>15-839044212011</v>
      </c>
      <c r="B1655" t="s">
        <v>841</v>
      </c>
      <c r="C1655" t="s">
        <v>842</v>
      </c>
      <c r="D1655">
        <v>2011</v>
      </c>
      <c r="E1655" t="s">
        <v>1075</v>
      </c>
      <c r="F1655">
        <v>3103.95</v>
      </c>
      <c r="G1655">
        <v>2</v>
      </c>
      <c r="H1655" s="11" t="str">
        <f t="shared" si="92"/>
        <v>count</v>
      </c>
    </row>
    <row r="1656" spans="1:8">
      <c r="A1656" s="11" t="str">
        <f t="shared" si="93"/>
        <v>15-839044212012</v>
      </c>
      <c r="B1656" t="s">
        <v>841</v>
      </c>
      <c r="C1656" t="s">
        <v>842</v>
      </c>
      <c r="D1656">
        <v>2012</v>
      </c>
      <c r="E1656" t="s">
        <v>68</v>
      </c>
      <c r="F1656">
        <v>19510875.48</v>
      </c>
      <c r="G1656">
        <v>18794</v>
      </c>
      <c r="H1656" s="11" t="str">
        <f t="shared" si="92"/>
        <v>count</v>
      </c>
    </row>
    <row r="1657" spans="1:8">
      <c r="A1657" s="11" t="str">
        <f t="shared" si="93"/>
        <v>15-839044212011</v>
      </c>
      <c r="B1657" t="s">
        <v>841</v>
      </c>
      <c r="C1657" t="s">
        <v>842</v>
      </c>
      <c r="D1657">
        <v>2011</v>
      </c>
      <c r="E1657" t="s">
        <v>105</v>
      </c>
      <c r="F1657">
        <v>11422.91</v>
      </c>
      <c r="G1657">
        <v>7</v>
      </c>
      <c r="H1657" s="11" t="str">
        <f t="shared" si="92"/>
        <v>count</v>
      </c>
    </row>
    <row r="1658" spans="1:8">
      <c r="A1658" s="11" t="str">
        <f t="shared" si="93"/>
        <v>15-839044212012</v>
      </c>
      <c r="B1658" t="s">
        <v>841</v>
      </c>
      <c r="C1658" t="s">
        <v>842</v>
      </c>
      <c r="D1658">
        <v>2012</v>
      </c>
      <c r="E1658" t="s">
        <v>69</v>
      </c>
      <c r="F1658">
        <v>688906.09</v>
      </c>
      <c r="G1658">
        <v>581</v>
      </c>
      <c r="H1658" s="11" t="str">
        <f t="shared" si="92"/>
        <v>count</v>
      </c>
    </row>
    <row r="1659" spans="1:8">
      <c r="A1659" s="11" t="str">
        <f t="shared" si="93"/>
        <v>15-839044212011</v>
      </c>
      <c r="B1659" t="s">
        <v>841</v>
      </c>
      <c r="C1659" t="s">
        <v>842</v>
      </c>
      <c r="D1659">
        <v>2011</v>
      </c>
      <c r="E1659" t="s">
        <v>1076</v>
      </c>
      <c r="F1659">
        <v>60</v>
      </c>
      <c r="G1659">
        <v>1</v>
      </c>
      <c r="H1659" s="11" t="str">
        <f t="shared" si="92"/>
        <v>count</v>
      </c>
    </row>
    <row r="1660" spans="1:8">
      <c r="A1660" s="11" t="str">
        <f t="shared" si="93"/>
        <v>15-839044212013</v>
      </c>
      <c r="B1660" t="s">
        <v>841</v>
      </c>
      <c r="C1660" t="s">
        <v>842</v>
      </c>
      <c r="D1660">
        <v>2013</v>
      </c>
      <c r="E1660" t="s">
        <v>106</v>
      </c>
      <c r="F1660">
        <v>24487535.34</v>
      </c>
      <c r="G1660">
        <v>19927</v>
      </c>
      <c r="H1660" s="11" t="str">
        <f t="shared" si="92"/>
        <v>count</v>
      </c>
    </row>
    <row r="1661" spans="1:8">
      <c r="A1661" s="11" t="str">
        <f t="shared" si="93"/>
        <v>15-839044212012</v>
      </c>
      <c r="B1661" t="s">
        <v>841</v>
      </c>
      <c r="C1661" t="s">
        <v>842</v>
      </c>
      <c r="D1661">
        <v>2012</v>
      </c>
      <c r="E1661" t="s">
        <v>1074</v>
      </c>
      <c r="F1661">
        <v>34823.14</v>
      </c>
      <c r="G1661">
        <v>29</v>
      </c>
      <c r="H1661" s="11" t="str">
        <f t="shared" si="92"/>
        <v>count</v>
      </c>
    </row>
    <row r="1662" spans="1:8">
      <c r="A1662" s="11" t="str">
        <f t="shared" si="93"/>
        <v>15-839044212012</v>
      </c>
      <c r="B1662" t="s">
        <v>841</v>
      </c>
      <c r="C1662" t="s">
        <v>842</v>
      </c>
      <c r="D1662">
        <v>2012</v>
      </c>
      <c r="E1662" t="s">
        <v>1075</v>
      </c>
      <c r="F1662">
        <v>74072.56</v>
      </c>
      <c r="G1662">
        <v>70</v>
      </c>
      <c r="H1662" s="11" t="str">
        <f t="shared" si="92"/>
        <v>count</v>
      </c>
    </row>
    <row r="1663" spans="1:8">
      <c r="A1663" s="11" t="str">
        <f t="shared" si="93"/>
        <v>15-839044212012</v>
      </c>
      <c r="B1663" t="s">
        <v>841</v>
      </c>
      <c r="C1663" t="s">
        <v>842</v>
      </c>
      <c r="D1663">
        <v>2012</v>
      </c>
      <c r="E1663" t="s">
        <v>63</v>
      </c>
      <c r="F1663">
        <v>957518.51</v>
      </c>
      <c r="G1663">
        <v>662</v>
      </c>
      <c r="H1663" s="11" t="str">
        <f t="shared" si="92"/>
        <v>count</v>
      </c>
    </row>
    <row r="1664" spans="1:8">
      <c r="A1664" s="11" t="str">
        <f t="shared" si="93"/>
        <v>15-839044212011</v>
      </c>
      <c r="B1664" t="s">
        <v>841</v>
      </c>
      <c r="C1664" t="s">
        <v>842</v>
      </c>
      <c r="D1664">
        <v>2011</v>
      </c>
      <c r="E1664" t="s">
        <v>68</v>
      </c>
      <c r="F1664">
        <v>4353938.8499999996</v>
      </c>
      <c r="G1664">
        <v>3939</v>
      </c>
      <c r="H1664" s="11" t="str">
        <f t="shared" si="92"/>
        <v>count</v>
      </c>
    </row>
    <row r="1665" spans="1:8">
      <c r="A1665" s="11" t="str">
        <f t="shared" si="93"/>
        <v>15-839044212012</v>
      </c>
      <c r="B1665" t="s">
        <v>841</v>
      </c>
      <c r="C1665" t="s">
        <v>842</v>
      </c>
      <c r="D1665">
        <v>2012</v>
      </c>
      <c r="E1665" t="s">
        <v>104</v>
      </c>
      <c r="F1665">
        <v>546989.44999999995</v>
      </c>
      <c r="G1665">
        <v>423</v>
      </c>
      <c r="H1665" s="11" t="str">
        <f t="shared" si="92"/>
        <v>count</v>
      </c>
    </row>
    <row r="1666" spans="1:8">
      <c r="A1666" s="11" t="str">
        <f t="shared" si="93"/>
        <v>15-839044212011</v>
      </c>
      <c r="B1666" t="s">
        <v>841</v>
      </c>
      <c r="C1666" t="s">
        <v>842</v>
      </c>
      <c r="D1666">
        <v>2011</v>
      </c>
      <c r="E1666" t="s">
        <v>1074</v>
      </c>
      <c r="F1666">
        <v>2520.9499999999998</v>
      </c>
      <c r="G1666">
        <v>3</v>
      </c>
      <c r="H1666" s="11" t="str">
        <f t="shared" ref="H1666:H1729" si="94">IF(B1666=B1665,"count","volume")</f>
        <v>count</v>
      </c>
    </row>
    <row r="1667" spans="1:8">
      <c r="A1667" s="11" t="str">
        <f t="shared" ref="A1667:A1730" si="95">B1667&amp;D1667</f>
        <v>15-839044212012</v>
      </c>
      <c r="B1667" t="s">
        <v>841</v>
      </c>
      <c r="C1667" t="s">
        <v>842</v>
      </c>
      <c r="D1667">
        <v>2012</v>
      </c>
      <c r="E1667" t="s">
        <v>105</v>
      </c>
      <c r="F1667">
        <v>75412.31</v>
      </c>
      <c r="G1667">
        <v>56</v>
      </c>
      <c r="H1667" s="11" t="str">
        <f t="shared" si="94"/>
        <v>count</v>
      </c>
    </row>
    <row r="1668" spans="1:8">
      <c r="A1668" s="11" t="str">
        <f t="shared" si="95"/>
        <v>15-839044212011</v>
      </c>
      <c r="B1668" t="s">
        <v>841</v>
      </c>
      <c r="C1668" t="s">
        <v>842</v>
      </c>
      <c r="D1668">
        <v>2011</v>
      </c>
      <c r="E1668" t="s">
        <v>63</v>
      </c>
      <c r="F1668">
        <v>155801.82</v>
      </c>
      <c r="G1668">
        <v>121</v>
      </c>
      <c r="H1668" s="11" t="str">
        <f t="shared" si="94"/>
        <v>count</v>
      </c>
    </row>
    <row r="1669" spans="1:8">
      <c r="A1669" s="11" t="str">
        <f t="shared" si="95"/>
        <v>15-839044212011</v>
      </c>
      <c r="B1669" t="s">
        <v>841</v>
      </c>
      <c r="C1669" t="s">
        <v>842</v>
      </c>
      <c r="D1669">
        <v>2011</v>
      </c>
      <c r="E1669" t="s">
        <v>104</v>
      </c>
      <c r="F1669">
        <v>80542.789999999994</v>
      </c>
      <c r="G1669">
        <v>56</v>
      </c>
      <c r="H1669" s="11" t="str">
        <f t="shared" si="94"/>
        <v>count</v>
      </c>
    </row>
    <row r="1670" spans="1:8">
      <c r="A1670" s="11" t="str">
        <f t="shared" si="95"/>
        <v>15-839044212013</v>
      </c>
      <c r="B1670" t="s">
        <v>841</v>
      </c>
      <c r="C1670" t="s">
        <v>842</v>
      </c>
      <c r="D1670">
        <v>2013</v>
      </c>
      <c r="E1670" t="s">
        <v>68</v>
      </c>
      <c r="F1670">
        <v>12011301.84</v>
      </c>
      <c r="G1670">
        <v>12256</v>
      </c>
      <c r="H1670" s="11" t="str">
        <f t="shared" si="94"/>
        <v>count</v>
      </c>
    </row>
    <row r="1671" spans="1:8">
      <c r="A1671" s="11" t="str">
        <f t="shared" si="95"/>
        <v>15-839044212013</v>
      </c>
      <c r="B1671" t="s">
        <v>841</v>
      </c>
      <c r="C1671" t="s">
        <v>842</v>
      </c>
      <c r="D1671">
        <v>2013</v>
      </c>
      <c r="E1671" t="s">
        <v>105</v>
      </c>
      <c r="F1671">
        <v>64694.25</v>
      </c>
      <c r="G1671">
        <v>51</v>
      </c>
      <c r="H1671" s="11" t="str">
        <f t="shared" si="94"/>
        <v>count</v>
      </c>
    </row>
    <row r="1672" spans="1:8">
      <c r="A1672" s="11" t="str">
        <f t="shared" si="95"/>
        <v>15-839044212013</v>
      </c>
      <c r="B1672" t="s">
        <v>841</v>
      </c>
      <c r="C1672" t="s">
        <v>842</v>
      </c>
      <c r="D1672">
        <v>2013</v>
      </c>
      <c r="E1672" t="s">
        <v>69</v>
      </c>
      <c r="F1672">
        <v>1287810.53</v>
      </c>
      <c r="G1672">
        <v>1226</v>
      </c>
      <c r="H1672" s="11" t="str">
        <f t="shared" si="94"/>
        <v>count</v>
      </c>
    </row>
    <row r="1673" spans="1:8">
      <c r="A1673" s="11" t="str">
        <f t="shared" si="95"/>
        <v>15-839044212011</v>
      </c>
      <c r="B1673" t="s">
        <v>841</v>
      </c>
      <c r="C1673" t="s">
        <v>842</v>
      </c>
      <c r="D1673">
        <v>2011</v>
      </c>
      <c r="E1673" t="s">
        <v>106</v>
      </c>
      <c r="F1673">
        <v>4339928.05</v>
      </c>
      <c r="G1673">
        <v>3191</v>
      </c>
      <c r="H1673" s="11" t="str">
        <f t="shared" si="94"/>
        <v>count</v>
      </c>
    </row>
    <row r="1674" spans="1:8">
      <c r="A1674" s="11" t="str">
        <f t="shared" si="95"/>
        <v>15-844168332012</v>
      </c>
      <c r="B1674" t="s">
        <v>844</v>
      </c>
      <c r="C1674" t="s">
        <v>845</v>
      </c>
      <c r="D1674">
        <v>2012</v>
      </c>
      <c r="E1674" t="s">
        <v>104</v>
      </c>
      <c r="F1674">
        <v>225932.25</v>
      </c>
      <c r="G1674">
        <v>501</v>
      </c>
      <c r="H1674" s="11" t="str">
        <f t="shared" si="94"/>
        <v>volume</v>
      </c>
    </row>
    <row r="1675" spans="1:8">
      <c r="A1675" s="11" t="str">
        <f t="shared" si="95"/>
        <v>15-844168332013</v>
      </c>
      <c r="B1675" t="s">
        <v>844</v>
      </c>
      <c r="C1675" t="s">
        <v>845</v>
      </c>
      <c r="D1675">
        <v>2013</v>
      </c>
      <c r="E1675" t="s">
        <v>69</v>
      </c>
      <c r="F1675">
        <v>300009.51</v>
      </c>
      <c r="G1675">
        <v>711</v>
      </c>
      <c r="H1675" s="11" t="str">
        <f t="shared" si="94"/>
        <v>count</v>
      </c>
    </row>
    <row r="1676" spans="1:8">
      <c r="A1676" s="11" t="str">
        <f t="shared" si="95"/>
        <v>15-844168332013</v>
      </c>
      <c r="B1676" t="s">
        <v>844</v>
      </c>
      <c r="C1676" t="s">
        <v>845</v>
      </c>
      <c r="D1676">
        <v>2013</v>
      </c>
      <c r="E1676" t="s">
        <v>63</v>
      </c>
      <c r="F1676">
        <v>357265.97</v>
      </c>
      <c r="G1676">
        <v>804</v>
      </c>
      <c r="H1676" s="11" t="str">
        <f t="shared" si="94"/>
        <v>count</v>
      </c>
    </row>
    <row r="1677" spans="1:8">
      <c r="A1677" s="11" t="str">
        <f t="shared" si="95"/>
        <v>15-844168332011</v>
      </c>
      <c r="B1677" t="s">
        <v>844</v>
      </c>
      <c r="C1677" t="s">
        <v>845</v>
      </c>
      <c r="D1677">
        <v>2011</v>
      </c>
      <c r="E1677" t="s">
        <v>106</v>
      </c>
      <c r="F1677">
        <v>2112.62</v>
      </c>
      <c r="G1677">
        <v>4</v>
      </c>
      <c r="H1677" s="11" t="str">
        <f t="shared" si="94"/>
        <v>count</v>
      </c>
    </row>
    <row r="1678" spans="1:8">
      <c r="A1678" s="11" t="str">
        <f t="shared" si="95"/>
        <v>15-844168332013</v>
      </c>
      <c r="B1678" t="s">
        <v>844</v>
      </c>
      <c r="C1678" t="s">
        <v>845</v>
      </c>
      <c r="D1678">
        <v>2013</v>
      </c>
      <c r="E1678" t="s">
        <v>104</v>
      </c>
      <c r="F1678">
        <v>192023.95</v>
      </c>
      <c r="G1678">
        <v>445</v>
      </c>
      <c r="H1678" s="11" t="str">
        <f t="shared" si="94"/>
        <v>count</v>
      </c>
    </row>
    <row r="1679" spans="1:8">
      <c r="A1679" s="11" t="str">
        <f t="shared" si="95"/>
        <v>15-844168332012</v>
      </c>
      <c r="B1679" t="s">
        <v>844</v>
      </c>
      <c r="C1679" t="s">
        <v>845</v>
      </c>
      <c r="D1679">
        <v>2012</v>
      </c>
      <c r="E1679" t="s">
        <v>69</v>
      </c>
      <c r="F1679">
        <v>217120.23</v>
      </c>
      <c r="G1679">
        <v>515</v>
      </c>
      <c r="H1679" s="11" t="str">
        <f t="shared" si="94"/>
        <v>count</v>
      </c>
    </row>
    <row r="1680" spans="1:8">
      <c r="A1680" s="11" t="str">
        <f t="shared" si="95"/>
        <v>15-844168332011</v>
      </c>
      <c r="B1680" t="s">
        <v>844</v>
      </c>
      <c r="C1680" t="s">
        <v>845</v>
      </c>
      <c r="D1680">
        <v>2011</v>
      </c>
      <c r="E1680" t="s">
        <v>105</v>
      </c>
      <c r="F1680">
        <v>30492.85</v>
      </c>
      <c r="G1680">
        <v>66</v>
      </c>
      <c r="H1680" s="11" t="str">
        <f t="shared" si="94"/>
        <v>count</v>
      </c>
    </row>
    <row r="1681" spans="1:8">
      <c r="A1681" s="11" t="str">
        <f t="shared" si="95"/>
        <v>15-844168332013</v>
      </c>
      <c r="B1681" t="s">
        <v>844</v>
      </c>
      <c r="C1681" t="s">
        <v>845</v>
      </c>
      <c r="D1681">
        <v>2013</v>
      </c>
      <c r="E1681" t="s">
        <v>105</v>
      </c>
      <c r="F1681">
        <v>51605.09</v>
      </c>
      <c r="G1681">
        <v>117</v>
      </c>
      <c r="H1681" s="11" t="str">
        <f t="shared" si="94"/>
        <v>count</v>
      </c>
    </row>
    <row r="1682" spans="1:8">
      <c r="A1682" s="11" t="str">
        <f t="shared" si="95"/>
        <v>15-844168332012</v>
      </c>
      <c r="B1682" t="s">
        <v>844</v>
      </c>
      <c r="C1682" t="s">
        <v>845</v>
      </c>
      <c r="D1682">
        <v>2012</v>
      </c>
      <c r="E1682" t="s">
        <v>106</v>
      </c>
      <c r="F1682">
        <v>5900.33</v>
      </c>
      <c r="G1682">
        <v>15</v>
      </c>
      <c r="H1682" s="11" t="str">
        <f t="shared" si="94"/>
        <v>count</v>
      </c>
    </row>
    <row r="1683" spans="1:8">
      <c r="A1683" s="11" t="str">
        <f t="shared" si="95"/>
        <v>15-844168332012</v>
      </c>
      <c r="B1683" t="s">
        <v>844</v>
      </c>
      <c r="C1683" t="s">
        <v>845</v>
      </c>
      <c r="D1683">
        <v>2012</v>
      </c>
      <c r="E1683" t="s">
        <v>63</v>
      </c>
      <c r="F1683">
        <v>364011.41</v>
      </c>
      <c r="G1683">
        <v>797</v>
      </c>
      <c r="H1683" s="11" t="str">
        <f t="shared" si="94"/>
        <v>count</v>
      </c>
    </row>
    <row r="1684" spans="1:8">
      <c r="A1684" s="11" t="str">
        <f t="shared" si="95"/>
        <v>15-844168332012</v>
      </c>
      <c r="B1684" t="s">
        <v>844</v>
      </c>
      <c r="C1684" t="s">
        <v>845</v>
      </c>
      <c r="D1684">
        <v>2012</v>
      </c>
      <c r="E1684" t="s">
        <v>105</v>
      </c>
      <c r="F1684">
        <v>66142.91</v>
      </c>
      <c r="G1684">
        <v>148</v>
      </c>
      <c r="H1684" s="11" t="str">
        <f t="shared" si="94"/>
        <v>count</v>
      </c>
    </row>
    <row r="1685" spans="1:8">
      <c r="A1685" s="11" t="str">
        <f t="shared" si="95"/>
        <v>15-844168332011</v>
      </c>
      <c r="B1685" t="s">
        <v>844</v>
      </c>
      <c r="C1685" t="s">
        <v>845</v>
      </c>
      <c r="D1685">
        <v>2011</v>
      </c>
      <c r="E1685" t="s">
        <v>104</v>
      </c>
      <c r="F1685">
        <v>172584.19</v>
      </c>
      <c r="G1685">
        <v>366</v>
      </c>
      <c r="H1685" s="11" t="str">
        <f t="shared" si="94"/>
        <v>count</v>
      </c>
    </row>
    <row r="1686" spans="1:8">
      <c r="A1686" s="11" t="str">
        <f t="shared" si="95"/>
        <v>15-844168332013</v>
      </c>
      <c r="B1686" t="s">
        <v>844</v>
      </c>
      <c r="C1686" t="s">
        <v>845</v>
      </c>
      <c r="D1686">
        <v>2013</v>
      </c>
      <c r="E1686" t="s">
        <v>106</v>
      </c>
      <c r="F1686">
        <v>6786.82</v>
      </c>
      <c r="G1686">
        <v>16</v>
      </c>
      <c r="H1686" s="11" t="str">
        <f t="shared" si="94"/>
        <v>count</v>
      </c>
    </row>
    <row r="1687" spans="1:8">
      <c r="A1687" s="11" t="str">
        <f t="shared" si="95"/>
        <v>15-844168332011</v>
      </c>
      <c r="B1687" t="s">
        <v>844</v>
      </c>
      <c r="C1687" t="s">
        <v>845</v>
      </c>
      <c r="D1687">
        <v>2011</v>
      </c>
      <c r="E1687" t="s">
        <v>63</v>
      </c>
      <c r="F1687">
        <v>349258.74</v>
      </c>
      <c r="G1687">
        <v>741</v>
      </c>
      <c r="H1687" s="11" t="str">
        <f t="shared" si="94"/>
        <v>count</v>
      </c>
    </row>
    <row r="1688" spans="1:8">
      <c r="A1688" s="11" t="str">
        <f t="shared" si="95"/>
        <v>15-844168332011</v>
      </c>
      <c r="B1688" t="s">
        <v>844</v>
      </c>
      <c r="C1688" t="s">
        <v>845</v>
      </c>
      <c r="D1688">
        <v>2011</v>
      </c>
      <c r="E1688" t="s">
        <v>69</v>
      </c>
      <c r="F1688">
        <v>596.25</v>
      </c>
      <c r="G1688">
        <v>1</v>
      </c>
      <c r="H1688" s="11" t="str">
        <f t="shared" si="94"/>
        <v>count</v>
      </c>
    </row>
    <row r="1689" spans="1:8">
      <c r="A1689" s="11" t="str">
        <f t="shared" si="95"/>
        <v>15-852926702013</v>
      </c>
      <c r="B1689" t="s">
        <v>850</v>
      </c>
      <c r="C1689" t="s">
        <v>851</v>
      </c>
      <c r="D1689">
        <v>2013</v>
      </c>
      <c r="E1689" t="s">
        <v>69</v>
      </c>
      <c r="F1689">
        <v>170276.8</v>
      </c>
      <c r="G1689">
        <v>709</v>
      </c>
      <c r="H1689" s="11" t="str">
        <f t="shared" si="94"/>
        <v>volume</v>
      </c>
    </row>
    <row r="1690" spans="1:8">
      <c r="A1690" s="11" t="str">
        <f t="shared" si="95"/>
        <v>15-852926702012</v>
      </c>
      <c r="B1690" t="s">
        <v>850</v>
      </c>
      <c r="C1690" t="s">
        <v>851</v>
      </c>
      <c r="D1690">
        <v>2012</v>
      </c>
      <c r="E1690" t="s">
        <v>69</v>
      </c>
      <c r="F1690">
        <v>84910.23</v>
      </c>
      <c r="G1690">
        <v>380</v>
      </c>
      <c r="H1690" s="11" t="str">
        <f t="shared" si="94"/>
        <v>count</v>
      </c>
    </row>
    <row r="1691" spans="1:8">
      <c r="A1691" s="11" t="str">
        <f t="shared" si="95"/>
        <v>15-852926702013</v>
      </c>
      <c r="B1691" t="s">
        <v>850</v>
      </c>
      <c r="C1691" t="s">
        <v>851</v>
      </c>
      <c r="D1691">
        <v>2013</v>
      </c>
      <c r="E1691" t="s">
        <v>104</v>
      </c>
      <c r="F1691">
        <v>50868.51</v>
      </c>
      <c r="G1691">
        <v>220</v>
      </c>
      <c r="H1691" s="11" t="str">
        <f t="shared" si="94"/>
        <v>count</v>
      </c>
    </row>
    <row r="1692" spans="1:8">
      <c r="A1692" s="11" t="str">
        <f t="shared" si="95"/>
        <v>15-852926702013</v>
      </c>
      <c r="B1692" t="s">
        <v>850</v>
      </c>
      <c r="C1692" t="s">
        <v>851</v>
      </c>
      <c r="D1692">
        <v>2013</v>
      </c>
      <c r="E1692" t="s">
        <v>63</v>
      </c>
      <c r="F1692">
        <v>51352.51</v>
      </c>
      <c r="G1692">
        <v>260</v>
      </c>
      <c r="H1692" s="11" t="str">
        <f t="shared" si="94"/>
        <v>count</v>
      </c>
    </row>
    <row r="1693" spans="1:8">
      <c r="A1693" s="11" t="str">
        <f t="shared" si="95"/>
        <v>15-852926702011</v>
      </c>
      <c r="B1693" t="s">
        <v>850</v>
      </c>
      <c r="C1693" t="s">
        <v>851</v>
      </c>
      <c r="D1693">
        <v>2011</v>
      </c>
      <c r="E1693" t="s">
        <v>69</v>
      </c>
      <c r="F1693">
        <v>190.75</v>
      </c>
      <c r="G1693">
        <v>1</v>
      </c>
      <c r="H1693" s="11" t="str">
        <f t="shared" si="94"/>
        <v>count</v>
      </c>
    </row>
    <row r="1694" spans="1:8">
      <c r="A1694" s="11" t="str">
        <f t="shared" si="95"/>
        <v>15-852926702012</v>
      </c>
      <c r="B1694" t="s">
        <v>850</v>
      </c>
      <c r="C1694" t="s">
        <v>851</v>
      </c>
      <c r="D1694">
        <v>2012</v>
      </c>
      <c r="E1694" t="s">
        <v>63</v>
      </c>
      <c r="F1694">
        <v>66155.94</v>
      </c>
      <c r="G1694">
        <v>254</v>
      </c>
      <c r="H1694" s="11" t="str">
        <f t="shared" si="94"/>
        <v>count</v>
      </c>
    </row>
    <row r="1695" spans="1:8">
      <c r="A1695" s="11" t="str">
        <f t="shared" si="95"/>
        <v>15-852926702012</v>
      </c>
      <c r="B1695" t="s">
        <v>850</v>
      </c>
      <c r="C1695" t="s">
        <v>851</v>
      </c>
      <c r="D1695">
        <v>2012</v>
      </c>
      <c r="E1695" t="s">
        <v>104</v>
      </c>
      <c r="F1695">
        <v>48318.37</v>
      </c>
      <c r="G1695">
        <v>160</v>
      </c>
      <c r="H1695" s="11" t="str">
        <f t="shared" si="94"/>
        <v>count</v>
      </c>
    </row>
    <row r="1696" spans="1:8">
      <c r="A1696" s="11" t="str">
        <f t="shared" si="95"/>
        <v>15-852926702011</v>
      </c>
      <c r="B1696" t="s">
        <v>850</v>
      </c>
      <c r="C1696" t="s">
        <v>851</v>
      </c>
      <c r="D1696">
        <v>2011</v>
      </c>
      <c r="E1696" t="s">
        <v>104</v>
      </c>
      <c r="F1696">
        <v>13113.45</v>
      </c>
      <c r="G1696">
        <v>47</v>
      </c>
      <c r="H1696" s="11" t="str">
        <f t="shared" si="94"/>
        <v>count</v>
      </c>
    </row>
    <row r="1697" spans="1:8">
      <c r="A1697" s="11" t="str">
        <f t="shared" si="95"/>
        <v>15-852926702011</v>
      </c>
      <c r="B1697" t="s">
        <v>850</v>
      </c>
      <c r="C1697" t="s">
        <v>851</v>
      </c>
      <c r="D1697">
        <v>2011</v>
      </c>
      <c r="E1697" t="s">
        <v>63</v>
      </c>
      <c r="F1697">
        <v>35441.879999999997</v>
      </c>
      <c r="G1697">
        <v>165</v>
      </c>
      <c r="H1697" s="11" t="str">
        <f t="shared" si="94"/>
        <v>count</v>
      </c>
    </row>
    <row r="1698" spans="1:8">
      <c r="A1698" s="11" t="str">
        <f t="shared" si="95"/>
        <v>15-862530492013</v>
      </c>
      <c r="B1698" t="s">
        <v>854</v>
      </c>
      <c r="C1698" t="s">
        <v>855</v>
      </c>
      <c r="D1698">
        <v>2013</v>
      </c>
      <c r="E1698" t="s">
        <v>106</v>
      </c>
      <c r="F1698">
        <v>1766715.09</v>
      </c>
      <c r="G1698">
        <v>4202</v>
      </c>
      <c r="H1698" s="11" t="str">
        <f t="shared" si="94"/>
        <v>volume</v>
      </c>
    </row>
    <row r="1699" spans="1:8">
      <c r="A1699" s="11" t="str">
        <f t="shared" si="95"/>
        <v>15-862530492011</v>
      </c>
      <c r="B1699" t="s">
        <v>854</v>
      </c>
      <c r="C1699" t="s">
        <v>855</v>
      </c>
      <c r="D1699">
        <v>2011</v>
      </c>
      <c r="E1699" t="s">
        <v>106</v>
      </c>
      <c r="F1699">
        <v>1908575.9</v>
      </c>
      <c r="G1699">
        <v>4662</v>
      </c>
      <c r="H1699" s="11" t="str">
        <f t="shared" si="94"/>
        <v>count</v>
      </c>
    </row>
    <row r="1700" spans="1:8">
      <c r="A1700" s="11" t="str">
        <f t="shared" si="95"/>
        <v>15-862530492012</v>
      </c>
      <c r="B1700" t="s">
        <v>854</v>
      </c>
      <c r="C1700" t="s">
        <v>855</v>
      </c>
      <c r="D1700">
        <v>2012</v>
      </c>
      <c r="E1700" t="s">
        <v>106</v>
      </c>
      <c r="F1700">
        <v>1907889.75</v>
      </c>
      <c r="G1700">
        <v>4595</v>
      </c>
      <c r="H1700" s="11" t="str">
        <f t="shared" si="94"/>
        <v>count</v>
      </c>
    </row>
    <row r="1701" spans="1:8">
      <c r="A1701" s="11" t="str">
        <f t="shared" si="95"/>
        <v>15-866071452012</v>
      </c>
      <c r="B1701" t="s">
        <v>860</v>
      </c>
      <c r="C1701" t="s">
        <v>861</v>
      </c>
      <c r="D1701">
        <v>2012</v>
      </c>
      <c r="E1701" t="s">
        <v>69</v>
      </c>
      <c r="F1701">
        <v>83877.710000000006</v>
      </c>
      <c r="G1701">
        <v>100</v>
      </c>
      <c r="H1701" s="11" t="str">
        <f t="shared" si="94"/>
        <v>volume</v>
      </c>
    </row>
    <row r="1702" spans="1:8">
      <c r="A1702" s="11" t="str">
        <f t="shared" si="95"/>
        <v>15-866071452012</v>
      </c>
      <c r="B1702" t="s">
        <v>860</v>
      </c>
      <c r="C1702" t="s">
        <v>861</v>
      </c>
      <c r="D1702">
        <v>2012</v>
      </c>
      <c r="E1702" t="s">
        <v>105</v>
      </c>
      <c r="F1702">
        <v>2360.0300000000002</v>
      </c>
      <c r="G1702">
        <v>2</v>
      </c>
      <c r="H1702" s="11" t="str">
        <f t="shared" si="94"/>
        <v>count</v>
      </c>
    </row>
    <row r="1703" spans="1:8">
      <c r="A1703" s="11" t="str">
        <f t="shared" si="95"/>
        <v>15-866071452012</v>
      </c>
      <c r="B1703" t="s">
        <v>860</v>
      </c>
      <c r="C1703" t="s">
        <v>861</v>
      </c>
      <c r="D1703">
        <v>2012</v>
      </c>
      <c r="E1703" t="s">
        <v>1076</v>
      </c>
      <c r="F1703">
        <v>1301.96</v>
      </c>
      <c r="G1703">
        <v>1</v>
      </c>
      <c r="H1703" s="11" t="str">
        <f t="shared" si="94"/>
        <v>count</v>
      </c>
    </row>
    <row r="1704" spans="1:8">
      <c r="A1704" s="11" t="str">
        <f t="shared" si="95"/>
        <v>15-866071452012</v>
      </c>
      <c r="B1704" t="s">
        <v>860</v>
      </c>
      <c r="C1704" t="s">
        <v>861</v>
      </c>
      <c r="D1704">
        <v>2012</v>
      </c>
      <c r="E1704" t="s">
        <v>1075</v>
      </c>
      <c r="F1704">
        <v>7621.12</v>
      </c>
      <c r="G1704">
        <v>9</v>
      </c>
      <c r="H1704" s="11" t="str">
        <f t="shared" si="94"/>
        <v>count</v>
      </c>
    </row>
    <row r="1705" spans="1:8">
      <c r="A1705" s="11" t="str">
        <f t="shared" si="95"/>
        <v>15-866071452013</v>
      </c>
      <c r="B1705" t="s">
        <v>860</v>
      </c>
      <c r="C1705" t="s">
        <v>861</v>
      </c>
      <c r="D1705">
        <v>2013</v>
      </c>
      <c r="E1705" t="s">
        <v>63</v>
      </c>
      <c r="F1705">
        <v>175232.26</v>
      </c>
      <c r="G1705">
        <v>160</v>
      </c>
      <c r="H1705" s="11" t="str">
        <f t="shared" si="94"/>
        <v>count</v>
      </c>
    </row>
    <row r="1706" spans="1:8">
      <c r="A1706" s="11" t="str">
        <f t="shared" si="95"/>
        <v>15-866071452011</v>
      </c>
      <c r="B1706" t="s">
        <v>860</v>
      </c>
      <c r="C1706" t="s">
        <v>861</v>
      </c>
      <c r="D1706">
        <v>2011</v>
      </c>
      <c r="E1706" t="s">
        <v>1076</v>
      </c>
      <c r="F1706">
        <v>5912.49</v>
      </c>
      <c r="G1706">
        <v>7</v>
      </c>
      <c r="H1706" s="11" t="str">
        <f t="shared" si="94"/>
        <v>count</v>
      </c>
    </row>
    <row r="1707" spans="1:8">
      <c r="A1707" s="11" t="str">
        <f t="shared" si="95"/>
        <v>15-866071452011</v>
      </c>
      <c r="B1707" t="s">
        <v>860</v>
      </c>
      <c r="C1707" t="s">
        <v>861</v>
      </c>
      <c r="D1707">
        <v>2011</v>
      </c>
      <c r="E1707" t="s">
        <v>105</v>
      </c>
      <c r="F1707">
        <v>970.76</v>
      </c>
      <c r="G1707">
        <v>1</v>
      </c>
      <c r="H1707" s="11" t="str">
        <f t="shared" si="94"/>
        <v>count</v>
      </c>
    </row>
    <row r="1708" spans="1:8">
      <c r="A1708" s="11" t="str">
        <f t="shared" si="95"/>
        <v>15-866071452013</v>
      </c>
      <c r="B1708" t="s">
        <v>860</v>
      </c>
      <c r="C1708" t="s">
        <v>861</v>
      </c>
      <c r="D1708">
        <v>2013</v>
      </c>
      <c r="E1708" t="s">
        <v>104</v>
      </c>
      <c r="F1708">
        <v>96067.78</v>
      </c>
      <c r="G1708">
        <v>99</v>
      </c>
      <c r="H1708" s="11" t="str">
        <f t="shared" si="94"/>
        <v>count</v>
      </c>
    </row>
    <row r="1709" spans="1:8">
      <c r="A1709" s="11" t="str">
        <f t="shared" si="95"/>
        <v>15-866071452011</v>
      </c>
      <c r="B1709" t="s">
        <v>860</v>
      </c>
      <c r="C1709" t="s">
        <v>861</v>
      </c>
      <c r="D1709">
        <v>2011</v>
      </c>
      <c r="E1709" t="s">
        <v>106</v>
      </c>
      <c r="F1709">
        <v>241745.63</v>
      </c>
      <c r="G1709">
        <v>329</v>
      </c>
      <c r="H1709" s="11" t="str">
        <f t="shared" si="94"/>
        <v>count</v>
      </c>
    </row>
    <row r="1710" spans="1:8">
      <c r="A1710" s="11" t="str">
        <f t="shared" si="95"/>
        <v>15-866071452011</v>
      </c>
      <c r="B1710" t="s">
        <v>860</v>
      </c>
      <c r="C1710" t="s">
        <v>861</v>
      </c>
      <c r="D1710">
        <v>2011</v>
      </c>
      <c r="E1710" t="s">
        <v>63</v>
      </c>
      <c r="F1710">
        <v>39749.480000000003</v>
      </c>
      <c r="G1710">
        <v>64</v>
      </c>
      <c r="H1710" s="11" t="str">
        <f t="shared" si="94"/>
        <v>count</v>
      </c>
    </row>
    <row r="1711" spans="1:8">
      <c r="A1711" s="11" t="str">
        <f t="shared" si="95"/>
        <v>15-866071452011</v>
      </c>
      <c r="B1711" t="s">
        <v>860</v>
      </c>
      <c r="C1711" t="s">
        <v>861</v>
      </c>
      <c r="D1711">
        <v>2011</v>
      </c>
      <c r="E1711" t="s">
        <v>69</v>
      </c>
      <c r="F1711">
        <v>975</v>
      </c>
      <c r="G1711">
        <v>1</v>
      </c>
      <c r="H1711" s="11" t="str">
        <f t="shared" si="94"/>
        <v>count</v>
      </c>
    </row>
    <row r="1712" spans="1:8">
      <c r="A1712" s="11" t="str">
        <f t="shared" si="95"/>
        <v>15-866071452011</v>
      </c>
      <c r="B1712" t="s">
        <v>860</v>
      </c>
      <c r="C1712" t="s">
        <v>861</v>
      </c>
      <c r="D1712">
        <v>2011</v>
      </c>
      <c r="E1712" t="s">
        <v>1074</v>
      </c>
      <c r="F1712">
        <v>1625.62</v>
      </c>
      <c r="G1712">
        <v>3</v>
      </c>
      <c r="H1712" s="11" t="str">
        <f t="shared" si="94"/>
        <v>count</v>
      </c>
    </row>
    <row r="1713" spans="1:8">
      <c r="A1713" s="11" t="str">
        <f t="shared" si="95"/>
        <v>15-866071452013</v>
      </c>
      <c r="B1713" t="s">
        <v>860</v>
      </c>
      <c r="C1713" t="s">
        <v>861</v>
      </c>
      <c r="D1713">
        <v>2013</v>
      </c>
      <c r="E1713" t="s">
        <v>106</v>
      </c>
      <c r="F1713">
        <v>2577932.63</v>
      </c>
      <c r="G1713">
        <v>2717</v>
      </c>
      <c r="H1713" s="11" t="str">
        <f t="shared" si="94"/>
        <v>count</v>
      </c>
    </row>
    <row r="1714" spans="1:8">
      <c r="A1714" s="11" t="str">
        <f t="shared" si="95"/>
        <v>15-866071452011</v>
      </c>
      <c r="B1714" t="s">
        <v>860</v>
      </c>
      <c r="C1714" t="s">
        <v>861</v>
      </c>
      <c r="D1714">
        <v>2011</v>
      </c>
      <c r="E1714" t="s">
        <v>104</v>
      </c>
      <c r="F1714">
        <v>21075.32</v>
      </c>
      <c r="G1714">
        <v>26</v>
      </c>
      <c r="H1714" s="11" t="str">
        <f t="shared" si="94"/>
        <v>count</v>
      </c>
    </row>
    <row r="1715" spans="1:8">
      <c r="A1715" s="11" t="str">
        <f t="shared" si="95"/>
        <v>15-866071452013</v>
      </c>
      <c r="B1715" t="s">
        <v>860</v>
      </c>
      <c r="C1715" t="s">
        <v>861</v>
      </c>
      <c r="D1715">
        <v>2013</v>
      </c>
      <c r="E1715" t="s">
        <v>69</v>
      </c>
      <c r="F1715">
        <v>318503.82</v>
      </c>
      <c r="G1715">
        <v>320</v>
      </c>
      <c r="H1715" s="11" t="str">
        <f t="shared" si="94"/>
        <v>count</v>
      </c>
    </row>
    <row r="1716" spans="1:8">
      <c r="A1716" s="11" t="str">
        <f t="shared" si="95"/>
        <v>15-866071452012</v>
      </c>
      <c r="B1716" t="s">
        <v>860</v>
      </c>
      <c r="C1716" t="s">
        <v>861</v>
      </c>
      <c r="D1716">
        <v>2012</v>
      </c>
      <c r="E1716" t="s">
        <v>1074</v>
      </c>
      <c r="F1716">
        <v>861.07</v>
      </c>
      <c r="G1716">
        <v>1</v>
      </c>
      <c r="H1716" s="11" t="str">
        <f t="shared" si="94"/>
        <v>count</v>
      </c>
    </row>
    <row r="1717" spans="1:8">
      <c r="A1717" s="11" t="str">
        <f t="shared" si="95"/>
        <v>15-866071452012</v>
      </c>
      <c r="B1717" t="s">
        <v>860</v>
      </c>
      <c r="C1717" t="s">
        <v>861</v>
      </c>
      <c r="D1717">
        <v>2012</v>
      </c>
      <c r="E1717" t="s">
        <v>104</v>
      </c>
      <c r="F1717">
        <v>49053.59</v>
      </c>
      <c r="G1717">
        <v>58</v>
      </c>
      <c r="H1717" s="11" t="str">
        <f t="shared" si="94"/>
        <v>count</v>
      </c>
    </row>
    <row r="1718" spans="1:8">
      <c r="A1718" s="11" t="str">
        <f t="shared" si="95"/>
        <v>15-866071452011</v>
      </c>
      <c r="B1718" t="s">
        <v>860</v>
      </c>
      <c r="C1718" t="s">
        <v>861</v>
      </c>
      <c r="D1718">
        <v>2011</v>
      </c>
      <c r="E1718" t="s">
        <v>1075</v>
      </c>
      <c r="F1718">
        <v>939.93</v>
      </c>
      <c r="G1718">
        <v>2</v>
      </c>
      <c r="H1718" s="11" t="str">
        <f t="shared" si="94"/>
        <v>count</v>
      </c>
    </row>
    <row r="1719" spans="1:8">
      <c r="A1719" s="11" t="str">
        <f t="shared" si="95"/>
        <v>15-866071452013</v>
      </c>
      <c r="B1719" t="s">
        <v>860</v>
      </c>
      <c r="C1719" t="s">
        <v>861</v>
      </c>
      <c r="D1719">
        <v>2013</v>
      </c>
      <c r="E1719" t="s">
        <v>105</v>
      </c>
      <c r="F1719">
        <v>13854.25</v>
      </c>
      <c r="G1719">
        <v>13</v>
      </c>
      <c r="H1719" s="11" t="str">
        <f t="shared" si="94"/>
        <v>count</v>
      </c>
    </row>
    <row r="1720" spans="1:8">
      <c r="A1720" s="11" t="str">
        <f t="shared" si="95"/>
        <v>15-866071452012</v>
      </c>
      <c r="B1720" t="s">
        <v>860</v>
      </c>
      <c r="C1720" t="s">
        <v>861</v>
      </c>
      <c r="D1720">
        <v>2012</v>
      </c>
      <c r="E1720" t="s">
        <v>63</v>
      </c>
      <c r="F1720">
        <v>90113.62</v>
      </c>
      <c r="G1720">
        <v>112</v>
      </c>
      <c r="H1720" s="11" t="str">
        <f t="shared" si="94"/>
        <v>count</v>
      </c>
    </row>
    <row r="1721" spans="1:8">
      <c r="A1721" s="11" t="str">
        <f t="shared" si="95"/>
        <v>15-866071452012</v>
      </c>
      <c r="B1721" t="s">
        <v>860</v>
      </c>
      <c r="C1721" t="s">
        <v>861</v>
      </c>
      <c r="D1721">
        <v>2012</v>
      </c>
      <c r="E1721" t="s">
        <v>106</v>
      </c>
      <c r="F1721">
        <v>1650925.31</v>
      </c>
      <c r="G1721">
        <v>2055</v>
      </c>
      <c r="H1721" s="11" t="str">
        <f t="shared" si="94"/>
        <v>count</v>
      </c>
    </row>
    <row r="1722" spans="1:8">
      <c r="A1722" s="11" t="str">
        <f t="shared" si="95"/>
        <v>15-870128692013</v>
      </c>
      <c r="B1722" t="s">
        <v>864</v>
      </c>
      <c r="C1722" t="s">
        <v>865</v>
      </c>
      <c r="D1722">
        <v>2013</v>
      </c>
      <c r="E1722" t="s">
        <v>104</v>
      </c>
      <c r="F1722">
        <v>4258168.26</v>
      </c>
      <c r="G1722">
        <v>2793</v>
      </c>
      <c r="H1722" s="11" t="str">
        <f t="shared" si="94"/>
        <v>volume</v>
      </c>
    </row>
    <row r="1723" spans="1:8">
      <c r="A1723" s="11" t="str">
        <f t="shared" si="95"/>
        <v>15-870128692013</v>
      </c>
      <c r="B1723" t="s">
        <v>864</v>
      </c>
      <c r="C1723" t="s">
        <v>865</v>
      </c>
      <c r="D1723">
        <v>2013</v>
      </c>
      <c r="E1723" t="s">
        <v>63</v>
      </c>
      <c r="F1723">
        <v>7296331.9699999997</v>
      </c>
      <c r="G1723">
        <v>4720</v>
      </c>
      <c r="H1723" s="11" t="str">
        <f t="shared" si="94"/>
        <v>count</v>
      </c>
    </row>
    <row r="1724" spans="1:8">
      <c r="A1724" s="11" t="str">
        <f t="shared" si="95"/>
        <v>15-870128692011</v>
      </c>
      <c r="B1724" t="s">
        <v>864</v>
      </c>
      <c r="C1724" t="s">
        <v>865</v>
      </c>
      <c r="D1724">
        <v>2011</v>
      </c>
      <c r="E1724" t="s">
        <v>105</v>
      </c>
      <c r="F1724">
        <v>138452.99</v>
      </c>
      <c r="G1724">
        <v>88</v>
      </c>
      <c r="H1724" s="11" t="str">
        <f t="shared" si="94"/>
        <v>count</v>
      </c>
    </row>
    <row r="1725" spans="1:8">
      <c r="A1725" s="11" t="str">
        <f t="shared" si="95"/>
        <v>15-870128692011</v>
      </c>
      <c r="B1725" t="s">
        <v>864</v>
      </c>
      <c r="C1725" t="s">
        <v>865</v>
      </c>
      <c r="D1725">
        <v>2011</v>
      </c>
      <c r="E1725" t="s">
        <v>1076</v>
      </c>
      <c r="F1725">
        <v>16759.75</v>
      </c>
      <c r="G1725">
        <v>11</v>
      </c>
      <c r="H1725" s="11" t="str">
        <f t="shared" si="94"/>
        <v>count</v>
      </c>
    </row>
    <row r="1726" spans="1:8">
      <c r="A1726" s="11" t="str">
        <f t="shared" si="95"/>
        <v>15-870128692011</v>
      </c>
      <c r="B1726" t="s">
        <v>864</v>
      </c>
      <c r="C1726" t="s">
        <v>865</v>
      </c>
      <c r="D1726">
        <v>2011</v>
      </c>
      <c r="E1726" t="s">
        <v>1075</v>
      </c>
      <c r="F1726">
        <v>6594.89</v>
      </c>
      <c r="G1726">
        <v>5</v>
      </c>
      <c r="H1726" s="11" t="str">
        <f t="shared" si="94"/>
        <v>count</v>
      </c>
    </row>
    <row r="1727" spans="1:8">
      <c r="A1727" s="11" t="str">
        <f t="shared" si="95"/>
        <v>15-870128692012</v>
      </c>
      <c r="B1727" t="s">
        <v>864</v>
      </c>
      <c r="C1727" t="s">
        <v>865</v>
      </c>
      <c r="D1727">
        <v>2012</v>
      </c>
      <c r="E1727" t="s">
        <v>106</v>
      </c>
      <c r="F1727">
        <v>1719153.32</v>
      </c>
      <c r="G1727">
        <v>1352</v>
      </c>
      <c r="H1727" s="11" t="str">
        <f t="shared" si="94"/>
        <v>count</v>
      </c>
    </row>
    <row r="1728" spans="1:8">
      <c r="A1728" s="11" t="str">
        <f t="shared" si="95"/>
        <v>15-870128692011</v>
      </c>
      <c r="B1728" t="s">
        <v>864</v>
      </c>
      <c r="C1728" t="s">
        <v>865</v>
      </c>
      <c r="D1728">
        <v>2011</v>
      </c>
      <c r="E1728" t="s">
        <v>63</v>
      </c>
      <c r="F1728">
        <v>1275501.25</v>
      </c>
      <c r="G1728">
        <v>709</v>
      </c>
      <c r="H1728" s="11" t="str">
        <f t="shared" si="94"/>
        <v>count</v>
      </c>
    </row>
    <row r="1729" spans="1:8">
      <c r="A1729" s="11" t="str">
        <f t="shared" si="95"/>
        <v>15-870128692012</v>
      </c>
      <c r="B1729" t="s">
        <v>864</v>
      </c>
      <c r="C1729" t="s">
        <v>865</v>
      </c>
      <c r="D1729">
        <v>2012</v>
      </c>
      <c r="E1729" t="s">
        <v>105</v>
      </c>
      <c r="F1729">
        <v>1160824.25</v>
      </c>
      <c r="G1729">
        <v>752</v>
      </c>
      <c r="H1729" s="11" t="str">
        <f t="shared" si="94"/>
        <v>count</v>
      </c>
    </row>
    <row r="1730" spans="1:8">
      <c r="A1730" s="11" t="str">
        <f t="shared" si="95"/>
        <v>15-870128692013</v>
      </c>
      <c r="B1730" t="s">
        <v>864</v>
      </c>
      <c r="C1730" t="s">
        <v>865</v>
      </c>
      <c r="D1730">
        <v>2013</v>
      </c>
      <c r="E1730" t="s">
        <v>69</v>
      </c>
      <c r="F1730">
        <v>2464338.85</v>
      </c>
      <c r="G1730">
        <v>2298</v>
      </c>
      <c r="H1730" s="11" t="str">
        <f t="shared" ref="H1730:H1793" si="96">IF(B1730=B1729,"count","volume")</f>
        <v>count</v>
      </c>
    </row>
    <row r="1731" spans="1:8">
      <c r="A1731" s="11" t="str">
        <f t="shared" ref="A1731:A1794" si="97">B1731&amp;D1731</f>
        <v>15-870128692012</v>
      </c>
      <c r="B1731" t="s">
        <v>864</v>
      </c>
      <c r="C1731" t="s">
        <v>865</v>
      </c>
      <c r="D1731">
        <v>2012</v>
      </c>
      <c r="E1731" t="s">
        <v>1076</v>
      </c>
      <c r="F1731">
        <v>2446.42</v>
      </c>
      <c r="G1731">
        <v>1</v>
      </c>
      <c r="H1731" s="11" t="str">
        <f t="shared" si="96"/>
        <v>count</v>
      </c>
    </row>
    <row r="1732" spans="1:8">
      <c r="A1732" s="11" t="str">
        <f t="shared" si="97"/>
        <v>15-870128692011</v>
      </c>
      <c r="B1732" t="s">
        <v>864</v>
      </c>
      <c r="C1732" t="s">
        <v>865</v>
      </c>
      <c r="D1732">
        <v>2011</v>
      </c>
      <c r="E1732" t="s">
        <v>104</v>
      </c>
      <c r="F1732">
        <v>611396.62</v>
      </c>
      <c r="G1732">
        <v>347</v>
      </c>
      <c r="H1732" s="11" t="str">
        <f t="shared" si="96"/>
        <v>count</v>
      </c>
    </row>
    <row r="1733" spans="1:8">
      <c r="A1733" s="11" t="str">
        <f t="shared" si="97"/>
        <v>15-870128692013</v>
      </c>
      <c r="B1733" t="s">
        <v>864</v>
      </c>
      <c r="C1733" t="s">
        <v>865</v>
      </c>
      <c r="D1733">
        <v>2013</v>
      </c>
      <c r="E1733" t="s">
        <v>106</v>
      </c>
      <c r="F1733">
        <v>1327372.83</v>
      </c>
      <c r="G1733">
        <v>984</v>
      </c>
      <c r="H1733" s="11" t="str">
        <f t="shared" si="96"/>
        <v>count</v>
      </c>
    </row>
    <row r="1734" spans="1:8">
      <c r="A1734" s="11" t="str">
        <f t="shared" si="97"/>
        <v>15-870128692012</v>
      </c>
      <c r="B1734" t="s">
        <v>864</v>
      </c>
      <c r="C1734" t="s">
        <v>865</v>
      </c>
      <c r="D1734">
        <v>2012</v>
      </c>
      <c r="E1734" t="s">
        <v>1075</v>
      </c>
      <c r="F1734">
        <v>1754.04</v>
      </c>
      <c r="G1734">
        <v>2</v>
      </c>
      <c r="H1734" s="11" t="str">
        <f t="shared" si="96"/>
        <v>count</v>
      </c>
    </row>
    <row r="1735" spans="1:8">
      <c r="A1735" s="11" t="str">
        <f t="shared" si="97"/>
        <v>15-870128692011</v>
      </c>
      <c r="B1735" t="s">
        <v>864</v>
      </c>
      <c r="C1735" t="s">
        <v>865</v>
      </c>
      <c r="D1735">
        <v>2011</v>
      </c>
      <c r="E1735" t="s">
        <v>69</v>
      </c>
      <c r="F1735">
        <v>14595.82</v>
      </c>
      <c r="G1735">
        <v>7</v>
      </c>
      <c r="H1735" s="11" t="str">
        <f t="shared" si="96"/>
        <v>count</v>
      </c>
    </row>
    <row r="1736" spans="1:8">
      <c r="A1736" s="11" t="str">
        <f t="shared" si="97"/>
        <v>15-870128692012</v>
      </c>
      <c r="B1736" t="s">
        <v>864</v>
      </c>
      <c r="C1736" t="s">
        <v>865</v>
      </c>
      <c r="D1736">
        <v>2012</v>
      </c>
      <c r="E1736" t="s">
        <v>63</v>
      </c>
      <c r="F1736">
        <v>6997529.46</v>
      </c>
      <c r="G1736">
        <v>4553</v>
      </c>
      <c r="H1736" s="11" t="str">
        <f t="shared" si="96"/>
        <v>count</v>
      </c>
    </row>
    <row r="1737" spans="1:8">
      <c r="A1737" s="11" t="str">
        <f t="shared" si="97"/>
        <v>15-870128692012</v>
      </c>
      <c r="B1737" t="s">
        <v>864</v>
      </c>
      <c r="C1737" t="s">
        <v>865</v>
      </c>
      <c r="D1737">
        <v>2012</v>
      </c>
      <c r="E1737" t="s">
        <v>104</v>
      </c>
      <c r="F1737">
        <v>4193505.17</v>
      </c>
      <c r="G1737">
        <v>2822</v>
      </c>
      <c r="H1737" s="11" t="str">
        <f t="shared" si="96"/>
        <v>count</v>
      </c>
    </row>
    <row r="1738" spans="1:8">
      <c r="A1738" s="11" t="str">
        <f t="shared" si="97"/>
        <v>15-870128692012</v>
      </c>
      <c r="B1738" t="s">
        <v>864</v>
      </c>
      <c r="C1738" t="s">
        <v>865</v>
      </c>
      <c r="D1738">
        <v>2012</v>
      </c>
      <c r="E1738" t="s">
        <v>69</v>
      </c>
      <c r="F1738">
        <v>1889646.7</v>
      </c>
      <c r="G1738">
        <v>1798</v>
      </c>
      <c r="H1738" s="11" t="str">
        <f t="shared" si="96"/>
        <v>count</v>
      </c>
    </row>
    <row r="1739" spans="1:8">
      <c r="A1739" s="11" t="str">
        <f t="shared" si="97"/>
        <v>15-870128692011</v>
      </c>
      <c r="B1739" t="s">
        <v>864</v>
      </c>
      <c r="C1739" t="s">
        <v>865</v>
      </c>
      <c r="D1739">
        <v>2011</v>
      </c>
      <c r="E1739" t="s">
        <v>106</v>
      </c>
      <c r="F1739">
        <v>224631.95</v>
      </c>
      <c r="G1739">
        <v>148</v>
      </c>
      <c r="H1739" s="11" t="str">
        <f t="shared" si="96"/>
        <v>count</v>
      </c>
    </row>
    <row r="1740" spans="1:8">
      <c r="A1740" s="11" t="str">
        <f t="shared" si="97"/>
        <v>15-870128692013</v>
      </c>
      <c r="B1740" t="s">
        <v>864</v>
      </c>
      <c r="C1740" t="s">
        <v>865</v>
      </c>
      <c r="D1740">
        <v>2013</v>
      </c>
      <c r="E1740" t="s">
        <v>105</v>
      </c>
      <c r="F1740">
        <v>1235843.21</v>
      </c>
      <c r="G1740">
        <v>790</v>
      </c>
      <c r="H1740" s="11" t="str">
        <f t="shared" si="96"/>
        <v>count</v>
      </c>
    </row>
    <row r="1741" spans="1:8">
      <c r="A1741" s="11" t="str">
        <f t="shared" si="97"/>
        <v>15-870128692011</v>
      </c>
      <c r="B1741" t="s">
        <v>864</v>
      </c>
      <c r="C1741" t="s">
        <v>865</v>
      </c>
      <c r="D1741">
        <v>2011</v>
      </c>
      <c r="E1741" t="s">
        <v>1074</v>
      </c>
      <c r="F1741">
        <v>18698.09</v>
      </c>
      <c r="G1741">
        <v>10</v>
      </c>
      <c r="H1741" s="11" t="str">
        <f t="shared" si="96"/>
        <v>count</v>
      </c>
    </row>
    <row r="1742" spans="1:8">
      <c r="A1742" s="11" t="str">
        <f t="shared" si="97"/>
        <v>15-871538362013</v>
      </c>
      <c r="B1742" t="s">
        <v>867</v>
      </c>
      <c r="C1742" t="s">
        <v>868</v>
      </c>
      <c r="D1742">
        <v>2013</v>
      </c>
      <c r="E1742" t="s">
        <v>63</v>
      </c>
      <c r="F1742">
        <v>7662.65</v>
      </c>
      <c r="G1742">
        <v>10</v>
      </c>
      <c r="H1742" s="11" t="str">
        <f t="shared" si="96"/>
        <v>volume</v>
      </c>
    </row>
    <row r="1743" spans="1:8">
      <c r="A1743" s="11" t="str">
        <f t="shared" si="97"/>
        <v>15-871538362013</v>
      </c>
      <c r="B1743" t="s">
        <v>867</v>
      </c>
      <c r="C1743" t="s">
        <v>868</v>
      </c>
      <c r="D1743">
        <v>2013</v>
      </c>
      <c r="E1743" t="s">
        <v>104</v>
      </c>
      <c r="F1743">
        <v>9525.0300000000007</v>
      </c>
      <c r="G1743">
        <v>5</v>
      </c>
      <c r="H1743" s="11" t="str">
        <f t="shared" si="96"/>
        <v>count</v>
      </c>
    </row>
    <row r="1744" spans="1:8">
      <c r="A1744" s="11" t="str">
        <f t="shared" si="97"/>
        <v>15-871538362012</v>
      </c>
      <c r="B1744" t="s">
        <v>867</v>
      </c>
      <c r="C1744" t="s">
        <v>868</v>
      </c>
      <c r="D1744">
        <v>2012</v>
      </c>
      <c r="E1744" t="s">
        <v>63</v>
      </c>
      <c r="F1744">
        <v>3415.78</v>
      </c>
      <c r="G1744">
        <v>14</v>
      </c>
      <c r="H1744" s="11" t="str">
        <f t="shared" si="96"/>
        <v>count</v>
      </c>
    </row>
    <row r="1745" spans="1:8">
      <c r="A1745" s="11" t="str">
        <f t="shared" si="97"/>
        <v>15-871538362012</v>
      </c>
      <c r="B1745" t="s">
        <v>867</v>
      </c>
      <c r="C1745" t="s">
        <v>868</v>
      </c>
      <c r="D1745">
        <v>2012</v>
      </c>
      <c r="E1745" t="s">
        <v>69</v>
      </c>
      <c r="F1745">
        <v>1107.8</v>
      </c>
      <c r="G1745">
        <v>6</v>
      </c>
      <c r="H1745" s="11" t="str">
        <f t="shared" si="96"/>
        <v>count</v>
      </c>
    </row>
    <row r="1746" spans="1:8">
      <c r="A1746" s="11" t="str">
        <f t="shared" si="97"/>
        <v>15-871538362012</v>
      </c>
      <c r="B1746" t="s">
        <v>867</v>
      </c>
      <c r="C1746" t="s">
        <v>868</v>
      </c>
      <c r="D1746">
        <v>2012</v>
      </c>
      <c r="E1746" t="s">
        <v>104</v>
      </c>
      <c r="F1746">
        <v>6385.11</v>
      </c>
      <c r="G1746">
        <v>18</v>
      </c>
      <c r="H1746" s="11" t="str">
        <f t="shared" si="96"/>
        <v>count</v>
      </c>
    </row>
    <row r="1747" spans="1:8">
      <c r="A1747" s="11" t="str">
        <f t="shared" si="97"/>
        <v>15-871538362011</v>
      </c>
      <c r="B1747" t="s">
        <v>867</v>
      </c>
      <c r="C1747" t="s">
        <v>868</v>
      </c>
      <c r="D1747">
        <v>2011</v>
      </c>
      <c r="E1747" t="s">
        <v>104</v>
      </c>
      <c r="F1747">
        <v>2063.25</v>
      </c>
      <c r="G1747">
        <v>5</v>
      </c>
      <c r="H1747" s="11" t="str">
        <f t="shared" si="96"/>
        <v>count</v>
      </c>
    </row>
    <row r="1748" spans="1:8">
      <c r="A1748" s="11" t="str">
        <f t="shared" si="97"/>
        <v>15-871538362011</v>
      </c>
      <c r="B1748" t="s">
        <v>867</v>
      </c>
      <c r="C1748" t="s">
        <v>868</v>
      </c>
      <c r="D1748">
        <v>2011</v>
      </c>
      <c r="E1748" t="s">
        <v>63</v>
      </c>
      <c r="F1748">
        <v>2980.23</v>
      </c>
      <c r="G1748">
        <v>3</v>
      </c>
      <c r="H1748" s="11" t="str">
        <f t="shared" si="96"/>
        <v>count</v>
      </c>
    </row>
    <row r="1749" spans="1:8">
      <c r="A1749" s="11" t="str">
        <f t="shared" si="97"/>
        <v>15-892281232011</v>
      </c>
      <c r="B1749" t="s">
        <v>890</v>
      </c>
      <c r="C1749" t="s">
        <v>891</v>
      </c>
      <c r="D1749">
        <v>2011</v>
      </c>
      <c r="E1749" t="s">
        <v>1076</v>
      </c>
      <c r="F1749">
        <v>3310</v>
      </c>
      <c r="G1749">
        <v>39</v>
      </c>
      <c r="H1749" s="11" t="str">
        <f t="shared" si="96"/>
        <v>volume</v>
      </c>
    </row>
    <row r="1750" spans="1:8">
      <c r="A1750" s="11" t="str">
        <f t="shared" si="97"/>
        <v>15-892281232011</v>
      </c>
      <c r="B1750" t="s">
        <v>890</v>
      </c>
      <c r="C1750" t="s">
        <v>891</v>
      </c>
      <c r="D1750">
        <v>2011</v>
      </c>
      <c r="E1750" t="s">
        <v>105</v>
      </c>
      <c r="F1750">
        <v>267</v>
      </c>
      <c r="G1750">
        <v>3</v>
      </c>
      <c r="H1750" s="11" t="str">
        <f t="shared" si="96"/>
        <v>count</v>
      </c>
    </row>
    <row r="1751" spans="1:8">
      <c r="A1751" s="11" t="str">
        <f t="shared" si="97"/>
        <v>15-892281232013</v>
      </c>
      <c r="B1751" t="s">
        <v>890</v>
      </c>
      <c r="C1751" t="s">
        <v>891</v>
      </c>
      <c r="D1751">
        <v>2013</v>
      </c>
      <c r="E1751" t="s">
        <v>104</v>
      </c>
      <c r="F1751">
        <v>32705</v>
      </c>
      <c r="G1751">
        <v>393</v>
      </c>
      <c r="H1751" s="11" t="str">
        <f t="shared" si="96"/>
        <v>count</v>
      </c>
    </row>
    <row r="1752" spans="1:8">
      <c r="A1752" s="11" t="str">
        <f t="shared" si="97"/>
        <v>15-892281232013</v>
      </c>
      <c r="B1752" t="s">
        <v>890</v>
      </c>
      <c r="C1752" t="s">
        <v>891</v>
      </c>
      <c r="D1752">
        <v>2013</v>
      </c>
      <c r="E1752" t="s">
        <v>63</v>
      </c>
      <c r="F1752">
        <v>29270.67</v>
      </c>
      <c r="G1752">
        <v>326</v>
      </c>
      <c r="H1752" s="11" t="str">
        <f t="shared" si="96"/>
        <v>count</v>
      </c>
    </row>
    <row r="1753" spans="1:8">
      <c r="A1753" s="11" t="str">
        <f t="shared" si="97"/>
        <v>15-892281232012</v>
      </c>
      <c r="B1753" t="s">
        <v>890</v>
      </c>
      <c r="C1753" t="s">
        <v>891</v>
      </c>
      <c r="D1753">
        <v>2012</v>
      </c>
      <c r="E1753" t="s">
        <v>105</v>
      </c>
      <c r="F1753">
        <v>1760</v>
      </c>
      <c r="G1753">
        <v>16</v>
      </c>
      <c r="H1753" s="11" t="str">
        <f t="shared" si="96"/>
        <v>count</v>
      </c>
    </row>
    <row r="1754" spans="1:8">
      <c r="A1754" s="11" t="str">
        <f t="shared" si="97"/>
        <v>15-892281232012</v>
      </c>
      <c r="B1754" t="s">
        <v>890</v>
      </c>
      <c r="C1754" t="s">
        <v>891</v>
      </c>
      <c r="D1754">
        <v>2012</v>
      </c>
      <c r="E1754" t="s">
        <v>1076</v>
      </c>
      <c r="F1754">
        <v>8908</v>
      </c>
      <c r="G1754">
        <v>126</v>
      </c>
      <c r="H1754" s="11" t="str">
        <f t="shared" si="96"/>
        <v>count</v>
      </c>
    </row>
    <row r="1755" spans="1:8">
      <c r="A1755" s="11" t="str">
        <f t="shared" si="97"/>
        <v>15-892281232012</v>
      </c>
      <c r="B1755" t="s">
        <v>890</v>
      </c>
      <c r="C1755" t="s">
        <v>891</v>
      </c>
      <c r="D1755">
        <v>2012</v>
      </c>
      <c r="E1755" t="s">
        <v>1075</v>
      </c>
      <c r="F1755">
        <v>11952.5</v>
      </c>
      <c r="G1755">
        <v>158</v>
      </c>
      <c r="H1755" s="11" t="str">
        <f t="shared" si="96"/>
        <v>count</v>
      </c>
    </row>
    <row r="1756" spans="1:8">
      <c r="A1756" s="11" t="str">
        <f t="shared" si="97"/>
        <v>15-892281232012</v>
      </c>
      <c r="B1756" t="s">
        <v>890</v>
      </c>
      <c r="C1756" t="s">
        <v>891</v>
      </c>
      <c r="D1756">
        <v>2012</v>
      </c>
      <c r="E1756" t="s">
        <v>69</v>
      </c>
      <c r="F1756">
        <v>115186</v>
      </c>
      <c r="G1756">
        <v>1380</v>
      </c>
      <c r="H1756" s="11" t="str">
        <f t="shared" si="96"/>
        <v>count</v>
      </c>
    </row>
    <row r="1757" spans="1:8">
      <c r="A1757" s="11" t="str">
        <f t="shared" si="97"/>
        <v>15-892281232013</v>
      </c>
      <c r="B1757" t="s">
        <v>890</v>
      </c>
      <c r="C1757" t="s">
        <v>891</v>
      </c>
      <c r="D1757">
        <v>2013</v>
      </c>
      <c r="E1757" t="s">
        <v>106</v>
      </c>
      <c r="F1757">
        <v>8930</v>
      </c>
      <c r="G1757">
        <v>127</v>
      </c>
      <c r="H1757" s="11" t="str">
        <f t="shared" si="96"/>
        <v>count</v>
      </c>
    </row>
    <row r="1758" spans="1:8">
      <c r="A1758" s="11" t="str">
        <f t="shared" si="97"/>
        <v>15-892281232011</v>
      </c>
      <c r="B1758" t="s">
        <v>890</v>
      </c>
      <c r="C1758" t="s">
        <v>891</v>
      </c>
      <c r="D1758">
        <v>2011</v>
      </c>
      <c r="E1758" t="s">
        <v>104</v>
      </c>
      <c r="F1758">
        <v>2711</v>
      </c>
      <c r="G1758">
        <v>30</v>
      </c>
      <c r="H1758" s="11" t="str">
        <f t="shared" si="96"/>
        <v>count</v>
      </c>
    </row>
    <row r="1759" spans="1:8">
      <c r="A1759" s="11" t="str">
        <f t="shared" si="97"/>
        <v>15-892281232011</v>
      </c>
      <c r="B1759" t="s">
        <v>890</v>
      </c>
      <c r="C1759" t="s">
        <v>891</v>
      </c>
      <c r="D1759">
        <v>2011</v>
      </c>
      <c r="E1759" t="s">
        <v>63</v>
      </c>
      <c r="F1759">
        <v>5581</v>
      </c>
      <c r="G1759">
        <v>77</v>
      </c>
      <c r="H1759" s="11" t="str">
        <f t="shared" si="96"/>
        <v>count</v>
      </c>
    </row>
    <row r="1760" spans="1:8">
      <c r="A1760" s="11" t="str">
        <f t="shared" si="97"/>
        <v>15-892281232011</v>
      </c>
      <c r="B1760" t="s">
        <v>890</v>
      </c>
      <c r="C1760" t="s">
        <v>891</v>
      </c>
      <c r="D1760">
        <v>2011</v>
      </c>
      <c r="E1760" t="s">
        <v>69</v>
      </c>
      <c r="F1760">
        <v>385</v>
      </c>
      <c r="G1760">
        <v>5</v>
      </c>
      <c r="H1760" s="11" t="str">
        <f t="shared" si="96"/>
        <v>count</v>
      </c>
    </row>
    <row r="1761" spans="1:8">
      <c r="A1761" s="11" t="str">
        <f t="shared" si="97"/>
        <v>15-892281232012</v>
      </c>
      <c r="B1761" t="s">
        <v>890</v>
      </c>
      <c r="C1761" t="s">
        <v>891</v>
      </c>
      <c r="D1761">
        <v>2012</v>
      </c>
      <c r="E1761" t="s">
        <v>106</v>
      </c>
      <c r="F1761">
        <v>5923</v>
      </c>
      <c r="G1761">
        <v>89</v>
      </c>
      <c r="H1761" s="11" t="str">
        <f t="shared" si="96"/>
        <v>count</v>
      </c>
    </row>
    <row r="1762" spans="1:8">
      <c r="A1762" s="11" t="str">
        <f t="shared" si="97"/>
        <v>15-892281232011</v>
      </c>
      <c r="B1762" t="s">
        <v>890</v>
      </c>
      <c r="C1762" t="s">
        <v>891</v>
      </c>
      <c r="D1762">
        <v>2011</v>
      </c>
      <c r="E1762" t="s">
        <v>1074</v>
      </c>
      <c r="F1762">
        <v>2296</v>
      </c>
      <c r="G1762">
        <v>27</v>
      </c>
      <c r="H1762" s="11" t="str">
        <f t="shared" si="96"/>
        <v>count</v>
      </c>
    </row>
    <row r="1763" spans="1:8">
      <c r="A1763" s="11" t="str">
        <f t="shared" si="97"/>
        <v>15-892281232012</v>
      </c>
      <c r="B1763" t="s">
        <v>890</v>
      </c>
      <c r="C1763" t="s">
        <v>891</v>
      </c>
      <c r="D1763">
        <v>2012</v>
      </c>
      <c r="E1763" t="s">
        <v>104</v>
      </c>
      <c r="F1763">
        <v>33162</v>
      </c>
      <c r="G1763">
        <v>387</v>
      </c>
      <c r="H1763" s="11" t="str">
        <f t="shared" si="96"/>
        <v>count</v>
      </c>
    </row>
    <row r="1764" spans="1:8">
      <c r="A1764" s="11" t="str">
        <f t="shared" si="97"/>
        <v>15-892281232013</v>
      </c>
      <c r="B1764" t="s">
        <v>890</v>
      </c>
      <c r="C1764" t="s">
        <v>891</v>
      </c>
      <c r="D1764">
        <v>2013</v>
      </c>
      <c r="E1764" t="s">
        <v>105</v>
      </c>
      <c r="F1764">
        <v>740</v>
      </c>
      <c r="G1764">
        <v>7</v>
      </c>
      <c r="H1764" s="11" t="str">
        <f t="shared" si="96"/>
        <v>count</v>
      </c>
    </row>
    <row r="1765" spans="1:8">
      <c r="A1765" s="11" t="str">
        <f t="shared" si="97"/>
        <v>15-892281232012</v>
      </c>
      <c r="B1765" t="s">
        <v>890</v>
      </c>
      <c r="C1765" t="s">
        <v>891</v>
      </c>
      <c r="D1765">
        <v>2012</v>
      </c>
      <c r="E1765" t="s">
        <v>1074</v>
      </c>
      <c r="F1765">
        <v>7050</v>
      </c>
      <c r="G1765">
        <v>88</v>
      </c>
      <c r="H1765" s="11" t="str">
        <f t="shared" si="96"/>
        <v>count</v>
      </c>
    </row>
    <row r="1766" spans="1:8">
      <c r="A1766" s="11" t="str">
        <f t="shared" si="97"/>
        <v>15-892281232011</v>
      </c>
      <c r="B1766" t="s">
        <v>890</v>
      </c>
      <c r="C1766" t="s">
        <v>891</v>
      </c>
      <c r="D1766">
        <v>2011</v>
      </c>
      <c r="E1766" t="s">
        <v>106</v>
      </c>
      <c r="F1766">
        <v>425</v>
      </c>
      <c r="G1766">
        <v>2</v>
      </c>
      <c r="H1766" s="11" t="str">
        <f t="shared" si="96"/>
        <v>count</v>
      </c>
    </row>
    <row r="1767" spans="1:8">
      <c r="A1767" s="11" t="str">
        <f t="shared" si="97"/>
        <v>15-892281232012</v>
      </c>
      <c r="B1767" t="s">
        <v>890</v>
      </c>
      <c r="C1767" t="s">
        <v>891</v>
      </c>
      <c r="D1767">
        <v>2012</v>
      </c>
      <c r="E1767" t="s">
        <v>63</v>
      </c>
      <c r="F1767">
        <v>22506</v>
      </c>
      <c r="G1767">
        <v>281</v>
      </c>
      <c r="H1767" s="11" t="str">
        <f t="shared" si="96"/>
        <v>count</v>
      </c>
    </row>
    <row r="1768" spans="1:8">
      <c r="A1768" s="11" t="str">
        <f t="shared" si="97"/>
        <v>15-892281232011</v>
      </c>
      <c r="B1768" t="s">
        <v>890</v>
      </c>
      <c r="C1768" t="s">
        <v>891</v>
      </c>
      <c r="D1768">
        <v>2011</v>
      </c>
      <c r="E1768" t="s">
        <v>1075</v>
      </c>
      <c r="F1768">
        <v>2878</v>
      </c>
      <c r="G1768">
        <v>37</v>
      </c>
      <c r="H1768" s="11" t="str">
        <f t="shared" si="96"/>
        <v>count</v>
      </c>
    </row>
    <row r="1769" spans="1:8">
      <c r="A1769" s="11" t="str">
        <f t="shared" si="97"/>
        <v>15-892281232013</v>
      </c>
      <c r="B1769" t="s">
        <v>890</v>
      </c>
      <c r="C1769" t="s">
        <v>891</v>
      </c>
      <c r="D1769">
        <v>2013</v>
      </c>
      <c r="E1769" t="s">
        <v>69</v>
      </c>
      <c r="F1769">
        <v>171258</v>
      </c>
      <c r="G1769">
        <v>1997</v>
      </c>
      <c r="H1769" s="11" t="str">
        <f t="shared" si="96"/>
        <v>count</v>
      </c>
    </row>
    <row r="1770" spans="1:8">
      <c r="A1770" s="11" t="str">
        <f t="shared" si="97"/>
        <v>15-899295522013</v>
      </c>
      <c r="B1770" t="s">
        <v>896</v>
      </c>
      <c r="C1770" t="s">
        <v>897</v>
      </c>
      <c r="D1770">
        <v>2013</v>
      </c>
      <c r="E1770" t="s">
        <v>63</v>
      </c>
      <c r="F1770">
        <v>3258491.32</v>
      </c>
      <c r="G1770">
        <v>2013</v>
      </c>
      <c r="H1770" s="11" t="str">
        <f t="shared" si="96"/>
        <v>volume</v>
      </c>
    </row>
    <row r="1771" spans="1:8">
      <c r="A1771" s="11" t="str">
        <f t="shared" si="97"/>
        <v>15-899295522013</v>
      </c>
      <c r="B1771" t="s">
        <v>896</v>
      </c>
      <c r="C1771" t="s">
        <v>897</v>
      </c>
      <c r="D1771">
        <v>2013</v>
      </c>
      <c r="E1771" t="s">
        <v>104</v>
      </c>
      <c r="F1771">
        <v>1852688.04</v>
      </c>
      <c r="G1771">
        <v>1170</v>
      </c>
      <c r="H1771" s="11" t="str">
        <f t="shared" si="96"/>
        <v>count</v>
      </c>
    </row>
    <row r="1772" spans="1:8">
      <c r="A1772" s="11" t="str">
        <f t="shared" si="97"/>
        <v>15-899295522011</v>
      </c>
      <c r="B1772" t="s">
        <v>896</v>
      </c>
      <c r="C1772" t="s">
        <v>897</v>
      </c>
      <c r="D1772">
        <v>2011</v>
      </c>
      <c r="E1772" t="s">
        <v>69</v>
      </c>
      <c r="F1772">
        <v>5059.18</v>
      </c>
      <c r="G1772">
        <v>4</v>
      </c>
      <c r="H1772" s="11" t="str">
        <f t="shared" si="96"/>
        <v>count</v>
      </c>
    </row>
    <row r="1773" spans="1:8">
      <c r="A1773" s="11" t="str">
        <f t="shared" si="97"/>
        <v>15-899295522011</v>
      </c>
      <c r="B1773" t="s">
        <v>896</v>
      </c>
      <c r="C1773" t="s">
        <v>897</v>
      </c>
      <c r="D1773">
        <v>2011</v>
      </c>
      <c r="E1773" t="s">
        <v>105</v>
      </c>
      <c r="F1773">
        <v>71984.289999999994</v>
      </c>
      <c r="G1773">
        <v>46</v>
      </c>
      <c r="H1773" s="11" t="str">
        <f t="shared" si="96"/>
        <v>count</v>
      </c>
    </row>
    <row r="1774" spans="1:8">
      <c r="A1774" s="11" t="str">
        <f t="shared" si="97"/>
        <v>15-899295522012</v>
      </c>
      <c r="B1774" t="s">
        <v>896</v>
      </c>
      <c r="C1774" t="s">
        <v>897</v>
      </c>
      <c r="D1774">
        <v>2012</v>
      </c>
      <c r="E1774" t="s">
        <v>104</v>
      </c>
      <c r="F1774">
        <v>2045994.56</v>
      </c>
      <c r="G1774">
        <v>1341</v>
      </c>
      <c r="H1774" s="11" t="str">
        <f t="shared" si="96"/>
        <v>count</v>
      </c>
    </row>
    <row r="1775" spans="1:8">
      <c r="A1775" s="11" t="str">
        <f t="shared" si="97"/>
        <v>15-899295522012</v>
      </c>
      <c r="B1775" t="s">
        <v>896</v>
      </c>
      <c r="C1775" t="s">
        <v>897</v>
      </c>
      <c r="D1775">
        <v>2012</v>
      </c>
      <c r="E1775" t="s">
        <v>69</v>
      </c>
      <c r="F1775">
        <v>963187.78</v>
      </c>
      <c r="G1775">
        <v>768</v>
      </c>
      <c r="H1775" s="11" t="str">
        <f t="shared" si="96"/>
        <v>count</v>
      </c>
    </row>
    <row r="1776" spans="1:8">
      <c r="A1776" s="11" t="str">
        <f t="shared" si="97"/>
        <v>15-899295522012</v>
      </c>
      <c r="B1776" t="s">
        <v>896</v>
      </c>
      <c r="C1776" t="s">
        <v>897</v>
      </c>
      <c r="D1776">
        <v>2012</v>
      </c>
      <c r="E1776" t="s">
        <v>63</v>
      </c>
      <c r="F1776">
        <v>3304898.69</v>
      </c>
      <c r="G1776">
        <v>2124</v>
      </c>
      <c r="H1776" s="11" t="str">
        <f t="shared" si="96"/>
        <v>count</v>
      </c>
    </row>
    <row r="1777" spans="1:8">
      <c r="A1777" s="11" t="str">
        <f t="shared" si="97"/>
        <v>15-899295522013</v>
      </c>
      <c r="B1777" t="s">
        <v>896</v>
      </c>
      <c r="C1777" t="s">
        <v>897</v>
      </c>
      <c r="D1777">
        <v>2013</v>
      </c>
      <c r="E1777" t="s">
        <v>105</v>
      </c>
      <c r="F1777">
        <v>592758.06000000006</v>
      </c>
      <c r="G1777">
        <v>388</v>
      </c>
      <c r="H1777" s="11" t="str">
        <f t="shared" si="96"/>
        <v>count</v>
      </c>
    </row>
    <row r="1778" spans="1:8">
      <c r="A1778" s="11" t="str">
        <f t="shared" si="97"/>
        <v>15-899295522011</v>
      </c>
      <c r="B1778" t="s">
        <v>896</v>
      </c>
      <c r="C1778" t="s">
        <v>897</v>
      </c>
      <c r="D1778">
        <v>2011</v>
      </c>
      <c r="E1778" t="s">
        <v>104</v>
      </c>
      <c r="F1778">
        <v>267205.92</v>
      </c>
      <c r="G1778">
        <v>166</v>
      </c>
      <c r="H1778" s="11" t="str">
        <f t="shared" si="96"/>
        <v>count</v>
      </c>
    </row>
    <row r="1779" spans="1:8">
      <c r="A1779" s="11" t="str">
        <f t="shared" si="97"/>
        <v>15-899295522011</v>
      </c>
      <c r="B1779" t="s">
        <v>896</v>
      </c>
      <c r="C1779" t="s">
        <v>897</v>
      </c>
      <c r="D1779">
        <v>2011</v>
      </c>
      <c r="E1779" t="s">
        <v>63</v>
      </c>
      <c r="F1779">
        <v>455317.15</v>
      </c>
      <c r="G1779">
        <v>264</v>
      </c>
      <c r="H1779" s="11" t="str">
        <f t="shared" si="96"/>
        <v>count</v>
      </c>
    </row>
    <row r="1780" spans="1:8">
      <c r="A1780" s="11" t="str">
        <f t="shared" si="97"/>
        <v>15-899295522013</v>
      </c>
      <c r="B1780" t="s">
        <v>896</v>
      </c>
      <c r="C1780" t="s">
        <v>897</v>
      </c>
      <c r="D1780">
        <v>2013</v>
      </c>
      <c r="E1780" t="s">
        <v>69</v>
      </c>
      <c r="F1780">
        <v>1106270.58</v>
      </c>
      <c r="G1780">
        <v>807</v>
      </c>
      <c r="H1780" s="11" t="str">
        <f t="shared" si="96"/>
        <v>count</v>
      </c>
    </row>
    <row r="1781" spans="1:8">
      <c r="A1781" s="11" t="str">
        <f t="shared" si="97"/>
        <v>15-899295522012</v>
      </c>
      <c r="B1781" t="s">
        <v>896</v>
      </c>
      <c r="C1781" t="s">
        <v>897</v>
      </c>
      <c r="D1781">
        <v>2012</v>
      </c>
      <c r="E1781" t="s">
        <v>105</v>
      </c>
      <c r="F1781">
        <v>588985.31000000006</v>
      </c>
      <c r="G1781">
        <v>401</v>
      </c>
      <c r="H1781" s="11" t="str">
        <f t="shared" si="96"/>
        <v>count</v>
      </c>
    </row>
    <row r="1782" spans="1:8">
      <c r="A1782" s="11" t="str">
        <f t="shared" si="97"/>
        <v>15-912249222012</v>
      </c>
      <c r="B1782" t="s">
        <v>907</v>
      </c>
      <c r="C1782" t="s">
        <v>908</v>
      </c>
      <c r="D1782">
        <v>2012</v>
      </c>
      <c r="E1782" t="s">
        <v>106</v>
      </c>
      <c r="F1782">
        <v>595087.37</v>
      </c>
      <c r="G1782">
        <v>429</v>
      </c>
      <c r="H1782" s="11" t="str">
        <f t="shared" si="96"/>
        <v>volume</v>
      </c>
    </row>
    <row r="1783" spans="1:8">
      <c r="A1783" s="11" t="str">
        <f t="shared" si="97"/>
        <v>15-912249222012</v>
      </c>
      <c r="B1783" t="s">
        <v>907</v>
      </c>
      <c r="C1783" t="s">
        <v>908</v>
      </c>
      <c r="D1783">
        <v>2012</v>
      </c>
      <c r="E1783" t="s">
        <v>105</v>
      </c>
      <c r="F1783">
        <v>16614.509999999998</v>
      </c>
      <c r="G1783">
        <v>19</v>
      </c>
      <c r="H1783" s="11" t="str">
        <f t="shared" si="96"/>
        <v>count</v>
      </c>
    </row>
    <row r="1784" spans="1:8">
      <c r="A1784" s="11" t="str">
        <f t="shared" si="97"/>
        <v>15-912249222013</v>
      </c>
      <c r="B1784" t="s">
        <v>907</v>
      </c>
      <c r="C1784" t="s">
        <v>908</v>
      </c>
      <c r="D1784">
        <v>2013</v>
      </c>
      <c r="E1784" t="s">
        <v>133</v>
      </c>
      <c r="F1784">
        <v>384163.15</v>
      </c>
      <c r="G1784">
        <v>250</v>
      </c>
      <c r="H1784" s="11" t="str">
        <f t="shared" si="96"/>
        <v>count</v>
      </c>
    </row>
    <row r="1785" spans="1:8">
      <c r="A1785" s="11" t="str">
        <f t="shared" si="97"/>
        <v>15-912249222013</v>
      </c>
      <c r="B1785" t="s">
        <v>907</v>
      </c>
      <c r="C1785" t="s">
        <v>908</v>
      </c>
      <c r="D1785">
        <v>2013</v>
      </c>
      <c r="E1785" t="s">
        <v>105</v>
      </c>
      <c r="F1785">
        <v>39635.97</v>
      </c>
      <c r="G1785">
        <v>28</v>
      </c>
      <c r="H1785" s="11" t="str">
        <f t="shared" si="96"/>
        <v>count</v>
      </c>
    </row>
    <row r="1786" spans="1:8">
      <c r="A1786" s="11" t="str">
        <f t="shared" si="97"/>
        <v>15-912249222012</v>
      </c>
      <c r="B1786" t="s">
        <v>907</v>
      </c>
      <c r="C1786" t="s">
        <v>908</v>
      </c>
      <c r="D1786">
        <v>2012</v>
      </c>
      <c r="E1786" t="s">
        <v>1074</v>
      </c>
      <c r="F1786">
        <v>983.89</v>
      </c>
      <c r="G1786">
        <v>1</v>
      </c>
      <c r="H1786" s="11" t="str">
        <f t="shared" si="96"/>
        <v>count</v>
      </c>
    </row>
    <row r="1787" spans="1:8">
      <c r="A1787" s="11" t="str">
        <f t="shared" si="97"/>
        <v>15-912249222012</v>
      </c>
      <c r="B1787" t="s">
        <v>907</v>
      </c>
      <c r="C1787" t="s">
        <v>908</v>
      </c>
      <c r="D1787">
        <v>2012</v>
      </c>
      <c r="E1787" t="s">
        <v>63</v>
      </c>
      <c r="F1787">
        <v>485564.01</v>
      </c>
      <c r="G1787">
        <v>483</v>
      </c>
      <c r="H1787" s="11" t="str">
        <f t="shared" si="96"/>
        <v>count</v>
      </c>
    </row>
    <row r="1788" spans="1:8">
      <c r="A1788" s="11" t="str">
        <f t="shared" si="97"/>
        <v>15-912249222013</v>
      </c>
      <c r="B1788" t="s">
        <v>907</v>
      </c>
      <c r="C1788" t="s">
        <v>908</v>
      </c>
      <c r="D1788">
        <v>2013</v>
      </c>
      <c r="E1788" t="s">
        <v>69</v>
      </c>
      <c r="F1788">
        <v>107831.95</v>
      </c>
      <c r="G1788">
        <v>137</v>
      </c>
      <c r="H1788" s="11" t="str">
        <f t="shared" si="96"/>
        <v>count</v>
      </c>
    </row>
    <row r="1789" spans="1:8">
      <c r="A1789" s="11" t="str">
        <f t="shared" si="97"/>
        <v>15-912249222012</v>
      </c>
      <c r="B1789" t="s">
        <v>907</v>
      </c>
      <c r="C1789" t="s">
        <v>908</v>
      </c>
      <c r="D1789">
        <v>2012</v>
      </c>
      <c r="E1789" t="s">
        <v>104</v>
      </c>
      <c r="F1789">
        <v>223017.45</v>
      </c>
      <c r="G1789">
        <v>215</v>
      </c>
      <c r="H1789" s="11" t="str">
        <f t="shared" si="96"/>
        <v>count</v>
      </c>
    </row>
    <row r="1790" spans="1:8">
      <c r="A1790" s="11" t="str">
        <f t="shared" si="97"/>
        <v>15-912249222012</v>
      </c>
      <c r="B1790" t="s">
        <v>907</v>
      </c>
      <c r="C1790" t="s">
        <v>908</v>
      </c>
      <c r="D1790">
        <v>2012</v>
      </c>
      <c r="E1790" t="s">
        <v>133</v>
      </c>
      <c r="F1790">
        <v>211589.4</v>
      </c>
      <c r="G1790">
        <v>145</v>
      </c>
      <c r="H1790" s="11" t="str">
        <f t="shared" si="96"/>
        <v>count</v>
      </c>
    </row>
    <row r="1791" spans="1:8">
      <c r="A1791" s="11" t="str">
        <f t="shared" si="97"/>
        <v>15-912249222012</v>
      </c>
      <c r="B1791" t="s">
        <v>907</v>
      </c>
      <c r="C1791" t="s">
        <v>908</v>
      </c>
      <c r="D1791">
        <v>2012</v>
      </c>
      <c r="E1791" t="s">
        <v>69</v>
      </c>
      <c r="F1791">
        <v>82309.850000000006</v>
      </c>
      <c r="G1791">
        <v>93</v>
      </c>
      <c r="H1791" s="11" t="str">
        <f t="shared" si="96"/>
        <v>count</v>
      </c>
    </row>
    <row r="1792" spans="1:8">
      <c r="A1792" s="11" t="str">
        <f t="shared" si="97"/>
        <v>15-912249222013</v>
      </c>
      <c r="B1792" t="s">
        <v>907</v>
      </c>
      <c r="C1792" t="s">
        <v>908</v>
      </c>
      <c r="D1792">
        <v>2013</v>
      </c>
      <c r="E1792" t="s">
        <v>63</v>
      </c>
      <c r="F1792">
        <v>590393.67000000004</v>
      </c>
      <c r="G1792">
        <v>564</v>
      </c>
      <c r="H1792" s="11" t="str">
        <f t="shared" si="96"/>
        <v>count</v>
      </c>
    </row>
    <row r="1793" spans="1:8">
      <c r="A1793" s="11" t="str">
        <f t="shared" si="97"/>
        <v>15-912249222011</v>
      </c>
      <c r="B1793" t="s">
        <v>907</v>
      </c>
      <c r="C1793" t="s">
        <v>908</v>
      </c>
      <c r="D1793">
        <v>2011</v>
      </c>
      <c r="E1793" t="s">
        <v>69</v>
      </c>
      <c r="F1793">
        <v>1</v>
      </c>
      <c r="G1793">
        <v>1</v>
      </c>
      <c r="H1793" s="11" t="str">
        <f t="shared" si="96"/>
        <v>count</v>
      </c>
    </row>
    <row r="1794" spans="1:8">
      <c r="A1794" s="11" t="str">
        <f t="shared" si="97"/>
        <v>15-912249222013</v>
      </c>
      <c r="B1794" t="s">
        <v>907</v>
      </c>
      <c r="C1794" t="s">
        <v>908</v>
      </c>
      <c r="D1794">
        <v>2013</v>
      </c>
      <c r="E1794" t="s">
        <v>106</v>
      </c>
      <c r="F1794">
        <v>812655.21</v>
      </c>
      <c r="G1794">
        <v>530</v>
      </c>
      <c r="H1794" s="11" t="str">
        <f t="shared" ref="H1794:H1857" si="98">IF(B1794=B1793,"count","volume")</f>
        <v>count</v>
      </c>
    </row>
    <row r="1795" spans="1:8">
      <c r="A1795" s="11" t="str">
        <f t="shared" ref="A1795:A1858" si="99">B1795&amp;D1795</f>
        <v>15-912249222013</v>
      </c>
      <c r="B1795" t="s">
        <v>907</v>
      </c>
      <c r="C1795" t="s">
        <v>908</v>
      </c>
      <c r="D1795">
        <v>2013</v>
      </c>
      <c r="E1795" t="s">
        <v>104</v>
      </c>
      <c r="F1795">
        <v>262790.8</v>
      </c>
      <c r="G1795">
        <v>233</v>
      </c>
      <c r="H1795" s="11" t="str">
        <f t="shared" si="98"/>
        <v>count</v>
      </c>
    </row>
    <row r="1796" spans="1:8">
      <c r="A1796" s="11" t="str">
        <f t="shared" si="99"/>
        <v>15-916511972012</v>
      </c>
      <c r="B1796" t="s">
        <v>909</v>
      </c>
      <c r="C1796" t="s">
        <v>910</v>
      </c>
      <c r="D1796">
        <v>2012</v>
      </c>
      <c r="E1796" t="s">
        <v>63</v>
      </c>
      <c r="F1796">
        <v>430779.1</v>
      </c>
      <c r="G1796">
        <v>448</v>
      </c>
      <c r="H1796" s="11" t="str">
        <f t="shared" si="98"/>
        <v>volume</v>
      </c>
    </row>
    <row r="1797" spans="1:8">
      <c r="A1797" s="11" t="str">
        <f t="shared" si="99"/>
        <v>15-916511972013</v>
      </c>
      <c r="B1797" t="s">
        <v>909</v>
      </c>
      <c r="C1797" t="s">
        <v>910</v>
      </c>
      <c r="D1797">
        <v>2013</v>
      </c>
      <c r="E1797" t="s">
        <v>133</v>
      </c>
      <c r="F1797">
        <v>533979.01</v>
      </c>
      <c r="G1797">
        <v>272</v>
      </c>
      <c r="H1797" s="11" t="str">
        <f t="shared" si="98"/>
        <v>count</v>
      </c>
    </row>
    <row r="1798" spans="1:8">
      <c r="A1798" s="11" t="str">
        <f t="shared" si="99"/>
        <v>15-916511972013</v>
      </c>
      <c r="B1798" t="s">
        <v>909</v>
      </c>
      <c r="C1798" t="s">
        <v>910</v>
      </c>
      <c r="D1798">
        <v>2013</v>
      </c>
      <c r="E1798" t="s">
        <v>69</v>
      </c>
      <c r="F1798">
        <v>25137.119999999999</v>
      </c>
      <c r="G1798">
        <v>45</v>
      </c>
      <c r="H1798" s="11" t="str">
        <f t="shared" si="98"/>
        <v>count</v>
      </c>
    </row>
    <row r="1799" spans="1:8">
      <c r="A1799" s="11" t="str">
        <f t="shared" si="99"/>
        <v>15-916511972012</v>
      </c>
      <c r="B1799" t="s">
        <v>909</v>
      </c>
      <c r="C1799" t="s">
        <v>910</v>
      </c>
      <c r="D1799">
        <v>2012</v>
      </c>
      <c r="E1799" t="s">
        <v>104</v>
      </c>
      <c r="F1799">
        <v>297407.74</v>
      </c>
      <c r="G1799">
        <v>192</v>
      </c>
      <c r="H1799" s="11" t="str">
        <f t="shared" si="98"/>
        <v>count</v>
      </c>
    </row>
    <row r="1800" spans="1:8">
      <c r="A1800" s="11" t="str">
        <f t="shared" si="99"/>
        <v>15-916511972012</v>
      </c>
      <c r="B1800" t="s">
        <v>909</v>
      </c>
      <c r="C1800" t="s">
        <v>910</v>
      </c>
      <c r="D1800">
        <v>2012</v>
      </c>
      <c r="E1800" t="s">
        <v>133</v>
      </c>
      <c r="F1800">
        <v>383959.23</v>
      </c>
      <c r="G1800">
        <v>297</v>
      </c>
      <c r="H1800" s="11" t="str">
        <f t="shared" si="98"/>
        <v>count</v>
      </c>
    </row>
    <row r="1801" spans="1:8">
      <c r="A1801" s="11" t="str">
        <f t="shared" si="99"/>
        <v>15-916511972012</v>
      </c>
      <c r="B1801" t="s">
        <v>909</v>
      </c>
      <c r="C1801" t="s">
        <v>910</v>
      </c>
      <c r="D1801">
        <v>2012</v>
      </c>
      <c r="E1801" t="s">
        <v>69</v>
      </c>
      <c r="F1801">
        <v>19934.57</v>
      </c>
      <c r="G1801">
        <v>64</v>
      </c>
      <c r="H1801" s="11" t="str">
        <f t="shared" si="98"/>
        <v>count</v>
      </c>
    </row>
    <row r="1802" spans="1:8">
      <c r="A1802" s="11" t="str">
        <f t="shared" si="99"/>
        <v>15-916511972013</v>
      </c>
      <c r="B1802" t="s">
        <v>909</v>
      </c>
      <c r="C1802" t="s">
        <v>910</v>
      </c>
      <c r="D1802">
        <v>2013</v>
      </c>
      <c r="E1802" t="s">
        <v>104</v>
      </c>
      <c r="F1802">
        <v>332372.88</v>
      </c>
      <c r="G1802">
        <v>168</v>
      </c>
      <c r="H1802" s="11" t="str">
        <f t="shared" si="98"/>
        <v>count</v>
      </c>
    </row>
    <row r="1803" spans="1:8">
      <c r="A1803" s="11" t="str">
        <f t="shared" si="99"/>
        <v>15-916511972013</v>
      </c>
      <c r="B1803" t="s">
        <v>909</v>
      </c>
      <c r="C1803" t="s">
        <v>910</v>
      </c>
      <c r="D1803">
        <v>2013</v>
      </c>
      <c r="E1803" t="s">
        <v>63</v>
      </c>
      <c r="F1803">
        <v>571515.23</v>
      </c>
      <c r="G1803">
        <v>355</v>
      </c>
      <c r="H1803" s="11" t="str">
        <f t="shared" si="98"/>
        <v>count</v>
      </c>
    </row>
    <row r="1804" spans="1:8">
      <c r="A1804" s="11" t="str">
        <f t="shared" si="99"/>
        <v>15-923115332012</v>
      </c>
      <c r="B1804" t="s">
        <v>914</v>
      </c>
      <c r="C1804" t="s">
        <v>915</v>
      </c>
      <c r="D1804">
        <v>2012</v>
      </c>
      <c r="E1804" t="s">
        <v>105</v>
      </c>
      <c r="F1804">
        <v>9639.75</v>
      </c>
      <c r="G1804">
        <v>7</v>
      </c>
      <c r="H1804" s="11" t="str">
        <f t="shared" si="98"/>
        <v>volume</v>
      </c>
    </row>
    <row r="1805" spans="1:8">
      <c r="A1805" s="11" t="str">
        <f t="shared" si="99"/>
        <v>15-923115332012</v>
      </c>
      <c r="B1805" t="s">
        <v>914</v>
      </c>
      <c r="C1805" t="s">
        <v>915</v>
      </c>
      <c r="D1805">
        <v>2012</v>
      </c>
      <c r="E1805" t="s">
        <v>69</v>
      </c>
      <c r="F1805">
        <v>42140.46</v>
      </c>
      <c r="G1805">
        <v>48</v>
      </c>
      <c r="H1805" s="11" t="str">
        <f t="shared" si="98"/>
        <v>count</v>
      </c>
    </row>
    <row r="1806" spans="1:8">
      <c r="A1806" s="11" t="str">
        <f t="shared" si="99"/>
        <v>15-923115332013</v>
      </c>
      <c r="B1806" t="s">
        <v>914</v>
      </c>
      <c r="C1806" t="s">
        <v>915</v>
      </c>
      <c r="D1806">
        <v>2013</v>
      </c>
      <c r="E1806" t="s">
        <v>63</v>
      </c>
      <c r="F1806">
        <v>252263.49</v>
      </c>
      <c r="G1806">
        <v>305</v>
      </c>
      <c r="H1806" s="11" t="str">
        <f t="shared" si="98"/>
        <v>count</v>
      </c>
    </row>
    <row r="1807" spans="1:8">
      <c r="A1807" s="11" t="str">
        <f t="shared" si="99"/>
        <v>15-923115332013</v>
      </c>
      <c r="B1807" t="s">
        <v>914</v>
      </c>
      <c r="C1807" t="s">
        <v>915</v>
      </c>
      <c r="D1807">
        <v>2013</v>
      </c>
      <c r="E1807" t="s">
        <v>69</v>
      </c>
      <c r="F1807">
        <v>131238.72</v>
      </c>
      <c r="G1807">
        <v>180</v>
      </c>
      <c r="H1807" s="11" t="str">
        <f t="shared" si="98"/>
        <v>count</v>
      </c>
    </row>
    <row r="1808" spans="1:8">
      <c r="A1808" s="11" t="str">
        <f t="shared" si="99"/>
        <v>15-923115332013</v>
      </c>
      <c r="B1808" t="s">
        <v>914</v>
      </c>
      <c r="C1808" t="s">
        <v>915</v>
      </c>
      <c r="D1808">
        <v>2013</v>
      </c>
      <c r="E1808" t="s">
        <v>104</v>
      </c>
      <c r="F1808">
        <v>139391.89000000001</v>
      </c>
      <c r="G1808">
        <v>163</v>
      </c>
      <c r="H1808" s="11" t="str">
        <f t="shared" si="98"/>
        <v>count</v>
      </c>
    </row>
    <row r="1809" spans="1:8">
      <c r="A1809" s="11" t="str">
        <f t="shared" si="99"/>
        <v>15-923115332013</v>
      </c>
      <c r="B1809" t="s">
        <v>914</v>
      </c>
      <c r="C1809" t="s">
        <v>915</v>
      </c>
      <c r="D1809">
        <v>2013</v>
      </c>
      <c r="E1809" t="s">
        <v>106</v>
      </c>
      <c r="F1809">
        <v>2926.24</v>
      </c>
      <c r="G1809">
        <v>2</v>
      </c>
      <c r="H1809" s="11" t="str">
        <f t="shared" si="98"/>
        <v>count</v>
      </c>
    </row>
    <row r="1810" spans="1:8">
      <c r="A1810" s="11" t="str">
        <f t="shared" si="99"/>
        <v>15-923115332013</v>
      </c>
      <c r="B1810" t="s">
        <v>914</v>
      </c>
      <c r="C1810" t="s">
        <v>915</v>
      </c>
      <c r="D1810">
        <v>2013</v>
      </c>
      <c r="E1810" t="s">
        <v>105</v>
      </c>
      <c r="F1810">
        <v>20104.07</v>
      </c>
      <c r="G1810">
        <v>23</v>
      </c>
      <c r="H1810" s="11" t="str">
        <f t="shared" si="98"/>
        <v>count</v>
      </c>
    </row>
    <row r="1811" spans="1:8">
      <c r="A1811" s="11" t="str">
        <f t="shared" si="99"/>
        <v>15-923115332012</v>
      </c>
      <c r="B1811" t="s">
        <v>914</v>
      </c>
      <c r="C1811" t="s">
        <v>915</v>
      </c>
      <c r="D1811">
        <v>2012</v>
      </c>
      <c r="E1811" t="s">
        <v>104</v>
      </c>
      <c r="F1811">
        <v>62481.72</v>
      </c>
      <c r="G1811">
        <v>69</v>
      </c>
      <c r="H1811" s="11" t="str">
        <f t="shared" si="98"/>
        <v>count</v>
      </c>
    </row>
    <row r="1812" spans="1:8">
      <c r="A1812" s="11" t="str">
        <f t="shared" si="99"/>
        <v>15-923115332012</v>
      </c>
      <c r="B1812" t="s">
        <v>914</v>
      </c>
      <c r="C1812" t="s">
        <v>915</v>
      </c>
      <c r="D1812">
        <v>2012</v>
      </c>
      <c r="E1812" t="s">
        <v>63</v>
      </c>
      <c r="F1812">
        <v>80107.69</v>
      </c>
      <c r="G1812">
        <v>83</v>
      </c>
      <c r="H1812" s="11" t="str">
        <f t="shared" si="98"/>
        <v>count</v>
      </c>
    </row>
    <row r="1813" spans="1:8">
      <c r="A1813" s="11" t="str">
        <f t="shared" si="99"/>
        <v>15-924145592013</v>
      </c>
      <c r="B1813" t="s">
        <v>917</v>
      </c>
      <c r="C1813" t="s">
        <v>918</v>
      </c>
      <c r="D1813">
        <v>2013</v>
      </c>
      <c r="E1813" t="s">
        <v>133</v>
      </c>
      <c r="F1813">
        <v>383433.71</v>
      </c>
      <c r="G1813">
        <v>939</v>
      </c>
      <c r="H1813" s="11" t="str">
        <f t="shared" si="98"/>
        <v>volume</v>
      </c>
    </row>
    <row r="1814" spans="1:8">
      <c r="A1814" s="11" t="str">
        <f t="shared" si="99"/>
        <v>15-924145592012</v>
      </c>
      <c r="B1814" t="s">
        <v>917</v>
      </c>
      <c r="C1814" t="s">
        <v>918</v>
      </c>
      <c r="D1814">
        <v>2012</v>
      </c>
      <c r="E1814" t="s">
        <v>105</v>
      </c>
      <c r="F1814">
        <v>48180.71</v>
      </c>
      <c r="G1814">
        <v>113</v>
      </c>
      <c r="H1814" s="11" t="str">
        <f t="shared" si="98"/>
        <v>count</v>
      </c>
    </row>
    <row r="1815" spans="1:8">
      <c r="A1815" s="11" t="str">
        <f t="shared" si="99"/>
        <v>15-924145592013</v>
      </c>
      <c r="B1815" t="s">
        <v>917</v>
      </c>
      <c r="C1815" t="s">
        <v>918</v>
      </c>
      <c r="D1815">
        <v>2013</v>
      </c>
      <c r="E1815" t="s">
        <v>69</v>
      </c>
      <c r="F1815">
        <v>36307.480000000003</v>
      </c>
      <c r="G1815">
        <v>72</v>
      </c>
      <c r="H1815" s="11" t="str">
        <f t="shared" si="98"/>
        <v>count</v>
      </c>
    </row>
    <row r="1816" spans="1:8">
      <c r="A1816" s="11" t="str">
        <f t="shared" si="99"/>
        <v>15-924145592012</v>
      </c>
      <c r="B1816" t="s">
        <v>917</v>
      </c>
      <c r="C1816" t="s">
        <v>918</v>
      </c>
      <c r="D1816">
        <v>2012</v>
      </c>
      <c r="E1816" t="s">
        <v>63</v>
      </c>
      <c r="F1816">
        <v>989238.94</v>
      </c>
      <c r="G1816">
        <v>2349</v>
      </c>
      <c r="H1816" s="11" t="str">
        <f t="shared" si="98"/>
        <v>count</v>
      </c>
    </row>
    <row r="1817" spans="1:8">
      <c r="A1817" s="11" t="str">
        <f t="shared" si="99"/>
        <v>15-924145592012</v>
      </c>
      <c r="B1817" t="s">
        <v>917</v>
      </c>
      <c r="C1817" t="s">
        <v>918</v>
      </c>
      <c r="D1817">
        <v>2012</v>
      </c>
      <c r="E1817" t="s">
        <v>69</v>
      </c>
      <c r="F1817">
        <v>48477.64</v>
      </c>
      <c r="G1817">
        <v>129</v>
      </c>
      <c r="H1817" s="11" t="str">
        <f t="shared" si="98"/>
        <v>count</v>
      </c>
    </row>
    <row r="1818" spans="1:8">
      <c r="A1818" s="11" t="str">
        <f t="shared" si="99"/>
        <v>15-924145592012</v>
      </c>
      <c r="B1818" t="s">
        <v>917</v>
      </c>
      <c r="C1818" t="s">
        <v>918</v>
      </c>
      <c r="D1818">
        <v>2012</v>
      </c>
      <c r="E1818" t="s">
        <v>104</v>
      </c>
      <c r="F1818">
        <v>530696.91</v>
      </c>
      <c r="G1818">
        <v>1268</v>
      </c>
      <c r="H1818" s="11" t="str">
        <f t="shared" si="98"/>
        <v>count</v>
      </c>
    </row>
    <row r="1819" spans="1:8">
      <c r="A1819" s="11" t="str">
        <f t="shared" si="99"/>
        <v>15-924145592013</v>
      </c>
      <c r="B1819" t="s">
        <v>917</v>
      </c>
      <c r="C1819" t="s">
        <v>918</v>
      </c>
      <c r="D1819">
        <v>2013</v>
      </c>
      <c r="E1819" t="s">
        <v>105</v>
      </c>
      <c r="F1819">
        <v>62349.9</v>
      </c>
      <c r="G1819">
        <v>132</v>
      </c>
      <c r="H1819" s="11" t="str">
        <f t="shared" si="98"/>
        <v>count</v>
      </c>
    </row>
    <row r="1820" spans="1:8">
      <c r="A1820" s="11" t="str">
        <f t="shared" si="99"/>
        <v>15-924145592012</v>
      </c>
      <c r="B1820" t="s">
        <v>917</v>
      </c>
      <c r="C1820" t="s">
        <v>918</v>
      </c>
      <c r="D1820">
        <v>2012</v>
      </c>
      <c r="E1820" t="s">
        <v>133</v>
      </c>
      <c r="F1820">
        <v>358464.28</v>
      </c>
      <c r="G1820">
        <v>901</v>
      </c>
      <c r="H1820" s="11" t="str">
        <f t="shared" si="98"/>
        <v>count</v>
      </c>
    </row>
    <row r="1821" spans="1:8">
      <c r="A1821" s="11" t="str">
        <f t="shared" si="99"/>
        <v>15-924145592013</v>
      </c>
      <c r="B1821" t="s">
        <v>917</v>
      </c>
      <c r="C1821" t="s">
        <v>918</v>
      </c>
      <c r="D1821">
        <v>2013</v>
      </c>
      <c r="E1821" t="s">
        <v>63</v>
      </c>
      <c r="F1821">
        <v>1068340.45</v>
      </c>
      <c r="G1821">
        <v>2525</v>
      </c>
      <c r="H1821" s="11" t="str">
        <f t="shared" si="98"/>
        <v>count</v>
      </c>
    </row>
    <row r="1822" spans="1:8">
      <c r="A1822" s="11" t="str">
        <f t="shared" si="99"/>
        <v>15-924145592013</v>
      </c>
      <c r="B1822" t="s">
        <v>917</v>
      </c>
      <c r="C1822" t="s">
        <v>918</v>
      </c>
      <c r="D1822">
        <v>2013</v>
      </c>
      <c r="E1822" t="s">
        <v>104</v>
      </c>
      <c r="F1822">
        <v>547220.4</v>
      </c>
      <c r="G1822">
        <v>1336</v>
      </c>
      <c r="H1822" s="11" t="str">
        <f t="shared" si="98"/>
        <v>count</v>
      </c>
    </row>
    <row r="1823" spans="1:8">
      <c r="A1823" s="11" t="str">
        <f t="shared" si="99"/>
        <v>15-925089262012</v>
      </c>
      <c r="B1823" t="s">
        <v>919</v>
      </c>
      <c r="C1823" t="s">
        <v>920</v>
      </c>
      <c r="D1823">
        <v>2012</v>
      </c>
      <c r="E1823" t="s">
        <v>69</v>
      </c>
      <c r="F1823">
        <v>113391.72</v>
      </c>
      <c r="G1823">
        <v>106</v>
      </c>
      <c r="H1823" s="11" t="str">
        <f t="shared" si="98"/>
        <v>volume</v>
      </c>
    </row>
    <row r="1824" spans="1:8">
      <c r="A1824" s="11" t="str">
        <f t="shared" si="99"/>
        <v>15-925089262012</v>
      </c>
      <c r="B1824" t="s">
        <v>919</v>
      </c>
      <c r="C1824" t="s">
        <v>920</v>
      </c>
      <c r="D1824">
        <v>2012</v>
      </c>
      <c r="E1824" t="s">
        <v>63</v>
      </c>
      <c r="F1824">
        <v>617079.89</v>
      </c>
      <c r="G1824">
        <v>653</v>
      </c>
      <c r="H1824" s="11" t="str">
        <f t="shared" si="98"/>
        <v>count</v>
      </c>
    </row>
    <row r="1825" spans="1:8">
      <c r="A1825" s="11" t="str">
        <f t="shared" si="99"/>
        <v>15-925089262013</v>
      </c>
      <c r="B1825" t="s">
        <v>919</v>
      </c>
      <c r="C1825" t="s">
        <v>920</v>
      </c>
      <c r="D1825">
        <v>2013</v>
      </c>
      <c r="E1825" t="s">
        <v>105</v>
      </c>
      <c r="F1825">
        <v>41107.89</v>
      </c>
      <c r="G1825">
        <v>41</v>
      </c>
      <c r="H1825" s="11" t="str">
        <f t="shared" si="98"/>
        <v>count</v>
      </c>
    </row>
    <row r="1826" spans="1:8">
      <c r="A1826" s="11" t="str">
        <f t="shared" si="99"/>
        <v>15-925089262012</v>
      </c>
      <c r="B1826" t="s">
        <v>919</v>
      </c>
      <c r="C1826" t="s">
        <v>920</v>
      </c>
      <c r="D1826">
        <v>2012</v>
      </c>
      <c r="E1826" t="s">
        <v>104</v>
      </c>
      <c r="F1826">
        <v>202746.32</v>
      </c>
      <c r="G1826">
        <v>230</v>
      </c>
      <c r="H1826" s="11" t="str">
        <f t="shared" si="98"/>
        <v>count</v>
      </c>
    </row>
    <row r="1827" spans="1:8">
      <c r="A1827" s="11" t="str">
        <f t="shared" si="99"/>
        <v>15-925089262013</v>
      </c>
      <c r="B1827" t="s">
        <v>919</v>
      </c>
      <c r="C1827" t="s">
        <v>920</v>
      </c>
      <c r="D1827">
        <v>2013</v>
      </c>
      <c r="E1827" t="s">
        <v>63</v>
      </c>
      <c r="F1827">
        <v>773279.69</v>
      </c>
      <c r="G1827">
        <v>803</v>
      </c>
      <c r="H1827" s="11" t="str">
        <f t="shared" si="98"/>
        <v>count</v>
      </c>
    </row>
    <row r="1828" spans="1:8">
      <c r="A1828" s="11" t="str">
        <f t="shared" si="99"/>
        <v>15-925089262013</v>
      </c>
      <c r="B1828" t="s">
        <v>919</v>
      </c>
      <c r="C1828" t="s">
        <v>920</v>
      </c>
      <c r="D1828">
        <v>2013</v>
      </c>
      <c r="E1828" t="s">
        <v>104</v>
      </c>
      <c r="F1828">
        <v>296793.13</v>
      </c>
      <c r="G1828">
        <v>301</v>
      </c>
      <c r="H1828" s="11" t="str">
        <f t="shared" si="98"/>
        <v>count</v>
      </c>
    </row>
    <row r="1829" spans="1:8">
      <c r="A1829" s="11" t="str">
        <f t="shared" si="99"/>
        <v>15-925089262013</v>
      </c>
      <c r="B1829" t="s">
        <v>919</v>
      </c>
      <c r="C1829" t="s">
        <v>920</v>
      </c>
      <c r="D1829">
        <v>2013</v>
      </c>
      <c r="E1829" t="s">
        <v>69</v>
      </c>
      <c r="F1829">
        <v>178747.72</v>
      </c>
      <c r="G1829">
        <v>202</v>
      </c>
      <c r="H1829" s="11" t="str">
        <f t="shared" si="98"/>
        <v>count</v>
      </c>
    </row>
    <row r="1830" spans="1:8">
      <c r="A1830" s="11" t="str">
        <f t="shared" si="99"/>
        <v>15-925089262012</v>
      </c>
      <c r="B1830" t="s">
        <v>919</v>
      </c>
      <c r="C1830" t="s">
        <v>920</v>
      </c>
      <c r="D1830">
        <v>2012</v>
      </c>
      <c r="E1830" t="s">
        <v>105</v>
      </c>
      <c r="F1830">
        <v>27297.86</v>
      </c>
      <c r="G1830">
        <v>32</v>
      </c>
      <c r="H1830" s="11" t="str">
        <f t="shared" si="98"/>
        <v>count</v>
      </c>
    </row>
    <row r="1831" spans="1:8">
      <c r="A1831" s="11" t="str">
        <f t="shared" si="99"/>
        <v>15-926622712013</v>
      </c>
      <c r="B1831" t="s">
        <v>922</v>
      </c>
      <c r="C1831" t="s">
        <v>923</v>
      </c>
      <c r="D1831">
        <v>2013</v>
      </c>
      <c r="E1831" t="s">
        <v>104</v>
      </c>
      <c r="F1831">
        <v>205879.51</v>
      </c>
      <c r="G1831">
        <v>105</v>
      </c>
      <c r="H1831" s="11" t="str">
        <f t="shared" si="98"/>
        <v>volume</v>
      </c>
    </row>
    <row r="1832" spans="1:8">
      <c r="A1832" s="11" t="str">
        <f t="shared" si="99"/>
        <v>15-926622712012</v>
      </c>
      <c r="B1832" t="s">
        <v>922</v>
      </c>
      <c r="C1832" t="s">
        <v>923</v>
      </c>
      <c r="D1832">
        <v>2012</v>
      </c>
      <c r="E1832" t="s">
        <v>69</v>
      </c>
      <c r="F1832">
        <v>44531</v>
      </c>
      <c r="G1832">
        <v>26</v>
      </c>
      <c r="H1832" s="11" t="str">
        <f t="shared" si="98"/>
        <v>count</v>
      </c>
    </row>
    <row r="1833" spans="1:8">
      <c r="A1833" s="11" t="str">
        <f t="shared" si="99"/>
        <v>15-926622712012</v>
      </c>
      <c r="B1833" t="s">
        <v>922</v>
      </c>
      <c r="C1833" t="s">
        <v>923</v>
      </c>
      <c r="D1833">
        <v>2012</v>
      </c>
      <c r="E1833" t="s">
        <v>133</v>
      </c>
      <c r="F1833">
        <v>64838.6</v>
      </c>
      <c r="G1833">
        <v>30</v>
      </c>
      <c r="H1833" s="11" t="str">
        <f t="shared" si="98"/>
        <v>count</v>
      </c>
    </row>
    <row r="1834" spans="1:8">
      <c r="A1834" s="11" t="str">
        <f t="shared" si="99"/>
        <v>15-926622712013</v>
      </c>
      <c r="B1834" t="s">
        <v>922</v>
      </c>
      <c r="C1834" t="s">
        <v>923</v>
      </c>
      <c r="D1834">
        <v>2013</v>
      </c>
      <c r="E1834" t="s">
        <v>63</v>
      </c>
      <c r="F1834">
        <v>451030.51</v>
      </c>
      <c r="G1834">
        <v>265</v>
      </c>
      <c r="H1834" s="11" t="str">
        <f t="shared" si="98"/>
        <v>count</v>
      </c>
    </row>
    <row r="1835" spans="1:8">
      <c r="A1835" s="11" t="str">
        <f t="shared" si="99"/>
        <v>15-926622712013</v>
      </c>
      <c r="B1835" t="s">
        <v>922</v>
      </c>
      <c r="C1835" t="s">
        <v>923</v>
      </c>
      <c r="D1835">
        <v>2013</v>
      </c>
      <c r="E1835" t="s">
        <v>133</v>
      </c>
      <c r="F1835">
        <v>85021.89</v>
      </c>
      <c r="G1835">
        <v>54</v>
      </c>
      <c r="H1835" s="11" t="str">
        <f t="shared" si="98"/>
        <v>count</v>
      </c>
    </row>
    <row r="1836" spans="1:8">
      <c r="A1836" s="11" t="str">
        <f t="shared" si="99"/>
        <v>15-926622712012</v>
      </c>
      <c r="B1836" t="s">
        <v>922</v>
      </c>
      <c r="C1836" t="s">
        <v>923</v>
      </c>
      <c r="D1836">
        <v>2012</v>
      </c>
      <c r="E1836" t="s">
        <v>104</v>
      </c>
      <c r="F1836">
        <v>143062.14000000001</v>
      </c>
      <c r="G1836">
        <v>80</v>
      </c>
      <c r="H1836" s="11" t="str">
        <f t="shared" si="98"/>
        <v>count</v>
      </c>
    </row>
    <row r="1837" spans="1:8">
      <c r="A1837" s="11" t="str">
        <f t="shared" si="99"/>
        <v>15-926622712013</v>
      </c>
      <c r="B1837" t="s">
        <v>922</v>
      </c>
      <c r="C1837" t="s">
        <v>923</v>
      </c>
      <c r="D1837">
        <v>2013</v>
      </c>
      <c r="E1837" t="s">
        <v>69</v>
      </c>
      <c r="F1837">
        <v>80318.320000000007</v>
      </c>
      <c r="G1837">
        <v>57</v>
      </c>
      <c r="H1837" s="11" t="str">
        <f t="shared" si="98"/>
        <v>count</v>
      </c>
    </row>
    <row r="1838" spans="1:8">
      <c r="A1838" s="11" t="str">
        <f t="shared" si="99"/>
        <v>15-926622712012</v>
      </c>
      <c r="B1838" t="s">
        <v>922</v>
      </c>
      <c r="C1838" t="s">
        <v>923</v>
      </c>
      <c r="D1838">
        <v>2012</v>
      </c>
      <c r="E1838" t="s">
        <v>63</v>
      </c>
      <c r="F1838">
        <v>474141.9</v>
      </c>
      <c r="G1838">
        <v>239</v>
      </c>
      <c r="H1838" s="11" t="str">
        <f t="shared" si="98"/>
        <v>count</v>
      </c>
    </row>
    <row r="1839" spans="1:8">
      <c r="A1839" s="11" t="str">
        <f t="shared" si="99"/>
        <v>15-926622712013</v>
      </c>
      <c r="B1839" t="s">
        <v>922</v>
      </c>
      <c r="C1839" t="s">
        <v>923</v>
      </c>
      <c r="D1839">
        <v>2013</v>
      </c>
      <c r="E1839" t="s">
        <v>105</v>
      </c>
      <c r="F1839">
        <v>7910.55</v>
      </c>
      <c r="G1839">
        <v>5</v>
      </c>
      <c r="H1839" s="11" t="str">
        <f t="shared" si="98"/>
        <v>count</v>
      </c>
    </row>
    <row r="1840" spans="1:8">
      <c r="A1840" s="11" t="str">
        <f t="shared" si="99"/>
        <v>15-926622712012</v>
      </c>
      <c r="B1840" t="s">
        <v>922</v>
      </c>
      <c r="C1840" t="s">
        <v>923</v>
      </c>
      <c r="D1840">
        <v>2012</v>
      </c>
      <c r="E1840" t="s">
        <v>105</v>
      </c>
      <c r="F1840">
        <v>4360.3999999999996</v>
      </c>
      <c r="G1840">
        <v>3</v>
      </c>
      <c r="H1840" s="11" t="str">
        <f t="shared" si="98"/>
        <v>count</v>
      </c>
    </row>
    <row r="1841" spans="1:8">
      <c r="A1841" s="11" t="str">
        <f t="shared" si="99"/>
        <v>15-926665782013</v>
      </c>
      <c r="B1841" t="s">
        <v>924</v>
      </c>
      <c r="C1841" t="s">
        <v>925</v>
      </c>
      <c r="D1841">
        <v>2013</v>
      </c>
      <c r="E1841" t="s">
        <v>63</v>
      </c>
      <c r="F1841">
        <v>728014.83</v>
      </c>
      <c r="G1841">
        <v>934</v>
      </c>
      <c r="H1841" s="11" t="str">
        <f t="shared" si="98"/>
        <v>volume</v>
      </c>
    </row>
    <row r="1842" spans="1:8">
      <c r="A1842" s="11" t="str">
        <f t="shared" si="99"/>
        <v>15-926665782013</v>
      </c>
      <c r="B1842" t="s">
        <v>924</v>
      </c>
      <c r="C1842" t="s">
        <v>925</v>
      </c>
      <c r="D1842">
        <v>2013</v>
      </c>
      <c r="E1842" t="s">
        <v>104</v>
      </c>
      <c r="F1842">
        <v>379176.89</v>
      </c>
      <c r="G1842">
        <v>426</v>
      </c>
      <c r="H1842" s="11" t="str">
        <f t="shared" si="98"/>
        <v>count</v>
      </c>
    </row>
    <row r="1843" spans="1:8">
      <c r="A1843" s="11" t="str">
        <f t="shared" si="99"/>
        <v>15-926665782012</v>
      </c>
      <c r="B1843" t="s">
        <v>924</v>
      </c>
      <c r="C1843" t="s">
        <v>925</v>
      </c>
      <c r="D1843">
        <v>2012</v>
      </c>
      <c r="E1843" t="s">
        <v>104</v>
      </c>
      <c r="F1843">
        <v>571591.22</v>
      </c>
      <c r="G1843">
        <v>659</v>
      </c>
      <c r="H1843" s="11" t="str">
        <f t="shared" si="98"/>
        <v>count</v>
      </c>
    </row>
    <row r="1844" spans="1:8">
      <c r="A1844" s="11" t="str">
        <f t="shared" si="99"/>
        <v>15-926665782012</v>
      </c>
      <c r="B1844" t="s">
        <v>924</v>
      </c>
      <c r="C1844" t="s">
        <v>925</v>
      </c>
      <c r="D1844">
        <v>2012</v>
      </c>
      <c r="E1844" t="s">
        <v>63</v>
      </c>
      <c r="F1844">
        <v>1011511.98</v>
      </c>
      <c r="G1844">
        <v>1401</v>
      </c>
      <c r="H1844" s="11" t="str">
        <f t="shared" si="98"/>
        <v>count</v>
      </c>
    </row>
    <row r="1845" spans="1:8">
      <c r="A1845" s="11" t="str">
        <f t="shared" si="99"/>
        <v>15-926665782013</v>
      </c>
      <c r="B1845" t="s">
        <v>924</v>
      </c>
      <c r="C1845" t="s">
        <v>925</v>
      </c>
      <c r="D1845">
        <v>2013</v>
      </c>
      <c r="E1845" t="s">
        <v>105</v>
      </c>
      <c r="F1845">
        <v>39106.43</v>
      </c>
      <c r="G1845">
        <v>68</v>
      </c>
      <c r="H1845" s="11" t="str">
        <f t="shared" si="98"/>
        <v>count</v>
      </c>
    </row>
    <row r="1846" spans="1:8">
      <c r="A1846" s="11" t="str">
        <f t="shared" si="99"/>
        <v>15-926665782012</v>
      </c>
      <c r="B1846" t="s">
        <v>924</v>
      </c>
      <c r="C1846" t="s">
        <v>925</v>
      </c>
      <c r="D1846">
        <v>2012</v>
      </c>
      <c r="E1846" t="s">
        <v>133</v>
      </c>
      <c r="F1846">
        <v>1133125.82</v>
      </c>
      <c r="G1846">
        <v>855</v>
      </c>
      <c r="H1846" s="11" t="str">
        <f t="shared" si="98"/>
        <v>count</v>
      </c>
    </row>
    <row r="1847" spans="1:8">
      <c r="A1847" s="11" t="str">
        <f t="shared" si="99"/>
        <v>15-926665782012</v>
      </c>
      <c r="B1847" t="s">
        <v>924</v>
      </c>
      <c r="C1847" t="s">
        <v>925</v>
      </c>
      <c r="D1847">
        <v>2012</v>
      </c>
      <c r="E1847" t="s">
        <v>105</v>
      </c>
      <c r="F1847">
        <v>80126.789999999994</v>
      </c>
      <c r="G1847">
        <v>100</v>
      </c>
      <c r="H1847" s="11" t="str">
        <f t="shared" si="98"/>
        <v>count</v>
      </c>
    </row>
    <row r="1848" spans="1:8">
      <c r="A1848" s="11" t="str">
        <f t="shared" si="99"/>
        <v>15-926665782012</v>
      </c>
      <c r="B1848" t="s">
        <v>924</v>
      </c>
      <c r="C1848" t="s">
        <v>925</v>
      </c>
      <c r="D1848">
        <v>2012</v>
      </c>
      <c r="E1848" t="s">
        <v>69</v>
      </c>
      <c r="F1848">
        <v>144698.12</v>
      </c>
      <c r="G1848">
        <v>328</v>
      </c>
      <c r="H1848" s="11" t="str">
        <f t="shared" si="98"/>
        <v>count</v>
      </c>
    </row>
    <row r="1849" spans="1:8">
      <c r="A1849" s="11" t="str">
        <f t="shared" si="99"/>
        <v>15-926665782013</v>
      </c>
      <c r="B1849" t="s">
        <v>924</v>
      </c>
      <c r="C1849" t="s">
        <v>925</v>
      </c>
      <c r="D1849">
        <v>2013</v>
      </c>
      <c r="E1849" t="s">
        <v>133</v>
      </c>
      <c r="F1849">
        <v>752483.91</v>
      </c>
      <c r="G1849">
        <v>582</v>
      </c>
      <c r="H1849" s="11" t="str">
        <f t="shared" si="98"/>
        <v>count</v>
      </c>
    </row>
    <row r="1850" spans="1:8">
      <c r="A1850" s="11" t="str">
        <f t="shared" si="99"/>
        <v>15-926665782013</v>
      </c>
      <c r="B1850" t="s">
        <v>924</v>
      </c>
      <c r="C1850" t="s">
        <v>925</v>
      </c>
      <c r="D1850">
        <v>2013</v>
      </c>
      <c r="E1850" t="s">
        <v>69</v>
      </c>
      <c r="F1850">
        <v>65764.02</v>
      </c>
      <c r="G1850">
        <v>185</v>
      </c>
      <c r="H1850" s="11" t="str">
        <f t="shared" si="98"/>
        <v>count</v>
      </c>
    </row>
    <row r="1851" spans="1:8">
      <c r="A1851" s="11" t="str">
        <f t="shared" si="99"/>
        <v>15-952197402011</v>
      </c>
      <c r="B1851" t="s">
        <v>932</v>
      </c>
      <c r="C1851" t="s">
        <v>933</v>
      </c>
      <c r="D1851">
        <v>2011</v>
      </c>
      <c r="E1851" t="s">
        <v>412</v>
      </c>
      <c r="F1851">
        <v>172443.64</v>
      </c>
      <c r="G1851">
        <v>271</v>
      </c>
      <c r="H1851" s="11" t="str">
        <f t="shared" si="98"/>
        <v>volume</v>
      </c>
    </row>
    <row r="1852" spans="1:8">
      <c r="A1852" s="11" t="str">
        <f t="shared" si="99"/>
        <v>15-952197402013</v>
      </c>
      <c r="B1852" t="s">
        <v>932</v>
      </c>
      <c r="C1852" t="s">
        <v>933</v>
      </c>
      <c r="D1852">
        <v>2013</v>
      </c>
      <c r="E1852" t="s">
        <v>63</v>
      </c>
      <c r="F1852">
        <v>719786.14</v>
      </c>
      <c r="G1852">
        <v>1446</v>
      </c>
      <c r="H1852" s="11" t="str">
        <f t="shared" si="98"/>
        <v>count</v>
      </c>
    </row>
    <row r="1853" spans="1:8">
      <c r="A1853" s="11" t="str">
        <f t="shared" si="99"/>
        <v>15-952197402012</v>
      </c>
      <c r="B1853" t="s">
        <v>932</v>
      </c>
      <c r="C1853" t="s">
        <v>933</v>
      </c>
      <c r="D1853">
        <v>2012</v>
      </c>
      <c r="E1853" t="s">
        <v>69</v>
      </c>
      <c r="F1853">
        <v>7958532.8700000001</v>
      </c>
      <c r="G1853">
        <v>14282</v>
      </c>
      <c r="H1853" s="11" t="str">
        <f t="shared" si="98"/>
        <v>count</v>
      </c>
    </row>
    <row r="1854" spans="1:8">
      <c r="A1854" s="11" t="str">
        <f t="shared" si="99"/>
        <v>15-952197402012</v>
      </c>
      <c r="B1854" t="s">
        <v>932</v>
      </c>
      <c r="C1854" t="s">
        <v>933</v>
      </c>
      <c r="D1854">
        <v>2012</v>
      </c>
      <c r="E1854" t="s">
        <v>1074</v>
      </c>
      <c r="F1854">
        <v>834378.76</v>
      </c>
      <c r="G1854">
        <v>1596</v>
      </c>
      <c r="H1854" s="11" t="str">
        <f t="shared" si="98"/>
        <v>count</v>
      </c>
    </row>
    <row r="1855" spans="1:8">
      <c r="A1855" s="11" t="str">
        <f t="shared" si="99"/>
        <v>15-952197402013</v>
      </c>
      <c r="B1855" t="s">
        <v>932</v>
      </c>
      <c r="C1855" t="s">
        <v>933</v>
      </c>
      <c r="D1855">
        <v>2013</v>
      </c>
      <c r="E1855" t="s">
        <v>104</v>
      </c>
      <c r="F1855">
        <v>700844.7</v>
      </c>
      <c r="G1855">
        <v>1431</v>
      </c>
      <c r="H1855" s="11" t="str">
        <f t="shared" si="98"/>
        <v>count</v>
      </c>
    </row>
    <row r="1856" spans="1:8">
      <c r="A1856" s="11" t="str">
        <f t="shared" si="99"/>
        <v>15-952197402012</v>
      </c>
      <c r="B1856" t="s">
        <v>932</v>
      </c>
      <c r="C1856" t="s">
        <v>933</v>
      </c>
      <c r="D1856">
        <v>2012</v>
      </c>
      <c r="E1856" t="s">
        <v>133</v>
      </c>
      <c r="F1856">
        <v>27900.86</v>
      </c>
      <c r="G1856">
        <v>52</v>
      </c>
      <c r="H1856" s="11" t="str">
        <f t="shared" si="98"/>
        <v>count</v>
      </c>
    </row>
    <row r="1857" spans="1:8">
      <c r="A1857" s="11" t="str">
        <f t="shared" si="99"/>
        <v>15-952197402011</v>
      </c>
      <c r="B1857" t="s">
        <v>932</v>
      </c>
      <c r="C1857" t="s">
        <v>933</v>
      </c>
      <c r="D1857">
        <v>2011</v>
      </c>
      <c r="E1857" t="s">
        <v>106</v>
      </c>
      <c r="F1857">
        <v>686598.69</v>
      </c>
      <c r="G1857">
        <v>992</v>
      </c>
      <c r="H1857" s="11" t="str">
        <f t="shared" si="98"/>
        <v>count</v>
      </c>
    </row>
    <row r="1858" spans="1:8">
      <c r="A1858" s="11" t="str">
        <f t="shared" si="99"/>
        <v>15-952197402012</v>
      </c>
      <c r="B1858" t="s">
        <v>932</v>
      </c>
      <c r="C1858" t="s">
        <v>933</v>
      </c>
      <c r="D1858">
        <v>2012</v>
      </c>
      <c r="E1858" t="s">
        <v>412</v>
      </c>
      <c r="F1858">
        <v>695007.06</v>
      </c>
      <c r="G1858">
        <v>1195</v>
      </c>
      <c r="H1858" s="11" t="str">
        <f t="shared" ref="H1858:H1921" si="100">IF(B1858=B1857,"count","volume")</f>
        <v>count</v>
      </c>
    </row>
    <row r="1859" spans="1:8">
      <c r="A1859" s="11" t="str">
        <f t="shared" ref="A1859:A1922" si="101">B1859&amp;D1859</f>
        <v>15-952197402013</v>
      </c>
      <c r="B1859" t="s">
        <v>932</v>
      </c>
      <c r="C1859" t="s">
        <v>933</v>
      </c>
      <c r="D1859">
        <v>2013</v>
      </c>
      <c r="E1859" t="s">
        <v>105</v>
      </c>
      <c r="F1859">
        <v>81276.160000000003</v>
      </c>
      <c r="G1859">
        <v>169</v>
      </c>
      <c r="H1859" s="11" t="str">
        <f t="shared" si="100"/>
        <v>count</v>
      </c>
    </row>
    <row r="1860" spans="1:8">
      <c r="A1860" s="11" t="str">
        <f t="shared" si="101"/>
        <v>15-952197402012</v>
      </c>
      <c r="B1860" t="s">
        <v>932</v>
      </c>
      <c r="C1860" t="s">
        <v>933</v>
      </c>
      <c r="D1860">
        <v>2012</v>
      </c>
      <c r="E1860" t="s">
        <v>63</v>
      </c>
      <c r="F1860">
        <v>3313054.5</v>
      </c>
      <c r="G1860">
        <v>5950</v>
      </c>
      <c r="H1860" s="11" t="str">
        <f t="shared" si="100"/>
        <v>count</v>
      </c>
    </row>
    <row r="1861" spans="1:8">
      <c r="A1861" s="11" t="str">
        <f t="shared" si="101"/>
        <v>15-952197402013</v>
      </c>
      <c r="B1861" t="s">
        <v>932</v>
      </c>
      <c r="C1861" t="s">
        <v>933</v>
      </c>
      <c r="D1861">
        <v>2013</v>
      </c>
      <c r="E1861" t="s">
        <v>68</v>
      </c>
      <c r="F1861">
        <v>11897425.890000001</v>
      </c>
      <c r="G1861">
        <v>21914</v>
      </c>
      <c r="H1861" s="11" t="str">
        <f t="shared" si="100"/>
        <v>count</v>
      </c>
    </row>
    <row r="1862" spans="1:8">
      <c r="A1862" s="11" t="str">
        <f t="shared" si="101"/>
        <v>15-952197402012</v>
      </c>
      <c r="B1862" t="s">
        <v>932</v>
      </c>
      <c r="C1862" t="s">
        <v>933</v>
      </c>
      <c r="D1862">
        <v>2012</v>
      </c>
      <c r="E1862" t="s">
        <v>104</v>
      </c>
      <c r="F1862">
        <v>1825094.01</v>
      </c>
      <c r="G1862">
        <v>3272</v>
      </c>
      <c r="H1862" s="11" t="str">
        <f t="shared" si="100"/>
        <v>count</v>
      </c>
    </row>
    <row r="1863" spans="1:8">
      <c r="A1863" s="11" t="str">
        <f t="shared" si="101"/>
        <v>15-952197402011</v>
      </c>
      <c r="B1863" t="s">
        <v>932</v>
      </c>
      <c r="C1863" t="s">
        <v>933</v>
      </c>
      <c r="D1863">
        <v>2011</v>
      </c>
      <c r="E1863" t="s">
        <v>1074</v>
      </c>
      <c r="F1863">
        <v>761342.01</v>
      </c>
      <c r="G1863">
        <v>1502</v>
      </c>
      <c r="H1863" s="11" t="str">
        <f t="shared" si="100"/>
        <v>count</v>
      </c>
    </row>
    <row r="1864" spans="1:8">
      <c r="A1864" s="11" t="str">
        <f t="shared" si="101"/>
        <v>15-952197402013</v>
      </c>
      <c r="B1864" t="s">
        <v>932</v>
      </c>
      <c r="C1864" t="s">
        <v>933</v>
      </c>
      <c r="D1864">
        <v>2013</v>
      </c>
      <c r="E1864" t="s">
        <v>69</v>
      </c>
      <c r="F1864">
        <v>15665913.98</v>
      </c>
      <c r="G1864">
        <v>27146</v>
      </c>
      <c r="H1864" s="11" t="str">
        <f t="shared" si="100"/>
        <v>count</v>
      </c>
    </row>
    <row r="1865" spans="1:8">
      <c r="A1865" s="11" t="str">
        <f t="shared" si="101"/>
        <v>15-952197402011</v>
      </c>
      <c r="B1865" t="s">
        <v>932</v>
      </c>
      <c r="C1865" t="s">
        <v>933</v>
      </c>
      <c r="D1865">
        <v>2011</v>
      </c>
      <c r="E1865" t="s">
        <v>104</v>
      </c>
      <c r="F1865">
        <v>825874.51</v>
      </c>
      <c r="G1865">
        <v>1347</v>
      </c>
      <c r="H1865" s="11" t="str">
        <f t="shared" si="100"/>
        <v>count</v>
      </c>
    </row>
    <row r="1866" spans="1:8">
      <c r="A1866" s="11" t="str">
        <f t="shared" si="101"/>
        <v>15-952197402011</v>
      </c>
      <c r="B1866" t="s">
        <v>932</v>
      </c>
      <c r="C1866" t="s">
        <v>933</v>
      </c>
      <c r="D1866">
        <v>2011</v>
      </c>
      <c r="E1866" t="s">
        <v>63</v>
      </c>
      <c r="F1866">
        <v>2997591.74</v>
      </c>
      <c r="G1866">
        <v>5252</v>
      </c>
      <c r="H1866" s="11" t="str">
        <f t="shared" si="100"/>
        <v>count</v>
      </c>
    </row>
    <row r="1867" spans="1:8">
      <c r="A1867" s="11" t="str">
        <f t="shared" si="101"/>
        <v>15-952197402012</v>
      </c>
      <c r="B1867" t="s">
        <v>932</v>
      </c>
      <c r="C1867" t="s">
        <v>933</v>
      </c>
      <c r="D1867">
        <v>2012</v>
      </c>
      <c r="E1867" t="s">
        <v>105</v>
      </c>
      <c r="F1867">
        <v>78376.11</v>
      </c>
      <c r="G1867">
        <v>148</v>
      </c>
      <c r="H1867" s="11" t="str">
        <f t="shared" si="100"/>
        <v>count</v>
      </c>
    </row>
    <row r="1868" spans="1:8">
      <c r="A1868" s="11" t="str">
        <f t="shared" si="101"/>
        <v>15-952197402012</v>
      </c>
      <c r="B1868" t="s">
        <v>932</v>
      </c>
      <c r="C1868" t="s">
        <v>933</v>
      </c>
      <c r="D1868">
        <v>2012</v>
      </c>
      <c r="E1868" t="s">
        <v>106</v>
      </c>
      <c r="F1868">
        <v>3685701.78</v>
      </c>
      <c r="G1868">
        <v>5525</v>
      </c>
      <c r="H1868" s="11" t="str">
        <f t="shared" si="100"/>
        <v>count</v>
      </c>
    </row>
    <row r="1869" spans="1:8">
      <c r="A1869" s="11" t="str">
        <f t="shared" si="101"/>
        <v>15-952197402012</v>
      </c>
      <c r="B1869" t="s">
        <v>932</v>
      </c>
      <c r="C1869" t="s">
        <v>933</v>
      </c>
      <c r="D1869">
        <v>2012</v>
      </c>
      <c r="E1869" t="s">
        <v>68</v>
      </c>
      <c r="F1869">
        <v>10033214.65</v>
      </c>
      <c r="G1869">
        <v>18711</v>
      </c>
      <c r="H1869" s="11" t="str">
        <f t="shared" si="100"/>
        <v>count</v>
      </c>
    </row>
    <row r="1870" spans="1:8">
      <c r="A1870" s="11" t="str">
        <f t="shared" si="101"/>
        <v>15-952197402012</v>
      </c>
      <c r="B1870" t="s">
        <v>932</v>
      </c>
      <c r="C1870" t="s">
        <v>933</v>
      </c>
      <c r="D1870">
        <v>2012</v>
      </c>
      <c r="E1870" t="s">
        <v>1076</v>
      </c>
      <c r="F1870">
        <v>22873.31</v>
      </c>
      <c r="G1870">
        <v>42</v>
      </c>
      <c r="H1870" s="11" t="str">
        <f t="shared" si="100"/>
        <v>count</v>
      </c>
    </row>
    <row r="1871" spans="1:8">
      <c r="A1871" s="11" t="str">
        <f t="shared" si="101"/>
        <v>15-952197402013</v>
      </c>
      <c r="B1871" t="s">
        <v>932</v>
      </c>
      <c r="C1871" t="s">
        <v>933</v>
      </c>
      <c r="D1871">
        <v>2013</v>
      </c>
      <c r="E1871" t="s">
        <v>106</v>
      </c>
      <c r="F1871">
        <v>4142591.87</v>
      </c>
      <c r="G1871">
        <v>6037</v>
      </c>
      <c r="H1871" s="11" t="str">
        <f t="shared" si="100"/>
        <v>count</v>
      </c>
    </row>
    <row r="1872" spans="1:8">
      <c r="A1872" s="11" t="str">
        <f t="shared" si="101"/>
        <v>15-952197402011</v>
      </c>
      <c r="B1872" t="s">
        <v>932</v>
      </c>
      <c r="C1872" t="s">
        <v>933</v>
      </c>
      <c r="D1872">
        <v>2011</v>
      </c>
      <c r="E1872" t="s">
        <v>133</v>
      </c>
      <c r="F1872">
        <v>54247.28</v>
      </c>
      <c r="G1872">
        <v>92</v>
      </c>
      <c r="H1872" s="11" t="str">
        <f t="shared" si="100"/>
        <v>count</v>
      </c>
    </row>
    <row r="1873" spans="1:8">
      <c r="A1873" s="11" t="str">
        <f t="shared" si="101"/>
        <v>15-952197402012</v>
      </c>
      <c r="B1873" t="s">
        <v>932</v>
      </c>
      <c r="C1873" t="s">
        <v>933</v>
      </c>
      <c r="D1873">
        <v>2012</v>
      </c>
      <c r="E1873" t="s">
        <v>1075</v>
      </c>
      <c r="F1873">
        <v>1832324.29</v>
      </c>
      <c r="G1873">
        <v>3329</v>
      </c>
      <c r="H1873" s="11" t="str">
        <f t="shared" si="100"/>
        <v>count</v>
      </c>
    </row>
    <row r="1874" spans="1:8">
      <c r="A1874" s="11" t="str">
        <f t="shared" si="101"/>
        <v>15-952197402011</v>
      </c>
      <c r="B1874" t="s">
        <v>932</v>
      </c>
      <c r="C1874" t="s">
        <v>933</v>
      </c>
      <c r="D1874">
        <v>2011</v>
      </c>
      <c r="E1874" t="s">
        <v>68</v>
      </c>
      <c r="F1874">
        <v>2341930.5</v>
      </c>
      <c r="G1874">
        <v>4525</v>
      </c>
      <c r="H1874" s="11" t="str">
        <f t="shared" si="100"/>
        <v>count</v>
      </c>
    </row>
    <row r="1875" spans="1:8">
      <c r="A1875" s="11" t="str">
        <f t="shared" si="101"/>
        <v>15-952197402013</v>
      </c>
      <c r="B1875" t="s">
        <v>932</v>
      </c>
      <c r="C1875" t="s">
        <v>933</v>
      </c>
      <c r="D1875">
        <v>2013</v>
      </c>
      <c r="E1875" t="s">
        <v>412</v>
      </c>
      <c r="F1875">
        <v>459955.45</v>
      </c>
      <c r="G1875">
        <v>769</v>
      </c>
      <c r="H1875" s="11" t="str">
        <f t="shared" si="100"/>
        <v>count</v>
      </c>
    </row>
    <row r="1876" spans="1:8">
      <c r="A1876" s="11" t="str">
        <f t="shared" si="101"/>
        <v>15-952277872012</v>
      </c>
      <c r="B1876" t="s">
        <v>934</v>
      </c>
      <c r="C1876" t="s">
        <v>935</v>
      </c>
      <c r="D1876">
        <v>2012</v>
      </c>
      <c r="E1876" t="s">
        <v>63</v>
      </c>
      <c r="F1876">
        <v>3703669.78</v>
      </c>
      <c r="G1876">
        <v>9182</v>
      </c>
      <c r="H1876" s="11" t="str">
        <f t="shared" si="100"/>
        <v>volume</v>
      </c>
    </row>
    <row r="1877" spans="1:8">
      <c r="A1877" s="11" t="str">
        <f t="shared" si="101"/>
        <v>15-952277872012</v>
      </c>
      <c r="B1877" t="s">
        <v>934</v>
      </c>
      <c r="C1877" t="s">
        <v>935</v>
      </c>
      <c r="D1877">
        <v>2012</v>
      </c>
      <c r="E1877" t="s">
        <v>104</v>
      </c>
      <c r="F1877">
        <v>1069113.27</v>
      </c>
      <c r="G1877">
        <v>2779</v>
      </c>
      <c r="H1877" s="11" t="str">
        <f t="shared" si="100"/>
        <v>count</v>
      </c>
    </row>
    <row r="1878" spans="1:8">
      <c r="A1878" s="11" t="str">
        <f t="shared" si="101"/>
        <v>15-952277872013</v>
      </c>
      <c r="B1878" t="s">
        <v>934</v>
      </c>
      <c r="C1878" t="s">
        <v>935</v>
      </c>
      <c r="D1878">
        <v>2013</v>
      </c>
      <c r="E1878" t="s">
        <v>105</v>
      </c>
      <c r="F1878">
        <v>464105.98</v>
      </c>
      <c r="G1878">
        <v>1104</v>
      </c>
      <c r="H1878" s="11" t="str">
        <f t="shared" si="100"/>
        <v>count</v>
      </c>
    </row>
    <row r="1879" spans="1:8">
      <c r="A1879" s="11" t="str">
        <f t="shared" si="101"/>
        <v>15-952277872012</v>
      </c>
      <c r="B1879" t="s">
        <v>934</v>
      </c>
      <c r="C1879" t="s">
        <v>935</v>
      </c>
      <c r="D1879">
        <v>2012</v>
      </c>
      <c r="E1879" t="s">
        <v>105</v>
      </c>
      <c r="F1879">
        <v>396463.65</v>
      </c>
      <c r="G1879">
        <v>981</v>
      </c>
      <c r="H1879" s="11" t="str">
        <f t="shared" si="100"/>
        <v>count</v>
      </c>
    </row>
    <row r="1880" spans="1:8">
      <c r="A1880" s="11" t="str">
        <f t="shared" si="101"/>
        <v>15-952277872012</v>
      </c>
      <c r="B1880" t="s">
        <v>934</v>
      </c>
      <c r="C1880" t="s">
        <v>935</v>
      </c>
      <c r="D1880">
        <v>2012</v>
      </c>
      <c r="E1880" t="s">
        <v>164</v>
      </c>
      <c r="F1880">
        <v>79789.53</v>
      </c>
      <c r="G1880">
        <v>259</v>
      </c>
      <c r="H1880" s="11" t="str">
        <f t="shared" si="100"/>
        <v>count</v>
      </c>
    </row>
    <row r="1881" spans="1:8">
      <c r="A1881" s="11" t="str">
        <f t="shared" si="101"/>
        <v>15-952277872012</v>
      </c>
      <c r="B1881" t="s">
        <v>934</v>
      </c>
      <c r="C1881" t="s">
        <v>935</v>
      </c>
      <c r="D1881">
        <v>2012</v>
      </c>
      <c r="E1881" t="s">
        <v>69</v>
      </c>
      <c r="F1881">
        <v>915462.78</v>
      </c>
      <c r="G1881">
        <v>2936</v>
      </c>
      <c r="H1881" s="11" t="str">
        <f t="shared" si="100"/>
        <v>count</v>
      </c>
    </row>
    <row r="1882" spans="1:8">
      <c r="A1882" s="11" t="str">
        <f t="shared" si="101"/>
        <v>15-952277872013</v>
      </c>
      <c r="B1882" t="s">
        <v>934</v>
      </c>
      <c r="C1882" t="s">
        <v>935</v>
      </c>
      <c r="D1882">
        <v>2013</v>
      </c>
      <c r="E1882" t="s">
        <v>104</v>
      </c>
      <c r="F1882">
        <v>1154903.94</v>
      </c>
      <c r="G1882">
        <v>2805</v>
      </c>
      <c r="H1882" s="11" t="str">
        <f t="shared" si="100"/>
        <v>count</v>
      </c>
    </row>
    <row r="1883" spans="1:8">
      <c r="A1883" s="11" t="str">
        <f t="shared" si="101"/>
        <v>15-952277872013</v>
      </c>
      <c r="B1883" t="s">
        <v>934</v>
      </c>
      <c r="C1883" t="s">
        <v>935</v>
      </c>
      <c r="D1883">
        <v>2013</v>
      </c>
      <c r="E1883" t="s">
        <v>63</v>
      </c>
      <c r="F1883">
        <v>3975086.73</v>
      </c>
      <c r="G1883">
        <v>9553</v>
      </c>
      <c r="H1883" s="11" t="str">
        <f t="shared" si="100"/>
        <v>count</v>
      </c>
    </row>
    <row r="1884" spans="1:8">
      <c r="A1884" s="11" t="str">
        <f t="shared" si="101"/>
        <v>15-952277872013</v>
      </c>
      <c r="B1884" t="s">
        <v>934</v>
      </c>
      <c r="C1884" t="s">
        <v>935</v>
      </c>
      <c r="D1884">
        <v>2013</v>
      </c>
      <c r="E1884" t="s">
        <v>69</v>
      </c>
      <c r="F1884">
        <v>1233592.1200000001</v>
      </c>
      <c r="G1884">
        <v>3682</v>
      </c>
      <c r="H1884" s="11" t="str">
        <f t="shared" si="100"/>
        <v>count</v>
      </c>
    </row>
    <row r="1885" spans="1:8">
      <c r="A1885" s="11" t="str">
        <f t="shared" si="101"/>
        <v>15-960598912012</v>
      </c>
      <c r="B1885" t="s">
        <v>941</v>
      </c>
      <c r="C1885" t="s">
        <v>942</v>
      </c>
      <c r="D1885">
        <v>2012</v>
      </c>
      <c r="E1885" t="s">
        <v>1074</v>
      </c>
      <c r="F1885">
        <v>6392.38</v>
      </c>
      <c r="G1885">
        <v>7</v>
      </c>
      <c r="H1885" s="11" t="str">
        <f t="shared" si="100"/>
        <v>volume</v>
      </c>
    </row>
    <row r="1886" spans="1:8">
      <c r="A1886" s="11" t="str">
        <f t="shared" si="101"/>
        <v>15-960598912013</v>
      </c>
      <c r="B1886" t="s">
        <v>941</v>
      </c>
      <c r="C1886" t="s">
        <v>942</v>
      </c>
      <c r="D1886">
        <v>2013</v>
      </c>
      <c r="E1886" t="s">
        <v>105</v>
      </c>
      <c r="F1886">
        <v>6004.47</v>
      </c>
      <c r="G1886">
        <v>8</v>
      </c>
      <c r="H1886" s="11" t="str">
        <f t="shared" si="100"/>
        <v>count</v>
      </c>
    </row>
    <row r="1887" spans="1:8">
      <c r="A1887" s="11" t="str">
        <f t="shared" si="101"/>
        <v>15-960598912012</v>
      </c>
      <c r="B1887" t="s">
        <v>941</v>
      </c>
      <c r="C1887" t="s">
        <v>942</v>
      </c>
      <c r="D1887">
        <v>2012</v>
      </c>
      <c r="E1887" t="s">
        <v>1075</v>
      </c>
      <c r="F1887">
        <v>1699.71</v>
      </c>
      <c r="G1887">
        <v>3</v>
      </c>
      <c r="H1887" s="11" t="str">
        <f t="shared" si="100"/>
        <v>count</v>
      </c>
    </row>
    <row r="1888" spans="1:8">
      <c r="A1888" s="11" t="str">
        <f t="shared" si="101"/>
        <v>15-960598912013</v>
      </c>
      <c r="B1888" t="s">
        <v>941</v>
      </c>
      <c r="C1888" t="s">
        <v>942</v>
      </c>
      <c r="D1888">
        <v>2013</v>
      </c>
      <c r="E1888" t="s">
        <v>106</v>
      </c>
      <c r="F1888">
        <v>1215833.8799999999</v>
      </c>
      <c r="G1888">
        <v>1567</v>
      </c>
      <c r="H1888" s="11" t="str">
        <f t="shared" si="100"/>
        <v>count</v>
      </c>
    </row>
    <row r="1889" spans="1:8">
      <c r="A1889" s="11" t="str">
        <f t="shared" si="101"/>
        <v>15-960598912012</v>
      </c>
      <c r="B1889" t="s">
        <v>941</v>
      </c>
      <c r="C1889" t="s">
        <v>942</v>
      </c>
      <c r="D1889">
        <v>2012</v>
      </c>
      <c r="E1889" t="s">
        <v>105</v>
      </c>
      <c r="F1889">
        <v>8665.08</v>
      </c>
      <c r="G1889">
        <v>11</v>
      </c>
      <c r="H1889" s="11" t="str">
        <f t="shared" si="100"/>
        <v>count</v>
      </c>
    </row>
    <row r="1890" spans="1:8">
      <c r="A1890" s="11" t="str">
        <f t="shared" si="101"/>
        <v>15-960598912012</v>
      </c>
      <c r="B1890" t="s">
        <v>941</v>
      </c>
      <c r="C1890" t="s">
        <v>942</v>
      </c>
      <c r="D1890">
        <v>2012</v>
      </c>
      <c r="E1890" t="s">
        <v>104</v>
      </c>
      <c r="F1890">
        <v>29057.3</v>
      </c>
      <c r="G1890">
        <v>43</v>
      </c>
      <c r="H1890" s="11" t="str">
        <f t="shared" si="100"/>
        <v>count</v>
      </c>
    </row>
    <row r="1891" spans="1:8">
      <c r="A1891" s="11" t="str">
        <f t="shared" si="101"/>
        <v>15-960598912012</v>
      </c>
      <c r="B1891" t="s">
        <v>941</v>
      </c>
      <c r="C1891" t="s">
        <v>942</v>
      </c>
      <c r="D1891">
        <v>2012</v>
      </c>
      <c r="E1891" t="s">
        <v>63</v>
      </c>
      <c r="F1891">
        <v>37193.519999999997</v>
      </c>
      <c r="G1891">
        <v>37</v>
      </c>
      <c r="H1891" s="11" t="str">
        <f t="shared" si="100"/>
        <v>count</v>
      </c>
    </row>
    <row r="1892" spans="1:8">
      <c r="A1892" s="11" t="str">
        <f t="shared" si="101"/>
        <v>15-960598912012</v>
      </c>
      <c r="B1892" t="s">
        <v>941</v>
      </c>
      <c r="C1892" t="s">
        <v>942</v>
      </c>
      <c r="D1892">
        <v>2012</v>
      </c>
      <c r="E1892" t="s">
        <v>69</v>
      </c>
      <c r="F1892">
        <v>61230.85</v>
      </c>
      <c r="G1892">
        <v>78</v>
      </c>
      <c r="H1892" s="11" t="str">
        <f t="shared" si="100"/>
        <v>count</v>
      </c>
    </row>
    <row r="1893" spans="1:8">
      <c r="A1893" s="11" t="str">
        <f t="shared" si="101"/>
        <v>15-960598912012</v>
      </c>
      <c r="B1893" t="s">
        <v>941</v>
      </c>
      <c r="C1893" t="s">
        <v>942</v>
      </c>
      <c r="D1893">
        <v>2012</v>
      </c>
      <c r="E1893" t="s">
        <v>106</v>
      </c>
      <c r="F1893">
        <v>824025.39</v>
      </c>
      <c r="G1893">
        <v>1067</v>
      </c>
      <c r="H1893" s="11" t="str">
        <f t="shared" si="100"/>
        <v>count</v>
      </c>
    </row>
    <row r="1894" spans="1:8">
      <c r="A1894" s="11" t="str">
        <f t="shared" si="101"/>
        <v>15-960598912013</v>
      </c>
      <c r="B1894" t="s">
        <v>941</v>
      </c>
      <c r="C1894" t="s">
        <v>942</v>
      </c>
      <c r="D1894">
        <v>2013</v>
      </c>
      <c r="E1894" t="s">
        <v>69</v>
      </c>
      <c r="F1894">
        <v>224782.14</v>
      </c>
      <c r="G1894">
        <v>325</v>
      </c>
      <c r="H1894" s="11" t="str">
        <f t="shared" si="100"/>
        <v>count</v>
      </c>
    </row>
    <row r="1895" spans="1:8">
      <c r="A1895" s="11" t="str">
        <f t="shared" si="101"/>
        <v>15-960598912013</v>
      </c>
      <c r="B1895" t="s">
        <v>941</v>
      </c>
      <c r="C1895" t="s">
        <v>942</v>
      </c>
      <c r="D1895">
        <v>2013</v>
      </c>
      <c r="E1895" t="s">
        <v>104</v>
      </c>
      <c r="F1895">
        <v>62847.6</v>
      </c>
      <c r="G1895">
        <v>81</v>
      </c>
      <c r="H1895" s="11" t="str">
        <f t="shared" si="100"/>
        <v>count</v>
      </c>
    </row>
    <row r="1896" spans="1:8">
      <c r="A1896" s="11" t="str">
        <f t="shared" si="101"/>
        <v>15-960598912013</v>
      </c>
      <c r="B1896" t="s">
        <v>941</v>
      </c>
      <c r="C1896" t="s">
        <v>942</v>
      </c>
      <c r="D1896">
        <v>2013</v>
      </c>
      <c r="E1896" t="s">
        <v>63</v>
      </c>
      <c r="F1896">
        <v>69557</v>
      </c>
      <c r="G1896">
        <v>81</v>
      </c>
      <c r="H1896" s="11" t="str">
        <f t="shared" si="100"/>
        <v>count</v>
      </c>
    </row>
    <row r="1897" spans="1:8">
      <c r="A1897" s="11" t="str">
        <f t="shared" si="101"/>
        <v>15-966362692013</v>
      </c>
      <c r="B1897" t="s">
        <v>952</v>
      </c>
      <c r="C1897" t="s">
        <v>953</v>
      </c>
      <c r="D1897">
        <v>2013</v>
      </c>
      <c r="E1897" t="s">
        <v>104</v>
      </c>
      <c r="F1897">
        <v>6806.3</v>
      </c>
      <c r="G1897">
        <v>74</v>
      </c>
      <c r="H1897" s="11" t="str">
        <f t="shared" si="100"/>
        <v>volume</v>
      </c>
    </row>
    <row r="1898" spans="1:8">
      <c r="A1898" s="11" t="str">
        <f t="shared" si="101"/>
        <v>15-966362692013</v>
      </c>
      <c r="B1898" t="s">
        <v>952</v>
      </c>
      <c r="C1898" t="s">
        <v>953</v>
      </c>
      <c r="D1898">
        <v>2013</v>
      </c>
      <c r="E1898" t="s">
        <v>63</v>
      </c>
      <c r="F1898">
        <v>20619.419999999998</v>
      </c>
      <c r="G1898">
        <v>265</v>
      </c>
      <c r="H1898" s="11" t="str">
        <f t="shared" si="100"/>
        <v>count</v>
      </c>
    </row>
    <row r="1899" spans="1:8">
      <c r="A1899" s="11" t="str">
        <f t="shared" si="101"/>
        <v>15-966362692013</v>
      </c>
      <c r="B1899" t="s">
        <v>952</v>
      </c>
      <c r="C1899" t="s">
        <v>953</v>
      </c>
      <c r="D1899">
        <v>2013</v>
      </c>
      <c r="E1899" t="s">
        <v>105</v>
      </c>
      <c r="F1899">
        <v>1007.5</v>
      </c>
      <c r="G1899">
        <v>16</v>
      </c>
      <c r="H1899" s="11" t="str">
        <f t="shared" si="100"/>
        <v>count</v>
      </c>
    </row>
    <row r="1900" spans="1:8">
      <c r="A1900" s="11" t="str">
        <f t="shared" si="101"/>
        <v>15-966362692012</v>
      </c>
      <c r="B1900" t="s">
        <v>952</v>
      </c>
      <c r="C1900" t="s">
        <v>953</v>
      </c>
      <c r="D1900">
        <v>2012</v>
      </c>
      <c r="E1900" t="s">
        <v>104</v>
      </c>
      <c r="F1900">
        <v>5291.89</v>
      </c>
      <c r="G1900">
        <v>52</v>
      </c>
      <c r="H1900" s="11" t="str">
        <f t="shared" si="100"/>
        <v>count</v>
      </c>
    </row>
    <row r="1901" spans="1:8">
      <c r="A1901" s="11" t="str">
        <f t="shared" si="101"/>
        <v>15-966362692012</v>
      </c>
      <c r="B1901" t="s">
        <v>952</v>
      </c>
      <c r="C1901" t="s">
        <v>953</v>
      </c>
      <c r="D1901">
        <v>2012</v>
      </c>
      <c r="E1901" t="s">
        <v>63</v>
      </c>
      <c r="F1901">
        <v>12903.44</v>
      </c>
      <c r="G1901">
        <v>132</v>
      </c>
      <c r="H1901" s="11" t="str">
        <f t="shared" si="100"/>
        <v>count</v>
      </c>
    </row>
    <row r="1902" spans="1:8">
      <c r="A1902" s="11" t="str">
        <f t="shared" si="101"/>
        <v>15-966362692012</v>
      </c>
      <c r="B1902" t="s">
        <v>952</v>
      </c>
      <c r="C1902" t="s">
        <v>953</v>
      </c>
      <c r="D1902">
        <v>2012</v>
      </c>
      <c r="E1902" t="s">
        <v>105</v>
      </c>
      <c r="F1902">
        <v>1128.27</v>
      </c>
      <c r="G1902">
        <v>14</v>
      </c>
      <c r="H1902" s="11" t="str">
        <f t="shared" si="100"/>
        <v>count</v>
      </c>
    </row>
    <row r="1903" spans="1:8">
      <c r="A1903" s="11" t="str">
        <f t="shared" si="101"/>
        <v>15-966362692012</v>
      </c>
      <c r="B1903" t="s">
        <v>952</v>
      </c>
      <c r="C1903" t="s">
        <v>953</v>
      </c>
      <c r="D1903">
        <v>2012</v>
      </c>
      <c r="E1903" t="s">
        <v>69</v>
      </c>
      <c r="F1903">
        <v>10654.2</v>
      </c>
      <c r="G1903">
        <v>102</v>
      </c>
      <c r="H1903" s="11" t="str">
        <f t="shared" si="100"/>
        <v>count</v>
      </c>
    </row>
    <row r="1904" spans="1:8">
      <c r="A1904" s="11" t="str">
        <f t="shared" si="101"/>
        <v>15-966362692013</v>
      </c>
      <c r="B1904" t="s">
        <v>952</v>
      </c>
      <c r="C1904" t="s">
        <v>953</v>
      </c>
      <c r="D1904">
        <v>2013</v>
      </c>
      <c r="E1904" t="s">
        <v>69</v>
      </c>
      <c r="F1904">
        <v>10815.2</v>
      </c>
      <c r="G1904">
        <v>130</v>
      </c>
      <c r="H1904" s="11" t="str">
        <f t="shared" si="100"/>
        <v>count</v>
      </c>
    </row>
    <row r="1905" spans="1:8">
      <c r="A1905" s="11" t="str">
        <f t="shared" si="101"/>
        <v>15-966362692012</v>
      </c>
      <c r="B1905" t="s">
        <v>952</v>
      </c>
      <c r="C1905" t="s">
        <v>953</v>
      </c>
      <c r="D1905">
        <v>2012</v>
      </c>
      <c r="E1905" t="s">
        <v>164</v>
      </c>
      <c r="F1905">
        <v>539.45000000000005</v>
      </c>
      <c r="G1905">
        <v>11</v>
      </c>
      <c r="H1905" s="11" t="str">
        <f t="shared" si="100"/>
        <v>count</v>
      </c>
    </row>
    <row r="1906" spans="1:8">
      <c r="A1906" s="11" t="str">
        <f t="shared" si="101"/>
        <v>15-985797772012</v>
      </c>
      <c r="B1906" t="s">
        <v>966</v>
      </c>
      <c r="C1906" t="s">
        <v>967</v>
      </c>
      <c r="D1906">
        <v>2012</v>
      </c>
      <c r="E1906" t="s">
        <v>1075</v>
      </c>
      <c r="F1906">
        <v>4006.66</v>
      </c>
      <c r="G1906">
        <v>3</v>
      </c>
      <c r="H1906" s="11" t="str">
        <f t="shared" si="100"/>
        <v>volume</v>
      </c>
    </row>
    <row r="1907" spans="1:8">
      <c r="A1907" s="11" t="str">
        <f t="shared" si="101"/>
        <v>15-985797772012</v>
      </c>
      <c r="B1907" t="s">
        <v>966</v>
      </c>
      <c r="C1907" t="s">
        <v>967</v>
      </c>
      <c r="D1907">
        <v>2012</v>
      </c>
      <c r="E1907" t="s">
        <v>104</v>
      </c>
      <c r="F1907">
        <v>27235.33</v>
      </c>
      <c r="G1907">
        <v>32</v>
      </c>
      <c r="H1907" s="11" t="str">
        <f t="shared" si="100"/>
        <v>count</v>
      </c>
    </row>
    <row r="1908" spans="1:8">
      <c r="A1908" s="11" t="str">
        <f t="shared" si="101"/>
        <v>15-985797772012</v>
      </c>
      <c r="B1908" t="s">
        <v>966</v>
      </c>
      <c r="C1908" t="s">
        <v>967</v>
      </c>
      <c r="D1908">
        <v>2012</v>
      </c>
      <c r="E1908" t="s">
        <v>63</v>
      </c>
      <c r="F1908">
        <v>43348.56</v>
      </c>
      <c r="G1908">
        <v>68</v>
      </c>
      <c r="H1908" s="11" t="str">
        <f t="shared" si="100"/>
        <v>count</v>
      </c>
    </row>
    <row r="1909" spans="1:8">
      <c r="A1909" s="11" t="str">
        <f t="shared" si="101"/>
        <v>15-985797772013</v>
      </c>
      <c r="B1909" t="s">
        <v>966</v>
      </c>
      <c r="C1909" t="s">
        <v>967</v>
      </c>
      <c r="D1909">
        <v>2013</v>
      </c>
      <c r="E1909" t="s">
        <v>104</v>
      </c>
      <c r="F1909">
        <v>34827.56</v>
      </c>
      <c r="G1909">
        <v>48</v>
      </c>
      <c r="H1909" s="11" t="str">
        <f t="shared" si="100"/>
        <v>count</v>
      </c>
    </row>
    <row r="1910" spans="1:8">
      <c r="A1910" s="11" t="str">
        <f t="shared" si="101"/>
        <v>15-985797772012</v>
      </c>
      <c r="B1910" t="s">
        <v>966</v>
      </c>
      <c r="C1910" t="s">
        <v>967</v>
      </c>
      <c r="D1910">
        <v>2012</v>
      </c>
      <c r="E1910" t="s">
        <v>1074</v>
      </c>
      <c r="F1910">
        <v>271.61</v>
      </c>
      <c r="G1910">
        <v>1</v>
      </c>
      <c r="H1910" s="11" t="str">
        <f t="shared" si="100"/>
        <v>count</v>
      </c>
    </row>
    <row r="1911" spans="1:8">
      <c r="A1911" s="11" t="str">
        <f t="shared" si="101"/>
        <v>15-985797772013</v>
      </c>
      <c r="B1911" t="s">
        <v>966</v>
      </c>
      <c r="C1911" t="s">
        <v>967</v>
      </c>
      <c r="D1911">
        <v>2013</v>
      </c>
      <c r="E1911" t="s">
        <v>63</v>
      </c>
      <c r="F1911">
        <v>71675.47</v>
      </c>
      <c r="G1911">
        <v>86</v>
      </c>
      <c r="H1911" s="11" t="str">
        <f t="shared" si="100"/>
        <v>count</v>
      </c>
    </row>
    <row r="1912" spans="1:8">
      <c r="A1912" s="11" t="str">
        <f t="shared" si="101"/>
        <v>15-985797772012</v>
      </c>
      <c r="B1912" t="s">
        <v>966</v>
      </c>
      <c r="C1912" t="s">
        <v>967</v>
      </c>
      <c r="D1912">
        <v>2012</v>
      </c>
      <c r="E1912" t="s">
        <v>106</v>
      </c>
      <c r="F1912">
        <v>0.13</v>
      </c>
      <c r="G1912">
        <v>1</v>
      </c>
      <c r="H1912" s="11" t="str">
        <f t="shared" si="100"/>
        <v>count</v>
      </c>
    </row>
    <row r="1913" spans="1:8">
      <c r="A1913" s="11" t="str">
        <f t="shared" si="101"/>
        <v>15-985797772013</v>
      </c>
      <c r="B1913" t="s">
        <v>966</v>
      </c>
      <c r="C1913" t="s">
        <v>967</v>
      </c>
      <c r="D1913">
        <v>2013</v>
      </c>
      <c r="E1913" t="s">
        <v>133</v>
      </c>
      <c r="F1913">
        <v>21144.32</v>
      </c>
      <c r="G1913">
        <v>29</v>
      </c>
      <c r="H1913" s="11" t="str">
        <f t="shared" si="100"/>
        <v>count</v>
      </c>
    </row>
    <row r="1914" spans="1:8">
      <c r="A1914" s="11" t="str">
        <f t="shared" si="101"/>
        <v>15-985797772013</v>
      </c>
      <c r="B1914" t="s">
        <v>966</v>
      </c>
      <c r="C1914" t="s">
        <v>967</v>
      </c>
      <c r="D1914">
        <v>2013</v>
      </c>
      <c r="E1914" t="s">
        <v>69</v>
      </c>
      <c r="F1914">
        <v>27084.97</v>
      </c>
      <c r="G1914">
        <v>33</v>
      </c>
      <c r="H1914" s="11" t="str">
        <f t="shared" si="100"/>
        <v>count</v>
      </c>
    </row>
    <row r="1915" spans="1:8">
      <c r="A1915" s="11" t="str">
        <f t="shared" si="101"/>
        <v>15-985797772012</v>
      </c>
      <c r="B1915" t="s">
        <v>966</v>
      </c>
      <c r="C1915" t="s">
        <v>967</v>
      </c>
      <c r="D1915">
        <v>2012</v>
      </c>
      <c r="E1915" t="s">
        <v>105</v>
      </c>
      <c r="F1915">
        <v>5489.53</v>
      </c>
      <c r="G1915">
        <v>8</v>
      </c>
      <c r="H1915" s="11" t="str">
        <f t="shared" si="100"/>
        <v>count</v>
      </c>
    </row>
    <row r="1916" spans="1:8">
      <c r="A1916" s="11" t="str">
        <f t="shared" si="101"/>
        <v>15-985797772013</v>
      </c>
      <c r="B1916" t="s">
        <v>966</v>
      </c>
      <c r="C1916" t="s">
        <v>967</v>
      </c>
      <c r="D1916">
        <v>2013</v>
      </c>
      <c r="E1916" t="s">
        <v>105</v>
      </c>
      <c r="F1916">
        <v>4659.45</v>
      </c>
      <c r="G1916">
        <v>8</v>
      </c>
      <c r="H1916" s="11" t="str">
        <f t="shared" si="100"/>
        <v>count</v>
      </c>
    </row>
    <row r="1917" spans="1:8">
      <c r="A1917" s="11" t="str">
        <f t="shared" si="101"/>
        <v>15-985797772012</v>
      </c>
      <c r="B1917" t="s">
        <v>966</v>
      </c>
      <c r="C1917" t="s">
        <v>967</v>
      </c>
      <c r="D1917">
        <v>2012</v>
      </c>
      <c r="E1917" t="s">
        <v>69</v>
      </c>
      <c r="F1917">
        <v>22250.93</v>
      </c>
      <c r="G1917">
        <v>16</v>
      </c>
      <c r="H1917" s="11" t="str">
        <f t="shared" si="100"/>
        <v>count</v>
      </c>
    </row>
    <row r="1918" spans="1:8">
      <c r="A1918" s="11" t="str">
        <f t="shared" si="101"/>
        <v>15-985797772012</v>
      </c>
      <c r="B1918" t="s">
        <v>966</v>
      </c>
      <c r="C1918" t="s">
        <v>967</v>
      </c>
      <c r="D1918">
        <v>2012</v>
      </c>
      <c r="E1918" t="s">
        <v>133</v>
      </c>
      <c r="F1918">
        <v>17033.650000000001</v>
      </c>
      <c r="G1918">
        <v>7</v>
      </c>
      <c r="H1918" s="11" t="str">
        <f t="shared" si="100"/>
        <v>count</v>
      </c>
    </row>
    <row r="1919" spans="1:8">
      <c r="A1919" s="11" t="str">
        <f t="shared" si="101"/>
        <v>16-100973012013</v>
      </c>
      <c r="B1919" t="s">
        <v>979</v>
      </c>
      <c r="C1919" t="s">
        <v>980</v>
      </c>
      <c r="D1919">
        <v>2013</v>
      </c>
      <c r="E1919" t="s">
        <v>105</v>
      </c>
      <c r="F1919">
        <v>7947.07</v>
      </c>
      <c r="G1919">
        <v>29</v>
      </c>
      <c r="H1919" s="11" t="str">
        <f t="shared" si="100"/>
        <v>volume</v>
      </c>
    </row>
    <row r="1920" spans="1:8">
      <c r="A1920" s="11" t="str">
        <f t="shared" si="101"/>
        <v>16-100973012013</v>
      </c>
      <c r="B1920" t="s">
        <v>979</v>
      </c>
      <c r="C1920" t="s">
        <v>980</v>
      </c>
      <c r="D1920">
        <v>2013</v>
      </c>
      <c r="E1920" t="s">
        <v>69</v>
      </c>
      <c r="F1920">
        <v>61641.81</v>
      </c>
      <c r="G1920">
        <v>282</v>
      </c>
      <c r="H1920" s="11" t="str">
        <f t="shared" si="100"/>
        <v>count</v>
      </c>
    </row>
    <row r="1921" spans="1:8">
      <c r="A1921" s="11" t="str">
        <f t="shared" si="101"/>
        <v>16-100973012012</v>
      </c>
      <c r="B1921" t="s">
        <v>979</v>
      </c>
      <c r="C1921" t="s">
        <v>980</v>
      </c>
      <c r="D1921">
        <v>2012</v>
      </c>
      <c r="E1921" t="s">
        <v>63</v>
      </c>
      <c r="F1921">
        <v>18547.400000000001</v>
      </c>
      <c r="G1921">
        <v>69</v>
      </c>
      <c r="H1921" s="11" t="str">
        <f t="shared" si="100"/>
        <v>count</v>
      </c>
    </row>
    <row r="1922" spans="1:8">
      <c r="A1922" s="11" t="str">
        <f t="shared" si="101"/>
        <v>16-100973012012</v>
      </c>
      <c r="B1922" t="s">
        <v>979</v>
      </c>
      <c r="C1922" t="s">
        <v>980</v>
      </c>
      <c r="D1922">
        <v>2012</v>
      </c>
      <c r="E1922" t="s">
        <v>104</v>
      </c>
      <c r="F1922">
        <v>8572.5499999999993</v>
      </c>
      <c r="G1922">
        <v>37</v>
      </c>
      <c r="H1922" s="11" t="str">
        <f t="shared" ref="H1922:H1985" si="102">IF(B1922=B1921,"count","volume")</f>
        <v>count</v>
      </c>
    </row>
    <row r="1923" spans="1:8">
      <c r="A1923" s="11" t="str">
        <f t="shared" ref="A1923:A1986" si="103">B1923&amp;D1923</f>
        <v>16-100973012012</v>
      </c>
      <c r="B1923" t="s">
        <v>979</v>
      </c>
      <c r="C1923" t="s">
        <v>980</v>
      </c>
      <c r="D1923">
        <v>2012</v>
      </c>
      <c r="E1923" t="s">
        <v>105</v>
      </c>
      <c r="F1923">
        <v>483.57</v>
      </c>
      <c r="G1923">
        <v>3</v>
      </c>
      <c r="H1923" s="11" t="str">
        <f t="shared" si="102"/>
        <v>count</v>
      </c>
    </row>
    <row r="1924" spans="1:8">
      <c r="A1924" s="11" t="str">
        <f t="shared" si="103"/>
        <v>16-100973012013</v>
      </c>
      <c r="B1924" t="s">
        <v>979</v>
      </c>
      <c r="C1924" t="s">
        <v>980</v>
      </c>
      <c r="D1924">
        <v>2013</v>
      </c>
      <c r="E1924" t="s">
        <v>63</v>
      </c>
      <c r="F1924">
        <v>105353.05</v>
      </c>
      <c r="G1924">
        <v>289</v>
      </c>
      <c r="H1924" s="11" t="str">
        <f t="shared" si="102"/>
        <v>count</v>
      </c>
    </row>
    <row r="1925" spans="1:8">
      <c r="A1925" s="11" t="str">
        <f t="shared" si="103"/>
        <v>16-100973012013</v>
      </c>
      <c r="B1925" t="s">
        <v>979</v>
      </c>
      <c r="C1925" t="s">
        <v>980</v>
      </c>
      <c r="D1925">
        <v>2013</v>
      </c>
      <c r="E1925" t="s">
        <v>104</v>
      </c>
      <c r="F1925">
        <v>111442.24000000001</v>
      </c>
      <c r="G1925">
        <v>260</v>
      </c>
      <c r="H1925" s="11" t="str">
        <f t="shared" si="102"/>
        <v>count</v>
      </c>
    </row>
    <row r="1926" spans="1:8">
      <c r="A1926" s="11" t="str">
        <f t="shared" si="103"/>
        <v>16-100973012012</v>
      </c>
      <c r="B1926" t="s">
        <v>979</v>
      </c>
      <c r="C1926" t="s">
        <v>980</v>
      </c>
      <c r="D1926">
        <v>2012</v>
      </c>
      <c r="E1926" t="s">
        <v>69</v>
      </c>
      <c r="F1926">
        <v>17901.240000000002</v>
      </c>
      <c r="G1926">
        <v>85</v>
      </c>
      <c r="H1926" s="11" t="str">
        <f t="shared" si="102"/>
        <v>count</v>
      </c>
    </row>
    <row r="1927" spans="1:8">
      <c r="A1927" s="11" t="str">
        <f t="shared" si="103"/>
        <v>16-100973012012</v>
      </c>
      <c r="B1927" t="s">
        <v>979</v>
      </c>
      <c r="C1927" t="s">
        <v>980</v>
      </c>
      <c r="D1927">
        <v>2012</v>
      </c>
      <c r="E1927" t="s">
        <v>164</v>
      </c>
      <c r="F1927">
        <v>2700.93</v>
      </c>
      <c r="G1927">
        <v>10</v>
      </c>
      <c r="H1927" s="11" t="str">
        <f t="shared" si="102"/>
        <v>count</v>
      </c>
    </row>
    <row r="1928" spans="1:8">
      <c r="A1928" s="11" t="str">
        <f t="shared" si="103"/>
        <v>16-103474372012</v>
      </c>
      <c r="B1928" t="s">
        <v>1001</v>
      </c>
      <c r="C1928" t="s">
        <v>158</v>
      </c>
      <c r="D1928">
        <v>2012</v>
      </c>
      <c r="E1928" t="s">
        <v>105</v>
      </c>
      <c r="F1928">
        <v>30084.73</v>
      </c>
      <c r="G1928">
        <v>61</v>
      </c>
      <c r="H1928" s="11" t="str">
        <f t="shared" si="102"/>
        <v>volume</v>
      </c>
    </row>
    <row r="1929" spans="1:8">
      <c r="A1929" s="11" t="str">
        <f t="shared" si="103"/>
        <v>16-103474372012</v>
      </c>
      <c r="B1929" t="s">
        <v>1001</v>
      </c>
      <c r="C1929" t="s">
        <v>158</v>
      </c>
      <c r="D1929">
        <v>2012</v>
      </c>
      <c r="E1929" t="s">
        <v>63</v>
      </c>
      <c r="F1929">
        <v>146458.35</v>
      </c>
      <c r="G1929">
        <v>355</v>
      </c>
      <c r="H1929" s="11" t="str">
        <f t="shared" si="102"/>
        <v>count</v>
      </c>
    </row>
    <row r="1930" spans="1:8">
      <c r="A1930" s="11" t="str">
        <f t="shared" si="103"/>
        <v>16-103474372013</v>
      </c>
      <c r="B1930" t="s">
        <v>1001</v>
      </c>
      <c r="C1930" t="s">
        <v>158</v>
      </c>
      <c r="D1930">
        <v>2013</v>
      </c>
      <c r="E1930" t="s">
        <v>105</v>
      </c>
      <c r="F1930">
        <v>131877.94</v>
      </c>
      <c r="G1930">
        <v>234</v>
      </c>
      <c r="H1930" s="11" t="str">
        <f t="shared" si="102"/>
        <v>count</v>
      </c>
    </row>
    <row r="1931" spans="1:8">
      <c r="A1931" s="11" t="str">
        <f t="shared" si="103"/>
        <v>16-103474372013</v>
      </c>
      <c r="B1931" t="s">
        <v>1001</v>
      </c>
      <c r="C1931" t="s">
        <v>158</v>
      </c>
      <c r="D1931">
        <v>2013</v>
      </c>
      <c r="E1931" t="s">
        <v>69</v>
      </c>
      <c r="F1931">
        <v>501963.49</v>
      </c>
      <c r="G1931">
        <v>1258</v>
      </c>
      <c r="H1931" s="11" t="str">
        <f t="shared" si="102"/>
        <v>count</v>
      </c>
    </row>
    <row r="1932" spans="1:8">
      <c r="A1932" s="11" t="str">
        <f t="shared" si="103"/>
        <v>16-103474372012</v>
      </c>
      <c r="B1932" t="s">
        <v>1001</v>
      </c>
      <c r="C1932" t="s">
        <v>158</v>
      </c>
      <c r="D1932">
        <v>2012</v>
      </c>
      <c r="E1932" t="s">
        <v>104</v>
      </c>
      <c r="F1932">
        <v>80440.77</v>
      </c>
      <c r="G1932">
        <v>220</v>
      </c>
      <c r="H1932" s="11" t="str">
        <f t="shared" si="102"/>
        <v>count</v>
      </c>
    </row>
    <row r="1933" spans="1:8">
      <c r="A1933" s="11" t="str">
        <f t="shared" si="103"/>
        <v>16-103474372013</v>
      </c>
      <c r="B1933" t="s">
        <v>1001</v>
      </c>
      <c r="C1933" t="s">
        <v>158</v>
      </c>
      <c r="D1933">
        <v>2013</v>
      </c>
      <c r="E1933" t="s">
        <v>133</v>
      </c>
      <c r="F1933">
        <v>297590.77</v>
      </c>
      <c r="G1933">
        <v>564</v>
      </c>
      <c r="H1933" s="11" t="str">
        <f t="shared" si="102"/>
        <v>count</v>
      </c>
    </row>
    <row r="1934" spans="1:8">
      <c r="A1934" s="11" t="str">
        <f t="shared" si="103"/>
        <v>16-103474372012</v>
      </c>
      <c r="B1934" t="s">
        <v>1001</v>
      </c>
      <c r="C1934" t="s">
        <v>158</v>
      </c>
      <c r="D1934">
        <v>2012</v>
      </c>
      <c r="E1934" t="s">
        <v>133</v>
      </c>
      <c r="F1934">
        <v>59274.83</v>
      </c>
      <c r="G1934">
        <v>142</v>
      </c>
      <c r="H1934" s="11" t="str">
        <f t="shared" si="102"/>
        <v>count</v>
      </c>
    </row>
    <row r="1935" spans="1:8">
      <c r="A1935" s="11" t="str">
        <f t="shared" si="103"/>
        <v>16-103474372012</v>
      </c>
      <c r="B1935" t="s">
        <v>1001</v>
      </c>
      <c r="C1935" t="s">
        <v>158</v>
      </c>
      <c r="D1935">
        <v>2012</v>
      </c>
      <c r="E1935" t="s">
        <v>69</v>
      </c>
      <c r="F1935">
        <v>87441.61</v>
      </c>
      <c r="G1935">
        <v>264</v>
      </c>
      <c r="H1935" s="11" t="str">
        <f t="shared" si="102"/>
        <v>count</v>
      </c>
    </row>
    <row r="1936" spans="1:8">
      <c r="A1936" s="11" t="str">
        <f t="shared" si="103"/>
        <v>16-103474372013</v>
      </c>
      <c r="B1936" t="s">
        <v>1001</v>
      </c>
      <c r="C1936" t="s">
        <v>158</v>
      </c>
      <c r="D1936">
        <v>2013</v>
      </c>
      <c r="E1936" t="s">
        <v>63</v>
      </c>
      <c r="F1936">
        <v>828185.04</v>
      </c>
      <c r="G1936">
        <v>1637</v>
      </c>
      <c r="H1936" s="11" t="str">
        <f t="shared" si="102"/>
        <v>count</v>
      </c>
    </row>
    <row r="1937" spans="1:8">
      <c r="A1937" s="11" t="str">
        <f t="shared" si="103"/>
        <v>16-103474372013</v>
      </c>
      <c r="B1937" t="s">
        <v>1001</v>
      </c>
      <c r="C1937" t="s">
        <v>158</v>
      </c>
      <c r="D1937">
        <v>2013</v>
      </c>
      <c r="E1937" t="s">
        <v>104</v>
      </c>
      <c r="F1937">
        <v>405744.27</v>
      </c>
      <c r="G1937">
        <v>850</v>
      </c>
      <c r="H1937" s="11" t="str">
        <f t="shared" si="102"/>
        <v>count</v>
      </c>
    </row>
    <row r="1938" spans="1:8">
      <c r="A1938" s="11" t="str">
        <f t="shared" si="103"/>
        <v>16-104225562013</v>
      </c>
      <c r="B1938" t="s">
        <v>1007</v>
      </c>
      <c r="C1938" t="s">
        <v>1008</v>
      </c>
      <c r="D1938">
        <v>2013</v>
      </c>
      <c r="E1938" t="s">
        <v>105</v>
      </c>
      <c r="F1938">
        <v>906211.11</v>
      </c>
      <c r="G1938">
        <v>718</v>
      </c>
      <c r="H1938" s="11" t="str">
        <f t="shared" si="102"/>
        <v>volume</v>
      </c>
    </row>
    <row r="1939" spans="1:8">
      <c r="A1939" s="11" t="str">
        <f t="shared" si="103"/>
        <v>16-104225562013</v>
      </c>
      <c r="B1939" t="s">
        <v>1007</v>
      </c>
      <c r="C1939" t="s">
        <v>1008</v>
      </c>
      <c r="D1939">
        <v>2013</v>
      </c>
      <c r="E1939" t="s">
        <v>104</v>
      </c>
      <c r="F1939">
        <v>3733429.05</v>
      </c>
      <c r="G1939">
        <v>2739</v>
      </c>
      <c r="H1939" s="11" t="str">
        <f t="shared" si="102"/>
        <v>count</v>
      </c>
    </row>
    <row r="1940" spans="1:8">
      <c r="A1940" s="11" t="str">
        <f t="shared" si="103"/>
        <v>16-104225562013</v>
      </c>
      <c r="B1940" t="s">
        <v>1007</v>
      </c>
      <c r="C1940" t="s">
        <v>1008</v>
      </c>
      <c r="D1940">
        <v>2013</v>
      </c>
      <c r="E1940" t="s">
        <v>69</v>
      </c>
      <c r="F1940">
        <v>1188248.49</v>
      </c>
      <c r="G1940">
        <v>1141</v>
      </c>
      <c r="H1940" s="11" t="str">
        <f t="shared" si="102"/>
        <v>count</v>
      </c>
    </row>
    <row r="1941" spans="1:8">
      <c r="A1941" s="11" t="str">
        <f t="shared" si="103"/>
        <v>16-104225562013</v>
      </c>
      <c r="B1941" t="s">
        <v>1007</v>
      </c>
      <c r="C1941" t="s">
        <v>1008</v>
      </c>
      <c r="D1941">
        <v>2013</v>
      </c>
      <c r="E1941" t="s">
        <v>133</v>
      </c>
      <c r="F1941">
        <v>4353329.4000000004</v>
      </c>
      <c r="G1941">
        <v>2795</v>
      </c>
      <c r="H1941" s="11" t="str">
        <f t="shared" si="102"/>
        <v>count</v>
      </c>
    </row>
    <row r="1942" spans="1:8">
      <c r="A1942" s="11" t="str">
        <f t="shared" si="103"/>
        <v>16-104225562013</v>
      </c>
      <c r="B1942" t="s">
        <v>1007</v>
      </c>
      <c r="C1942" t="s">
        <v>1008</v>
      </c>
      <c r="D1942">
        <v>2013</v>
      </c>
      <c r="E1942" t="s">
        <v>63</v>
      </c>
      <c r="F1942">
        <v>7146601.9400000004</v>
      </c>
      <c r="G1942">
        <v>5163</v>
      </c>
      <c r="H1942" s="11" t="str">
        <f t="shared" si="102"/>
        <v>count</v>
      </c>
    </row>
    <row r="1943" spans="1:8">
      <c r="A1943" s="11" t="str">
        <f t="shared" si="103"/>
        <v>16-104225562012</v>
      </c>
      <c r="B1943" t="s">
        <v>1007</v>
      </c>
      <c r="C1943" t="s">
        <v>1008</v>
      </c>
      <c r="D1943">
        <v>2012</v>
      </c>
      <c r="E1943" t="s">
        <v>63</v>
      </c>
      <c r="F1943">
        <v>299913.75</v>
      </c>
      <c r="G1943">
        <v>210</v>
      </c>
      <c r="H1943" s="11" t="str">
        <f t="shared" si="102"/>
        <v>count</v>
      </c>
    </row>
    <row r="1944" spans="1:8">
      <c r="A1944" s="11" t="str">
        <f t="shared" si="103"/>
        <v>16-104225562013</v>
      </c>
      <c r="B1944" t="s">
        <v>1007</v>
      </c>
      <c r="C1944" t="s">
        <v>1008</v>
      </c>
      <c r="D1944">
        <v>2013</v>
      </c>
      <c r="E1944" t="s">
        <v>106</v>
      </c>
      <c r="F1944">
        <v>56783.38</v>
      </c>
      <c r="G1944">
        <v>27</v>
      </c>
      <c r="H1944" s="11" t="str">
        <f t="shared" si="102"/>
        <v>count</v>
      </c>
    </row>
    <row r="1945" spans="1:8">
      <c r="A1945" s="11" t="str">
        <f t="shared" si="103"/>
        <v>16-104225562012</v>
      </c>
      <c r="B1945" t="s">
        <v>1007</v>
      </c>
      <c r="C1945" t="s">
        <v>1008</v>
      </c>
      <c r="D1945">
        <v>2012</v>
      </c>
      <c r="E1945" t="s">
        <v>104</v>
      </c>
      <c r="F1945">
        <v>133398.98000000001</v>
      </c>
      <c r="G1945">
        <v>104</v>
      </c>
      <c r="H1945" s="11" t="str">
        <f t="shared" si="102"/>
        <v>count</v>
      </c>
    </row>
    <row r="1946" spans="1:8">
      <c r="A1946" s="11" t="str">
        <f t="shared" si="103"/>
        <v>16-104225562012</v>
      </c>
      <c r="B1946" t="s">
        <v>1007</v>
      </c>
      <c r="C1946" t="s">
        <v>1008</v>
      </c>
      <c r="D1946">
        <v>2012</v>
      </c>
      <c r="E1946" t="s">
        <v>105</v>
      </c>
      <c r="F1946">
        <v>31763.26</v>
      </c>
      <c r="G1946">
        <v>24</v>
      </c>
      <c r="H1946" s="11" t="str">
        <f t="shared" si="102"/>
        <v>count</v>
      </c>
    </row>
    <row r="1947" spans="1:8">
      <c r="A1947" s="11" t="str">
        <f t="shared" si="103"/>
        <v>16-104225562012</v>
      </c>
      <c r="B1947" t="s">
        <v>1007</v>
      </c>
      <c r="C1947" t="s">
        <v>1008</v>
      </c>
      <c r="D1947">
        <v>2012</v>
      </c>
      <c r="E1947" t="s">
        <v>69</v>
      </c>
      <c r="F1947">
        <v>25836.62</v>
      </c>
      <c r="G1947">
        <v>30</v>
      </c>
      <c r="H1947" s="11" t="str">
        <f t="shared" si="102"/>
        <v>count</v>
      </c>
    </row>
    <row r="1948" spans="1:8">
      <c r="A1948" s="11" t="str">
        <f t="shared" si="103"/>
        <v>16-104225562012</v>
      </c>
      <c r="B1948" t="s">
        <v>1007</v>
      </c>
      <c r="C1948" t="s">
        <v>1008</v>
      </c>
      <c r="D1948">
        <v>2012</v>
      </c>
      <c r="E1948" t="s">
        <v>133</v>
      </c>
      <c r="F1948">
        <v>131086.26</v>
      </c>
      <c r="G1948">
        <v>95</v>
      </c>
      <c r="H1948" s="11" t="str">
        <f t="shared" si="102"/>
        <v>count</v>
      </c>
    </row>
    <row r="1949" spans="1:8">
      <c r="A1949" s="11" t="str">
        <f t="shared" si="103"/>
        <v>16-104974392012</v>
      </c>
      <c r="B1949" t="s">
        <v>1015</v>
      </c>
      <c r="C1949" t="s">
        <v>1016</v>
      </c>
      <c r="D1949">
        <v>2012</v>
      </c>
      <c r="E1949" t="s">
        <v>105</v>
      </c>
      <c r="F1949">
        <v>45682.38</v>
      </c>
      <c r="G1949">
        <v>157</v>
      </c>
      <c r="H1949" s="11" t="str">
        <f t="shared" si="102"/>
        <v>volume</v>
      </c>
    </row>
    <row r="1950" spans="1:8">
      <c r="A1950" s="11" t="str">
        <f t="shared" si="103"/>
        <v>16-104974392013</v>
      </c>
      <c r="B1950" t="s">
        <v>1015</v>
      </c>
      <c r="C1950" t="s">
        <v>1016</v>
      </c>
      <c r="D1950">
        <v>2013</v>
      </c>
      <c r="E1950" t="s">
        <v>104</v>
      </c>
      <c r="F1950">
        <v>961687.4</v>
      </c>
      <c r="G1950">
        <v>3424</v>
      </c>
      <c r="H1950" s="11" t="str">
        <f t="shared" si="102"/>
        <v>count</v>
      </c>
    </row>
    <row r="1951" spans="1:8">
      <c r="A1951" s="11" t="str">
        <f t="shared" si="103"/>
        <v>16-104974392013</v>
      </c>
      <c r="B1951" t="s">
        <v>1015</v>
      </c>
      <c r="C1951" t="s">
        <v>1016</v>
      </c>
      <c r="D1951">
        <v>2013</v>
      </c>
      <c r="E1951" t="s">
        <v>63</v>
      </c>
      <c r="F1951">
        <v>2972129.73</v>
      </c>
      <c r="G1951">
        <v>10826</v>
      </c>
      <c r="H1951" s="11" t="str">
        <f t="shared" si="102"/>
        <v>count</v>
      </c>
    </row>
    <row r="1952" spans="1:8">
      <c r="A1952" s="11" t="str">
        <f t="shared" si="103"/>
        <v>16-104974392012</v>
      </c>
      <c r="B1952" t="s">
        <v>1015</v>
      </c>
      <c r="C1952" t="s">
        <v>1016</v>
      </c>
      <c r="D1952">
        <v>2012</v>
      </c>
      <c r="E1952" t="s">
        <v>104</v>
      </c>
      <c r="F1952">
        <v>133047.29</v>
      </c>
      <c r="G1952">
        <v>476</v>
      </c>
      <c r="H1952" s="11" t="str">
        <f t="shared" si="102"/>
        <v>count</v>
      </c>
    </row>
    <row r="1953" spans="1:8">
      <c r="A1953" s="11" t="str">
        <f t="shared" si="103"/>
        <v>16-104974392012</v>
      </c>
      <c r="B1953" t="s">
        <v>1015</v>
      </c>
      <c r="C1953" t="s">
        <v>1016</v>
      </c>
      <c r="D1953">
        <v>2012</v>
      </c>
      <c r="E1953" t="s">
        <v>63</v>
      </c>
      <c r="F1953">
        <v>407186.27</v>
      </c>
      <c r="G1953">
        <v>1463</v>
      </c>
      <c r="H1953" s="11" t="str">
        <f t="shared" si="102"/>
        <v>count</v>
      </c>
    </row>
    <row r="1954" spans="1:8">
      <c r="A1954" s="11" t="str">
        <f t="shared" si="103"/>
        <v>16-104974392012</v>
      </c>
      <c r="B1954" t="s">
        <v>1015</v>
      </c>
      <c r="C1954" t="s">
        <v>1016</v>
      </c>
      <c r="D1954">
        <v>2012</v>
      </c>
      <c r="E1954" t="s">
        <v>133</v>
      </c>
      <c r="F1954">
        <v>126877.01</v>
      </c>
      <c r="G1954">
        <v>349</v>
      </c>
      <c r="H1954" s="11" t="str">
        <f t="shared" si="102"/>
        <v>count</v>
      </c>
    </row>
    <row r="1955" spans="1:8">
      <c r="A1955" s="11" t="str">
        <f t="shared" si="103"/>
        <v>16-104974392012</v>
      </c>
      <c r="B1955" t="s">
        <v>1015</v>
      </c>
      <c r="C1955" t="s">
        <v>1016</v>
      </c>
      <c r="D1955">
        <v>2012</v>
      </c>
      <c r="E1955" t="s">
        <v>69</v>
      </c>
      <c r="F1955">
        <v>107925.42</v>
      </c>
      <c r="G1955">
        <v>524</v>
      </c>
      <c r="H1955" s="11" t="str">
        <f t="shared" si="102"/>
        <v>count</v>
      </c>
    </row>
    <row r="1956" spans="1:8">
      <c r="A1956" s="11" t="str">
        <f t="shared" si="103"/>
        <v>16-104974392013</v>
      </c>
      <c r="B1956" t="s">
        <v>1015</v>
      </c>
      <c r="C1956" t="s">
        <v>1016</v>
      </c>
      <c r="D1956">
        <v>2013</v>
      </c>
      <c r="E1956" t="s">
        <v>69</v>
      </c>
      <c r="F1956">
        <v>882078.17</v>
      </c>
      <c r="G1956">
        <v>4320</v>
      </c>
      <c r="H1956" s="11" t="str">
        <f t="shared" si="102"/>
        <v>count</v>
      </c>
    </row>
    <row r="1957" spans="1:8">
      <c r="A1957" s="11" t="str">
        <f t="shared" si="103"/>
        <v>16-104974392013</v>
      </c>
      <c r="B1957" t="s">
        <v>1015</v>
      </c>
      <c r="C1957" t="s">
        <v>1016</v>
      </c>
      <c r="D1957">
        <v>2013</v>
      </c>
      <c r="E1957" t="s">
        <v>105</v>
      </c>
      <c r="F1957">
        <v>305714.33</v>
      </c>
      <c r="G1957">
        <v>1069</v>
      </c>
      <c r="H1957" s="11" t="str">
        <f t="shared" si="102"/>
        <v>count</v>
      </c>
    </row>
    <row r="1958" spans="1:8">
      <c r="A1958" s="11" t="str">
        <f t="shared" si="103"/>
        <v>16-104974392013</v>
      </c>
      <c r="B1958" t="s">
        <v>1015</v>
      </c>
      <c r="C1958" t="s">
        <v>1016</v>
      </c>
      <c r="D1958">
        <v>2013</v>
      </c>
      <c r="E1958" t="s">
        <v>133</v>
      </c>
      <c r="F1958">
        <v>1038926.61</v>
      </c>
      <c r="G1958">
        <v>3345</v>
      </c>
      <c r="H1958" s="11" t="str">
        <f t="shared" si="102"/>
        <v>count</v>
      </c>
    </row>
    <row r="1959" spans="1:8">
      <c r="A1959" s="11" t="str">
        <f t="shared" si="103"/>
        <v>16-106265012012</v>
      </c>
      <c r="B1959" t="s">
        <v>1028</v>
      </c>
      <c r="C1959" t="s">
        <v>1029</v>
      </c>
      <c r="D1959">
        <v>2012</v>
      </c>
      <c r="E1959" t="s">
        <v>104</v>
      </c>
      <c r="F1959">
        <v>2.57</v>
      </c>
      <c r="G1959">
        <v>1</v>
      </c>
      <c r="H1959" s="11" t="str">
        <f t="shared" si="102"/>
        <v>volume</v>
      </c>
    </row>
    <row r="1960" spans="1:8">
      <c r="A1960" s="11" t="str">
        <f t="shared" si="103"/>
        <v>16-106265012013</v>
      </c>
      <c r="B1960" t="s">
        <v>1028</v>
      </c>
      <c r="C1960" t="s">
        <v>1029</v>
      </c>
      <c r="D1960">
        <v>2013</v>
      </c>
      <c r="E1960" t="s">
        <v>104</v>
      </c>
      <c r="F1960">
        <v>120448.11</v>
      </c>
      <c r="G1960">
        <v>173</v>
      </c>
      <c r="H1960" s="11" t="str">
        <f t="shared" si="102"/>
        <v>count</v>
      </c>
    </row>
    <row r="1961" spans="1:8">
      <c r="A1961" s="11" t="str">
        <f t="shared" si="103"/>
        <v>16-106265012013</v>
      </c>
      <c r="B1961" t="s">
        <v>1028</v>
      </c>
      <c r="C1961" t="s">
        <v>1029</v>
      </c>
      <c r="D1961">
        <v>2013</v>
      </c>
      <c r="E1961" t="s">
        <v>133</v>
      </c>
      <c r="F1961">
        <v>198196.18</v>
      </c>
      <c r="G1961">
        <v>185</v>
      </c>
      <c r="H1961" s="11" t="str">
        <f t="shared" si="102"/>
        <v>count</v>
      </c>
    </row>
    <row r="1962" spans="1:8">
      <c r="A1962" s="11" t="str">
        <f t="shared" si="103"/>
        <v>16-106265012013</v>
      </c>
      <c r="B1962" t="s">
        <v>1028</v>
      </c>
      <c r="C1962" t="s">
        <v>1029</v>
      </c>
      <c r="D1962">
        <v>2013</v>
      </c>
      <c r="E1962" t="s">
        <v>63</v>
      </c>
      <c r="F1962">
        <v>263156.46000000002</v>
      </c>
      <c r="G1962">
        <v>382</v>
      </c>
      <c r="H1962" s="11" t="str">
        <f t="shared" si="102"/>
        <v>count</v>
      </c>
    </row>
    <row r="1963" spans="1:8">
      <c r="A1963" s="11" t="str">
        <f t="shared" si="103"/>
        <v>16-106265012013</v>
      </c>
      <c r="B1963" t="s">
        <v>1028</v>
      </c>
      <c r="C1963" t="s">
        <v>1029</v>
      </c>
      <c r="D1963">
        <v>2013</v>
      </c>
      <c r="E1963" t="s">
        <v>69</v>
      </c>
      <c r="F1963">
        <v>117092.86</v>
      </c>
      <c r="G1963">
        <v>200</v>
      </c>
      <c r="H1963" s="11" t="str">
        <f t="shared" si="102"/>
        <v>count</v>
      </c>
    </row>
    <row r="1964" spans="1:8">
      <c r="A1964" s="11" t="str">
        <f t="shared" si="103"/>
        <v>16-106265012013</v>
      </c>
      <c r="B1964" t="s">
        <v>1028</v>
      </c>
      <c r="C1964" t="s">
        <v>1029</v>
      </c>
      <c r="D1964">
        <v>2013</v>
      </c>
      <c r="E1964" t="s">
        <v>105</v>
      </c>
      <c r="F1964">
        <v>18472.12</v>
      </c>
      <c r="G1964">
        <v>26</v>
      </c>
      <c r="H1964" s="11" t="str">
        <f t="shared" si="102"/>
        <v>count</v>
      </c>
    </row>
    <row r="1965" spans="1:8">
      <c r="A1965" s="11" t="str">
        <f t="shared" si="103"/>
        <v>25-270604362012</v>
      </c>
      <c r="B1965" t="s">
        <v>1077</v>
      </c>
      <c r="C1965" t="s">
        <v>1078</v>
      </c>
      <c r="D1965">
        <v>2012</v>
      </c>
      <c r="E1965" t="s">
        <v>104</v>
      </c>
      <c r="F1965">
        <v>1313907.6399999999</v>
      </c>
      <c r="G1965">
        <v>1072</v>
      </c>
      <c r="H1965" s="11" t="str">
        <f t="shared" si="102"/>
        <v>volume</v>
      </c>
    </row>
    <row r="1966" spans="1:8">
      <c r="A1966" s="11" t="str">
        <f t="shared" si="103"/>
        <v>25-270604362012</v>
      </c>
      <c r="B1966" t="s">
        <v>1077</v>
      </c>
      <c r="C1966" t="s">
        <v>1078</v>
      </c>
      <c r="D1966">
        <v>2012</v>
      </c>
      <c r="E1966" t="s">
        <v>63</v>
      </c>
      <c r="F1966">
        <v>1758617.05</v>
      </c>
      <c r="G1966">
        <v>1535</v>
      </c>
      <c r="H1966" s="11" t="str">
        <f t="shared" si="102"/>
        <v>count</v>
      </c>
    </row>
    <row r="1967" spans="1:8">
      <c r="A1967" s="11" t="str">
        <f t="shared" si="103"/>
        <v>25-270604362012</v>
      </c>
      <c r="B1967" t="s">
        <v>1077</v>
      </c>
      <c r="C1967" t="s">
        <v>1078</v>
      </c>
      <c r="D1967">
        <v>2012</v>
      </c>
      <c r="E1967" t="s">
        <v>1074</v>
      </c>
      <c r="F1967">
        <v>39532.910000000003</v>
      </c>
      <c r="G1967">
        <v>58</v>
      </c>
      <c r="H1967" s="11" t="str">
        <f t="shared" si="102"/>
        <v>count</v>
      </c>
    </row>
    <row r="1968" spans="1:8">
      <c r="A1968" s="11" t="str">
        <f t="shared" si="103"/>
        <v>25-270604362012</v>
      </c>
      <c r="B1968" t="s">
        <v>1077</v>
      </c>
      <c r="C1968" t="s">
        <v>1078</v>
      </c>
      <c r="D1968">
        <v>2012</v>
      </c>
      <c r="E1968" t="s">
        <v>69</v>
      </c>
      <c r="F1968">
        <v>975948.59</v>
      </c>
      <c r="G1968">
        <v>1383</v>
      </c>
      <c r="H1968" s="11" t="str">
        <f t="shared" si="102"/>
        <v>count</v>
      </c>
    </row>
    <row r="1969" spans="1:8">
      <c r="A1969" s="11" t="str">
        <f t="shared" si="103"/>
        <v>25-270604362012</v>
      </c>
      <c r="B1969" t="s">
        <v>1077</v>
      </c>
      <c r="C1969" t="s">
        <v>1078</v>
      </c>
      <c r="D1969">
        <v>2012</v>
      </c>
      <c r="E1969" t="s">
        <v>1075</v>
      </c>
      <c r="F1969">
        <v>59715.199999999997</v>
      </c>
      <c r="G1969">
        <v>121</v>
      </c>
      <c r="H1969" s="11" t="str">
        <f t="shared" si="102"/>
        <v>count</v>
      </c>
    </row>
    <row r="1970" spans="1:8">
      <c r="A1970" s="11" t="str">
        <f t="shared" si="103"/>
        <v>25-270604362013</v>
      </c>
      <c r="B1970" t="s">
        <v>1077</v>
      </c>
      <c r="C1970" t="s">
        <v>1078</v>
      </c>
      <c r="D1970">
        <v>2013</v>
      </c>
      <c r="E1970" t="s">
        <v>63</v>
      </c>
      <c r="F1970">
        <v>1367639.53</v>
      </c>
      <c r="G1970">
        <v>1323</v>
      </c>
      <c r="H1970" s="11" t="str">
        <f t="shared" si="102"/>
        <v>count</v>
      </c>
    </row>
    <row r="1971" spans="1:8">
      <c r="A1971" s="11" t="str">
        <f t="shared" si="103"/>
        <v>25-270604362011</v>
      </c>
      <c r="B1971" t="s">
        <v>1077</v>
      </c>
      <c r="C1971" t="s">
        <v>1078</v>
      </c>
      <c r="D1971">
        <v>2011</v>
      </c>
      <c r="E1971" t="s">
        <v>69</v>
      </c>
      <c r="F1971">
        <v>2309.9499999999998</v>
      </c>
      <c r="G1971">
        <v>4</v>
      </c>
      <c r="H1971" s="11" t="str">
        <f t="shared" si="102"/>
        <v>count</v>
      </c>
    </row>
    <row r="1972" spans="1:8">
      <c r="A1972" s="11" t="str">
        <f t="shared" si="103"/>
        <v>25-270604362013</v>
      </c>
      <c r="B1972" t="s">
        <v>1077</v>
      </c>
      <c r="C1972" t="s">
        <v>1078</v>
      </c>
      <c r="D1972">
        <v>2013</v>
      </c>
      <c r="E1972" t="s">
        <v>106</v>
      </c>
      <c r="F1972">
        <v>39529003.659999996</v>
      </c>
      <c r="G1972">
        <v>23688</v>
      </c>
      <c r="H1972" s="11" t="str">
        <f t="shared" si="102"/>
        <v>count</v>
      </c>
    </row>
    <row r="1973" spans="1:8">
      <c r="A1973" s="11" t="str">
        <f t="shared" si="103"/>
        <v>25-270604362011</v>
      </c>
      <c r="B1973" t="s">
        <v>1077</v>
      </c>
      <c r="C1973" t="s">
        <v>1078</v>
      </c>
      <c r="D1973">
        <v>2011</v>
      </c>
      <c r="E1973" t="s">
        <v>105</v>
      </c>
      <c r="F1973">
        <v>45033.26</v>
      </c>
      <c r="G1973">
        <v>57</v>
      </c>
      <c r="H1973" s="11" t="str">
        <f t="shared" si="102"/>
        <v>count</v>
      </c>
    </row>
    <row r="1974" spans="1:8">
      <c r="A1974" s="11" t="str">
        <f t="shared" si="103"/>
        <v>25-270604362013</v>
      </c>
      <c r="B1974" t="s">
        <v>1077</v>
      </c>
      <c r="C1974" t="s">
        <v>1078</v>
      </c>
      <c r="D1974">
        <v>2013</v>
      </c>
      <c r="E1974" t="s">
        <v>104</v>
      </c>
      <c r="F1974">
        <v>924707.7</v>
      </c>
      <c r="G1974">
        <v>835</v>
      </c>
      <c r="H1974" s="11" t="str">
        <f t="shared" si="102"/>
        <v>count</v>
      </c>
    </row>
    <row r="1975" spans="1:8">
      <c r="A1975" s="11" t="str">
        <f t="shared" si="103"/>
        <v>25-270604362011</v>
      </c>
      <c r="B1975" t="s">
        <v>1077</v>
      </c>
      <c r="C1975" t="s">
        <v>1078</v>
      </c>
      <c r="D1975">
        <v>2011</v>
      </c>
      <c r="E1975" t="s">
        <v>1076</v>
      </c>
      <c r="F1975">
        <v>33426.5</v>
      </c>
      <c r="G1975">
        <v>47</v>
      </c>
      <c r="H1975" s="11" t="str">
        <f t="shared" si="102"/>
        <v>count</v>
      </c>
    </row>
    <row r="1976" spans="1:8">
      <c r="A1976" s="11" t="str">
        <f t="shared" si="103"/>
        <v>25-270604362011</v>
      </c>
      <c r="B1976" t="s">
        <v>1077</v>
      </c>
      <c r="C1976" t="s">
        <v>1078</v>
      </c>
      <c r="D1976">
        <v>2011</v>
      </c>
      <c r="E1976" t="s">
        <v>1075</v>
      </c>
      <c r="F1976">
        <v>54513.27</v>
      </c>
      <c r="G1976">
        <v>59</v>
      </c>
      <c r="H1976" s="11" t="str">
        <f t="shared" si="102"/>
        <v>count</v>
      </c>
    </row>
    <row r="1977" spans="1:8">
      <c r="A1977" s="11" t="str">
        <f t="shared" si="103"/>
        <v>25-270604362012</v>
      </c>
      <c r="B1977" t="s">
        <v>1077</v>
      </c>
      <c r="C1977" t="s">
        <v>1078</v>
      </c>
      <c r="D1977">
        <v>2012</v>
      </c>
      <c r="E1977" t="s">
        <v>1076</v>
      </c>
      <c r="F1977">
        <v>35000.949999999997</v>
      </c>
      <c r="G1977">
        <v>34</v>
      </c>
      <c r="H1977" s="11" t="str">
        <f t="shared" si="102"/>
        <v>count</v>
      </c>
    </row>
    <row r="1978" spans="1:8">
      <c r="A1978" s="11" t="str">
        <f t="shared" si="103"/>
        <v>25-270604362012</v>
      </c>
      <c r="B1978" t="s">
        <v>1077</v>
      </c>
      <c r="C1978" t="s">
        <v>1078</v>
      </c>
      <c r="D1978">
        <v>2012</v>
      </c>
      <c r="E1978" t="s">
        <v>106</v>
      </c>
      <c r="F1978">
        <v>40439703.469999999</v>
      </c>
      <c r="G1978">
        <v>24309</v>
      </c>
      <c r="H1978" s="11" t="str">
        <f t="shared" si="102"/>
        <v>count</v>
      </c>
    </row>
    <row r="1979" spans="1:8">
      <c r="A1979" s="11" t="str">
        <f t="shared" si="103"/>
        <v>25-270604362012</v>
      </c>
      <c r="B1979" t="s">
        <v>1077</v>
      </c>
      <c r="C1979" t="s">
        <v>1078</v>
      </c>
      <c r="D1979">
        <v>2012</v>
      </c>
      <c r="E1979" t="s">
        <v>105</v>
      </c>
      <c r="F1979">
        <v>71370.149999999994</v>
      </c>
      <c r="G1979">
        <v>85</v>
      </c>
      <c r="H1979" s="11" t="str">
        <f t="shared" si="102"/>
        <v>count</v>
      </c>
    </row>
    <row r="1980" spans="1:8">
      <c r="A1980" s="11" t="str">
        <f t="shared" si="103"/>
        <v>25-270604362011</v>
      </c>
      <c r="B1980" t="s">
        <v>1077</v>
      </c>
      <c r="C1980" t="s">
        <v>1078</v>
      </c>
      <c r="D1980">
        <v>2011</v>
      </c>
      <c r="E1980" t="s">
        <v>104</v>
      </c>
      <c r="F1980">
        <v>1074156.07</v>
      </c>
      <c r="G1980">
        <v>887</v>
      </c>
      <c r="H1980" s="11" t="str">
        <f t="shared" si="102"/>
        <v>count</v>
      </c>
    </row>
    <row r="1981" spans="1:8">
      <c r="A1981" s="11" t="str">
        <f t="shared" si="103"/>
        <v>25-270604362011</v>
      </c>
      <c r="B1981" t="s">
        <v>1077</v>
      </c>
      <c r="C1981" t="s">
        <v>1078</v>
      </c>
      <c r="D1981">
        <v>2011</v>
      </c>
      <c r="E1981" t="s">
        <v>106</v>
      </c>
      <c r="F1981">
        <v>16242266.810000001</v>
      </c>
      <c r="G1981">
        <v>9925</v>
      </c>
      <c r="H1981" s="11" t="str">
        <f t="shared" si="102"/>
        <v>count</v>
      </c>
    </row>
    <row r="1982" spans="1:8">
      <c r="A1982" s="11" t="str">
        <f t="shared" si="103"/>
        <v>25-270604362013</v>
      </c>
      <c r="B1982" t="s">
        <v>1077</v>
      </c>
      <c r="C1982" t="s">
        <v>1078</v>
      </c>
      <c r="D1982">
        <v>2013</v>
      </c>
      <c r="E1982" t="s">
        <v>105</v>
      </c>
      <c r="F1982">
        <v>89348.05</v>
      </c>
      <c r="G1982">
        <v>106</v>
      </c>
      <c r="H1982" s="11" t="str">
        <f t="shared" si="102"/>
        <v>count</v>
      </c>
    </row>
    <row r="1983" spans="1:8">
      <c r="A1983" s="11" t="str">
        <f t="shared" si="103"/>
        <v>25-270604362011</v>
      </c>
      <c r="B1983" t="s">
        <v>1077</v>
      </c>
      <c r="C1983" t="s">
        <v>1078</v>
      </c>
      <c r="D1983">
        <v>2011</v>
      </c>
      <c r="E1983" t="s">
        <v>63</v>
      </c>
      <c r="F1983">
        <v>1855957.36</v>
      </c>
      <c r="G1983">
        <v>1860</v>
      </c>
      <c r="H1983" s="11" t="str">
        <f t="shared" si="102"/>
        <v>count</v>
      </c>
    </row>
    <row r="1984" spans="1:8">
      <c r="A1984" s="11" t="str">
        <f t="shared" si="103"/>
        <v>25-270604362011</v>
      </c>
      <c r="B1984" t="s">
        <v>1077</v>
      </c>
      <c r="C1984" t="s">
        <v>1078</v>
      </c>
      <c r="D1984">
        <v>2011</v>
      </c>
      <c r="E1984" t="s">
        <v>1074</v>
      </c>
      <c r="F1984">
        <v>52896.78</v>
      </c>
      <c r="G1984">
        <v>70</v>
      </c>
      <c r="H1984" s="11" t="str">
        <f t="shared" si="102"/>
        <v>count</v>
      </c>
    </row>
    <row r="1985" spans="1:8">
      <c r="A1985" s="11" t="str">
        <f t="shared" si="103"/>
        <v>25-270604362013</v>
      </c>
      <c r="B1985" t="s">
        <v>1077</v>
      </c>
      <c r="C1985" t="s">
        <v>1078</v>
      </c>
      <c r="D1985">
        <v>2013</v>
      </c>
      <c r="E1985" t="s">
        <v>69</v>
      </c>
      <c r="F1985">
        <v>1219531.24</v>
      </c>
      <c r="G1985">
        <v>1788</v>
      </c>
      <c r="H1985" s="11" t="str">
        <f t="shared" si="102"/>
        <v>count</v>
      </c>
    </row>
    <row r="1986" spans="1:8">
      <c r="A1986" s="11" t="str">
        <f t="shared" si="103"/>
        <v>25-281888902013</v>
      </c>
      <c r="B1986" t="s">
        <v>1079</v>
      </c>
      <c r="C1986" t="s">
        <v>1080</v>
      </c>
      <c r="D1986">
        <v>2013</v>
      </c>
      <c r="E1986" t="s">
        <v>133</v>
      </c>
      <c r="F1986">
        <v>720697.14</v>
      </c>
      <c r="G1986">
        <v>189</v>
      </c>
      <c r="H1986" s="11" t="str">
        <f t="shared" ref="H1986:H2049" si="104">IF(B1986=B1985,"count","volume")</f>
        <v>volume</v>
      </c>
    </row>
    <row r="1987" spans="1:8">
      <c r="A1987" s="11" t="str">
        <f t="shared" ref="A1987:A2050" si="105">B1987&amp;D1987</f>
        <v>25-281888902012</v>
      </c>
      <c r="B1987" t="s">
        <v>1079</v>
      </c>
      <c r="C1987" t="s">
        <v>1080</v>
      </c>
      <c r="D1987">
        <v>2012</v>
      </c>
      <c r="E1987" t="s">
        <v>63</v>
      </c>
      <c r="F1987">
        <v>756698.62</v>
      </c>
      <c r="G1987">
        <v>240</v>
      </c>
      <c r="H1987" s="11" t="str">
        <f t="shared" si="104"/>
        <v>count</v>
      </c>
    </row>
    <row r="1988" spans="1:8">
      <c r="A1988" s="11" t="str">
        <f t="shared" si="105"/>
        <v>25-281888902013</v>
      </c>
      <c r="B1988" t="s">
        <v>1079</v>
      </c>
      <c r="C1988" t="s">
        <v>1080</v>
      </c>
      <c r="D1988">
        <v>2013</v>
      </c>
      <c r="E1988" t="s">
        <v>69</v>
      </c>
      <c r="F1988">
        <v>80235.5</v>
      </c>
      <c r="G1988">
        <v>39</v>
      </c>
      <c r="H1988" s="11" t="str">
        <f t="shared" si="104"/>
        <v>count</v>
      </c>
    </row>
    <row r="1989" spans="1:8">
      <c r="A1989" s="11" t="str">
        <f t="shared" si="105"/>
        <v>25-281888902012</v>
      </c>
      <c r="B1989" t="s">
        <v>1079</v>
      </c>
      <c r="C1989" t="s">
        <v>1080</v>
      </c>
      <c r="D1989">
        <v>2012</v>
      </c>
      <c r="E1989" t="s">
        <v>69</v>
      </c>
      <c r="F1989">
        <v>49319.61</v>
      </c>
      <c r="G1989">
        <v>23</v>
      </c>
      <c r="H1989" s="11" t="str">
        <f t="shared" si="104"/>
        <v>count</v>
      </c>
    </row>
    <row r="1990" spans="1:8">
      <c r="A1990" s="11" t="str">
        <f t="shared" si="105"/>
        <v>25-281888902012</v>
      </c>
      <c r="B1990" t="s">
        <v>1079</v>
      </c>
      <c r="C1990" t="s">
        <v>1080</v>
      </c>
      <c r="D1990">
        <v>2012</v>
      </c>
      <c r="E1990" t="s">
        <v>133</v>
      </c>
      <c r="F1990">
        <v>618374.67000000004</v>
      </c>
      <c r="G1990">
        <v>173</v>
      </c>
      <c r="H1990" s="11" t="str">
        <f t="shared" si="104"/>
        <v>count</v>
      </c>
    </row>
    <row r="1991" spans="1:8">
      <c r="A1991" s="11" t="str">
        <f t="shared" si="105"/>
        <v>25-281888902012</v>
      </c>
      <c r="B1991" t="s">
        <v>1079</v>
      </c>
      <c r="C1991" t="s">
        <v>1080</v>
      </c>
      <c r="D1991">
        <v>2012</v>
      </c>
      <c r="E1991" t="s">
        <v>104</v>
      </c>
      <c r="F1991">
        <v>376672.85</v>
      </c>
      <c r="G1991">
        <v>135</v>
      </c>
      <c r="H1991" s="11" t="str">
        <f t="shared" si="104"/>
        <v>count</v>
      </c>
    </row>
    <row r="1992" spans="1:8">
      <c r="A1992" s="11" t="str">
        <f t="shared" si="105"/>
        <v>25-281888902013</v>
      </c>
      <c r="B1992" t="s">
        <v>1079</v>
      </c>
      <c r="C1992" t="s">
        <v>1080</v>
      </c>
      <c r="D1992">
        <v>2013</v>
      </c>
      <c r="E1992" t="s">
        <v>63</v>
      </c>
      <c r="F1992">
        <v>955075.56</v>
      </c>
      <c r="G1992">
        <v>280</v>
      </c>
      <c r="H1992" s="11" t="str">
        <f t="shared" si="104"/>
        <v>count</v>
      </c>
    </row>
    <row r="1993" spans="1:8">
      <c r="A1993" s="11" t="str">
        <f t="shared" si="105"/>
        <v>25-281888902011</v>
      </c>
      <c r="B1993" t="s">
        <v>1079</v>
      </c>
      <c r="C1993" t="s">
        <v>1080</v>
      </c>
      <c r="D1993">
        <v>2011</v>
      </c>
      <c r="E1993" t="s">
        <v>133</v>
      </c>
      <c r="F1993">
        <v>395702.06</v>
      </c>
      <c r="G1993">
        <v>105</v>
      </c>
      <c r="H1993" s="11" t="str">
        <f t="shared" si="104"/>
        <v>count</v>
      </c>
    </row>
    <row r="1994" spans="1:8">
      <c r="A1994" s="11" t="str">
        <f t="shared" si="105"/>
        <v>25-281888902013</v>
      </c>
      <c r="B1994" t="s">
        <v>1079</v>
      </c>
      <c r="C1994" t="s">
        <v>1080</v>
      </c>
      <c r="D1994">
        <v>2013</v>
      </c>
      <c r="E1994" t="s">
        <v>106</v>
      </c>
      <c r="F1994">
        <v>238838.91</v>
      </c>
      <c r="G1994">
        <v>59</v>
      </c>
      <c r="H1994" s="11" t="str">
        <f t="shared" si="104"/>
        <v>count</v>
      </c>
    </row>
    <row r="1995" spans="1:8">
      <c r="A1995" s="11" t="str">
        <f t="shared" si="105"/>
        <v>25-281888902013</v>
      </c>
      <c r="B1995" t="s">
        <v>1079</v>
      </c>
      <c r="C1995" t="s">
        <v>1080</v>
      </c>
      <c r="D1995">
        <v>2013</v>
      </c>
      <c r="E1995" t="s">
        <v>104</v>
      </c>
      <c r="F1995">
        <v>442584.18</v>
      </c>
      <c r="G1995">
        <v>134</v>
      </c>
      <c r="H1995" s="11" t="str">
        <f t="shared" si="104"/>
        <v>count</v>
      </c>
    </row>
    <row r="1996" spans="1:8">
      <c r="A1996" s="11" t="str">
        <f t="shared" si="105"/>
        <v>25-281888902011</v>
      </c>
      <c r="B1996" t="s">
        <v>1079</v>
      </c>
      <c r="C1996" t="s">
        <v>1080</v>
      </c>
      <c r="D1996">
        <v>2011</v>
      </c>
      <c r="E1996" t="s">
        <v>104</v>
      </c>
      <c r="F1996">
        <v>276306.21999999997</v>
      </c>
      <c r="G1996">
        <v>80</v>
      </c>
      <c r="H1996" s="11" t="str">
        <f t="shared" si="104"/>
        <v>count</v>
      </c>
    </row>
    <row r="1997" spans="1:8">
      <c r="A1997" s="11" t="str">
        <f t="shared" si="105"/>
        <v>25-281888902012</v>
      </c>
      <c r="B1997" t="s">
        <v>1079</v>
      </c>
      <c r="C1997" t="s">
        <v>1080</v>
      </c>
      <c r="D1997">
        <v>2012</v>
      </c>
      <c r="E1997" t="s">
        <v>106</v>
      </c>
      <c r="F1997">
        <v>77761.7</v>
      </c>
      <c r="G1997">
        <v>32</v>
      </c>
      <c r="H1997" s="11" t="str">
        <f t="shared" si="104"/>
        <v>count</v>
      </c>
    </row>
    <row r="1998" spans="1:8">
      <c r="A1998" s="11" t="str">
        <f t="shared" si="105"/>
        <v>25-281888902011</v>
      </c>
      <c r="B1998" t="s">
        <v>1079</v>
      </c>
      <c r="C1998" t="s">
        <v>1080</v>
      </c>
      <c r="D1998">
        <v>2011</v>
      </c>
      <c r="E1998" t="s">
        <v>63</v>
      </c>
      <c r="F1998">
        <v>590690.72</v>
      </c>
      <c r="G1998">
        <v>178</v>
      </c>
      <c r="H1998" s="11" t="str">
        <f t="shared" si="104"/>
        <v>count</v>
      </c>
    </row>
    <row r="1999" spans="1:8">
      <c r="A1999" s="11" t="str">
        <f t="shared" si="105"/>
        <v>25-302536502013</v>
      </c>
      <c r="B1999" t="s">
        <v>1081</v>
      </c>
      <c r="C1999" t="s">
        <v>1082</v>
      </c>
      <c r="D1999">
        <v>2013</v>
      </c>
      <c r="E1999" t="s">
        <v>104</v>
      </c>
      <c r="F1999">
        <v>2129872.21</v>
      </c>
      <c r="G1999">
        <v>2118</v>
      </c>
      <c r="H1999" s="11" t="str">
        <f t="shared" si="104"/>
        <v>volume</v>
      </c>
    </row>
    <row r="2000" spans="1:8">
      <c r="A2000" s="11" t="str">
        <f t="shared" si="105"/>
        <v>25-302536502012</v>
      </c>
      <c r="B2000" t="s">
        <v>1081</v>
      </c>
      <c r="C2000" t="s">
        <v>1082</v>
      </c>
      <c r="D2000">
        <v>2012</v>
      </c>
      <c r="E2000" t="s">
        <v>133</v>
      </c>
      <c r="F2000">
        <v>1743158.29</v>
      </c>
      <c r="G2000">
        <v>1745</v>
      </c>
      <c r="H2000" s="11" t="str">
        <f t="shared" si="104"/>
        <v>count</v>
      </c>
    </row>
    <row r="2001" spans="1:8">
      <c r="A2001" s="11" t="str">
        <f t="shared" si="105"/>
        <v>25-302536502011</v>
      </c>
      <c r="B2001" t="s">
        <v>1081</v>
      </c>
      <c r="C2001" t="s">
        <v>1082</v>
      </c>
      <c r="D2001">
        <v>2011</v>
      </c>
      <c r="E2001" t="s">
        <v>106</v>
      </c>
      <c r="F2001">
        <v>3456.34</v>
      </c>
      <c r="G2001">
        <v>4</v>
      </c>
      <c r="H2001" s="11" t="str">
        <f t="shared" si="104"/>
        <v>count</v>
      </c>
    </row>
    <row r="2002" spans="1:8">
      <c r="A2002" s="11" t="str">
        <f t="shared" si="105"/>
        <v>25-302536502013</v>
      </c>
      <c r="B2002" t="s">
        <v>1081</v>
      </c>
      <c r="C2002" t="s">
        <v>1082</v>
      </c>
      <c r="D2002">
        <v>2013</v>
      </c>
      <c r="E2002" t="s">
        <v>63</v>
      </c>
      <c r="F2002">
        <v>4289632.07</v>
      </c>
      <c r="G2002">
        <v>4218</v>
      </c>
      <c r="H2002" s="11" t="str">
        <f t="shared" si="104"/>
        <v>count</v>
      </c>
    </row>
    <row r="2003" spans="1:8">
      <c r="A2003" s="11" t="str">
        <f t="shared" si="105"/>
        <v>25-302536502011</v>
      </c>
      <c r="B2003" t="s">
        <v>1081</v>
      </c>
      <c r="C2003" t="s">
        <v>1082</v>
      </c>
      <c r="D2003">
        <v>2011</v>
      </c>
      <c r="E2003" t="s">
        <v>105</v>
      </c>
      <c r="F2003">
        <v>855175.63</v>
      </c>
      <c r="G2003">
        <v>862</v>
      </c>
      <c r="H2003" s="11" t="str">
        <f t="shared" si="104"/>
        <v>count</v>
      </c>
    </row>
    <row r="2004" spans="1:8">
      <c r="A2004" s="11" t="str">
        <f t="shared" si="105"/>
        <v>25-302536502012</v>
      </c>
      <c r="B2004" t="s">
        <v>1081</v>
      </c>
      <c r="C2004" t="s">
        <v>1082</v>
      </c>
      <c r="D2004">
        <v>2012</v>
      </c>
      <c r="E2004" t="s">
        <v>69</v>
      </c>
      <c r="F2004">
        <v>1448926.47</v>
      </c>
      <c r="G2004">
        <v>1816</v>
      </c>
      <c r="H2004" s="11" t="str">
        <f t="shared" si="104"/>
        <v>count</v>
      </c>
    </row>
    <row r="2005" spans="1:8">
      <c r="A2005" s="11" t="str">
        <f t="shared" si="105"/>
        <v>25-302536502012</v>
      </c>
      <c r="B2005" t="s">
        <v>1081</v>
      </c>
      <c r="C2005" t="s">
        <v>1082</v>
      </c>
      <c r="D2005">
        <v>2012</v>
      </c>
      <c r="E2005" t="s">
        <v>105</v>
      </c>
      <c r="F2005">
        <v>832760.73</v>
      </c>
      <c r="G2005">
        <v>868</v>
      </c>
      <c r="H2005" s="11" t="str">
        <f t="shared" si="104"/>
        <v>count</v>
      </c>
    </row>
    <row r="2006" spans="1:8">
      <c r="A2006" s="11" t="str">
        <f t="shared" si="105"/>
        <v>25-302536502011</v>
      </c>
      <c r="B2006" t="s">
        <v>1081</v>
      </c>
      <c r="C2006" t="s">
        <v>1082</v>
      </c>
      <c r="D2006">
        <v>2011</v>
      </c>
      <c r="E2006" t="s">
        <v>104</v>
      </c>
      <c r="F2006">
        <v>2716892.65</v>
      </c>
      <c r="G2006">
        <v>2955</v>
      </c>
      <c r="H2006" s="11" t="str">
        <f t="shared" si="104"/>
        <v>count</v>
      </c>
    </row>
    <row r="2007" spans="1:8">
      <c r="A2007" s="11" t="str">
        <f t="shared" si="105"/>
        <v>25-302536502013</v>
      </c>
      <c r="B2007" t="s">
        <v>1081</v>
      </c>
      <c r="C2007" t="s">
        <v>1082</v>
      </c>
      <c r="D2007">
        <v>2013</v>
      </c>
      <c r="E2007" t="s">
        <v>106</v>
      </c>
      <c r="F2007">
        <v>12393.93</v>
      </c>
      <c r="G2007">
        <v>14</v>
      </c>
      <c r="H2007" s="11" t="str">
        <f t="shared" si="104"/>
        <v>count</v>
      </c>
    </row>
    <row r="2008" spans="1:8">
      <c r="A2008" s="11" t="str">
        <f t="shared" si="105"/>
        <v>25-302536502011</v>
      </c>
      <c r="B2008" t="s">
        <v>1081</v>
      </c>
      <c r="C2008" t="s">
        <v>1082</v>
      </c>
      <c r="D2008">
        <v>2011</v>
      </c>
      <c r="E2008" t="s">
        <v>69</v>
      </c>
      <c r="F2008">
        <v>3988.4</v>
      </c>
      <c r="G2008">
        <v>7</v>
      </c>
      <c r="H2008" s="11" t="str">
        <f t="shared" si="104"/>
        <v>count</v>
      </c>
    </row>
    <row r="2009" spans="1:8">
      <c r="A2009" s="11" t="str">
        <f t="shared" si="105"/>
        <v>25-302536502011</v>
      </c>
      <c r="B2009" t="s">
        <v>1081</v>
      </c>
      <c r="C2009" t="s">
        <v>1082</v>
      </c>
      <c r="D2009">
        <v>2011</v>
      </c>
      <c r="E2009" t="s">
        <v>133</v>
      </c>
      <c r="F2009">
        <v>447210.84</v>
      </c>
      <c r="G2009">
        <v>513</v>
      </c>
      <c r="H2009" s="11" t="str">
        <f t="shared" si="104"/>
        <v>count</v>
      </c>
    </row>
    <row r="2010" spans="1:8">
      <c r="A2010" s="11" t="str">
        <f t="shared" si="105"/>
        <v>25-302536502011</v>
      </c>
      <c r="B2010" t="s">
        <v>1081</v>
      </c>
      <c r="C2010" t="s">
        <v>1082</v>
      </c>
      <c r="D2010">
        <v>2011</v>
      </c>
      <c r="E2010" t="s">
        <v>63</v>
      </c>
      <c r="F2010">
        <v>5640293.5</v>
      </c>
      <c r="G2010">
        <v>6148</v>
      </c>
      <c r="H2010" s="11" t="str">
        <f t="shared" si="104"/>
        <v>count</v>
      </c>
    </row>
    <row r="2011" spans="1:8">
      <c r="A2011" s="11" t="str">
        <f t="shared" si="105"/>
        <v>25-302536502012</v>
      </c>
      <c r="B2011" t="s">
        <v>1081</v>
      </c>
      <c r="C2011" t="s">
        <v>1082</v>
      </c>
      <c r="D2011">
        <v>2012</v>
      </c>
      <c r="E2011" t="s">
        <v>63</v>
      </c>
      <c r="F2011">
        <v>4411472.84</v>
      </c>
      <c r="G2011">
        <v>4588</v>
      </c>
      <c r="H2011" s="11" t="str">
        <f t="shared" si="104"/>
        <v>count</v>
      </c>
    </row>
    <row r="2012" spans="1:8">
      <c r="A2012" s="11" t="str">
        <f t="shared" si="105"/>
        <v>25-302536502013</v>
      </c>
      <c r="B2012" t="s">
        <v>1081</v>
      </c>
      <c r="C2012" t="s">
        <v>1082</v>
      </c>
      <c r="D2012">
        <v>2013</v>
      </c>
      <c r="E2012" t="s">
        <v>69</v>
      </c>
      <c r="F2012">
        <v>1739992.16</v>
      </c>
      <c r="G2012">
        <v>1973</v>
      </c>
      <c r="H2012" s="11" t="str">
        <f t="shared" si="104"/>
        <v>count</v>
      </c>
    </row>
    <row r="2013" spans="1:8">
      <c r="A2013" s="11" t="str">
        <f t="shared" si="105"/>
        <v>25-302536502012</v>
      </c>
      <c r="B2013" t="s">
        <v>1081</v>
      </c>
      <c r="C2013" t="s">
        <v>1082</v>
      </c>
      <c r="D2013">
        <v>2012</v>
      </c>
      <c r="E2013" t="s">
        <v>106</v>
      </c>
      <c r="F2013">
        <v>4642.25</v>
      </c>
      <c r="G2013">
        <v>5</v>
      </c>
      <c r="H2013" s="11" t="str">
        <f t="shared" si="104"/>
        <v>count</v>
      </c>
    </row>
    <row r="2014" spans="1:8">
      <c r="A2014" s="11" t="str">
        <f t="shared" si="105"/>
        <v>25-302536502012</v>
      </c>
      <c r="B2014" t="s">
        <v>1081</v>
      </c>
      <c r="C2014" t="s">
        <v>1082</v>
      </c>
      <c r="D2014">
        <v>2012</v>
      </c>
      <c r="E2014" t="s">
        <v>104</v>
      </c>
      <c r="F2014">
        <v>2499833.52</v>
      </c>
      <c r="G2014">
        <v>2719</v>
      </c>
      <c r="H2014" s="11" t="str">
        <f t="shared" si="104"/>
        <v>count</v>
      </c>
    </row>
    <row r="2015" spans="1:8">
      <c r="A2015" s="11" t="str">
        <f t="shared" si="105"/>
        <v>25-302536502013</v>
      </c>
      <c r="B2015" t="s">
        <v>1081</v>
      </c>
      <c r="C2015" t="s">
        <v>1082</v>
      </c>
      <c r="D2015">
        <v>2013</v>
      </c>
      <c r="E2015" t="s">
        <v>133</v>
      </c>
      <c r="F2015">
        <v>1902487.87</v>
      </c>
      <c r="G2015">
        <v>1682</v>
      </c>
      <c r="H2015" s="11" t="str">
        <f t="shared" si="104"/>
        <v>count</v>
      </c>
    </row>
    <row r="2016" spans="1:8">
      <c r="A2016" s="11" t="str">
        <f t="shared" si="105"/>
        <v>25-302536502013</v>
      </c>
      <c r="B2016" t="s">
        <v>1081</v>
      </c>
      <c r="C2016" t="s">
        <v>1082</v>
      </c>
      <c r="D2016">
        <v>2013</v>
      </c>
      <c r="E2016" t="s">
        <v>105</v>
      </c>
      <c r="F2016">
        <v>751089.15</v>
      </c>
      <c r="G2016">
        <v>700</v>
      </c>
      <c r="H2016" s="11" t="str">
        <f t="shared" si="104"/>
        <v>count</v>
      </c>
    </row>
    <row r="2017" spans="1:8">
      <c r="A2017" s="11" t="str">
        <f t="shared" si="105"/>
        <v>25-302553352013</v>
      </c>
      <c r="B2017" t="s">
        <v>1083</v>
      </c>
      <c r="C2017" t="s">
        <v>1084</v>
      </c>
      <c r="D2017">
        <v>2013</v>
      </c>
      <c r="E2017" t="s">
        <v>63</v>
      </c>
      <c r="F2017">
        <v>1964845.32</v>
      </c>
      <c r="G2017">
        <v>2283</v>
      </c>
      <c r="H2017" s="11" t="str">
        <f t="shared" si="104"/>
        <v>volume</v>
      </c>
    </row>
    <row r="2018" spans="1:8">
      <c r="A2018" s="11" t="str">
        <f t="shared" si="105"/>
        <v>25-302553352011</v>
      </c>
      <c r="B2018" t="s">
        <v>1083</v>
      </c>
      <c r="C2018" t="s">
        <v>1084</v>
      </c>
      <c r="D2018">
        <v>2011</v>
      </c>
      <c r="E2018" t="s">
        <v>69</v>
      </c>
      <c r="F2018">
        <v>3800.76</v>
      </c>
      <c r="G2018">
        <v>9</v>
      </c>
      <c r="H2018" s="11" t="str">
        <f t="shared" si="104"/>
        <v>count</v>
      </c>
    </row>
    <row r="2019" spans="1:8">
      <c r="A2019" s="11" t="str">
        <f t="shared" si="105"/>
        <v>25-302553352011</v>
      </c>
      <c r="B2019" t="s">
        <v>1083</v>
      </c>
      <c r="C2019" t="s">
        <v>1084</v>
      </c>
      <c r="D2019">
        <v>2011</v>
      </c>
      <c r="E2019" t="s">
        <v>105</v>
      </c>
      <c r="F2019">
        <v>362179.71</v>
      </c>
      <c r="G2019">
        <v>447</v>
      </c>
      <c r="H2019" s="11" t="str">
        <f t="shared" si="104"/>
        <v>count</v>
      </c>
    </row>
    <row r="2020" spans="1:8">
      <c r="A2020" s="11" t="str">
        <f t="shared" si="105"/>
        <v>25-302553352013</v>
      </c>
      <c r="B2020" t="s">
        <v>1083</v>
      </c>
      <c r="C2020" t="s">
        <v>1084</v>
      </c>
      <c r="D2020">
        <v>2013</v>
      </c>
      <c r="E2020" t="s">
        <v>104</v>
      </c>
      <c r="F2020">
        <v>1110380.3999999999</v>
      </c>
      <c r="G2020">
        <v>1303</v>
      </c>
      <c r="H2020" s="11" t="str">
        <f t="shared" si="104"/>
        <v>count</v>
      </c>
    </row>
    <row r="2021" spans="1:8">
      <c r="A2021" s="11" t="str">
        <f t="shared" si="105"/>
        <v>25-302553352011</v>
      </c>
      <c r="B2021" t="s">
        <v>1083</v>
      </c>
      <c r="C2021" t="s">
        <v>1084</v>
      </c>
      <c r="D2021">
        <v>2011</v>
      </c>
      <c r="E2021" t="s">
        <v>133</v>
      </c>
      <c r="F2021">
        <v>767819.13</v>
      </c>
      <c r="G2021">
        <v>865</v>
      </c>
      <c r="H2021" s="11" t="str">
        <f t="shared" si="104"/>
        <v>count</v>
      </c>
    </row>
    <row r="2022" spans="1:8">
      <c r="A2022" s="11" t="str">
        <f t="shared" si="105"/>
        <v>25-302553352012</v>
      </c>
      <c r="B2022" t="s">
        <v>1083</v>
      </c>
      <c r="C2022" t="s">
        <v>1084</v>
      </c>
      <c r="D2022">
        <v>2012</v>
      </c>
      <c r="E2022" t="s">
        <v>104</v>
      </c>
      <c r="F2022">
        <v>1123403.3600000001</v>
      </c>
      <c r="G2022">
        <v>1306</v>
      </c>
      <c r="H2022" s="11" t="str">
        <f t="shared" si="104"/>
        <v>count</v>
      </c>
    </row>
    <row r="2023" spans="1:8">
      <c r="A2023" s="11" t="str">
        <f t="shared" si="105"/>
        <v>25-302553352012</v>
      </c>
      <c r="B2023" t="s">
        <v>1083</v>
      </c>
      <c r="C2023" t="s">
        <v>1084</v>
      </c>
      <c r="D2023">
        <v>2012</v>
      </c>
      <c r="E2023" t="s">
        <v>69</v>
      </c>
      <c r="F2023">
        <v>571439.98</v>
      </c>
      <c r="G2023">
        <v>790</v>
      </c>
      <c r="H2023" s="11" t="str">
        <f t="shared" si="104"/>
        <v>count</v>
      </c>
    </row>
    <row r="2024" spans="1:8">
      <c r="A2024" s="11" t="str">
        <f t="shared" si="105"/>
        <v>25-302553352013</v>
      </c>
      <c r="B2024" t="s">
        <v>1083</v>
      </c>
      <c r="C2024" t="s">
        <v>1084</v>
      </c>
      <c r="D2024">
        <v>2013</v>
      </c>
      <c r="E2024" t="s">
        <v>105</v>
      </c>
      <c r="F2024">
        <v>412321.01</v>
      </c>
      <c r="G2024">
        <v>426</v>
      </c>
      <c r="H2024" s="11" t="str">
        <f t="shared" si="104"/>
        <v>count</v>
      </c>
    </row>
    <row r="2025" spans="1:8">
      <c r="A2025" s="11" t="str">
        <f t="shared" si="105"/>
        <v>25-302553352012</v>
      </c>
      <c r="B2025" t="s">
        <v>1083</v>
      </c>
      <c r="C2025" t="s">
        <v>1084</v>
      </c>
      <c r="D2025">
        <v>2012</v>
      </c>
      <c r="E2025" t="s">
        <v>63</v>
      </c>
      <c r="F2025">
        <v>1831468.44</v>
      </c>
      <c r="G2025">
        <v>2183</v>
      </c>
      <c r="H2025" s="11" t="str">
        <f t="shared" si="104"/>
        <v>count</v>
      </c>
    </row>
    <row r="2026" spans="1:8">
      <c r="A2026" s="11" t="str">
        <f t="shared" si="105"/>
        <v>25-302553352011</v>
      </c>
      <c r="B2026" t="s">
        <v>1083</v>
      </c>
      <c r="C2026" t="s">
        <v>1084</v>
      </c>
      <c r="D2026">
        <v>2011</v>
      </c>
      <c r="E2026" t="s">
        <v>104</v>
      </c>
      <c r="F2026">
        <v>1097034.78</v>
      </c>
      <c r="G2026">
        <v>1391</v>
      </c>
      <c r="H2026" s="11" t="str">
        <f t="shared" si="104"/>
        <v>count</v>
      </c>
    </row>
    <row r="2027" spans="1:8">
      <c r="A2027" s="11" t="str">
        <f t="shared" si="105"/>
        <v>25-302553352011</v>
      </c>
      <c r="B2027" t="s">
        <v>1083</v>
      </c>
      <c r="C2027" t="s">
        <v>1084</v>
      </c>
      <c r="D2027">
        <v>2011</v>
      </c>
      <c r="E2027" t="s">
        <v>63</v>
      </c>
      <c r="F2027">
        <v>2100709.56</v>
      </c>
      <c r="G2027">
        <v>2708</v>
      </c>
      <c r="H2027" s="11" t="str">
        <f t="shared" si="104"/>
        <v>count</v>
      </c>
    </row>
    <row r="2028" spans="1:8">
      <c r="A2028" s="11" t="str">
        <f t="shared" si="105"/>
        <v>25-302553352012</v>
      </c>
      <c r="B2028" t="s">
        <v>1083</v>
      </c>
      <c r="C2028" t="s">
        <v>1084</v>
      </c>
      <c r="D2028">
        <v>2012</v>
      </c>
      <c r="E2028" t="s">
        <v>133</v>
      </c>
      <c r="F2028">
        <v>761369.8</v>
      </c>
      <c r="G2028">
        <v>807</v>
      </c>
      <c r="H2028" s="11" t="str">
        <f t="shared" si="104"/>
        <v>count</v>
      </c>
    </row>
    <row r="2029" spans="1:8">
      <c r="A2029" s="11" t="str">
        <f t="shared" si="105"/>
        <v>25-302553352013</v>
      </c>
      <c r="B2029" t="s">
        <v>1083</v>
      </c>
      <c r="C2029" t="s">
        <v>1084</v>
      </c>
      <c r="D2029">
        <v>2013</v>
      </c>
      <c r="E2029" t="s">
        <v>133</v>
      </c>
      <c r="F2029">
        <v>822286.89</v>
      </c>
      <c r="G2029">
        <v>905</v>
      </c>
      <c r="H2029" s="11" t="str">
        <f t="shared" si="104"/>
        <v>count</v>
      </c>
    </row>
    <row r="2030" spans="1:8">
      <c r="A2030" s="11" t="str">
        <f t="shared" si="105"/>
        <v>25-302553352011</v>
      </c>
      <c r="B2030" t="s">
        <v>1083</v>
      </c>
      <c r="C2030" t="s">
        <v>1084</v>
      </c>
      <c r="D2030">
        <v>2011</v>
      </c>
      <c r="E2030" t="s">
        <v>106</v>
      </c>
      <c r="F2030">
        <v>33392.480000000003</v>
      </c>
      <c r="G2030">
        <v>25</v>
      </c>
      <c r="H2030" s="11" t="str">
        <f t="shared" si="104"/>
        <v>count</v>
      </c>
    </row>
    <row r="2031" spans="1:8">
      <c r="A2031" s="11" t="str">
        <f t="shared" si="105"/>
        <v>25-302553352013</v>
      </c>
      <c r="B2031" t="s">
        <v>1083</v>
      </c>
      <c r="C2031" t="s">
        <v>1084</v>
      </c>
      <c r="D2031">
        <v>2013</v>
      </c>
      <c r="E2031" t="s">
        <v>69</v>
      </c>
      <c r="F2031">
        <v>774542.43</v>
      </c>
      <c r="G2031">
        <v>1060</v>
      </c>
      <c r="H2031" s="11" t="str">
        <f t="shared" si="104"/>
        <v>count</v>
      </c>
    </row>
    <row r="2032" spans="1:8">
      <c r="A2032" s="11" t="str">
        <f t="shared" si="105"/>
        <v>25-302553352012</v>
      </c>
      <c r="B2032" t="s">
        <v>1083</v>
      </c>
      <c r="C2032" t="s">
        <v>1084</v>
      </c>
      <c r="D2032">
        <v>2012</v>
      </c>
      <c r="E2032" t="s">
        <v>105</v>
      </c>
      <c r="F2032">
        <v>330965.74</v>
      </c>
      <c r="G2032">
        <v>397</v>
      </c>
      <c r="H2032" s="11" t="str">
        <f t="shared" si="104"/>
        <v>count</v>
      </c>
    </row>
    <row r="2033" spans="1:8">
      <c r="A2033" s="11" t="str">
        <f t="shared" si="105"/>
        <v>25-302596102012</v>
      </c>
      <c r="B2033" t="s">
        <v>1085</v>
      </c>
      <c r="C2033" t="s">
        <v>1086</v>
      </c>
      <c r="D2033">
        <v>2012</v>
      </c>
      <c r="E2033" t="s">
        <v>105</v>
      </c>
      <c r="F2033">
        <v>152192.22</v>
      </c>
      <c r="G2033">
        <v>183</v>
      </c>
      <c r="H2033" s="11" t="str">
        <f t="shared" si="104"/>
        <v>volume</v>
      </c>
    </row>
    <row r="2034" spans="1:8">
      <c r="A2034" s="11" t="str">
        <f t="shared" si="105"/>
        <v>25-302596102011</v>
      </c>
      <c r="B2034" t="s">
        <v>1085</v>
      </c>
      <c r="C2034" t="s">
        <v>1086</v>
      </c>
      <c r="D2034">
        <v>2011</v>
      </c>
      <c r="E2034" t="s">
        <v>69</v>
      </c>
      <c r="F2034">
        <v>1999.26</v>
      </c>
      <c r="G2034">
        <v>5</v>
      </c>
      <c r="H2034" s="11" t="str">
        <f t="shared" si="104"/>
        <v>count</v>
      </c>
    </row>
    <row r="2035" spans="1:8">
      <c r="A2035" s="11" t="str">
        <f t="shared" si="105"/>
        <v>25-302596102011</v>
      </c>
      <c r="B2035" t="s">
        <v>1085</v>
      </c>
      <c r="C2035" t="s">
        <v>1086</v>
      </c>
      <c r="D2035">
        <v>2011</v>
      </c>
      <c r="E2035" t="s">
        <v>63</v>
      </c>
      <c r="F2035">
        <v>1634901.53</v>
      </c>
      <c r="G2035">
        <v>2077</v>
      </c>
      <c r="H2035" s="11" t="str">
        <f t="shared" si="104"/>
        <v>count</v>
      </c>
    </row>
    <row r="2036" spans="1:8">
      <c r="A2036" s="11" t="str">
        <f t="shared" si="105"/>
        <v>25-302596102011</v>
      </c>
      <c r="B2036" t="s">
        <v>1085</v>
      </c>
      <c r="C2036" t="s">
        <v>1086</v>
      </c>
      <c r="D2036">
        <v>2011</v>
      </c>
      <c r="E2036" t="s">
        <v>104</v>
      </c>
      <c r="F2036">
        <v>819532.47</v>
      </c>
      <c r="G2036">
        <v>925</v>
      </c>
      <c r="H2036" s="11" t="str">
        <f t="shared" si="104"/>
        <v>count</v>
      </c>
    </row>
    <row r="2037" spans="1:8">
      <c r="A2037" s="11" t="str">
        <f t="shared" si="105"/>
        <v>25-302596102011</v>
      </c>
      <c r="B2037" t="s">
        <v>1085</v>
      </c>
      <c r="C2037" t="s">
        <v>1086</v>
      </c>
      <c r="D2037">
        <v>2011</v>
      </c>
      <c r="E2037" t="s">
        <v>133</v>
      </c>
      <c r="F2037">
        <v>838342.77</v>
      </c>
      <c r="G2037">
        <v>687</v>
      </c>
      <c r="H2037" s="11" t="str">
        <f t="shared" si="104"/>
        <v>count</v>
      </c>
    </row>
    <row r="2038" spans="1:8">
      <c r="A2038" s="11" t="str">
        <f t="shared" si="105"/>
        <v>25-302596102013</v>
      </c>
      <c r="B2038" t="s">
        <v>1085</v>
      </c>
      <c r="C2038" t="s">
        <v>1086</v>
      </c>
      <c r="D2038">
        <v>2013</v>
      </c>
      <c r="E2038" t="s">
        <v>63</v>
      </c>
      <c r="F2038">
        <v>1618564.45</v>
      </c>
      <c r="G2038">
        <v>1843</v>
      </c>
      <c r="H2038" s="11" t="str">
        <f t="shared" si="104"/>
        <v>count</v>
      </c>
    </row>
    <row r="2039" spans="1:8">
      <c r="A2039" s="11" t="str">
        <f t="shared" si="105"/>
        <v>25-302596102013</v>
      </c>
      <c r="B2039" t="s">
        <v>1085</v>
      </c>
      <c r="C2039" t="s">
        <v>1086</v>
      </c>
      <c r="D2039">
        <v>2013</v>
      </c>
      <c r="E2039" t="s">
        <v>104</v>
      </c>
      <c r="F2039">
        <v>636563.31000000006</v>
      </c>
      <c r="G2039">
        <v>744</v>
      </c>
      <c r="H2039" s="11" t="str">
        <f t="shared" si="104"/>
        <v>count</v>
      </c>
    </row>
    <row r="2040" spans="1:8">
      <c r="A2040" s="11" t="str">
        <f t="shared" si="105"/>
        <v>25-302596102011</v>
      </c>
      <c r="B2040" t="s">
        <v>1085</v>
      </c>
      <c r="C2040" t="s">
        <v>1086</v>
      </c>
      <c r="D2040">
        <v>2011</v>
      </c>
      <c r="E2040" t="s">
        <v>105</v>
      </c>
      <c r="F2040">
        <v>142409.32999999999</v>
      </c>
      <c r="G2040">
        <v>167</v>
      </c>
      <c r="H2040" s="11" t="str">
        <f t="shared" si="104"/>
        <v>count</v>
      </c>
    </row>
    <row r="2041" spans="1:8">
      <c r="A2041" s="11" t="str">
        <f t="shared" si="105"/>
        <v>25-302596102012</v>
      </c>
      <c r="B2041" t="s">
        <v>1085</v>
      </c>
      <c r="C2041" t="s">
        <v>1086</v>
      </c>
      <c r="D2041">
        <v>2012</v>
      </c>
      <c r="E2041" t="s">
        <v>69</v>
      </c>
      <c r="F2041">
        <v>316567.93</v>
      </c>
      <c r="G2041">
        <v>520</v>
      </c>
      <c r="H2041" s="11" t="str">
        <f t="shared" si="104"/>
        <v>count</v>
      </c>
    </row>
    <row r="2042" spans="1:8">
      <c r="A2042" s="11" t="str">
        <f t="shared" si="105"/>
        <v>25-302596102012</v>
      </c>
      <c r="B2042" t="s">
        <v>1085</v>
      </c>
      <c r="C2042" t="s">
        <v>1086</v>
      </c>
      <c r="D2042">
        <v>2012</v>
      </c>
      <c r="E2042" t="s">
        <v>133</v>
      </c>
      <c r="F2042">
        <v>910614.48</v>
      </c>
      <c r="G2042">
        <v>767</v>
      </c>
      <c r="H2042" s="11" t="str">
        <f t="shared" si="104"/>
        <v>count</v>
      </c>
    </row>
    <row r="2043" spans="1:8">
      <c r="A2043" s="11" t="str">
        <f t="shared" si="105"/>
        <v>25-302596102012</v>
      </c>
      <c r="B2043" t="s">
        <v>1085</v>
      </c>
      <c r="C2043" t="s">
        <v>1086</v>
      </c>
      <c r="D2043">
        <v>2012</v>
      </c>
      <c r="E2043" t="s">
        <v>104</v>
      </c>
      <c r="F2043">
        <v>877094.84</v>
      </c>
      <c r="G2043">
        <v>943</v>
      </c>
      <c r="H2043" s="11" t="str">
        <f t="shared" si="104"/>
        <v>count</v>
      </c>
    </row>
    <row r="2044" spans="1:8">
      <c r="A2044" s="11" t="str">
        <f t="shared" si="105"/>
        <v>25-302596102013</v>
      </c>
      <c r="B2044" t="s">
        <v>1085</v>
      </c>
      <c r="C2044" t="s">
        <v>1086</v>
      </c>
      <c r="D2044">
        <v>2013</v>
      </c>
      <c r="E2044" t="s">
        <v>69</v>
      </c>
      <c r="F2044">
        <v>380077.96</v>
      </c>
      <c r="G2044">
        <v>631</v>
      </c>
      <c r="H2044" s="11" t="str">
        <f t="shared" si="104"/>
        <v>count</v>
      </c>
    </row>
    <row r="2045" spans="1:8">
      <c r="A2045" s="11" t="str">
        <f t="shared" si="105"/>
        <v>25-302596102013</v>
      </c>
      <c r="B2045" t="s">
        <v>1085</v>
      </c>
      <c r="C2045" t="s">
        <v>1086</v>
      </c>
      <c r="D2045">
        <v>2013</v>
      </c>
      <c r="E2045" t="s">
        <v>133</v>
      </c>
      <c r="F2045">
        <v>824443.54</v>
      </c>
      <c r="G2045">
        <v>712</v>
      </c>
      <c r="H2045" s="11" t="str">
        <f t="shared" si="104"/>
        <v>count</v>
      </c>
    </row>
    <row r="2046" spans="1:8">
      <c r="A2046" s="11" t="str">
        <f t="shared" si="105"/>
        <v>25-302596102013</v>
      </c>
      <c r="B2046" t="s">
        <v>1085</v>
      </c>
      <c r="C2046" t="s">
        <v>1086</v>
      </c>
      <c r="D2046">
        <v>2013</v>
      </c>
      <c r="E2046" t="s">
        <v>105</v>
      </c>
      <c r="F2046">
        <v>111070.47</v>
      </c>
      <c r="G2046">
        <v>145</v>
      </c>
      <c r="H2046" s="11" t="str">
        <f t="shared" si="104"/>
        <v>count</v>
      </c>
    </row>
    <row r="2047" spans="1:8">
      <c r="A2047" s="11" t="str">
        <f t="shared" si="105"/>
        <v>25-302596102012</v>
      </c>
      <c r="B2047" t="s">
        <v>1085</v>
      </c>
      <c r="C2047" t="s">
        <v>1086</v>
      </c>
      <c r="D2047">
        <v>2012</v>
      </c>
      <c r="E2047" t="s">
        <v>63</v>
      </c>
      <c r="F2047">
        <v>1450100.63</v>
      </c>
      <c r="G2047">
        <v>1884</v>
      </c>
      <c r="H2047" s="11" t="str">
        <f t="shared" si="104"/>
        <v>count</v>
      </c>
    </row>
    <row r="2048" spans="1:8">
      <c r="A2048" s="11" t="str">
        <f t="shared" si="105"/>
        <v>25-302722992011</v>
      </c>
      <c r="B2048" t="s">
        <v>1087</v>
      </c>
      <c r="C2048" t="s">
        <v>1088</v>
      </c>
      <c r="D2048">
        <v>2011</v>
      </c>
      <c r="E2048" t="s">
        <v>63</v>
      </c>
      <c r="F2048">
        <v>1962103.05</v>
      </c>
      <c r="G2048">
        <v>2644</v>
      </c>
      <c r="H2048" s="11" t="str">
        <f t="shared" si="104"/>
        <v>volume</v>
      </c>
    </row>
    <row r="2049" spans="1:8">
      <c r="A2049" s="11" t="str">
        <f t="shared" si="105"/>
        <v>25-302722992012</v>
      </c>
      <c r="B2049" t="s">
        <v>1087</v>
      </c>
      <c r="C2049" t="s">
        <v>1088</v>
      </c>
      <c r="D2049">
        <v>2012</v>
      </c>
      <c r="E2049" t="s">
        <v>133</v>
      </c>
      <c r="F2049">
        <v>528800.5</v>
      </c>
      <c r="G2049">
        <v>609</v>
      </c>
      <c r="H2049" s="11" t="str">
        <f t="shared" si="104"/>
        <v>count</v>
      </c>
    </row>
    <row r="2050" spans="1:8">
      <c r="A2050" s="11" t="str">
        <f t="shared" si="105"/>
        <v>25-302722992011</v>
      </c>
      <c r="B2050" t="s">
        <v>1087</v>
      </c>
      <c r="C2050" t="s">
        <v>1088</v>
      </c>
      <c r="D2050">
        <v>2011</v>
      </c>
      <c r="E2050" t="s">
        <v>104</v>
      </c>
      <c r="F2050">
        <v>428473.01</v>
      </c>
      <c r="G2050">
        <v>594</v>
      </c>
      <c r="H2050" s="11" t="str">
        <f t="shared" ref="H2050:H2113" si="106">IF(B2050=B2049,"count","volume")</f>
        <v>count</v>
      </c>
    </row>
    <row r="2051" spans="1:8">
      <c r="A2051" s="11" t="str">
        <f t="shared" ref="A2051:A2114" si="107">B2051&amp;D2051</f>
        <v>25-302722992012</v>
      </c>
      <c r="B2051" t="s">
        <v>1087</v>
      </c>
      <c r="C2051" t="s">
        <v>1088</v>
      </c>
      <c r="D2051">
        <v>2012</v>
      </c>
      <c r="E2051" t="s">
        <v>69</v>
      </c>
      <c r="F2051">
        <v>275918.40999999997</v>
      </c>
      <c r="G2051">
        <v>480</v>
      </c>
      <c r="H2051" s="11" t="str">
        <f t="shared" si="106"/>
        <v>count</v>
      </c>
    </row>
    <row r="2052" spans="1:8">
      <c r="A2052" s="11" t="str">
        <f t="shared" si="107"/>
        <v>25-302722992013</v>
      </c>
      <c r="B2052" t="s">
        <v>1087</v>
      </c>
      <c r="C2052" t="s">
        <v>1088</v>
      </c>
      <c r="D2052">
        <v>2013</v>
      </c>
      <c r="E2052" t="s">
        <v>105</v>
      </c>
      <c r="F2052">
        <v>54715.97</v>
      </c>
      <c r="G2052">
        <v>69</v>
      </c>
      <c r="H2052" s="11" t="str">
        <f t="shared" si="106"/>
        <v>count</v>
      </c>
    </row>
    <row r="2053" spans="1:8">
      <c r="A2053" s="11" t="str">
        <f t="shared" si="107"/>
        <v>25-302722992011</v>
      </c>
      <c r="B2053" t="s">
        <v>1087</v>
      </c>
      <c r="C2053" t="s">
        <v>1088</v>
      </c>
      <c r="D2053">
        <v>2011</v>
      </c>
      <c r="E2053" t="s">
        <v>69</v>
      </c>
      <c r="F2053">
        <v>1245.93</v>
      </c>
      <c r="G2053">
        <v>2</v>
      </c>
      <c r="H2053" s="11" t="str">
        <f t="shared" si="106"/>
        <v>count</v>
      </c>
    </row>
    <row r="2054" spans="1:8">
      <c r="A2054" s="11" t="str">
        <f t="shared" si="107"/>
        <v>25-302722992012</v>
      </c>
      <c r="B2054" t="s">
        <v>1087</v>
      </c>
      <c r="C2054" t="s">
        <v>1088</v>
      </c>
      <c r="D2054">
        <v>2012</v>
      </c>
      <c r="E2054" t="s">
        <v>104</v>
      </c>
      <c r="F2054">
        <v>422600.66</v>
      </c>
      <c r="G2054">
        <v>573</v>
      </c>
      <c r="H2054" s="11" t="str">
        <f t="shared" si="106"/>
        <v>count</v>
      </c>
    </row>
    <row r="2055" spans="1:8">
      <c r="A2055" s="11" t="str">
        <f t="shared" si="107"/>
        <v>25-302722992011</v>
      </c>
      <c r="B2055" t="s">
        <v>1087</v>
      </c>
      <c r="C2055" t="s">
        <v>1088</v>
      </c>
      <c r="D2055">
        <v>2011</v>
      </c>
      <c r="E2055" t="s">
        <v>133</v>
      </c>
      <c r="F2055">
        <v>494098.62</v>
      </c>
      <c r="G2055">
        <v>597</v>
      </c>
      <c r="H2055" s="11" t="str">
        <f t="shared" si="106"/>
        <v>count</v>
      </c>
    </row>
    <row r="2056" spans="1:8">
      <c r="A2056" s="11" t="str">
        <f t="shared" si="107"/>
        <v>25-302722992012</v>
      </c>
      <c r="B2056" t="s">
        <v>1087</v>
      </c>
      <c r="C2056" t="s">
        <v>1088</v>
      </c>
      <c r="D2056">
        <v>2012</v>
      </c>
      <c r="E2056" t="s">
        <v>63</v>
      </c>
      <c r="F2056">
        <v>1649547.42</v>
      </c>
      <c r="G2056">
        <v>2184</v>
      </c>
      <c r="H2056" s="11" t="str">
        <f t="shared" si="106"/>
        <v>count</v>
      </c>
    </row>
    <row r="2057" spans="1:8">
      <c r="A2057" s="11" t="str">
        <f t="shared" si="107"/>
        <v>25-302722992011</v>
      </c>
      <c r="B2057" t="s">
        <v>1087</v>
      </c>
      <c r="C2057" t="s">
        <v>1088</v>
      </c>
      <c r="D2057">
        <v>2011</v>
      </c>
      <c r="E2057" t="s">
        <v>105</v>
      </c>
      <c r="F2057">
        <v>92078.61</v>
      </c>
      <c r="G2057">
        <v>111</v>
      </c>
      <c r="H2057" s="11" t="str">
        <f t="shared" si="106"/>
        <v>count</v>
      </c>
    </row>
    <row r="2058" spans="1:8">
      <c r="A2058" s="11" t="str">
        <f t="shared" si="107"/>
        <v>25-302722992013</v>
      </c>
      <c r="B2058" t="s">
        <v>1087</v>
      </c>
      <c r="C2058" t="s">
        <v>1088</v>
      </c>
      <c r="D2058">
        <v>2013</v>
      </c>
      <c r="E2058" t="s">
        <v>104</v>
      </c>
      <c r="F2058">
        <v>379793.03</v>
      </c>
      <c r="G2058">
        <v>446</v>
      </c>
      <c r="H2058" s="11" t="str">
        <f t="shared" si="106"/>
        <v>count</v>
      </c>
    </row>
    <row r="2059" spans="1:8">
      <c r="A2059" s="11" t="str">
        <f t="shared" si="107"/>
        <v>25-302722992013</v>
      </c>
      <c r="B2059" t="s">
        <v>1087</v>
      </c>
      <c r="C2059" t="s">
        <v>1088</v>
      </c>
      <c r="D2059">
        <v>2013</v>
      </c>
      <c r="E2059" t="s">
        <v>63</v>
      </c>
      <c r="F2059">
        <v>1550777.61</v>
      </c>
      <c r="G2059">
        <v>1930</v>
      </c>
      <c r="H2059" s="11" t="str">
        <f t="shared" si="106"/>
        <v>count</v>
      </c>
    </row>
    <row r="2060" spans="1:8">
      <c r="A2060" s="11" t="str">
        <f t="shared" si="107"/>
        <v>25-302722992013</v>
      </c>
      <c r="B2060" t="s">
        <v>1087</v>
      </c>
      <c r="C2060" t="s">
        <v>1088</v>
      </c>
      <c r="D2060">
        <v>2013</v>
      </c>
      <c r="E2060" t="s">
        <v>133</v>
      </c>
      <c r="F2060">
        <v>395870.34</v>
      </c>
      <c r="G2060">
        <v>473</v>
      </c>
      <c r="H2060" s="11" t="str">
        <f t="shared" si="106"/>
        <v>count</v>
      </c>
    </row>
    <row r="2061" spans="1:8">
      <c r="A2061" s="11" t="str">
        <f t="shared" si="107"/>
        <v>25-302722992012</v>
      </c>
      <c r="B2061" t="s">
        <v>1087</v>
      </c>
      <c r="C2061" t="s">
        <v>1088</v>
      </c>
      <c r="D2061">
        <v>2012</v>
      </c>
      <c r="E2061" t="s">
        <v>105</v>
      </c>
      <c r="F2061">
        <v>70343.039999999994</v>
      </c>
      <c r="G2061">
        <v>94</v>
      </c>
      <c r="H2061" s="11" t="str">
        <f t="shared" si="106"/>
        <v>count</v>
      </c>
    </row>
    <row r="2062" spans="1:8">
      <c r="A2062" s="11" t="str">
        <f t="shared" si="107"/>
        <v>25-302722992013</v>
      </c>
      <c r="B2062" t="s">
        <v>1087</v>
      </c>
      <c r="C2062" t="s">
        <v>1088</v>
      </c>
      <c r="D2062">
        <v>2013</v>
      </c>
      <c r="E2062" t="s">
        <v>69</v>
      </c>
      <c r="F2062">
        <v>289653</v>
      </c>
      <c r="G2062">
        <v>436</v>
      </c>
      <c r="H2062" s="11" t="str">
        <f t="shared" si="106"/>
        <v>count</v>
      </c>
    </row>
    <row r="2063" spans="1:8">
      <c r="A2063" s="11" t="str">
        <f t="shared" si="107"/>
        <v>25-302765962011</v>
      </c>
      <c r="B2063" t="s">
        <v>1089</v>
      </c>
      <c r="C2063" t="s">
        <v>1090</v>
      </c>
      <c r="D2063">
        <v>2011</v>
      </c>
      <c r="E2063" t="s">
        <v>105</v>
      </c>
      <c r="F2063">
        <v>107518.72</v>
      </c>
      <c r="G2063">
        <v>151</v>
      </c>
      <c r="H2063" s="11" t="str">
        <f t="shared" si="106"/>
        <v>volume</v>
      </c>
    </row>
    <row r="2064" spans="1:8">
      <c r="A2064" s="11" t="str">
        <f t="shared" si="107"/>
        <v>25-302765962013</v>
      </c>
      <c r="B2064" t="s">
        <v>1089</v>
      </c>
      <c r="C2064" t="s">
        <v>1090</v>
      </c>
      <c r="D2064">
        <v>2013</v>
      </c>
      <c r="E2064" t="s">
        <v>63</v>
      </c>
      <c r="F2064">
        <v>608377.48</v>
      </c>
      <c r="G2064">
        <v>761</v>
      </c>
      <c r="H2064" s="11" t="str">
        <f t="shared" si="106"/>
        <v>count</v>
      </c>
    </row>
    <row r="2065" spans="1:8">
      <c r="A2065" s="11" t="str">
        <f t="shared" si="107"/>
        <v>25-302765962013</v>
      </c>
      <c r="B2065" t="s">
        <v>1089</v>
      </c>
      <c r="C2065" t="s">
        <v>1090</v>
      </c>
      <c r="D2065">
        <v>2013</v>
      </c>
      <c r="E2065" t="s">
        <v>104</v>
      </c>
      <c r="F2065">
        <v>313356.23</v>
      </c>
      <c r="G2065">
        <v>410</v>
      </c>
      <c r="H2065" s="11" t="str">
        <f t="shared" si="106"/>
        <v>count</v>
      </c>
    </row>
    <row r="2066" spans="1:8">
      <c r="A2066" s="11" t="str">
        <f t="shared" si="107"/>
        <v>25-302765962012</v>
      </c>
      <c r="B2066" t="s">
        <v>1089</v>
      </c>
      <c r="C2066" t="s">
        <v>1090</v>
      </c>
      <c r="D2066">
        <v>2012</v>
      </c>
      <c r="E2066" t="s">
        <v>104</v>
      </c>
      <c r="F2066">
        <v>337053.54</v>
      </c>
      <c r="G2066">
        <v>462</v>
      </c>
      <c r="H2066" s="11" t="str">
        <f t="shared" si="106"/>
        <v>count</v>
      </c>
    </row>
    <row r="2067" spans="1:8">
      <c r="A2067" s="11" t="str">
        <f t="shared" si="107"/>
        <v>25-302765962013</v>
      </c>
      <c r="B2067" t="s">
        <v>1089</v>
      </c>
      <c r="C2067" t="s">
        <v>1090</v>
      </c>
      <c r="D2067">
        <v>2013</v>
      </c>
      <c r="E2067" t="s">
        <v>69</v>
      </c>
      <c r="F2067">
        <v>368303.66</v>
      </c>
      <c r="G2067">
        <v>575</v>
      </c>
      <c r="H2067" s="11" t="str">
        <f t="shared" si="106"/>
        <v>count</v>
      </c>
    </row>
    <row r="2068" spans="1:8">
      <c r="A2068" s="11" t="str">
        <f t="shared" si="107"/>
        <v>25-302765962012</v>
      </c>
      <c r="B2068" t="s">
        <v>1089</v>
      </c>
      <c r="C2068" t="s">
        <v>1090</v>
      </c>
      <c r="D2068">
        <v>2012</v>
      </c>
      <c r="E2068" t="s">
        <v>63</v>
      </c>
      <c r="F2068">
        <v>609872.51</v>
      </c>
      <c r="G2068">
        <v>827</v>
      </c>
      <c r="H2068" s="11" t="str">
        <f t="shared" si="106"/>
        <v>count</v>
      </c>
    </row>
    <row r="2069" spans="1:8">
      <c r="A2069" s="11" t="str">
        <f t="shared" si="107"/>
        <v>25-302765962013</v>
      </c>
      <c r="B2069" t="s">
        <v>1089</v>
      </c>
      <c r="C2069" t="s">
        <v>1090</v>
      </c>
      <c r="D2069">
        <v>2013</v>
      </c>
      <c r="E2069" t="s">
        <v>105</v>
      </c>
      <c r="F2069">
        <v>111626.97</v>
      </c>
      <c r="G2069">
        <v>151</v>
      </c>
      <c r="H2069" s="11" t="str">
        <f t="shared" si="106"/>
        <v>count</v>
      </c>
    </row>
    <row r="2070" spans="1:8">
      <c r="A2070" s="11" t="str">
        <f t="shared" si="107"/>
        <v>25-302765962011</v>
      </c>
      <c r="B2070" t="s">
        <v>1089</v>
      </c>
      <c r="C2070" t="s">
        <v>1090</v>
      </c>
      <c r="D2070">
        <v>2011</v>
      </c>
      <c r="E2070" t="s">
        <v>63</v>
      </c>
      <c r="F2070">
        <v>780808.06</v>
      </c>
      <c r="G2070">
        <v>1094</v>
      </c>
      <c r="H2070" s="11" t="str">
        <f t="shared" si="106"/>
        <v>count</v>
      </c>
    </row>
    <row r="2071" spans="1:8">
      <c r="A2071" s="11" t="str">
        <f t="shared" si="107"/>
        <v>25-302765962011</v>
      </c>
      <c r="B2071" t="s">
        <v>1089</v>
      </c>
      <c r="C2071" t="s">
        <v>1090</v>
      </c>
      <c r="D2071">
        <v>2011</v>
      </c>
      <c r="E2071" t="s">
        <v>104</v>
      </c>
      <c r="F2071">
        <v>286203.87</v>
      </c>
      <c r="G2071">
        <v>431</v>
      </c>
      <c r="H2071" s="11" t="str">
        <f t="shared" si="106"/>
        <v>count</v>
      </c>
    </row>
    <row r="2072" spans="1:8">
      <c r="A2072" s="11" t="str">
        <f t="shared" si="107"/>
        <v>25-302765962012</v>
      </c>
      <c r="B2072" t="s">
        <v>1089</v>
      </c>
      <c r="C2072" t="s">
        <v>1090</v>
      </c>
      <c r="D2072">
        <v>2012</v>
      </c>
      <c r="E2072" t="s">
        <v>105</v>
      </c>
      <c r="F2072">
        <v>126821.24</v>
      </c>
      <c r="G2072">
        <v>150</v>
      </c>
      <c r="H2072" s="11" t="str">
        <f t="shared" si="106"/>
        <v>count</v>
      </c>
    </row>
    <row r="2073" spans="1:8">
      <c r="A2073" s="11" t="str">
        <f t="shared" si="107"/>
        <v>25-302765962012</v>
      </c>
      <c r="B2073" t="s">
        <v>1089</v>
      </c>
      <c r="C2073" t="s">
        <v>1090</v>
      </c>
      <c r="D2073">
        <v>2012</v>
      </c>
      <c r="E2073" t="s">
        <v>69</v>
      </c>
      <c r="F2073">
        <v>298864.84000000003</v>
      </c>
      <c r="G2073">
        <v>431</v>
      </c>
      <c r="H2073" s="11" t="str">
        <f t="shared" si="106"/>
        <v>count</v>
      </c>
    </row>
    <row r="2074" spans="1:8">
      <c r="A2074" s="11" t="str">
        <f t="shared" si="107"/>
        <v>25-302971882011</v>
      </c>
      <c r="B2074" t="s">
        <v>1091</v>
      </c>
      <c r="C2074" t="s">
        <v>1092</v>
      </c>
      <c r="D2074">
        <v>2011</v>
      </c>
      <c r="E2074" t="s">
        <v>104</v>
      </c>
      <c r="F2074">
        <v>3141469.44</v>
      </c>
      <c r="G2074">
        <v>8429</v>
      </c>
      <c r="H2074" s="11" t="str">
        <f t="shared" si="106"/>
        <v>volume</v>
      </c>
    </row>
    <row r="2075" spans="1:8">
      <c r="A2075" s="11" t="str">
        <f t="shared" si="107"/>
        <v>25-302971882013</v>
      </c>
      <c r="B2075" t="s">
        <v>1091</v>
      </c>
      <c r="C2075" t="s">
        <v>1092</v>
      </c>
      <c r="D2075">
        <v>2013</v>
      </c>
      <c r="E2075" t="s">
        <v>105</v>
      </c>
      <c r="F2075">
        <v>197510.99</v>
      </c>
      <c r="G2075">
        <v>547</v>
      </c>
      <c r="H2075" s="11" t="str">
        <f t="shared" si="106"/>
        <v>count</v>
      </c>
    </row>
    <row r="2076" spans="1:8">
      <c r="A2076" s="11" t="str">
        <f t="shared" si="107"/>
        <v>25-302971882013</v>
      </c>
      <c r="B2076" t="s">
        <v>1091</v>
      </c>
      <c r="C2076" t="s">
        <v>1092</v>
      </c>
      <c r="D2076">
        <v>2013</v>
      </c>
      <c r="E2076" t="s">
        <v>69</v>
      </c>
      <c r="F2076">
        <v>1652775.74</v>
      </c>
      <c r="G2076">
        <v>5319</v>
      </c>
      <c r="H2076" s="11" t="str">
        <f t="shared" si="106"/>
        <v>count</v>
      </c>
    </row>
    <row r="2077" spans="1:8">
      <c r="A2077" s="11" t="str">
        <f t="shared" si="107"/>
        <v>25-302971882011</v>
      </c>
      <c r="B2077" t="s">
        <v>1091</v>
      </c>
      <c r="C2077" t="s">
        <v>1092</v>
      </c>
      <c r="D2077">
        <v>2011</v>
      </c>
      <c r="E2077" t="s">
        <v>63</v>
      </c>
      <c r="F2077">
        <v>8321323.3200000003</v>
      </c>
      <c r="G2077">
        <v>22996</v>
      </c>
      <c r="H2077" s="11" t="str">
        <f t="shared" si="106"/>
        <v>count</v>
      </c>
    </row>
    <row r="2078" spans="1:8">
      <c r="A2078" s="11" t="str">
        <f t="shared" si="107"/>
        <v>25-302971882013</v>
      </c>
      <c r="B2078" t="s">
        <v>1091</v>
      </c>
      <c r="C2078" t="s">
        <v>1092</v>
      </c>
      <c r="D2078">
        <v>2013</v>
      </c>
      <c r="E2078" t="s">
        <v>133</v>
      </c>
      <c r="F2078">
        <v>4162319.27</v>
      </c>
      <c r="G2078">
        <v>7798</v>
      </c>
      <c r="H2078" s="11" t="str">
        <f t="shared" si="106"/>
        <v>count</v>
      </c>
    </row>
    <row r="2079" spans="1:8">
      <c r="A2079" s="11" t="str">
        <f t="shared" si="107"/>
        <v>25-302971882012</v>
      </c>
      <c r="B2079" t="s">
        <v>1091</v>
      </c>
      <c r="C2079" t="s">
        <v>1092</v>
      </c>
      <c r="D2079">
        <v>2012</v>
      </c>
      <c r="E2079" t="s">
        <v>105</v>
      </c>
      <c r="F2079">
        <v>209952.86</v>
      </c>
      <c r="G2079">
        <v>637</v>
      </c>
      <c r="H2079" s="11" t="str">
        <f t="shared" si="106"/>
        <v>count</v>
      </c>
    </row>
    <row r="2080" spans="1:8">
      <c r="A2080" s="11" t="str">
        <f t="shared" si="107"/>
        <v>25-302971882011</v>
      </c>
      <c r="B2080" t="s">
        <v>1091</v>
      </c>
      <c r="C2080" t="s">
        <v>1092</v>
      </c>
      <c r="D2080">
        <v>2011</v>
      </c>
      <c r="E2080" t="s">
        <v>133</v>
      </c>
      <c r="F2080">
        <v>4776243.9400000004</v>
      </c>
      <c r="G2080">
        <v>9364</v>
      </c>
      <c r="H2080" s="11" t="str">
        <f t="shared" si="106"/>
        <v>count</v>
      </c>
    </row>
    <row r="2081" spans="1:8">
      <c r="A2081" s="11" t="str">
        <f t="shared" si="107"/>
        <v>25-302971882013</v>
      </c>
      <c r="B2081" t="s">
        <v>1091</v>
      </c>
      <c r="C2081" t="s">
        <v>1092</v>
      </c>
      <c r="D2081">
        <v>2013</v>
      </c>
      <c r="E2081" t="s">
        <v>104</v>
      </c>
      <c r="F2081">
        <v>3134296.93</v>
      </c>
      <c r="G2081">
        <v>5921</v>
      </c>
      <c r="H2081" s="11" t="str">
        <f t="shared" si="106"/>
        <v>count</v>
      </c>
    </row>
    <row r="2082" spans="1:8">
      <c r="A2082" s="11" t="str">
        <f t="shared" si="107"/>
        <v>25-302971882011</v>
      </c>
      <c r="B2082" t="s">
        <v>1091</v>
      </c>
      <c r="C2082" t="s">
        <v>1092</v>
      </c>
      <c r="D2082">
        <v>2011</v>
      </c>
      <c r="E2082" t="s">
        <v>105</v>
      </c>
      <c r="F2082">
        <v>226448.3</v>
      </c>
      <c r="G2082">
        <v>712</v>
      </c>
      <c r="H2082" s="11" t="str">
        <f t="shared" si="106"/>
        <v>count</v>
      </c>
    </row>
    <row r="2083" spans="1:8">
      <c r="A2083" s="11" t="str">
        <f t="shared" si="107"/>
        <v>25-302971882013</v>
      </c>
      <c r="B2083" t="s">
        <v>1091</v>
      </c>
      <c r="C2083" t="s">
        <v>1092</v>
      </c>
      <c r="D2083">
        <v>2013</v>
      </c>
      <c r="E2083" t="s">
        <v>63</v>
      </c>
      <c r="F2083">
        <v>6602617.79</v>
      </c>
      <c r="G2083">
        <v>16143</v>
      </c>
      <c r="H2083" s="11" t="str">
        <f t="shared" si="106"/>
        <v>count</v>
      </c>
    </row>
    <row r="2084" spans="1:8">
      <c r="A2084" s="11" t="str">
        <f t="shared" si="107"/>
        <v>25-302971882011</v>
      </c>
      <c r="B2084" t="s">
        <v>1091</v>
      </c>
      <c r="C2084" t="s">
        <v>1092</v>
      </c>
      <c r="D2084">
        <v>2011</v>
      </c>
      <c r="E2084" t="s">
        <v>69</v>
      </c>
      <c r="F2084">
        <v>15256.45</v>
      </c>
      <c r="G2084">
        <v>59</v>
      </c>
      <c r="H2084" s="11" t="str">
        <f t="shared" si="106"/>
        <v>count</v>
      </c>
    </row>
    <row r="2085" spans="1:8">
      <c r="A2085" s="11" t="str">
        <f t="shared" si="107"/>
        <v>25-302971882012</v>
      </c>
      <c r="B2085" t="s">
        <v>1091</v>
      </c>
      <c r="C2085" t="s">
        <v>1092</v>
      </c>
      <c r="D2085">
        <v>2012</v>
      </c>
      <c r="E2085" t="s">
        <v>104</v>
      </c>
      <c r="F2085">
        <v>2979685.7</v>
      </c>
      <c r="G2085">
        <v>6847</v>
      </c>
      <c r="H2085" s="11" t="str">
        <f t="shared" si="106"/>
        <v>count</v>
      </c>
    </row>
    <row r="2086" spans="1:8">
      <c r="A2086" s="11" t="str">
        <f t="shared" si="107"/>
        <v>25-302971882012</v>
      </c>
      <c r="B2086" t="s">
        <v>1091</v>
      </c>
      <c r="C2086" t="s">
        <v>1092</v>
      </c>
      <c r="D2086">
        <v>2012</v>
      </c>
      <c r="E2086" t="s">
        <v>133</v>
      </c>
      <c r="F2086">
        <v>4471290.6100000003</v>
      </c>
      <c r="G2086">
        <v>8816</v>
      </c>
      <c r="H2086" s="11" t="str">
        <f t="shared" si="106"/>
        <v>count</v>
      </c>
    </row>
    <row r="2087" spans="1:8">
      <c r="A2087" s="11" t="str">
        <f t="shared" si="107"/>
        <v>25-302971882012</v>
      </c>
      <c r="B2087" t="s">
        <v>1091</v>
      </c>
      <c r="C2087" t="s">
        <v>1092</v>
      </c>
      <c r="D2087">
        <v>2012</v>
      </c>
      <c r="E2087" t="s">
        <v>63</v>
      </c>
      <c r="F2087">
        <v>6770626.6699999999</v>
      </c>
      <c r="G2087">
        <v>16695</v>
      </c>
      <c r="H2087" s="11" t="str">
        <f t="shared" si="106"/>
        <v>count</v>
      </c>
    </row>
    <row r="2088" spans="1:8">
      <c r="A2088" s="11" t="str">
        <f t="shared" si="107"/>
        <v>25-302971882012</v>
      </c>
      <c r="B2088" t="s">
        <v>1091</v>
      </c>
      <c r="C2088" t="s">
        <v>1092</v>
      </c>
      <c r="D2088">
        <v>2012</v>
      </c>
      <c r="E2088" t="s">
        <v>69</v>
      </c>
      <c r="F2088">
        <v>1394809.22</v>
      </c>
      <c r="G2088">
        <v>4772</v>
      </c>
      <c r="H2088" s="11" t="str">
        <f t="shared" si="106"/>
        <v>count</v>
      </c>
    </row>
    <row r="2089" spans="1:8">
      <c r="A2089" s="11" t="str">
        <f t="shared" si="107"/>
        <v>25-303854872013</v>
      </c>
      <c r="B2089" t="s">
        <v>1093</v>
      </c>
      <c r="C2089" t="s">
        <v>1094</v>
      </c>
      <c r="D2089">
        <v>2013</v>
      </c>
      <c r="E2089" t="s">
        <v>105</v>
      </c>
      <c r="F2089">
        <v>196440.93</v>
      </c>
      <c r="G2089">
        <v>153</v>
      </c>
      <c r="H2089" s="11" t="str">
        <f t="shared" si="106"/>
        <v>volume</v>
      </c>
    </row>
    <row r="2090" spans="1:8">
      <c r="A2090" s="11" t="str">
        <f t="shared" si="107"/>
        <v>25-303854872012</v>
      </c>
      <c r="B2090" t="s">
        <v>1093</v>
      </c>
      <c r="C2090" t="s">
        <v>1094</v>
      </c>
      <c r="D2090">
        <v>2012</v>
      </c>
      <c r="E2090" t="s">
        <v>69</v>
      </c>
      <c r="F2090">
        <v>393835.35</v>
      </c>
      <c r="G2090">
        <v>436</v>
      </c>
      <c r="H2090" s="11" t="str">
        <f t="shared" si="106"/>
        <v>count</v>
      </c>
    </row>
    <row r="2091" spans="1:8">
      <c r="A2091" s="11" t="str">
        <f t="shared" si="107"/>
        <v>25-303854872012</v>
      </c>
      <c r="B2091" t="s">
        <v>1093</v>
      </c>
      <c r="C2091" t="s">
        <v>1094</v>
      </c>
      <c r="D2091">
        <v>2012</v>
      </c>
      <c r="E2091" t="s">
        <v>63</v>
      </c>
      <c r="F2091">
        <v>1795833.39</v>
      </c>
      <c r="G2091">
        <v>1323</v>
      </c>
      <c r="H2091" s="11" t="str">
        <f t="shared" si="106"/>
        <v>count</v>
      </c>
    </row>
    <row r="2092" spans="1:8">
      <c r="A2092" s="11" t="str">
        <f t="shared" si="107"/>
        <v>25-303854872012</v>
      </c>
      <c r="B2092" t="s">
        <v>1093</v>
      </c>
      <c r="C2092" t="s">
        <v>1094</v>
      </c>
      <c r="D2092">
        <v>2012</v>
      </c>
      <c r="E2092" t="s">
        <v>104</v>
      </c>
      <c r="F2092">
        <v>958768.7</v>
      </c>
      <c r="G2092">
        <v>755</v>
      </c>
      <c r="H2092" s="11" t="str">
        <f t="shared" si="106"/>
        <v>count</v>
      </c>
    </row>
    <row r="2093" spans="1:8">
      <c r="A2093" s="11" t="str">
        <f t="shared" si="107"/>
        <v>25-303854872013</v>
      </c>
      <c r="B2093" t="s">
        <v>1093</v>
      </c>
      <c r="C2093" t="s">
        <v>1094</v>
      </c>
      <c r="D2093">
        <v>2013</v>
      </c>
      <c r="E2093" t="s">
        <v>63</v>
      </c>
      <c r="F2093">
        <v>1547815.84</v>
      </c>
      <c r="G2093">
        <v>1151</v>
      </c>
      <c r="H2093" s="11" t="str">
        <f t="shared" si="106"/>
        <v>count</v>
      </c>
    </row>
    <row r="2094" spans="1:8">
      <c r="A2094" s="11" t="str">
        <f t="shared" si="107"/>
        <v>25-303854872011</v>
      </c>
      <c r="B2094" t="s">
        <v>1093</v>
      </c>
      <c r="C2094" t="s">
        <v>1094</v>
      </c>
      <c r="D2094">
        <v>2011</v>
      </c>
      <c r="E2094" t="s">
        <v>69</v>
      </c>
      <c r="F2094">
        <v>2399.14</v>
      </c>
      <c r="G2094">
        <v>3</v>
      </c>
      <c r="H2094" s="11" t="str">
        <f t="shared" si="106"/>
        <v>count</v>
      </c>
    </row>
    <row r="2095" spans="1:8">
      <c r="A2095" s="11" t="str">
        <f t="shared" si="107"/>
        <v>25-303854872013</v>
      </c>
      <c r="B2095" t="s">
        <v>1093</v>
      </c>
      <c r="C2095" t="s">
        <v>1094</v>
      </c>
      <c r="D2095">
        <v>2013</v>
      </c>
      <c r="E2095" t="s">
        <v>104</v>
      </c>
      <c r="F2095">
        <v>841547.12</v>
      </c>
      <c r="G2095">
        <v>665</v>
      </c>
      <c r="H2095" s="11" t="str">
        <f t="shared" si="106"/>
        <v>count</v>
      </c>
    </row>
    <row r="2096" spans="1:8">
      <c r="A2096" s="11" t="str">
        <f t="shared" si="107"/>
        <v>25-303854872013</v>
      </c>
      <c r="B2096" t="s">
        <v>1093</v>
      </c>
      <c r="C2096" t="s">
        <v>1094</v>
      </c>
      <c r="D2096">
        <v>2013</v>
      </c>
      <c r="E2096" t="s">
        <v>69</v>
      </c>
      <c r="F2096">
        <v>432506.64</v>
      </c>
      <c r="G2096">
        <v>455</v>
      </c>
      <c r="H2096" s="11" t="str">
        <f t="shared" si="106"/>
        <v>count</v>
      </c>
    </row>
    <row r="2097" spans="1:8">
      <c r="A2097" s="11" t="str">
        <f t="shared" si="107"/>
        <v>25-303854872012</v>
      </c>
      <c r="B2097" t="s">
        <v>1093</v>
      </c>
      <c r="C2097" t="s">
        <v>1094</v>
      </c>
      <c r="D2097">
        <v>2012</v>
      </c>
      <c r="E2097" t="s">
        <v>105</v>
      </c>
      <c r="F2097">
        <v>83601.850000000006</v>
      </c>
      <c r="G2097">
        <v>74</v>
      </c>
      <c r="H2097" s="11" t="str">
        <f t="shared" si="106"/>
        <v>count</v>
      </c>
    </row>
    <row r="2098" spans="1:8">
      <c r="A2098" s="11" t="str">
        <f t="shared" si="107"/>
        <v>25-303854872011</v>
      </c>
      <c r="B2098" t="s">
        <v>1093</v>
      </c>
      <c r="C2098" t="s">
        <v>1094</v>
      </c>
      <c r="D2098">
        <v>2011</v>
      </c>
      <c r="E2098" t="s">
        <v>63</v>
      </c>
      <c r="F2098">
        <v>1871171.49</v>
      </c>
      <c r="G2098">
        <v>1427</v>
      </c>
      <c r="H2098" s="11" t="str">
        <f t="shared" si="106"/>
        <v>count</v>
      </c>
    </row>
    <row r="2099" spans="1:8">
      <c r="A2099" s="11" t="str">
        <f t="shared" si="107"/>
        <v>25-303854872011</v>
      </c>
      <c r="B2099" t="s">
        <v>1093</v>
      </c>
      <c r="C2099" t="s">
        <v>1094</v>
      </c>
      <c r="D2099">
        <v>2011</v>
      </c>
      <c r="E2099" t="s">
        <v>104</v>
      </c>
      <c r="F2099">
        <v>889742.59</v>
      </c>
      <c r="G2099">
        <v>669</v>
      </c>
      <c r="H2099" s="11" t="str">
        <f t="shared" si="106"/>
        <v>count</v>
      </c>
    </row>
    <row r="2100" spans="1:8">
      <c r="A2100" s="11" t="str">
        <f t="shared" si="107"/>
        <v>25-305624932011</v>
      </c>
      <c r="B2100" t="s">
        <v>1095</v>
      </c>
      <c r="C2100" t="s">
        <v>1096</v>
      </c>
      <c r="D2100">
        <v>2011</v>
      </c>
      <c r="E2100" t="s">
        <v>104</v>
      </c>
      <c r="F2100">
        <v>93850.35</v>
      </c>
      <c r="G2100">
        <v>139</v>
      </c>
      <c r="H2100" s="11" t="str">
        <f t="shared" si="106"/>
        <v>volume</v>
      </c>
    </row>
    <row r="2101" spans="1:8">
      <c r="A2101" s="11" t="str">
        <f t="shared" si="107"/>
        <v>25-305624932012</v>
      </c>
      <c r="B2101" t="s">
        <v>1095</v>
      </c>
      <c r="C2101" t="s">
        <v>1096</v>
      </c>
      <c r="D2101">
        <v>2012</v>
      </c>
      <c r="E2101" t="s">
        <v>133</v>
      </c>
      <c r="F2101">
        <v>31077.8</v>
      </c>
      <c r="G2101">
        <v>42</v>
      </c>
      <c r="H2101" s="11" t="str">
        <f t="shared" si="106"/>
        <v>count</v>
      </c>
    </row>
    <row r="2102" spans="1:8">
      <c r="A2102" s="11" t="str">
        <f t="shared" si="107"/>
        <v>25-305624932012</v>
      </c>
      <c r="B2102" t="s">
        <v>1095</v>
      </c>
      <c r="C2102" t="s">
        <v>1096</v>
      </c>
      <c r="D2102">
        <v>2012</v>
      </c>
      <c r="E2102" t="s">
        <v>69</v>
      </c>
      <c r="F2102">
        <v>37440.89</v>
      </c>
      <c r="G2102">
        <v>61</v>
      </c>
      <c r="H2102" s="11" t="str">
        <f t="shared" si="106"/>
        <v>count</v>
      </c>
    </row>
    <row r="2103" spans="1:8">
      <c r="A2103" s="11" t="str">
        <f t="shared" si="107"/>
        <v>25-305624932013</v>
      </c>
      <c r="B2103" t="s">
        <v>1095</v>
      </c>
      <c r="C2103" t="s">
        <v>1096</v>
      </c>
      <c r="D2103">
        <v>2013</v>
      </c>
      <c r="E2103" t="s">
        <v>105</v>
      </c>
      <c r="F2103">
        <v>27595.200000000001</v>
      </c>
      <c r="G2103">
        <v>33</v>
      </c>
      <c r="H2103" s="11" t="str">
        <f t="shared" si="106"/>
        <v>count</v>
      </c>
    </row>
    <row r="2104" spans="1:8">
      <c r="A2104" s="11" t="str">
        <f t="shared" si="107"/>
        <v>25-305624932011</v>
      </c>
      <c r="B2104" t="s">
        <v>1095</v>
      </c>
      <c r="C2104" t="s">
        <v>1096</v>
      </c>
      <c r="D2104">
        <v>2011</v>
      </c>
      <c r="E2104" t="s">
        <v>63</v>
      </c>
      <c r="F2104">
        <v>164952.18</v>
      </c>
      <c r="G2104">
        <v>247</v>
      </c>
      <c r="H2104" s="11" t="str">
        <f t="shared" si="106"/>
        <v>count</v>
      </c>
    </row>
    <row r="2105" spans="1:8">
      <c r="A2105" s="11" t="str">
        <f t="shared" si="107"/>
        <v>25-305624932013</v>
      </c>
      <c r="B2105" t="s">
        <v>1095</v>
      </c>
      <c r="C2105" t="s">
        <v>1096</v>
      </c>
      <c r="D2105">
        <v>2013</v>
      </c>
      <c r="E2105" t="s">
        <v>69</v>
      </c>
      <c r="F2105">
        <v>64458.17</v>
      </c>
      <c r="G2105">
        <v>92</v>
      </c>
      <c r="H2105" s="11" t="str">
        <f t="shared" si="106"/>
        <v>count</v>
      </c>
    </row>
    <row r="2106" spans="1:8">
      <c r="A2106" s="11" t="str">
        <f t="shared" si="107"/>
        <v>25-305624932012</v>
      </c>
      <c r="B2106" t="s">
        <v>1095</v>
      </c>
      <c r="C2106" t="s">
        <v>1096</v>
      </c>
      <c r="D2106">
        <v>2012</v>
      </c>
      <c r="E2106" t="s">
        <v>105</v>
      </c>
      <c r="F2106">
        <v>13460.14</v>
      </c>
      <c r="G2106">
        <v>21</v>
      </c>
      <c r="H2106" s="11" t="str">
        <f t="shared" si="106"/>
        <v>count</v>
      </c>
    </row>
    <row r="2107" spans="1:8">
      <c r="A2107" s="11" t="str">
        <f t="shared" si="107"/>
        <v>25-305624932013</v>
      </c>
      <c r="B2107" t="s">
        <v>1095</v>
      </c>
      <c r="C2107" t="s">
        <v>1096</v>
      </c>
      <c r="D2107">
        <v>2013</v>
      </c>
      <c r="E2107" t="s">
        <v>63</v>
      </c>
      <c r="F2107">
        <v>196692.96</v>
      </c>
      <c r="G2107">
        <v>227</v>
      </c>
      <c r="H2107" s="11" t="str">
        <f t="shared" si="106"/>
        <v>count</v>
      </c>
    </row>
    <row r="2108" spans="1:8">
      <c r="A2108" s="11" t="str">
        <f t="shared" si="107"/>
        <v>25-305624932013</v>
      </c>
      <c r="B2108" t="s">
        <v>1095</v>
      </c>
      <c r="C2108" t="s">
        <v>1096</v>
      </c>
      <c r="D2108">
        <v>2013</v>
      </c>
      <c r="E2108" t="s">
        <v>104</v>
      </c>
      <c r="F2108">
        <v>100343.9</v>
      </c>
      <c r="G2108">
        <v>95</v>
      </c>
      <c r="H2108" s="11" t="str">
        <f t="shared" si="106"/>
        <v>count</v>
      </c>
    </row>
    <row r="2109" spans="1:8">
      <c r="A2109" s="11" t="str">
        <f t="shared" si="107"/>
        <v>25-305624932011</v>
      </c>
      <c r="B2109" t="s">
        <v>1095</v>
      </c>
      <c r="C2109" t="s">
        <v>1096</v>
      </c>
      <c r="D2109">
        <v>2011</v>
      </c>
      <c r="E2109" t="s">
        <v>105</v>
      </c>
      <c r="F2109">
        <v>21182.7</v>
      </c>
      <c r="G2109">
        <v>36</v>
      </c>
      <c r="H2109" s="11" t="str">
        <f t="shared" si="106"/>
        <v>count</v>
      </c>
    </row>
    <row r="2110" spans="1:8">
      <c r="A2110" s="11" t="str">
        <f t="shared" si="107"/>
        <v>25-305624932013</v>
      </c>
      <c r="B2110" t="s">
        <v>1095</v>
      </c>
      <c r="C2110" t="s">
        <v>1096</v>
      </c>
      <c r="D2110">
        <v>2013</v>
      </c>
      <c r="E2110" t="s">
        <v>133</v>
      </c>
      <c r="F2110">
        <v>38412.589999999997</v>
      </c>
      <c r="G2110">
        <v>37</v>
      </c>
      <c r="H2110" s="11" t="str">
        <f t="shared" si="106"/>
        <v>count</v>
      </c>
    </row>
    <row r="2111" spans="1:8">
      <c r="A2111" s="11" t="str">
        <f t="shared" si="107"/>
        <v>25-305624932011</v>
      </c>
      <c r="B2111" t="s">
        <v>1095</v>
      </c>
      <c r="C2111" t="s">
        <v>1096</v>
      </c>
      <c r="D2111">
        <v>2011</v>
      </c>
      <c r="E2111" t="s">
        <v>133</v>
      </c>
      <c r="F2111">
        <v>58341.99</v>
      </c>
      <c r="G2111">
        <v>70</v>
      </c>
      <c r="H2111" s="11" t="str">
        <f t="shared" si="106"/>
        <v>count</v>
      </c>
    </row>
    <row r="2112" spans="1:8">
      <c r="A2112" s="11" t="str">
        <f t="shared" si="107"/>
        <v>25-305624932012</v>
      </c>
      <c r="B2112" t="s">
        <v>1095</v>
      </c>
      <c r="C2112" t="s">
        <v>1096</v>
      </c>
      <c r="D2112">
        <v>2012</v>
      </c>
      <c r="E2112" t="s">
        <v>63</v>
      </c>
      <c r="F2112">
        <v>135451</v>
      </c>
      <c r="G2112">
        <v>184</v>
      </c>
      <c r="H2112" s="11" t="str">
        <f t="shared" si="106"/>
        <v>count</v>
      </c>
    </row>
    <row r="2113" spans="1:8">
      <c r="A2113" s="11" t="str">
        <f t="shared" si="107"/>
        <v>25-305624932012</v>
      </c>
      <c r="B2113" t="s">
        <v>1095</v>
      </c>
      <c r="C2113" t="s">
        <v>1096</v>
      </c>
      <c r="D2113">
        <v>2012</v>
      </c>
      <c r="E2113" t="s">
        <v>104</v>
      </c>
      <c r="F2113">
        <v>78424.11</v>
      </c>
      <c r="G2113">
        <v>110</v>
      </c>
      <c r="H2113" s="11" t="str">
        <f t="shared" si="106"/>
        <v>count</v>
      </c>
    </row>
    <row r="2114" spans="1:8">
      <c r="A2114" s="11" t="str">
        <f t="shared" si="107"/>
        <v>25-306063372013</v>
      </c>
      <c r="B2114" t="s">
        <v>1097</v>
      </c>
      <c r="C2114" t="s">
        <v>1098</v>
      </c>
      <c r="D2114">
        <v>2013</v>
      </c>
      <c r="E2114" t="s">
        <v>63</v>
      </c>
      <c r="F2114">
        <v>498241.5</v>
      </c>
      <c r="G2114">
        <v>894</v>
      </c>
      <c r="H2114" s="11" t="str">
        <f t="shared" ref="H2114:H2177" si="108">IF(B2114=B2113,"count","volume")</f>
        <v>volume</v>
      </c>
    </row>
    <row r="2115" spans="1:8">
      <c r="A2115" s="11" t="str">
        <f t="shared" ref="A2115:A2178" si="109">B2115&amp;D2115</f>
        <v>25-306063372013</v>
      </c>
      <c r="B2115" t="s">
        <v>1097</v>
      </c>
      <c r="C2115" t="s">
        <v>1098</v>
      </c>
      <c r="D2115">
        <v>2013</v>
      </c>
      <c r="E2115" t="s">
        <v>104</v>
      </c>
      <c r="F2115">
        <v>416165.84</v>
      </c>
      <c r="G2115">
        <v>842</v>
      </c>
      <c r="H2115" s="11" t="str">
        <f t="shared" si="108"/>
        <v>count</v>
      </c>
    </row>
    <row r="2116" spans="1:8">
      <c r="A2116" s="11" t="str">
        <f t="shared" si="109"/>
        <v>25-306063372012</v>
      </c>
      <c r="B2116" t="s">
        <v>1097</v>
      </c>
      <c r="C2116" t="s">
        <v>1098</v>
      </c>
      <c r="D2116">
        <v>2012</v>
      </c>
      <c r="E2116" t="s">
        <v>133</v>
      </c>
      <c r="F2116">
        <v>189666.5</v>
      </c>
      <c r="G2116">
        <v>331</v>
      </c>
      <c r="H2116" s="11" t="str">
        <f t="shared" si="108"/>
        <v>count</v>
      </c>
    </row>
    <row r="2117" spans="1:8">
      <c r="A2117" s="11" t="str">
        <f t="shared" si="109"/>
        <v>25-306063372012</v>
      </c>
      <c r="B2117" t="s">
        <v>1097</v>
      </c>
      <c r="C2117" t="s">
        <v>1098</v>
      </c>
      <c r="D2117">
        <v>2012</v>
      </c>
      <c r="E2117" t="s">
        <v>69</v>
      </c>
      <c r="F2117">
        <v>316597.8</v>
      </c>
      <c r="G2117">
        <v>615</v>
      </c>
      <c r="H2117" s="11" t="str">
        <f t="shared" si="108"/>
        <v>count</v>
      </c>
    </row>
    <row r="2118" spans="1:8">
      <c r="A2118" s="11" t="str">
        <f t="shared" si="109"/>
        <v>25-306063372011</v>
      </c>
      <c r="B2118" t="s">
        <v>1097</v>
      </c>
      <c r="C2118" t="s">
        <v>1098</v>
      </c>
      <c r="D2118">
        <v>2011</v>
      </c>
      <c r="E2118" t="s">
        <v>105</v>
      </c>
      <c r="F2118">
        <v>30740.42</v>
      </c>
      <c r="G2118">
        <v>73</v>
      </c>
      <c r="H2118" s="11" t="str">
        <f t="shared" si="108"/>
        <v>count</v>
      </c>
    </row>
    <row r="2119" spans="1:8">
      <c r="A2119" s="11" t="str">
        <f t="shared" si="109"/>
        <v>25-306063372013</v>
      </c>
      <c r="B2119" t="s">
        <v>1097</v>
      </c>
      <c r="C2119" t="s">
        <v>1098</v>
      </c>
      <c r="D2119">
        <v>2013</v>
      </c>
      <c r="E2119" t="s">
        <v>69</v>
      </c>
      <c r="F2119">
        <v>289331.09000000003</v>
      </c>
      <c r="G2119">
        <v>580</v>
      </c>
      <c r="H2119" s="11" t="str">
        <f t="shared" si="108"/>
        <v>count</v>
      </c>
    </row>
    <row r="2120" spans="1:8">
      <c r="A2120" s="11" t="str">
        <f t="shared" si="109"/>
        <v>25-306063372013</v>
      </c>
      <c r="B2120" t="s">
        <v>1097</v>
      </c>
      <c r="C2120" t="s">
        <v>1098</v>
      </c>
      <c r="D2120">
        <v>2013</v>
      </c>
      <c r="E2120" t="s">
        <v>133</v>
      </c>
      <c r="F2120">
        <v>146421.47</v>
      </c>
      <c r="G2120">
        <v>234</v>
      </c>
      <c r="H2120" s="11" t="str">
        <f t="shared" si="108"/>
        <v>count</v>
      </c>
    </row>
    <row r="2121" spans="1:8">
      <c r="A2121" s="11" t="str">
        <f t="shared" si="109"/>
        <v>25-306063372011</v>
      </c>
      <c r="B2121" t="s">
        <v>1097</v>
      </c>
      <c r="C2121" t="s">
        <v>1098</v>
      </c>
      <c r="D2121">
        <v>2011</v>
      </c>
      <c r="E2121" t="s">
        <v>69</v>
      </c>
      <c r="F2121">
        <v>3646.64</v>
      </c>
      <c r="G2121">
        <v>7</v>
      </c>
      <c r="H2121" s="11" t="str">
        <f t="shared" si="108"/>
        <v>count</v>
      </c>
    </row>
    <row r="2122" spans="1:8">
      <c r="A2122" s="11" t="str">
        <f t="shared" si="109"/>
        <v>25-306063372012</v>
      </c>
      <c r="B2122" t="s">
        <v>1097</v>
      </c>
      <c r="C2122" t="s">
        <v>1098</v>
      </c>
      <c r="D2122">
        <v>2012</v>
      </c>
      <c r="E2122" t="s">
        <v>104</v>
      </c>
      <c r="F2122">
        <v>565012.86</v>
      </c>
      <c r="G2122">
        <v>1132</v>
      </c>
      <c r="H2122" s="11" t="str">
        <f t="shared" si="108"/>
        <v>count</v>
      </c>
    </row>
    <row r="2123" spans="1:8">
      <c r="A2123" s="11" t="str">
        <f t="shared" si="109"/>
        <v>25-306063372013</v>
      </c>
      <c r="B2123" t="s">
        <v>1097</v>
      </c>
      <c r="C2123" t="s">
        <v>1098</v>
      </c>
      <c r="D2123">
        <v>2013</v>
      </c>
      <c r="E2123" t="s">
        <v>105</v>
      </c>
      <c r="F2123">
        <v>29822.240000000002</v>
      </c>
      <c r="G2123">
        <v>40</v>
      </c>
      <c r="H2123" s="11" t="str">
        <f t="shared" si="108"/>
        <v>count</v>
      </c>
    </row>
    <row r="2124" spans="1:8">
      <c r="A2124" s="11" t="str">
        <f t="shared" si="109"/>
        <v>25-306063372012</v>
      </c>
      <c r="B2124" t="s">
        <v>1097</v>
      </c>
      <c r="C2124" t="s">
        <v>1098</v>
      </c>
      <c r="D2124">
        <v>2012</v>
      </c>
      <c r="E2124" t="s">
        <v>63</v>
      </c>
      <c r="F2124">
        <v>567424.06999999995</v>
      </c>
      <c r="G2124">
        <v>975</v>
      </c>
      <c r="H2124" s="11" t="str">
        <f t="shared" si="108"/>
        <v>count</v>
      </c>
    </row>
    <row r="2125" spans="1:8">
      <c r="A2125" s="11" t="str">
        <f t="shared" si="109"/>
        <v>25-306063372011</v>
      </c>
      <c r="B2125" t="s">
        <v>1097</v>
      </c>
      <c r="C2125" t="s">
        <v>1098</v>
      </c>
      <c r="D2125">
        <v>2011</v>
      </c>
      <c r="E2125" t="s">
        <v>133</v>
      </c>
      <c r="F2125">
        <v>376572.23</v>
      </c>
      <c r="G2125">
        <v>366</v>
      </c>
      <c r="H2125" s="11" t="str">
        <f t="shared" si="108"/>
        <v>count</v>
      </c>
    </row>
    <row r="2126" spans="1:8">
      <c r="A2126" s="11" t="str">
        <f t="shared" si="109"/>
        <v>25-306063372011</v>
      </c>
      <c r="B2126" t="s">
        <v>1097</v>
      </c>
      <c r="C2126" t="s">
        <v>1098</v>
      </c>
      <c r="D2126">
        <v>2011</v>
      </c>
      <c r="E2126" t="s">
        <v>104</v>
      </c>
      <c r="F2126">
        <v>666681.78</v>
      </c>
      <c r="G2126">
        <v>1280</v>
      </c>
      <c r="H2126" s="11" t="str">
        <f t="shared" si="108"/>
        <v>count</v>
      </c>
    </row>
    <row r="2127" spans="1:8">
      <c r="A2127" s="11" t="str">
        <f t="shared" si="109"/>
        <v>25-306063372011</v>
      </c>
      <c r="B2127" t="s">
        <v>1097</v>
      </c>
      <c r="C2127" t="s">
        <v>1098</v>
      </c>
      <c r="D2127">
        <v>2011</v>
      </c>
      <c r="E2127" t="s">
        <v>63</v>
      </c>
      <c r="F2127">
        <v>881311.31</v>
      </c>
      <c r="G2127">
        <v>1675</v>
      </c>
      <c r="H2127" s="11" t="str">
        <f t="shared" si="108"/>
        <v>count</v>
      </c>
    </row>
    <row r="2128" spans="1:8">
      <c r="A2128" s="11" t="str">
        <f t="shared" si="109"/>
        <v>25-306063372012</v>
      </c>
      <c r="B2128" t="s">
        <v>1097</v>
      </c>
      <c r="C2128" t="s">
        <v>1098</v>
      </c>
      <c r="D2128">
        <v>2012</v>
      </c>
      <c r="E2128" t="s">
        <v>105</v>
      </c>
      <c r="F2128">
        <v>43415.44</v>
      </c>
      <c r="G2128">
        <v>68</v>
      </c>
      <c r="H2128" s="11" t="str">
        <f t="shared" si="108"/>
        <v>count</v>
      </c>
    </row>
    <row r="2129" spans="1:8">
      <c r="A2129" s="11" t="str">
        <f t="shared" si="109"/>
        <v>25-306573532011</v>
      </c>
      <c r="B2129" t="s">
        <v>1099</v>
      </c>
      <c r="C2129" t="s">
        <v>1100</v>
      </c>
      <c r="D2129">
        <v>2011</v>
      </c>
      <c r="E2129" t="s">
        <v>105</v>
      </c>
      <c r="F2129">
        <v>7927.1</v>
      </c>
      <c r="G2129">
        <v>20</v>
      </c>
      <c r="H2129" s="11" t="str">
        <f t="shared" si="108"/>
        <v>volume</v>
      </c>
    </row>
    <row r="2130" spans="1:8">
      <c r="A2130" s="11" t="str">
        <f t="shared" si="109"/>
        <v>25-306573532013</v>
      </c>
      <c r="B2130" t="s">
        <v>1099</v>
      </c>
      <c r="C2130" t="s">
        <v>1100</v>
      </c>
      <c r="D2130">
        <v>2013</v>
      </c>
      <c r="E2130" t="s">
        <v>133</v>
      </c>
      <c r="F2130">
        <v>91545.62</v>
      </c>
      <c r="G2130">
        <v>176</v>
      </c>
      <c r="H2130" s="11" t="str">
        <f t="shared" si="108"/>
        <v>count</v>
      </c>
    </row>
    <row r="2131" spans="1:8">
      <c r="A2131" s="11" t="str">
        <f t="shared" si="109"/>
        <v>25-306573532013</v>
      </c>
      <c r="B2131" t="s">
        <v>1099</v>
      </c>
      <c r="C2131" t="s">
        <v>1100</v>
      </c>
      <c r="D2131">
        <v>2013</v>
      </c>
      <c r="E2131" t="s">
        <v>104</v>
      </c>
      <c r="F2131">
        <v>108028.89</v>
      </c>
      <c r="G2131">
        <v>206</v>
      </c>
      <c r="H2131" s="11" t="str">
        <f t="shared" si="108"/>
        <v>count</v>
      </c>
    </row>
    <row r="2132" spans="1:8">
      <c r="A2132" s="11" t="str">
        <f t="shared" si="109"/>
        <v>25-306573532013</v>
      </c>
      <c r="B2132" t="s">
        <v>1099</v>
      </c>
      <c r="C2132" t="s">
        <v>1100</v>
      </c>
      <c r="D2132">
        <v>2013</v>
      </c>
      <c r="E2132" t="s">
        <v>63</v>
      </c>
      <c r="F2132">
        <v>113535.28</v>
      </c>
      <c r="G2132">
        <v>234</v>
      </c>
      <c r="H2132" s="11" t="str">
        <f t="shared" si="108"/>
        <v>count</v>
      </c>
    </row>
    <row r="2133" spans="1:8">
      <c r="A2133" s="11" t="str">
        <f t="shared" si="109"/>
        <v>25-306573532013</v>
      </c>
      <c r="B2133" t="s">
        <v>1099</v>
      </c>
      <c r="C2133" t="s">
        <v>1100</v>
      </c>
      <c r="D2133">
        <v>2013</v>
      </c>
      <c r="E2133" t="s">
        <v>69</v>
      </c>
      <c r="F2133">
        <v>49110.65</v>
      </c>
      <c r="G2133">
        <v>106</v>
      </c>
      <c r="H2133" s="11" t="str">
        <f t="shared" si="108"/>
        <v>count</v>
      </c>
    </row>
    <row r="2134" spans="1:8">
      <c r="A2134" s="11" t="str">
        <f t="shared" si="109"/>
        <v>25-306573532012</v>
      </c>
      <c r="B2134" t="s">
        <v>1099</v>
      </c>
      <c r="C2134" t="s">
        <v>1100</v>
      </c>
      <c r="D2134">
        <v>2012</v>
      </c>
      <c r="E2134" t="s">
        <v>105</v>
      </c>
      <c r="F2134">
        <v>7264.27</v>
      </c>
      <c r="G2134">
        <v>18</v>
      </c>
      <c r="H2134" s="11" t="str">
        <f t="shared" si="108"/>
        <v>count</v>
      </c>
    </row>
    <row r="2135" spans="1:8">
      <c r="A2135" s="11" t="str">
        <f t="shared" si="109"/>
        <v>25-306573532012</v>
      </c>
      <c r="B2135" t="s">
        <v>1099</v>
      </c>
      <c r="C2135" t="s">
        <v>1100</v>
      </c>
      <c r="D2135">
        <v>2012</v>
      </c>
      <c r="E2135" t="s">
        <v>133</v>
      </c>
      <c r="F2135">
        <v>108231.78</v>
      </c>
      <c r="G2135">
        <v>215</v>
      </c>
      <c r="H2135" s="11" t="str">
        <f t="shared" si="108"/>
        <v>count</v>
      </c>
    </row>
    <row r="2136" spans="1:8">
      <c r="A2136" s="11" t="str">
        <f t="shared" si="109"/>
        <v>25-306573532012</v>
      </c>
      <c r="B2136" t="s">
        <v>1099</v>
      </c>
      <c r="C2136" t="s">
        <v>1100</v>
      </c>
      <c r="D2136">
        <v>2012</v>
      </c>
      <c r="E2136" t="s">
        <v>69</v>
      </c>
      <c r="F2136">
        <v>42920.51</v>
      </c>
      <c r="G2136">
        <v>96</v>
      </c>
      <c r="H2136" s="11" t="str">
        <f t="shared" si="108"/>
        <v>count</v>
      </c>
    </row>
    <row r="2137" spans="1:8">
      <c r="A2137" s="11" t="str">
        <f t="shared" si="109"/>
        <v>25-306573532011</v>
      </c>
      <c r="B2137" t="s">
        <v>1099</v>
      </c>
      <c r="C2137" t="s">
        <v>1100</v>
      </c>
      <c r="D2137">
        <v>2011</v>
      </c>
      <c r="E2137" t="s">
        <v>104</v>
      </c>
      <c r="F2137">
        <v>164817.66</v>
      </c>
      <c r="G2137">
        <v>340</v>
      </c>
      <c r="H2137" s="11" t="str">
        <f t="shared" si="108"/>
        <v>count</v>
      </c>
    </row>
    <row r="2138" spans="1:8">
      <c r="A2138" s="11" t="str">
        <f t="shared" si="109"/>
        <v>25-306573532011</v>
      </c>
      <c r="B2138" t="s">
        <v>1099</v>
      </c>
      <c r="C2138" t="s">
        <v>1100</v>
      </c>
      <c r="D2138">
        <v>2011</v>
      </c>
      <c r="E2138" t="s">
        <v>63</v>
      </c>
      <c r="F2138">
        <v>221414.04</v>
      </c>
      <c r="G2138">
        <v>539</v>
      </c>
      <c r="H2138" s="11" t="str">
        <f t="shared" si="108"/>
        <v>count</v>
      </c>
    </row>
    <row r="2139" spans="1:8">
      <c r="A2139" s="11" t="str">
        <f t="shared" si="109"/>
        <v>25-306573532012</v>
      </c>
      <c r="B2139" t="s">
        <v>1099</v>
      </c>
      <c r="C2139" t="s">
        <v>1100</v>
      </c>
      <c r="D2139">
        <v>2012</v>
      </c>
      <c r="E2139" t="s">
        <v>104</v>
      </c>
      <c r="F2139">
        <v>128701.44</v>
      </c>
      <c r="G2139">
        <v>225</v>
      </c>
      <c r="H2139" s="11" t="str">
        <f t="shared" si="108"/>
        <v>count</v>
      </c>
    </row>
    <row r="2140" spans="1:8">
      <c r="A2140" s="11" t="str">
        <f t="shared" si="109"/>
        <v>25-306573532011</v>
      </c>
      <c r="B2140" t="s">
        <v>1099</v>
      </c>
      <c r="C2140" t="s">
        <v>1100</v>
      </c>
      <c r="D2140">
        <v>2011</v>
      </c>
      <c r="E2140" t="s">
        <v>133</v>
      </c>
      <c r="F2140">
        <v>192737.17</v>
      </c>
      <c r="G2140">
        <v>387</v>
      </c>
      <c r="H2140" s="11" t="str">
        <f t="shared" si="108"/>
        <v>count</v>
      </c>
    </row>
    <row r="2141" spans="1:8">
      <c r="A2141" s="11" t="str">
        <f t="shared" si="109"/>
        <v>25-306573532013</v>
      </c>
      <c r="B2141" t="s">
        <v>1099</v>
      </c>
      <c r="C2141" t="s">
        <v>1100</v>
      </c>
      <c r="D2141">
        <v>2013</v>
      </c>
      <c r="E2141" t="s">
        <v>105</v>
      </c>
      <c r="F2141">
        <v>10937.91</v>
      </c>
      <c r="G2141">
        <v>20</v>
      </c>
      <c r="H2141" s="11" t="str">
        <f t="shared" si="108"/>
        <v>count</v>
      </c>
    </row>
    <row r="2142" spans="1:8">
      <c r="A2142" s="11" t="str">
        <f t="shared" si="109"/>
        <v>25-306573532012</v>
      </c>
      <c r="B2142" t="s">
        <v>1099</v>
      </c>
      <c r="C2142" t="s">
        <v>1100</v>
      </c>
      <c r="D2142">
        <v>2012</v>
      </c>
      <c r="E2142" t="s">
        <v>63</v>
      </c>
      <c r="F2142">
        <v>124166.24</v>
      </c>
      <c r="G2142">
        <v>271</v>
      </c>
      <c r="H2142" s="11" t="str">
        <f t="shared" si="108"/>
        <v>count</v>
      </c>
    </row>
    <row r="2143" spans="1:8">
      <c r="A2143" s="11" t="str">
        <f t="shared" si="109"/>
        <v>25-307958952011</v>
      </c>
      <c r="B2143" t="s">
        <v>1101</v>
      </c>
      <c r="C2143" t="s">
        <v>1102</v>
      </c>
      <c r="D2143">
        <v>2011</v>
      </c>
      <c r="E2143" t="s">
        <v>105</v>
      </c>
      <c r="F2143">
        <v>35277.040000000001</v>
      </c>
      <c r="G2143">
        <v>52</v>
      </c>
      <c r="H2143" s="11" t="str">
        <f t="shared" si="108"/>
        <v>volume</v>
      </c>
    </row>
    <row r="2144" spans="1:8">
      <c r="A2144" s="11" t="str">
        <f t="shared" si="109"/>
        <v>25-307958952013</v>
      </c>
      <c r="B2144" t="s">
        <v>1101</v>
      </c>
      <c r="C2144" t="s">
        <v>1102</v>
      </c>
      <c r="D2144">
        <v>2013</v>
      </c>
      <c r="E2144" t="s">
        <v>106</v>
      </c>
      <c r="F2144">
        <v>926269.51</v>
      </c>
      <c r="G2144">
        <v>1201</v>
      </c>
      <c r="H2144" s="11" t="str">
        <f t="shared" si="108"/>
        <v>count</v>
      </c>
    </row>
    <row r="2145" spans="1:8">
      <c r="A2145" s="11" t="str">
        <f t="shared" si="109"/>
        <v>25-307958952012</v>
      </c>
      <c r="B2145" t="s">
        <v>1101</v>
      </c>
      <c r="C2145" t="s">
        <v>1102</v>
      </c>
      <c r="D2145">
        <v>2012</v>
      </c>
      <c r="E2145" t="s">
        <v>104</v>
      </c>
      <c r="F2145">
        <v>273854.09000000003</v>
      </c>
      <c r="G2145">
        <v>399</v>
      </c>
      <c r="H2145" s="11" t="str">
        <f t="shared" si="108"/>
        <v>count</v>
      </c>
    </row>
    <row r="2146" spans="1:8">
      <c r="A2146" s="11" t="str">
        <f t="shared" si="109"/>
        <v>25-307958952012</v>
      </c>
      <c r="B2146" t="s">
        <v>1101</v>
      </c>
      <c r="C2146" t="s">
        <v>1102</v>
      </c>
      <c r="D2146">
        <v>2012</v>
      </c>
      <c r="E2146" t="s">
        <v>133</v>
      </c>
      <c r="F2146">
        <v>219415.6</v>
      </c>
      <c r="G2146">
        <v>293</v>
      </c>
      <c r="H2146" s="11" t="str">
        <f t="shared" si="108"/>
        <v>count</v>
      </c>
    </row>
    <row r="2147" spans="1:8">
      <c r="A2147" s="11" t="str">
        <f t="shared" si="109"/>
        <v>25-307958952011</v>
      </c>
      <c r="B2147" t="s">
        <v>1101</v>
      </c>
      <c r="C2147" t="s">
        <v>1102</v>
      </c>
      <c r="D2147">
        <v>2011</v>
      </c>
      <c r="E2147" t="s">
        <v>106</v>
      </c>
      <c r="F2147">
        <v>3372.49</v>
      </c>
      <c r="G2147">
        <v>6</v>
      </c>
      <c r="H2147" s="11" t="str">
        <f t="shared" si="108"/>
        <v>count</v>
      </c>
    </row>
    <row r="2148" spans="1:8">
      <c r="A2148" s="11" t="str">
        <f t="shared" si="109"/>
        <v>25-307958952012</v>
      </c>
      <c r="B2148" t="s">
        <v>1101</v>
      </c>
      <c r="C2148" t="s">
        <v>1102</v>
      </c>
      <c r="D2148">
        <v>2012</v>
      </c>
      <c r="E2148" t="s">
        <v>63</v>
      </c>
      <c r="F2148">
        <v>425752.82</v>
      </c>
      <c r="G2148">
        <v>617</v>
      </c>
      <c r="H2148" s="11" t="str">
        <f t="shared" si="108"/>
        <v>count</v>
      </c>
    </row>
    <row r="2149" spans="1:8">
      <c r="A2149" s="11" t="str">
        <f t="shared" si="109"/>
        <v>25-307958952012</v>
      </c>
      <c r="B2149" t="s">
        <v>1101</v>
      </c>
      <c r="C2149" t="s">
        <v>1102</v>
      </c>
      <c r="D2149">
        <v>2012</v>
      </c>
      <c r="E2149" t="s">
        <v>69</v>
      </c>
      <c r="F2149">
        <v>139637.10999999999</v>
      </c>
      <c r="G2149">
        <v>231</v>
      </c>
      <c r="H2149" s="11" t="str">
        <f t="shared" si="108"/>
        <v>count</v>
      </c>
    </row>
    <row r="2150" spans="1:8">
      <c r="A2150" s="11" t="str">
        <f t="shared" si="109"/>
        <v>25-307958952013</v>
      </c>
      <c r="B2150" t="s">
        <v>1101</v>
      </c>
      <c r="C2150" t="s">
        <v>1102</v>
      </c>
      <c r="D2150">
        <v>2013</v>
      </c>
      <c r="E2150" t="s">
        <v>105</v>
      </c>
      <c r="F2150">
        <v>55550.84</v>
      </c>
      <c r="G2150">
        <v>77</v>
      </c>
      <c r="H2150" s="11" t="str">
        <f t="shared" si="108"/>
        <v>count</v>
      </c>
    </row>
    <row r="2151" spans="1:8">
      <c r="A2151" s="11" t="str">
        <f t="shared" si="109"/>
        <v>25-307958952011</v>
      </c>
      <c r="B2151" t="s">
        <v>1101</v>
      </c>
      <c r="C2151" t="s">
        <v>1102</v>
      </c>
      <c r="D2151">
        <v>2011</v>
      </c>
      <c r="E2151" t="s">
        <v>104</v>
      </c>
      <c r="F2151">
        <v>206949.82</v>
      </c>
      <c r="G2151">
        <v>302</v>
      </c>
      <c r="H2151" s="11" t="str">
        <f t="shared" si="108"/>
        <v>count</v>
      </c>
    </row>
    <row r="2152" spans="1:8">
      <c r="A2152" s="11" t="str">
        <f t="shared" si="109"/>
        <v>25-307958952011</v>
      </c>
      <c r="B2152" t="s">
        <v>1101</v>
      </c>
      <c r="C2152" t="s">
        <v>1102</v>
      </c>
      <c r="D2152">
        <v>2011</v>
      </c>
      <c r="E2152" t="s">
        <v>63</v>
      </c>
      <c r="F2152">
        <v>440656.96</v>
      </c>
      <c r="G2152">
        <v>630</v>
      </c>
      <c r="H2152" s="11" t="str">
        <f t="shared" si="108"/>
        <v>count</v>
      </c>
    </row>
    <row r="2153" spans="1:8">
      <c r="A2153" s="11" t="str">
        <f t="shared" si="109"/>
        <v>25-307958952012</v>
      </c>
      <c r="B2153" t="s">
        <v>1101</v>
      </c>
      <c r="C2153" t="s">
        <v>1102</v>
      </c>
      <c r="D2153">
        <v>2012</v>
      </c>
      <c r="E2153" t="s">
        <v>105</v>
      </c>
      <c r="F2153">
        <v>57438.29</v>
      </c>
      <c r="G2153">
        <v>79</v>
      </c>
      <c r="H2153" s="11" t="str">
        <f t="shared" si="108"/>
        <v>count</v>
      </c>
    </row>
    <row r="2154" spans="1:8">
      <c r="A2154" s="11" t="str">
        <f t="shared" si="109"/>
        <v>25-307958952013</v>
      </c>
      <c r="B2154" t="s">
        <v>1101</v>
      </c>
      <c r="C2154" t="s">
        <v>1102</v>
      </c>
      <c r="D2154">
        <v>2013</v>
      </c>
      <c r="E2154" t="s">
        <v>69</v>
      </c>
      <c r="F2154">
        <v>175267.19</v>
      </c>
      <c r="G2154">
        <v>267</v>
      </c>
      <c r="H2154" s="11" t="str">
        <f t="shared" si="108"/>
        <v>count</v>
      </c>
    </row>
    <row r="2155" spans="1:8">
      <c r="A2155" s="11" t="str">
        <f t="shared" si="109"/>
        <v>25-307958952012</v>
      </c>
      <c r="B2155" t="s">
        <v>1101</v>
      </c>
      <c r="C2155" t="s">
        <v>1102</v>
      </c>
      <c r="D2155">
        <v>2012</v>
      </c>
      <c r="E2155" t="s">
        <v>106</v>
      </c>
      <c r="F2155">
        <v>589627.12</v>
      </c>
      <c r="G2155">
        <v>780</v>
      </c>
      <c r="H2155" s="11" t="str">
        <f t="shared" si="108"/>
        <v>count</v>
      </c>
    </row>
    <row r="2156" spans="1:8">
      <c r="A2156" s="11" t="str">
        <f t="shared" si="109"/>
        <v>25-307958952013</v>
      </c>
      <c r="B2156" t="s">
        <v>1101</v>
      </c>
      <c r="C2156" t="s">
        <v>1102</v>
      </c>
      <c r="D2156">
        <v>2013</v>
      </c>
      <c r="E2156" t="s">
        <v>133</v>
      </c>
      <c r="F2156">
        <v>216127.7</v>
      </c>
      <c r="G2156">
        <v>251</v>
      </c>
      <c r="H2156" s="11" t="str">
        <f t="shared" si="108"/>
        <v>count</v>
      </c>
    </row>
    <row r="2157" spans="1:8">
      <c r="A2157" s="11" t="str">
        <f t="shared" si="109"/>
        <v>25-307958952011</v>
      </c>
      <c r="B2157" t="s">
        <v>1101</v>
      </c>
      <c r="C2157" t="s">
        <v>1102</v>
      </c>
      <c r="D2157">
        <v>2011</v>
      </c>
      <c r="E2157" t="s">
        <v>69</v>
      </c>
      <c r="F2157">
        <v>1511.53</v>
      </c>
      <c r="G2157">
        <v>4</v>
      </c>
      <c r="H2157" s="11" t="str">
        <f t="shared" si="108"/>
        <v>count</v>
      </c>
    </row>
    <row r="2158" spans="1:8">
      <c r="A2158" s="11" t="str">
        <f t="shared" si="109"/>
        <v>25-307958952013</v>
      </c>
      <c r="B2158" t="s">
        <v>1101</v>
      </c>
      <c r="C2158" t="s">
        <v>1102</v>
      </c>
      <c r="D2158">
        <v>2013</v>
      </c>
      <c r="E2158" t="s">
        <v>63</v>
      </c>
      <c r="F2158">
        <v>465669.97</v>
      </c>
      <c r="G2158">
        <v>641</v>
      </c>
      <c r="H2158" s="11" t="str">
        <f t="shared" si="108"/>
        <v>count</v>
      </c>
    </row>
    <row r="2159" spans="1:8">
      <c r="A2159" s="11" t="str">
        <f t="shared" si="109"/>
        <v>25-307958952011</v>
      </c>
      <c r="B2159" t="s">
        <v>1101</v>
      </c>
      <c r="C2159" t="s">
        <v>1102</v>
      </c>
      <c r="D2159">
        <v>2011</v>
      </c>
      <c r="E2159" t="s">
        <v>133</v>
      </c>
      <c r="F2159">
        <v>125102.44</v>
      </c>
      <c r="G2159">
        <v>170</v>
      </c>
      <c r="H2159" s="11" t="str">
        <f t="shared" si="108"/>
        <v>count</v>
      </c>
    </row>
    <row r="2160" spans="1:8">
      <c r="A2160" s="11" t="str">
        <f t="shared" si="109"/>
        <v>25-307958952013</v>
      </c>
      <c r="B2160" t="s">
        <v>1101</v>
      </c>
      <c r="C2160" t="s">
        <v>1102</v>
      </c>
      <c r="D2160">
        <v>2013</v>
      </c>
      <c r="E2160" t="s">
        <v>104</v>
      </c>
      <c r="F2160">
        <v>244885.06</v>
      </c>
      <c r="G2160">
        <v>331</v>
      </c>
      <c r="H2160" s="11" t="str">
        <f t="shared" si="108"/>
        <v>count</v>
      </c>
    </row>
    <row r="2161" spans="1:8">
      <c r="A2161" s="11" t="str">
        <f t="shared" si="109"/>
        <v>25-308267312011</v>
      </c>
      <c r="B2161" t="s">
        <v>1103</v>
      </c>
      <c r="C2161" t="s">
        <v>1104</v>
      </c>
      <c r="D2161">
        <v>2011</v>
      </c>
      <c r="E2161" t="s">
        <v>105</v>
      </c>
      <c r="F2161">
        <v>52955.35</v>
      </c>
      <c r="G2161">
        <v>55</v>
      </c>
      <c r="H2161" s="11" t="str">
        <f t="shared" si="108"/>
        <v>volume</v>
      </c>
    </row>
    <row r="2162" spans="1:8">
      <c r="A2162" s="11" t="str">
        <f t="shared" si="109"/>
        <v>25-308267312011</v>
      </c>
      <c r="B2162" t="s">
        <v>1103</v>
      </c>
      <c r="C2162" t="s">
        <v>1104</v>
      </c>
      <c r="D2162">
        <v>2011</v>
      </c>
      <c r="E2162" t="s">
        <v>106</v>
      </c>
      <c r="F2162">
        <v>887</v>
      </c>
      <c r="G2162">
        <v>2</v>
      </c>
      <c r="H2162" s="11" t="str">
        <f t="shared" si="108"/>
        <v>count</v>
      </c>
    </row>
    <row r="2163" spans="1:8">
      <c r="A2163" s="11" t="str">
        <f t="shared" si="109"/>
        <v>25-308267312011</v>
      </c>
      <c r="B2163" t="s">
        <v>1103</v>
      </c>
      <c r="C2163" t="s">
        <v>1104</v>
      </c>
      <c r="D2163">
        <v>2011</v>
      </c>
      <c r="E2163" t="s">
        <v>104</v>
      </c>
      <c r="F2163">
        <v>362144.15</v>
      </c>
      <c r="G2163">
        <v>333</v>
      </c>
      <c r="H2163" s="11" t="str">
        <f t="shared" si="108"/>
        <v>count</v>
      </c>
    </row>
    <row r="2164" spans="1:8">
      <c r="A2164" s="11" t="str">
        <f t="shared" si="109"/>
        <v>25-308267312011</v>
      </c>
      <c r="B2164" t="s">
        <v>1103</v>
      </c>
      <c r="C2164" t="s">
        <v>1104</v>
      </c>
      <c r="D2164">
        <v>2011</v>
      </c>
      <c r="E2164" t="s">
        <v>63</v>
      </c>
      <c r="F2164">
        <v>577327.68999999994</v>
      </c>
      <c r="G2164">
        <v>612</v>
      </c>
      <c r="H2164" s="11" t="str">
        <f t="shared" si="108"/>
        <v>count</v>
      </c>
    </row>
    <row r="2165" spans="1:8">
      <c r="A2165" s="11" t="str">
        <f t="shared" si="109"/>
        <v>25-308360772012</v>
      </c>
      <c r="B2165" t="s">
        <v>1105</v>
      </c>
      <c r="C2165" t="s">
        <v>1106</v>
      </c>
      <c r="D2165">
        <v>2012</v>
      </c>
      <c r="E2165" t="s">
        <v>69</v>
      </c>
      <c r="F2165">
        <v>560579.54</v>
      </c>
      <c r="G2165">
        <v>863</v>
      </c>
      <c r="H2165" s="11" t="str">
        <f t="shared" si="108"/>
        <v>volume</v>
      </c>
    </row>
    <row r="2166" spans="1:8">
      <c r="A2166" s="11" t="str">
        <f t="shared" si="109"/>
        <v>25-308360772011</v>
      </c>
      <c r="B2166" t="s">
        <v>1105</v>
      </c>
      <c r="C2166" t="s">
        <v>1106</v>
      </c>
      <c r="D2166">
        <v>2011</v>
      </c>
      <c r="E2166" t="s">
        <v>106</v>
      </c>
      <c r="F2166">
        <v>14990.24</v>
      </c>
      <c r="G2166">
        <v>19</v>
      </c>
      <c r="H2166" s="11" t="str">
        <f t="shared" si="108"/>
        <v>count</v>
      </c>
    </row>
    <row r="2167" spans="1:8">
      <c r="A2167" s="11" t="str">
        <f t="shared" si="109"/>
        <v>25-308360772012</v>
      </c>
      <c r="B2167" t="s">
        <v>1105</v>
      </c>
      <c r="C2167" t="s">
        <v>1106</v>
      </c>
      <c r="D2167">
        <v>2012</v>
      </c>
      <c r="E2167" t="s">
        <v>63</v>
      </c>
      <c r="F2167">
        <v>975329.39</v>
      </c>
      <c r="G2167">
        <v>1212</v>
      </c>
      <c r="H2167" s="11" t="str">
        <f t="shared" si="108"/>
        <v>count</v>
      </c>
    </row>
    <row r="2168" spans="1:8">
      <c r="A2168" s="11" t="str">
        <f t="shared" si="109"/>
        <v>25-308360772012</v>
      </c>
      <c r="B2168" t="s">
        <v>1105</v>
      </c>
      <c r="C2168" t="s">
        <v>1106</v>
      </c>
      <c r="D2168">
        <v>2012</v>
      </c>
      <c r="E2168" t="s">
        <v>104</v>
      </c>
      <c r="F2168">
        <v>597686.91</v>
      </c>
      <c r="G2168">
        <v>777</v>
      </c>
      <c r="H2168" s="11" t="str">
        <f t="shared" si="108"/>
        <v>count</v>
      </c>
    </row>
    <row r="2169" spans="1:8">
      <c r="A2169" s="11" t="str">
        <f t="shared" si="109"/>
        <v>25-308360772012</v>
      </c>
      <c r="B2169" t="s">
        <v>1105</v>
      </c>
      <c r="C2169" t="s">
        <v>1106</v>
      </c>
      <c r="D2169">
        <v>2012</v>
      </c>
      <c r="E2169" t="s">
        <v>105</v>
      </c>
      <c r="F2169">
        <v>160187.82</v>
      </c>
      <c r="G2169">
        <v>181</v>
      </c>
      <c r="H2169" s="11" t="str">
        <f t="shared" si="108"/>
        <v>count</v>
      </c>
    </row>
    <row r="2170" spans="1:8">
      <c r="A2170" s="11" t="str">
        <f t="shared" si="109"/>
        <v>25-308360772013</v>
      </c>
      <c r="B2170" t="s">
        <v>1105</v>
      </c>
      <c r="C2170" t="s">
        <v>1106</v>
      </c>
      <c r="D2170">
        <v>2013</v>
      </c>
      <c r="E2170" t="s">
        <v>105</v>
      </c>
      <c r="F2170">
        <v>41337.269999999997</v>
      </c>
      <c r="G2170">
        <v>41</v>
      </c>
      <c r="H2170" s="11" t="str">
        <f t="shared" si="108"/>
        <v>count</v>
      </c>
    </row>
    <row r="2171" spans="1:8">
      <c r="A2171" s="11" t="str">
        <f t="shared" si="109"/>
        <v>25-308360772013</v>
      </c>
      <c r="B2171" t="s">
        <v>1105</v>
      </c>
      <c r="C2171" t="s">
        <v>1106</v>
      </c>
      <c r="D2171">
        <v>2013</v>
      </c>
      <c r="E2171" t="s">
        <v>104</v>
      </c>
      <c r="F2171">
        <v>108671.11</v>
      </c>
      <c r="G2171">
        <v>138</v>
      </c>
      <c r="H2171" s="11" t="str">
        <f t="shared" si="108"/>
        <v>count</v>
      </c>
    </row>
    <row r="2172" spans="1:8">
      <c r="A2172" s="11" t="str">
        <f t="shared" si="109"/>
        <v>25-308360772011</v>
      </c>
      <c r="B2172" t="s">
        <v>1105</v>
      </c>
      <c r="C2172" t="s">
        <v>1106</v>
      </c>
      <c r="D2172">
        <v>2011</v>
      </c>
      <c r="E2172" t="s">
        <v>69</v>
      </c>
      <c r="F2172">
        <v>100</v>
      </c>
      <c r="G2172">
        <v>1</v>
      </c>
      <c r="H2172" s="11" t="str">
        <f t="shared" si="108"/>
        <v>count</v>
      </c>
    </row>
    <row r="2173" spans="1:8">
      <c r="A2173" s="11" t="str">
        <f t="shared" si="109"/>
        <v>25-308360772013</v>
      </c>
      <c r="B2173" t="s">
        <v>1105</v>
      </c>
      <c r="C2173" t="s">
        <v>1106</v>
      </c>
      <c r="D2173">
        <v>2013</v>
      </c>
      <c r="E2173" t="s">
        <v>63</v>
      </c>
      <c r="F2173">
        <v>201664.76</v>
      </c>
      <c r="G2173">
        <v>232</v>
      </c>
      <c r="H2173" s="11" t="str">
        <f t="shared" si="108"/>
        <v>count</v>
      </c>
    </row>
    <row r="2174" spans="1:8">
      <c r="A2174" s="11" t="str">
        <f t="shared" si="109"/>
        <v>25-308360772011</v>
      </c>
      <c r="B2174" t="s">
        <v>1105</v>
      </c>
      <c r="C2174" t="s">
        <v>1106</v>
      </c>
      <c r="D2174">
        <v>2011</v>
      </c>
      <c r="E2174" t="s">
        <v>105</v>
      </c>
      <c r="F2174">
        <v>153285.1</v>
      </c>
      <c r="G2174">
        <v>228</v>
      </c>
      <c r="H2174" s="11" t="str">
        <f t="shared" si="108"/>
        <v>count</v>
      </c>
    </row>
    <row r="2175" spans="1:8">
      <c r="A2175" s="11" t="str">
        <f t="shared" si="109"/>
        <v>25-308360772011</v>
      </c>
      <c r="B2175" t="s">
        <v>1105</v>
      </c>
      <c r="C2175" t="s">
        <v>1106</v>
      </c>
      <c r="D2175">
        <v>2011</v>
      </c>
      <c r="E2175" t="s">
        <v>104</v>
      </c>
      <c r="F2175">
        <v>526598.43000000005</v>
      </c>
      <c r="G2175">
        <v>779</v>
      </c>
      <c r="H2175" s="11" t="str">
        <f t="shared" si="108"/>
        <v>count</v>
      </c>
    </row>
    <row r="2176" spans="1:8">
      <c r="A2176" s="11" t="str">
        <f t="shared" si="109"/>
        <v>25-308360772013</v>
      </c>
      <c r="B2176" t="s">
        <v>1105</v>
      </c>
      <c r="C2176" t="s">
        <v>1106</v>
      </c>
      <c r="D2176">
        <v>2013</v>
      </c>
      <c r="E2176" t="s">
        <v>69</v>
      </c>
      <c r="F2176">
        <v>133762.35</v>
      </c>
      <c r="G2176">
        <v>176</v>
      </c>
      <c r="H2176" s="11" t="str">
        <f t="shared" si="108"/>
        <v>count</v>
      </c>
    </row>
    <row r="2177" spans="1:8">
      <c r="A2177" s="11" t="str">
        <f t="shared" si="109"/>
        <v>25-308360772011</v>
      </c>
      <c r="B2177" t="s">
        <v>1105</v>
      </c>
      <c r="C2177" t="s">
        <v>1106</v>
      </c>
      <c r="D2177">
        <v>2011</v>
      </c>
      <c r="E2177" t="s">
        <v>63</v>
      </c>
      <c r="F2177">
        <v>1238553.82</v>
      </c>
      <c r="G2177">
        <v>1864</v>
      </c>
      <c r="H2177" s="11" t="str">
        <f t="shared" si="108"/>
        <v>count</v>
      </c>
    </row>
    <row r="2178" spans="1:8">
      <c r="A2178" s="11" t="str">
        <f t="shared" si="109"/>
        <v>25-309080682013</v>
      </c>
      <c r="B2178" t="s">
        <v>1107</v>
      </c>
      <c r="C2178" t="s">
        <v>1108</v>
      </c>
      <c r="D2178">
        <v>2013</v>
      </c>
      <c r="E2178" t="s">
        <v>63</v>
      </c>
      <c r="F2178">
        <v>901391.08</v>
      </c>
      <c r="G2178">
        <v>682</v>
      </c>
      <c r="H2178" s="11" t="str">
        <f t="shared" ref="H2178:H2241" si="110">IF(B2178=B2177,"count","volume")</f>
        <v>volume</v>
      </c>
    </row>
    <row r="2179" spans="1:8">
      <c r="A2179" s="11" t="str">
        <f t="shared" ref="A2179:A2242" si="111">B2179&amp;D2179</f>
        <v>25-309080682012</v>
      </c>
      <c r="B2179" t="s">
        <v>1107</v>
      </c>
      <c r="C2179" t="s">
        <v>1108</v>
      </c>
      <c r="D2179">
        <v>2012</v>
      </c>
      <c r="E2179" t="s">
        <v>133</v>
      </c>
      <c r="F2179">
        <v>604149.30000000005</v>
      </c>
      <c r="G2179">
        <v>453</v>
      </c>
      <c r="H2179" s="11" t="str">
        <f t="shared" si="110"/>
        <v>count</v>
      </c>
    </row>
    <row r="2180" spans="1:8">
      <c r="A2180" s="11" t="str">
        <f t="shared" si="111"/>
        <v>25-309080682012</v>
      </c>
      <c r="B2180" t="s">
        <v>1107</v>
      </c>
      <c r="C2180" t="s">
        <v>1108</v>
      </c>
      <c r="D2180">
        <v>2012</v>
      </c>
      <c r="E2180" t="s">
        <v>69</v>
      </c>
      <c r="F2180">
        <v>231781.06</v>
      </c>
      <c r="G2180">
        <v>214</v>
      </c>
      <c r="H2180" s="11" t="str">
        <f t="shared" si="110"/>
        <v>count</v>
      </c>
    </row>
    <row r="2181" spans="1:8">
      <c r="A2181" s="11" t="str">
        <f t="shared" si="111"/>
        <v>25-309080682013</v>
      </c>
      <c r="B2181" t="s">
        <v>1107</v>
      </c>
      <c r="C2181" t="s">
        <v>1108</v>
      </c>
      <c r="D2181">
        <v>2013</v>
      </c>
      <c r="E2181" t="s">
        <v>104</v>
      </c>
      <c r="F2181">
        <v>478787.89</v>
      </c>
      <c r="G2181">
        <v>364</v>
      </c>
      <c r="H2181" s="11" t="str">
        <f t="shared" si="110"/>
        <v>count</v>
      </c>
    </row>
    <row r="2182" spans="1:8">
      <c r="A2182" s="11" t="str">
        <f t="shared" si="111"/>
        <v>25-309080682011</v>
      </c>
      <c r="B2182" t="s">
        <v>1107</v>
      </c>
      <c r="C2182" t="s">
        <v>1108</v>
      </c>
      <c r="D2182">
        <v>2011</v>
      </c>
      <c r="E2182" t="s">
        <v>104</v>
      </c>
      <c r="F2182">
        <v>275212.87</v>
      </c>
      <c r="G2182">
        <v>250</v>
      </c>
      <c r="H2182" s="11" t="str">
        <f t="shared" si="110"/>
        <v>count</v>
      </c>
    </row>
    <row r="2183" spans="1:8">
      <c r="A2183" s="11" t="str">
        <f t="shared" si="111"/>
        <v>25-309080682011</v>
      </c>
      <c r="B2183" t="s">
        <v>1107</v>
      </c>
      <c r="C2183" t="s">
        <v>1108</v>
      </c>
      <c r="D2183">
        <v>2011</v>
      </c>
      <c r="E2183" t="s">
        <v>133</v>
      </c>
      <c r="F2183">
        <v>239646</v>
      </c>
      <c r="G2183">
        <v>213</v>
      </c>
      <c r="H2183" s="11" t="str">
        <f t="shared" si="110"/>
        <v>count</v>
      </c>
    </row>
    <row r="2184" spans="1:8">
      <c r="A2184" s="11" t="str">
        <f t="shared" si="111"/>
        <v>25-309080682013</v>
      </c>
      <c r="B2184" t="s">
        <v>1107</v>
      </c>
      <c r="C2184" t="s">
        <v>1108</v>
      </c>
      <c r="D2184">
        <v>2013</v>
      </c>
      <c r="E2184" t="s">
        <v>106</v>
      </c>
      <c r="F2184">
        <v>19414.099999999999</v>
      </c>
      <c r="G2184">
        <v>17</v>
      </c>
      <c r="H2184" s="11" t="str">
        <f t="shared" si="110"/>
        <v>count</v>
      </c>
    </row>
    <row r="2185" spans="1:8">
      <c r="A2185" s="11" t="str">
        <f t="shared" si="111"/>
        <v>25-309080682011</v>
      </c>
      <c r="B2185" t="s">
        <v>1107</v>
      </c>
      <c r="C2185" t="s">
        <v>1108</v>
      </c>
      <c r="D2185">
        <v>2011</v>
      </c>
      <c r="E2185" t="s">
        <v>63</v>
      </c>
      <c r="F2185">
        <v>509570.48</v>
      </c>
      <c r="G2185">
        <v>467</v>
      </c>
      <c r="H2185" s="11" t="str">
        <f t="shared" si="110"/>
        <v>count</v>
      </c>
    </row>
    <row r="2186" spans="1:8">
      <c r="A2186" s="11" t="str">
        <f t="shared" si="111"/>
        <v>25-309080682012</v>
      </c>
      <c r="B2186" t="s">
        <v>1107</v>
      </c>
      <c r="C2186" t="s">
        <v>1108</v>
      </c>
      <c r="D2186">
        <v>2012</v>
      </c>
      <c r="E2186" t="s">
        <v>105</v>
      </c>
      <c r="F2186">
        <v>6404.28</v>
      </c>
      <c r="G2186">
        <v>3</v>
      </c>
      <c r="H2186" s="11" t="str">
        <f t="shared" si="110"/>
        <v>count</v>
      </c>
    </row>
    <row r="2187" spans="1:8">
      <c r="A2187" s="11" t="str">
        <f t="shared" si="111"/>
        <v>25-309080682012</v>
      </c>
      <c r="B2187" t="s">
        <v>1107</v>
      </c>
      <c r="C2187" t="s">
        <v>1108</v>
      </c>
      <c r="D2187">
        <v>2012</v>
      </c>
      <c r="E2187" t="s">
        <v>106</v>
      </c>
      <c r="F2187">
        <v>22395.61</v>
      </c>
      <c r="G2187">
        <v>14</v>
      </c>
      <c r="H2187" s="11" t="str">
        <f t="shared" si="110"/>
        <v>count</v>
      </c>
    </row>
    <row r="2188" spans="1:8">
      <c r="A2188" s="11" t="str">
        <f t="shared" si="111"/>
        <v>25-309080682013</v>
      </c>
      <c r="B2188" t="s">
        <v>1107</v>
      </c>
      <c r="C2188" t="s">
        <v>1108</v>
      </c>
      <c r="D2188">
        <v>2013</v>
      </c>
      <c r="E2188" t="s">
        <v>105</v>
      </c>
      <c r="F2188">
        <v>34176.660000000003</v>
      </c>
      <c r="G2188">
        <v>27</v>
      </c>
      <c r="H2188" s="11" t="str">
        <f t="shared" si="110"/>
        <v>count</v>
      </c>
    </row>
    <row r="2189" spans="1:8">
      <c r="A2189" s="11" t="str">
        <f t="shared" si="111"/>
        <v>25-309080682013</v>
      </c>
      <c r="B2189" t="s">
        <v>1107</v>
      </c>
      <c r="C2189" t="s">
        <v>1108</v>
      </c>
      <c r="D2189">
        <v>2013</v>
      </c>
      <c r="E2189" t="s">
        <v>133</v>
      </c>
      <c r="F2189">
        <v>557215.52</v>
      </c>
      <c r="G2189">
        <v>411</v>
      </c>
      <c r="H2189" s="11" t="str">
        <f t="shared" si="110"/>
        <v>count</v>
      </c>
    </row>
    <row r="2190" spans="1:8">
      <c r="A2190" s="11" t="str">
        <f t="shared" si="111"/>
        <v>25-309080682013</v>
      </c>
      <c r="B2190" t="s">
        <v>1107</v>
      </c>
      <c r="C2190" t="s">
        <v>1108</v>
      </c>
      <c r="D2190">
        <v>2013</v>
      </c>
      <c r="E2190" t="s">
        <v>69</v>
      </c>
      <c r="F2190">
        <v>310267.58</v>
      </c>
      <c r="G2190">
        <v>270</v>
      </c>
      <c r="H2190" s="11" t="str">
        <f t="shared" si="110"/>
        <v>count</v>
      </c>
    </row>
    <row r="2191" spans="1:8">
      <c r="A2191" s="11" t="str">
        <f t="shared" si="111"/>
        <v>25-309080682012</v>
      </c>
      <c r="B2191" t="s">
        <v>1107</v>
      </c>
      <c r="C2191" t="s">
        <v>1108</v>
      </c>
      <c r="D2191">
        <v>2012</v>
      </c>
      <c r="E2191" t="s">
        <v>63</v>
      </c>
      <c r="F2191">
        <v>912012.34</v>
      </c>
      <c r="G2191">
        <v>744</v>
      </c>
      <c r="H2191" s="11" t="str">
        <f t="shared" si="110"/>
        <v>count</v>
      </c>
    </row>
    <row r="2192" spans="1:8">
      <c r="A2192" s="11" t="str">
        <f t="shared" si="111"/>
        <v>25-309080682012</v>
      </c>
      <c r="B2192" t="s">
        <v>1107</v>
      </c>
      <c r="C2192" t="s">
        <v>1108</v>
      </c>
      <c r="D2192">
        <v>2012</v>
      </c>
      <c r="E2192" t="s">
        <v>104</v>
      </c>
      <c r="F2192">
        <v>513037.54</v>
      </c>
      <c r="G2192">
        <v>439</v>
      </c>
      <c r="H2192" s="11" t="str">
        <f t="shared" si="110"/>
        <v>count</v>
      </c>
    </row>
    <row r="2193" spans="1:8">
      <c r="A2193" s="11" t="str">
        <f t="shared" si="111"/>
        <v>25-416489312011</v>
      </c>
      <c r="B2193" t="s">
        <v>1109</v>
      </c>
      <c r="C2193" t="s">
        <v>1110</v>
      </c>
      <c r="D2193">
        <v>2011</v>
      </c>
      <c r="E2193" t="s">
        <v>105</v>
      </c>
      <c r="F2193">
        <v>2451.75</v>
      </c>
      <c r="G2193">
        <v>5</v>
      </c>
      <c r="H2193" s="11" t="str">
        <f t="shared" si="110"/>
        <v>volume</v>
      </c>
    </row>
    <row r="2194" spans="1:8">
      <c r="A2194" s="11" t="str">
        <f t="shared" si="111"/>
        <v>25-416489312011</v>
      </c>
      <c r="B2194" t="s">
        <v>1109</v>
      </c>
      <c r="C2194" t="s">
        <v>1110</v>
      </c>
      <c r="D2194">
        <v>2011</v>
      </c>
      <c r="E2194" t="s">
        <v>69</v>
      </c>
      <c r="F2194">
        <v>888.95</v>
      </c>
      <c r="G2194">
        <v>1</v>
      </c>
      <c r="H2194" s="11" t="str">
        <f t="shared" si="110"/>
        <v>count</v>
      </c>
    </row>
    <row r="2195" spans="1:8">
      <c r="A2195" s="11" t="str">
        <f t="shared" si="111"/>
        <v>25-416489312012</v>
      </c>
      <c r="B2195" t="s">
        <v>1109</v>
      </c>
      <c r="C2195" t="s">
        <v>1110</v>
      </c>
      <c r="D2195">
        <v>2012</v>
      </c>
      <c r="E2195" t="s">
        <v>63</v>
      </c>
      <c r="F2195">
        <v>7898.48</v>
      </c>
      <c r="G2195">
        <v>7</v>
      </c>
      <c r="H2195" s="11" t="str">
        <f t="shared" si="110"/>
        <v>count</v>
      </c>
    </row>
    <row r="2196" spans="1:8">
      <c r="A2196" s="11" t="str">
        <f t="shared" si="111"/>
        <v>25-416489312012</v>
      </c>
      <c r="B2196" t="s">
        <v>1109</v>
      </c>
      <c r="C2196" t="s">
        <v>1110</v>
      </c>
      <c r="D2196">
        <v>2012</v>
      </c>
      <c r="E2196" t="s">
        <v>104</v>
      </c>
      <c r="F2196">
        <v>862.95</v>
      </c>
      <c r="G2196">
        <v>1</v>
      </c>
      <c r="H2196" s="11" t="str">
        <f t="shared" si="110"/>
        <v>count</v>
      </c>
    </row>
    <row r="2197" spans="1:8">
      <c r="A2197" s="11" t="str">
        <f t="shared" si="111"/>
        <v>25-416489312011</v>
      </c>
      <c r="B2197" t="s">
        <v>1109</v>
      </c>
      <c r="C2197" t="s">
        <v>1110</v>
      </c>
      <c r="D2197">
        <v>2011</v>
      </c>
      <c r="E2197" t="s">
        <v>63</v>
      </c>
      <c r="F2197">
        <v>65414.34</v>
      </c>
      <c r="G2197">
        <v>69</v>
      </c>
      <c r="H2197" s="11" t="str">
        <f t="shared" si="110"/>
        <v>count</v>
      </c>
    </row>
    <row r="2198" spans="1:8">
      <c r="A2198" s="11" t="str">
        <f t="shared" si="111"/>
        <v>25-416489312011</v>
      </c>
      <c r="B2198" t="s">
        <v>1109</v>
      </c>
      <c r="C2198" t="s">
        <v>1110</v>
      </c>
      <c r="D2198">
        <v>2011</v>
      </c>
      <c r="E2198" t="s">
        <v>104</v>
      </c>
      <c r="F2198">
        <v>23249.01</v>
      </c>
      <c r="G2198">
        <v>32</v>
      </c>
      <c r="H2198" s="11" t="str">
        <f t="shared" si="110"/>
        <v>count</v>
      </c>
    </row>
    <row r="2199" spans="1:8">
      <c r="A2199" s="11" t="str">
        <f t="shared" si="111"/>
        <v>25-416489312011</v>
      </c>
      <c r="B2199" t="s">
        <v>1109</v>
      </c>
      <c r="C2199" t="s">
        <v>1110</v>
      </c>
      <c r="D2199">
        <v>2011</v>
      </c>
      <c r="E2199" t="s">
        <v>1074</v>
      </c>
      <c r="F2199">
        <v>888.9</v>
      </c>
      <c r="G2199">
        <v>2</v>
      </c>
      <c r="H2199" s="11" t="str">
        <f t="shared" si="110"/>
        <v>count</v>
      </c>
    </row>
    <row r="2200" spans="1:8">
      <c r="A2200" s="11" t="str">
        <f t="shared" si="111"/>
        <v>25-416489312011</v>
      </c>
      <c r="B2200" t="s">
        <v>1109</v>
      </c>
      <c r="C2200" t="s">
        <v>1110</v>
      </c>
      <c r="D2200">
        <v>2011</v>
      </c>
      <c r="E2200" t="s">
        <v>106</v>
      </c>
      <c r="F2200">
        <v>2402345.94</v>
      </c>
      <c r="G2200">
        <v>3209</v>
      </c>
      <c r="H2200" s="11" t="str">
        <f t="shared" si="110"/>
        <v>count</v>
      </c>
    </row>
    <row r="2201" spans="1:8">
      <c r="A2201" s="11" t="str">
        <f t="shared" si="111"/>
        <v>25-416489312012</v>
      </c>
      <c r="B2201" t="s">
        <v>1109</v>
      </c>
      <c r="C2201" t="s">
        <v>1110</v>
      </c>
      <c r="D2201">
        <v>2012</v>
      </c>
      <c r="E2201" t="s">
        <v>106</v>
      </c>
      <c r="F2201">
        <v>126284.76</v>
      </c>
      <c r="G2201">
        <v>166</v>
      </c>
      <c r="H2201" s="11" t="str">
        <f t="shared" si="110"/>
        <v>count</v>
      </c>
    </row>
    <row r="2202" spans="1:8">
      <c r="A2202" s="11" t="str">
        <f t="shared" si="111"/>
        <v>25-416489312011</v>
      </c>
      <c r="B2202" t="s">
        <v>1109</v>
      </c>
      <c r="C2202" t="s">
        <v>1110</v>
      </c>
      <c r="D2202">
        <v>2011</v>
      </c>
      <c r="E2202" t="s">
        <v>1075</v>
      </c>
      <c r="F2202">
        <v>1079.8</v>
      </c>
      <c r="G2202">
        <v>4</v>
      </c>
      <c r="H2202" s="11" t="str">
        <f t="shared" si="110"/>
        <v>count</v>
      </c>
    </row>
    <row r="2203" spans="1:8">
      <c r="A2203" s="11" t="str">
        <f t="shared" si="111"/>
        <v>25-421889172011</v>
      </c>
      <c r="B2203" t="s">
        <v>1111</v>
      </c>
      <c r="C2203" t="s">
        <v>1112</v>
      </c>
      <c r="D2203">
        <v>2011</v>
      </c>
      <c r="E2203" t="s">
        <v>105</v>
      </c>
      <c r="F2203">
        <v>10273.700000000001</v>
      </c>
      <c r="G2203">
        <v>12</v>
      </c>
      <c r="H2203" s="11" t="str">
        <f t="shared" si="110"/>
        <v>volume</v>
      </c>
    </row>
    <row r="2204" spans="1:8">
      <c r="A2204" s="11" t="str">
        <f t="shared" si="111"/>
        <v>25-421889172012</v>
      </c>
      <c r="B2204" t="s">
        <v>1111</v>
      </c>
      <c r="C2204" t="s">
        <v>1112</v>
      </c>
      <c r="D2204">
        <v>2012</v>
      </c>
      <c r="E2204" t="s">
        <v>69</v>
      </c>
      <c r="F2204">
        <v>69258.75</v>
      </c>
      <c r="G2204">
        <v>98</v>
      </c>
      <c r="H2204" s="11" t="str">
        <f t="shared" si="110"/>
        <v>count</v>
      </c>
    </row>
    <row r="2205" spans="1:8">
      <c r="A2205" s="11" t="str">
        <f t="shared" si="111"/>
        <v>25-421889172013</v>
      </c>
      <c r="B2205" t="s">
        <v>1111</v>
      </c>
      <c r="C2205" t="s">
        <v>1112</v>
      </c>
      <c r="D2205">
        <v>2013</v>
      </c>
      <c r="E2205" t="s">
        <v>104</v>
      </c>
      <c r="F2205">
        <v>128417.39</v>
      </c>
      <c r="G2205">
        <v>167</v>
      </c>
      <c r="H2205" s="11" t="str">
        <f t="shared" si="110"/>
        <v>count</v>
      </c>
    </row>
    <row r="2206" spans="1:8">
      <c r="A2206" s="11" t="str">
        <f t="shared" si="111"/>
        <v>25-421889172013</v>
      </c>
      <c r="B2206" t="s">
        <v>1111</v>
      </c>
      <c r="C2206" t="s">
        <v>1112</v>
      </c>
      <c r="D2206">
        <v>2013</v>
      </c>
      <c r="E2206" t="s">
        <v>63</v>
      </c>
      <c r="F2206">
        <v>384761.38</v>
      </c>
      <c r="G2206">
        <v>440</v>
      </c>
      <c r="H2206" s="11" t="str">
        <f t="shared" si="110"/>
        <v>count</v>
      </c>
    </row>
    <row r="2207" spans="1:8">
      <c r="A2207" s="11" t="str">
        <f t="shared" si="111"/>
        <v>25-421889172012</v>
      </c>
      <c r="B2207" t="s">
        <v>1111</v>
      </c>
      <c r="C2207" t="s">
        <v>1112</v>
      </c>
      <c r="D2207">
        <v>2012</v>
      </c>
      <c r="E2207" t="s">
        <v>105</v>
      </c>
      <c r="F2207">
        <v>13242.9</v>
      </c>
      <c r="G2207">
        <v>18</v>
      </c>
      <c r="H2207" s="11" t="str">
        <f t="shared" si="110"/>
        <v>count</v>
      </c>
    </row>
    <row r="2208" spans="1:8">
      <c r="A2208" s="11" t="str">
        <f t="shared" si="111"/>
        <v>25-421889172011</v>
      </c>
      <c r="B2208" t="s">
        <v>1111</v>
      </c>
      <c r="C2208" t="s">
        <v>1112</v>
      </c>
      <c r="D2208">
        <v>2011</v>
      </c>
      <c r="E2208" t="s">
        <v>104</v>
      </c>
      <c r="F2208">
        <v>91592.47</v>
      </c>
      <c r="G2208">
        <v>118</v>
      </c>
      <c r="H2208" s="11" t="str">
        <f t="shared" si="110"/>
        <v>count</v>
      </c>
    </row>
    <row r="2209" spans="1:8">
      <c r="A2209" s="11" t="str">
        <f t="shared" si="111"/>
        <v>25-421889172011</v>
      </c>
      <c r="B2209" t="s">
        <v>1111</v>
      </c>
      <c r="C2209" t="s">
        <v>1112</v>
      </c>
      <c r="D2209">
        <v>2011</v>
      </c>
      <c r="E2209" t="s">
        <v>63</v>
      </c>
      <c r="F2209">
        <v>312241.19</v>
      </c>
      <c r="G2209">
        <v>391</v>
      </c>
      <c r="H2209" s="11" t="str">
        <f t="shared" si="110"/>
        <v>count</v>
      </c>
    </row>
    <row r="2210" spans="1:8">
      <c r="A2210" s="11" t="str">
        <f t="shared" si="111"/>
        <v>25-421889172013</v>
      </c>
      <c r="B2210" t="s">
        <v>1111</v>
      </c>
      <c r="C2210" t="s">
        <v>1112</v>
      </c>
      <c r="D2210">
        <v>2013</v>
      </c>
      <c r="E2210" t="s">
        <v>69</v>
      </c>
      <c r="F2210">
        <v>99290.11</v>
      </c>
      <c r="G2210">
        <v>153</v>
      </c>
      <c r="H2210" s="11" t="str">
        <f t="shared" si="110"/>
        <v>count</v>
      </c>
    </row>
    <row r="2211" spans="1:8">
      <c r="A2211" s="11" t="str">
        <f t="shared" si="111"/>
        <v>25-421889172012</v>
      </c>
      <c r="B2211" t="s">
        <v>1111</v>
      </c>
      <c r="C2211" t="s">
        <v>1112</v>
      </c>
      <c r="D2211">
        <v>2012</v>
      </c>
      <c r="E2211" t="s">
        <v>63</v>
      </c>
      <c r="F2211">
        <v>394392.32000000001</v>
      </c>
      <c r="G2211">
        <v>457</v>
      </c>
      <c r="H2211" s="11" t="str">
        <f t="shared" si="110"/>
        <v>count</v>
      </c>
    </row>
    <row r="2212" spans="1:8">
      <c r="A2212" s="11" t="str">
        <f t="shared" si="111"/>
        <v>25-421889172013</v>
      </c>
      <c r="B2212" t="s">
        <v>1111</v>
      </c>
      <c r="C2212" t="s">
        <v>1112</v>
      </c>
      <c r="D2212">
        <v>2013</v>
      </c>
      <c r="E2212" t="s">
        <v>105</v>
      </c>
      <c r="F2212">
        <v>22079.8</v>
      </c>
      <c r="G2212">
        <v>29</v>
      </c>
      <c r="H2212" s="11" t="str">
        <f t="shared" si="110"/>
        <v>count</v>
      </c>
    </row>
    <row r="2213" spans="1:8">
      <c r="A2213" s="11" t="str">
        <f t="shared" si="111"/>
        <v>25-421889172012</v>
      </c>
      <c r="B2213" t="s">
        <v>1111</v>
      </c>
      <c r="C2213" t="s">
        <v>1112</v>
      </c>
      <c r="D2213">
        <v>2012</v>
      </c>
      <c r="E2213" t="s">
        <v>104</v>
      </c>
      <c r="F2213">
        <v>112071.31</v>
      </c>
      <c r="G2213">
        <v>128</v>
      </c>
      <c r="H2213" s="11" t="str">
        <f t="shared" si="110"/>
        <v>count</v>
      </c>
    </row>
    <row r="2214" spans="1:8">
      <c r="A2214" s="11" t="str">
        <f t="shared" si="111"/>
        <v>25-421912492013</v>
      </c>
      <c r="B2214" t="s">
        <v>1113</v>
      </c>
      <c r="C2214" t="s">
        <v>1114</v>
      </c>
      <c r="D2214">
        <v>2013</v>
      </c>
      <c r="E2214" t="s">
        <v>105</v>
      </c>
      <c r="F2214">
        <v>6053.81</v>
      </c>
      <c r="G2214">
        <v>12</v>
      </c>
      <c r="H2214" s="11" t="str">
        <f t="shared" si="110"/>
        <v>volume</v>
      </c>
    </row>
    <row r="2215" spans="1:8">
      <c r="A2215" s="11" t="str">
        <f t="shared" si="111"/>
        <v>25-421912492013</v>
      </c>
      <c r="B2215" t="s">
        <v>1113</v>
      </c>
      <c r="C2215" t="s">
        <v>1114</v>
      </c>
      <c r="D2215">
        <v>2013</v>
      </c>
      <c r="E2215" t="s">
        <v>69</v>
      </c>
      <c r="F2215">
        <v>35076.639999999999</v>
      </c>
      <c r="G2215">
        <v>72</v>
      </c>
      <c r="H2215" s="11" t="str">
        <f t="shared" si="110"/>
        <v>count</v>
      </c>
    </row>
    <row r="2216" spans="1:8">
      <c r="A2216" s="11" t="str">
        <f t="shared" si="111"/>
        <v>25-421912492011</v>
      </c>
      <c r="B2216" t="s">
        <v>1113</v>
      </c>
      <c r="C2216" t="s">
        <v>1114</v>
      </c>
      <c r="D2216">
        <v>2011</v>
      </c>
      <c r="E2216" t="s">
        <v>1074</v>
      </c>
      <c r="F2216">
        <v>6987.25</v>
      </c>
      <c r="G2216">
        <v>16</v>
      </c>
      <c r="H2216" s="11" t="str">
        <f t="shared" si="110"/>
        <v>count</v>
      </c>
    </row>
    <row r="2217" spans="1:8">
      <c r="A2217" s="11" t="str">
        <f t="shared" si="111"/>
        <v>25-421912492012</v>
      </c>
      <c r="B2217" t="s">
        <v>1113</v>
      </c>
      <c r="C2217" t="s">
        <v>1114</v>
      </c>
      <c r="D2217">
        <v>2012</v>
      </c>
      <c r="E2217" t="s">
        <v>105</v>
      </c>
      <c r="F2217">
        <v>3105.73</v>
      </c>
      <c r="G2217">
        <v>8</v>
      </c>
      <c r="H2217" s="11" t="str">
        <f t="shared" si="110"/>
        <v>count</v>
      </c>
    </row>
    <row r="2218" spans="1:8">
      <c r="A2218" s="11" t="str">
        <f t="shared" si="111"/>
        <v>25-421912492012</v>
      </c>
      <c r="B2218" t="s">
        <v>1113</v>
      </c>
      <c r="C2218" t="s">
        <v>1114</v>
      </c>
      <c r="D2218">
        <v>2012</v>
      </c>
      <c r="E2218" t="s">
        <v>1076</v>
      </c>
      <c r="F2218">
        <v>987.1</v>
      </c>
      <c r="G2218">
        <v>5</v>
      </c>
      <c r="H2218" s="11" t="str">
        <f t="shared" si="110"/>
        <v>count</v>
      </c>
    </row>
    <row r="2219" spans="1:8">
      <c r="A2219" s="11" t="str">
        <f t="shared" si="111"/>
        <v>25-421912492011</v>
      </c>
      <c r="B2219" t="s">
        <v>1113</v>
      </c>
      <c r="C2219" t="s">
        <v>1114</v>
      </c>
      <c r="D2219">
        <v>2011</v>
      </c>
      <c r="E2219" t="s">
        <v>63</v>
      </c>
      <c r="F2219">
        <v>177863.89</v>
      </c>
      <c r="G2219">
        <v>354</v>
      </c>
      <c r="H2219" s="11" t="str">
        <f t="shared" si="110"/>
        <v>count</v>
      </c>
    </row>
    <row r="2220" spans="1:8">
      <c r="A2220" s="11" t="str">
        <f t="shared" si="111"/>
        <v>25-421912492011</v>
      </c>
      <c r="B2220" t="s">
        <v>1113</v>
      </c>
      <c r="C2220" t="s">
        <v>1114</v>
      </c>
      <c r="D2220">
        <v>2011</v>
      </c>
      <c r="E2220" t="s">
        <v>104</v>
      </c>
      <c r="F2220">
        <v>39236.82</v>
      </c>
      <c r="G2220">
        <v>86</v>
      </c>
      <c r="H2220" s="11" t="str">
        <f t="shared" si="110"/>
        <v>count</v>
      </c>
    </row>
    <row r="2221" spans="1:8">
      <c r="A2221" s="11" t="str">
        <f t="shared" si="111"/>
        <v>25-421912492011</v>
      </c>
      <c r="B2221" t="s">
        <v>1113</v>
      </c>
      <c r="C2221" t="s">
        <v>1114</v>
      </c>
      <c r="D2221">
        <v>2011</v>
      </c>
      <c r="E2221" t="s">
        <v>1075</v>
      </c>
      <c r="F2221">
        <v>4963.32</v>
      </c>
      <c r="G2221">
        <v>8</v>
      </c>
      <c r="H2221" s="11" t="str">
        <f t="shared" si="110"/>
        <v>count</v>
      </c>
    </row>
    <row r="2222" spans="1:8">
      <c r="A2222" s="11" t="str">
        <f t="shared" si="111"/>
        <v>25-421912492012</v>
      </c>
      <c r="B2222" t="s">
        <v>1113</v>
      </c>
      <c r="C2222" t="s">
        <v>1114</v>
      </c>
      <c r="D2222">
        <v>2012</v>
      </c>
      <c r="E2222" t="s">
        <v>106</v>
      </c>
      <c r="F2222">
        <v>345.8</v>
      </c>
      <c r="G2222">
        <v>1</v>
      </c>
      <c r="H2222" s="11" t="str">
        <f t="shared" si="110"/>
        <v>count</v>
      </c>
    </row>
    <row r="2223" spans="1:8">
      <c r="A2223" s="11" t="str">
        <f t="shared" si="111"/>
        <v>25-421912492013</v>
      </c>
      <c r="B2223" t="s">
        <v>1113</v>
      </c>
      <c r="C2223" t="s">
        <v>1114</v>
      </c>
      <c r="D2223">
        <v>2013</v>
      </c>
      <c r="E2223" t="s">
        <v>63</v>
      </c>
      <c r="F2223">
        <v>139003.67000000001</v>
      </c>
      <c r="G2223">
        <v>296</v>
      </c>
      <c r="H2223" s="11" t="str">
        <f t="shared" si="110"/>
        <v>count</v>
      </c>
    </row>
    <row r="2224" spans="1:8">
      <c r="A2224" s="11" t="str">
        <f t="shared" si="111"/>
        <v>25-421912492013</v>
      </c>
      <c r="B2224" t="s">
        <v>1113</v>
      </c>
      <c r="C2224" t="s">
        <v>1114</v>
      </c>
      <c r="D2224">
        <v>2013</v>
      </c>
      <c r="E2224" t="s">
        <v>104</v>
      </c>
      <c r="F2224">
        <v>26433.17</v>
      </c>
      <c r="G2224">
        <v>49</v>
      </c>
      <c r="H2224" s="11" t="str">
        <f t="shared" si="110"/>
        <v>count</v>
      </c>
    </row>
    <row r="2225" spans="1:8">
      <c r="A2225" s="11" t="str">
        <f t="shared" si="111"/>
        <v>25-421912492011</v>
      </c>
      <c r="B2225" t="s">
        <v>1113</v>
      </c>
      <c r="C2225" t="s">
        <v>1114</v>
      </c>
      <c r="D2225">
        <v>2011</v>
      </c>
      <c r="E2225" t="s">
        <v>105</v>
      </c>
      <c r="F2225">
        <v>3174.8</v>
      </c>
      <c r="G2225">
        <v>7</v>
      </c>
      <c r="H2225" s="11" t="str">
        <f t="shared" si="110"/>
        <v>count</v>
      </c>
    </row>
    <row r="2226" spans="1:8">
      <c r="A2226" s="11" t="str">
        <f t="shared" si="111"/>
        <v>25-421912492012</v>
      </c>
      <c r="B2226" t="s">
        <v>1113</v>
      </c>
      <c r="C2226" t="s">
        <v>1114</v>
      </c>
      <c r="D2226">
        <v>2012</v>
      </c>
      <c r="E2226" t="s">
        <v>69</v>
      </c>
      <c r="F2226">
        <v>37525.199999999997</v>
      </c>
      <c r="G2226">
        <v>94</v>
      </c>
      <c r="H2226" s="11" t="str">
        <f t="shared" si="110"/>
        <v>count</v>
      </c>
    </row>
    <row r="2227" spans="1:8">
      <c r="A2227" s="11" t="str">
        <f t="shared" si="111"/>
        <v>25-421912492011</v>
      </c>
      <c r="B2227" t="s">
        <v>1113</v>
      </c>
      <c r="C2227" t="s">
        <v>1114</v>
      </c>
      <c r="D2227">
        <v>2011</v>
      </c>
      <c r="E2227" t="s">
        <v>1076</v>
      </c>
      <c r="F2227">
        <v>2221.7800000000002</v>
      </c>
      <c r="G2227">
        <v>9</v>
      </c>
      <c r="H2227" s="11" t="str">
        <f t="shared" si="110"/>
        <v>count</v>
      </c>
    </row>
    <row r="2228" spans="1:8">
      <c r="A2228" s="11" t="str">
        <f t="shared" si="111"/>
        <v>25-421912492012</v>
      </c>
      <c r="B2228" t="s">
        <v>1113</v>
      </c>
      <c r="C2228" t="s">
        <v>1114</v>
      </c>
      <c r="D2228">
        <v>2012</v>
      </c>
      <c r="E2228" t="s">
        <v>1074</v>
      </c>
      <c r="F2228">
        <v>4598.7299999999996</v>
      </c>
      <c r="G2228">
        <v>10</v>
      </c>
      <c r="H2228" s="11" t="str">
        <f t="shared" si="110"/>
        <v>count</v>
      </c>
    </row>
    <row r="2229" spans="1:8">
      <c r="A2229" s="11" t="str">
        <f t="shared" si="111"/>
        <v>25-421912492012</v>
      </c>
      <c r="B2229" t="s">
        <v>1113</v>
      </c>
      <c r="C2229" t="s">
        <v>1114</v>
      </c>
      <c r="D2229">
        <v>2012</v>
      </c>
      <c r="E2229" t="s">
        <v>104</v>
      </c>
      <c r="F2229">
        <v>56920.92</v>
      </c>
      <c r="G2229">
        <v>116</v>
      </c>
      <c r="H2229" s="11" t="str">
        <f t="shared" si="110"/>
        <v>count</v>
      </c>
    </row>
    <row r="2230" spans="1:8">
      <c r="A2230" s="11" t="str">
        <f t="shared" si="111"/>
        <v>25-421912492012</v>
      </c>
      <c r="B2230" t="s">
        <v>1113</v>
      </c>
      <c r="C2230" t="s">
        <v>1114</v>
      </c>
      <c r="D2230">
        <v>2012</v>
      </c>
      <c r="E2230" t="s">
        <v>1075</v>
      </c>
      <c r="F2230">
        <v>1550.95</v>
      </c>
      <c r="G2230">
        <v>2</v>
      </c>
      <c r="H2230" s="11" t="str">
        <f t="shared" si="110"/>
        <v>count</v>
      </c>
    </row>
    <row r="2231" spans="1:8">
      <c r="A2231" s="11" t="str">
        <f t="shared" si="111"/>
        <v>25-421912492013</v>
      </c>
      <c r="B2231" t="s">
        <v>1113</v>
      </c>
      <c r="C2231" t="s">
        <v>1114</v>
      </c>
      <c r="D2231">
        <v>2013</v>
      </c>
      <c r="E2231" t="s">
        <v>106</v>
      </c>
      <c r="F2231">
        <v>150</v>
      </c>
      <c r="G2231">
        <v>1</v>
      </c>
      <c r="H2231" s="11" t="str">
        <f t="shared" si="110"/>
        <v>count</v>
      </c>
    </row>
    <row r="2232" spans="1:8">
      <c r="A2232" s="11" t="str">
        <f t="shared" si="111"/>
        <v>25-421912492012</v>
      </c>
      <c r="B2232" t="s">
        <v>1113</v>
      </c>
      <c r="C2232" t="s">
        <v>1114</v>
      </c>
      <c r="D2232">
        <v>2012</v>
      </c>
      <c r="E2232" t="s">
        <v>63</v>
      </c>
      <c r="F2232">
        <v>160799.67999999999</v>
      </c>
      <c r="G2232">
        <v>355</v>
      </c>
      <c r="H2232" s="11" t="str">
        <f t="shared" si="110"/>
        <v>count</v>
      </c>
    </row>
    <row r="2233" spans="1:8">
      <c r="A2233" s="11" t="str">
        <f t="shared" si="111"/>
        <v>25-442211062011</v>
      </c>
      <c r="B2233" t="s">
        <v>1115</v>
      </c>
      <c r="C2233" t="s">
        <v>1116</v>
      </c>
      <c r="D2233">
        <v>2011</v>
      </c>
      <c r="E2233" t="s">
        <v>1076</v>
      </c>
      <c r="F2233">
        <v>308357.82</v>
      </c>
      <c r="G2233">
        <v>809</v>
      </c>
      <c r="H2233" s="11" t="str">
        <f t="shared" si="110"/>
        <v>volume</v>
      </c>
    </row>
    <row r="2234" spans="1:8">
      <c r="A2234" s="11" t="str">
        <f t="shared" si="111"/>
        <v>25-442211062012</v>
      </c>
      <c r="B2234" t="s">
        <v>1115</v>
      </c>
      <c r="C2234" t="s">
        <v>1116</v>
      </c>
      <c r="D2234">
        <v>2012</v>
      </c>
      <c r="E2234" t="s">
        <v>104</v>
      </c>
      <c r="F2234">
        <v>453343.36</v>
      </c>
      <c r="G2234">
        <v>1332</v>
      </c>
      <c r="H2234" s="11" t="str">
        <f t="shared" si="110"/>
        <v>count</v>
      </c>
    </row>
    <row r="2235" spans="1:8">
      <c r="A2235" s="11" t="str">
        <f t="shared" si="111"/>
        <v>25-442211062013</v>
      </c>
      <c r="B2235" t="s">
        <v>1115</v>
      </c>
      <c r="C2235" t="s">
        <v>1116</v>
      </c>
      <c r="D2235">
        <v>2013</v>
      </c>
      <c r="E2235" t="s">
        <v>106</v>
      </c>
      <c r="F2235">
        <v>1334646.79</v>
      </c>
      <c r="G2235">
        <v>3577</v>
      </c>
      <c r="H2235" s="11" t="str">
        <f t="shared" si="110"/>
        <v>count</v>
      </c>
    </row>
    <row r="2236" spans="1:8">
      <c r="A2236" s="11" t="str">
        <f t="shared" si="111"/>
        <v>25-442211062012</v>
      </c>
      <c r="B2236" t="s">
        <v>1115</v>
      </c>
      <c r="C2236" t="s">
        <v>1116</v>
      </c>
      <c r="D2236">
        <v>2012</v>
      </c>
      <c r="E2236" t="s">
        <v>1075</v>
      </c>
      <c r="F2236">
        <v>1110</v>
      </c>
      <c r="G2236">
        <v>4</v>
      </c>
      <c r="H2236" s="11" t="str">
        <f t="shared" si="110"/>
        <v>count</v>
      </c>
    </row>
    <row r="2237" spans="1:8">
      <c r="A2237" s="11" t="str">
        <f t="shared" si="111"/>
        <v>25-442211062011</v>
      </c>
      <c r="B2237" t="s">
        <v>1115</v>
      </c>
      <c r="C2237" t="s">
        <v>1116</v>
      </c>
      <c r="D2237">
        <v>2011</v>
      </c>
      <c r="E2237" t="s">
        <v>105</v>
      </c>
      <c r="F2237">
        <v>3037</v>
      </c>
      <c r="G2237">
        <v>18</v>
      </c>
      <c r="H2237" s="11" t="str">
        <f t="shared" si="110"/>
        <v>count</v>
      </c>
    </row>
    <row r="2238" spans="1:8">
      <c r="A2238" s="11" t="str">
        <f t="shared" si="111"/>
        <v>25-442211062012</v>
      </c>
      <c r="B2238" t="s">
        <v>1115</v>
      </c>
      <c r="C2238" t="s">
        <v>1116</v>
      </c>
      <c r="D2238">
        <v>2012</v>
      </c>
      <c r="E2238" t="s">
        <v>69</v>
      </c>
      <c r="F2238">
        <v>875617.93</v>
      </c>
      <c r="G2238">
        <v>2579</v>
      </c>
      <c r="H2238" s="11" t="str">
        <f t="shared" si="110"/>
        <v>count</v>
      </c>
    </row>
    <row r="2239" spans="1:8">
      <c r="A2239" s="11" t="str">
        <f t="shared" si="111"/>
        <v>25-442211062013</v>
      </c>
      <c r="B2239" t="s">
        <v>1115</v>
      </c>
      <c r="C2239" t="s">
        <v>1116</v>
      </c>
      <c r="D2239">
        <v>2013</v>
      </c>
      <c r="E2239" t="s">
        <v>105</v>
      </c>
      <c r="F2239">
        <v>13621.5</v>
      </c>
      <c r="G2239">
        <v>37</v>
      </c>
      <c r="H2239" s="11" t="str">
        <f t="shared" si="110"/>
        <v>count</v>
      </c>
    </row>
    <row r="2240" spans="1:8">
      <c r="A2240" s="11" t="str">
        <f t="shared" si="111"/>
        <v>25-442211062011</v>
      </c>
      <c r="B2240" t="s">
        <v>1115</v>
      </c>
      <c r="C2240" t="s">
        <v>1116</v>
      </c>
      <c r="D2240">
        <v>2011</v>
      </c>
      <c r="E2240" t="s">
        <v>106</v>
      </c>
      <c r="F2240">
        <v>870059.4</v>
      </c>
      <c r="G2240">
        <v>2602</v>
      </c>
      <c r="H2240" s="11" t="str">
        <f t="shared" si="110"/>
        <v>count</v>
      </c>
    </row>
    <row r="2241" spans="1:8">
      <c r="A2241" s="11" t="str">
        <f t="shared" si="111"/>
        <v>25-442211062012</v>
      </c>
      <c r="B2241" t="s">
        <v>1115</v>
      </c>
      <c r="C2241" t="s">
        <v>1116</v>
      </c>
      <c r="D2241">
        <v>2012</v>
      </c>
      <c r="E2241" t="s">
        <v>63</v>
      </c>
      <c r="F2241">
        <v>208509.5</v>
      </c>
      <c r="G2241">
        <v>647</v>
      </c>
      <c r="H2241" s="11" t="str">
        <f t="shared" si="110"/>
        <v>count</v>
      </c>
    </row>
    <row r="2242" spans="1:8">
      <c r="A2242" s="11" t="str">
        <f t="shared" si="111"/>
        <v>25-442211062013</v>
      </c>
      <c r="B2242" t="s">
        <v>1115</v>
      </c>
      <c r="C2242" t="s">
        <v>1116</v>
      </c>
      <c r="D2242">
        <v>2013</v>
      </c>
      <c r="E2242" t="s">
        <v>69</v>
      </c>
      <c r="F2242">
        <v>1394157.69</v>
      </c>
      <c r="G2242">
        <v>4284</v>
      </c>
      <c r="H2242" s="11" t="str">
        <f t="shared" ref="H2242:H2305" si="112">IF(B2242=B2241,"count","volume")</f>
        <v>count</v>
      </c>
    </row>
    <row r="2243" spans="1:8">
      <c r="A2243" s="11" t="str">
        <f t="shared" ref="A2243:A2306" si="113">B2243&amp;D2243</f>
        <v>25-442211062012</v>
      </c>
      <c r="B2243" t="s">
        <v>1115</v>
      </c>
      <c r="C2243" t="s">
        <v>1116</v>
      </c>
      <c r="D2243">
        <v>2012</v>
      </c>
      <c r="E2243" t="s">
        <v>105</v>
      </c>
      <c r="F2243">
        <v>8875.5</v>
      </c>
      <c r="G2243">
        <v>19</v>
      </c>
      <c r="H2243" s="11" t="str">
        <f t="shared" si="112"/>
        <v>count</v>
      </c>
    </row>
    <row r="2244" spans="1:8">
      <c r="A2244" s="11" t="str">
        <f t="shared" si="113"/>
        <v>25-442211062011</v>
      </c>
      <c r="B2244" t="s">
        <v>1115</v>
      </c>
      <c r="C2244" t="s">
        <v>1116</v>
      </c>
      <c r="D2244">
        <v>2011</v>
      </c>
      <c r="E2244" t="s">
        <v>63</v>
      </c>
      <c r="F2244">
        <v>518419.37</v>
      </c>
      <c r="G2244">
        <v>1507</v>
      </c>
      <c r="H2244" s="11" t="str">
        <f t="shared" si="112"/>
        <v>count</v>
      </c>
    </row>
    <row r="2245" spans="1:8">
      <c r="A2245" s="11" t="str">
        <f t="shared" si="113"/>
        <v>25-442211062011</v>
      </c>
      <c r="B2245" t="s">
        <v>1115</v>
      </c>
      <c r="C2245" t="s">
        <v>1116</v>
      </c>
      <c r="D2245">
        <v>2011</v>
      </c>
      <c r="E2245" t="s">
        <v>1074</v>
      </c>
      <c r="F2245">
        <v>74052.28</v>
      </c>
      <c r="G2245">
        <v>270</v>
      </c>
      <c r="H2245" s="11" t="str">
        <f t="shared" si="112"/>
        <v>count</v>
      </c>
    </row>
    <row r="2246" spans="1:8">
      <c r="A2246" s="11" t="str">
        <f t="shared" si="113"/>
        <v>25-442211062012</v>
      </c>
      <c r="B2246" t="s">
        <v>1115</v>
      </c>
      <c r="C2246" t="s">
        <v>1116</v>
      </c>
      <c r="D2246">
        <v>2012</v>
      </c>
      <c r="E2246" t="s">
        <v>106</v>
      </c>
      <c r="F2246">
        <v>1128835.1000000001</v>
      </c>
      <c r="G2246">
        <v>3194</v>
      </c>
      <c r="H2246" s="11" t="str">
        <f t="shared" si="112"/>
        <v>count</v>
      </c>
    </row>
    <row r="2247" spans="1:8">
      <c r="A2247" s="11" t="str">
        <f t="shared" si="113"/>
        <v>25-442211062011</v>
      </c>
      <c r="B2247" t="s">
        <v>1115</v>
      </c>
      <c r="C2247" t="s">
        <v>1116</v>
      </c>
      <c r="D2247">
        <v>2011</v>
      </c>
      <c r="E2247" t="s">
        <v>104</v>
      </c>
      <c r="F2247">
        <v>223270.06</v>
      </c>
      <c r="G2247">
        <v>636</v>
      </c>
      <c r="H2247" s="11" t="str">
        <f t="shared" si="112"/>
        <v>count</v>
      </c>
    </row>
    <row r="2248" spans="1:8">
      <c r="A2248" s="11" t="str">
        <f t="shared" si="113"/>
        <v>25-442211062011</v>
      </c>
      <c r="B2248" t="s">
        <v>1115</v>
      </c>
      <c r="C2248" t="s">
        <v>1116</v>
      </c>
      <c r="D2248">
        <v>2011</v>
      </c>
      <c r="E2248" t="s">
        <v>69</v>
      </c>
      <c r="F2248">
        <v>5860</v>
      </c>
      <c r="G2248">
        <v>17</v>
      </c>
      <c r="H2248" s="11" t="str">
        <f t="shared" si="112"/>
        <v>count</v>
      </c>
    </row>
    <row r="2249" spans="1:8">
      <c r="A2249" s="11" t="str">
        <f t="shared" si="113"/>
        <v>25-442211062011</v>
      </c>
      <c r="B2249" t="s">
        <v>1115</v>
      </c>
      <c r="C2249" t="s">
        <v>1116</v>
      </c>
      <c r="D2249">
        <v>2011</v>
      </c>
      <c r="E2249" t="s">
        <v>1075</v>
      </c>
      <c r="F2249">
        <v>107665.75</v>
      </c>
      <c r="G2249">
        <v>312</v>
      </c>
      <c r="H2249" s="11" t="str">
        <f t="shared" si="112"/>
        <v>count</v>
      </c>
    </row>
    <row r="2250" spans="1:8">
      <c r="A2250" s="11" t="str">
        <f t="shared" si="113"/>
        <v>25-442211062013</v>
      </c>
      <c r="B2250" t="s">
        <v>1115</v>
      </c>
      <c r="C2250" t="s">
        <v>1116</v>
      </c>
      <c r="D2250">
        <v>2013</v>
      </c>
      <c r="E2250" t="s">
        <v>63</v>
      </c>
      <c r="F2250">
        <v>171054.52</v>
      </c>
      <c r="G2250">
        <v>559</v>
      </c>
      <c r="H2250" s="11" t="str">
        <f t="shared" si="112"/>
        <v>count</v>
      </c>
    </row>
    <row r="2251" spans="1:8">
      <c r="A2251" s="11" t="str">
        <f t="shared" si="113"/>
        <v>25-442211062013</v>
      </c>
      <c r="B2251" t="s">
        <v>1115</v>
      </c>
      <c r="C2251" t="s">
        <v>1116</v>
      </c>
      <c r="D2251">
        <v>2013</v>
      </c>
      <c r="E2251" t="s">
        <v>104</v>
      </c>
      <c r="F2251">
        <v>289881.5</v>
      </c>
      <c r="G2251">
        <v>897</v>
      </c>
      <c r="H2251" s="11" t="str">
        <f t="shared" si="112"/>
        <v>count</v>
      </c>
    </row>
    <row r="2252" spans="1:8">
      <c r="A2252" s="11" t="str">
        <f t="shared" si="113"/>
        <v>25-442211062012</v>
      </c>
      <c r="B2252" t="s">
        <v>1115</v>
      </c>
      <c r="C2252" t="s">
        <v>1116</v>
      </c>
      <c r="D2252">
        <v>2012</v>
      </c>
      <c r="E2252" t="s">
        <v>1076</v>
      </c>
      <c r="F2252">
        <v>5911</v>
      </c>
      <c r="G2252">
        <v>29</v>
      </c>
      <c r="H2252" s="11" t="str">
        <f t="shared" si="112"/>
        <v>count</v>
      </c>
    </row>
    <row r="2253" spans="1:8">
      <c r="A2253" s="11" t="str">
        <f t="shared" si="113"/>
        <v>25-452605752013</v>
      </c>
      <c r="B2253" t="s">
        <v>1117</v>
      </c>
      <c r="C2253" t="s">
        <v>1118</v>
      </c>
      <c r="D2253">
        <v>2013</v>
      </c>
      <c r="E2253" t="s">
        <v>63</v>
      </c>
      <c r="F2253">
        <v>762588.99</v>
      </c>
      <c r="G2253">
        <v>774</v>
      </c>
      <c r="H2253" s="11" t="str">
        <f t="shared" si="112"/>
        <v>volume</v>
      </c>
    </row>
    <row r="2254" spans="1:8">
      <c r="A2254" s="11" t="str">
        <f t="shared" si="113"/>
        <v>25-452605752013</v>
      </c>
      <c r="B2254" t="s">
        <v>1117</v>
      </c>
      <c r="C2254" t="s">
        <v>1118</v>
      </c>
      <c r="D2254">
        <v>2013</v>
      </c>
      <c r="E2254" t="s">
        <v>104</v>
      </c>
      <c r="F2254">
        <v>235180.39</v>
      </c>
      <c r="G2254">
        <v>242</v>
      </c>
      <c r="H2254" s="11" t="str">
        <f t="shared" si="112"/>
        <v>count</v>
      </c>
    </row>
    <row r="2255" spans="1:8">
      <c r="A2255" s="11" t="str">
        <f t="shared" si="113"/>
        <v>25-452605752011</v>
      </c>
      <c r="B2255" t="s">
        <v>1117</v>
      </c>
      <c r="C2255" t="s">
        <v>1118</v>
      </c>
      <c r="D2255">
        <v>2011</v>
      </c>
      <c r="E2255" t="s">
        <v>69</v>
      </c>
      <c r="F2255">
        <v>1843.4</v>
      </c>
      <c r="G2255">
        <v>4</v>
      </c>
      <c r="H2255" s="11" t="str">
        <f t="shared" si="112"/>
        <v>count</v>
      </c>
    </row>
    <row r="2256" spans="1:8">
      <c r="A2256" s="11" t="str">
        <f t="shared" si="113"/>
        <v>25-452605752011</v>
      </c>
      <c r="B2256" t="s">
        <v>1117</v>
      </c>
      <c r="C2256" t="s">
        <v>1118</v>
      </c>
      <c r="D2256">
        <v>2011</v>
      </c>
      <c r="E2256" t="s">
        <v>63</v>
      </c>
      <c r="F2256">
        <v>169024.67</v>
      </c>
      <c r="G2256">
        <v>198</v>
      </c>
      <c r="H2256" s="11" t="str">
        <f t="shared" si="112"/>
        <v>count</v>
      </c>
    </row>
    <row r="2257" spans="1:8">
      <c r="A2257" s="11" t="str">
        <f t="shared" si="113"/>
        <v>25-452605752011</v>
      </c>
      <c r="B2257" t="s">
        <v>1117</v>
      </c>
      <c r="C2257" t="s">
        <v>1118</v>
      </c>
      <c r="D2257">
        <v>2011</v>
      </c>
      <c r="E2257" t="s">
        <v>104</v>
      </c>
      <c r="F2257">
        <v>57522.400000000001</v>
      </c>
      <c r="G2257">
        <v>90</v>
      </c>
      <c r="H2257" s="11" t="str">
        <f t="shared" si="112"/>
        <v>count</v>
      </c>
    </row>
    <row r="2258" spans="1:8">
      <c r="A2258" s="11" t="str">
        <f t="shared" si="113"/>
        <v>25-452605752013</v>
      </c>
      <c r="B2258" t="s">
        <v>1117</v>
      </c>
      <c r="C2258" t="s">
        <v>1118</v>
      </c>
      <c r="D2258">
        <v>2013</v>
      </c>
      <c r="E2258" t="s">
        <v>69</v>
      </c>
      <c r="F2258">
        <v>197945.59</v>
      </c>
      <c r="G2258">
        <v>234</v>
      </c>
      <c r="H2258" s="11" t="str">
        <f t="shared" si="112"/>
        <v>count</v>
      </c>
    </row>
    <row r="2259" spans="1:8">
      <c r="A2259" s="11" t="str">
        <f t="shared" si="113"/>
        <v>25-452605752012</v>
      </c>
      <c r="B2259" t="s">
        <v>1117</v>
      </c>
      <c r="C2259" t="s">
        <v>1118</v>
      </c>
      <c r="D2259">
        <v>2012</v>
      </c>
      <c r="E2259" t="s">
        <v>104</v>
      </c>
      <c r="F2259">
        <v>215768.18</v>
      </c>
      <c r="G2259">
        <v>296</v>
      </c>
      <c r="H2259" s="11" t="str">
        <f t="shared" si="112"/>
        <v>count</v>
      </c>
    </row>
    <row r="2260" spans="1:8">
      <c r="A2260" s="11" t="str">
        <f t="shared" si="113"/>
        <v>25-452605752012</v>
      </c>
      <c r="B2260" t="s">
        <v>1117</v>
      </c>
      <c r="C2260" t="s">
        <v>1118</v>
      </c>
      <c r="D2260">
        <v>2012</v>
      </c>
      <c r="E2260" t="s">
        <v>63</v>
      </c>
      <c r="F2260">
        <v>614563.37</v>
      </c>
      <c r="G2260">
        <v>748</v>
      </c>
      <c r="H2260" s="11" t="str">
        <f t="shared" si="112"/>
        <v>count</v>
      </c>
    </row>
    <row r="2261" spans="1:8">
      <c r="A2261" s="11" t="str">
        <f t="shared" si="113"/>
        <v>25-452605752012</v>
      </c>
      <c r="B2261" t="s">
        <v>1117</v>
      </c>
      <c r="C2261" t="s">
        <v>1118</v>
      </c>
      <c r="D2261">
        <v>2012</v>
      </c>
      <c r="E2261" t="s">
        <v>69</v>
      </c>
      <c r="F2261">
        <v>151186.06</v>
      </c>
      <c r="G2261">
        <v>240</v>
      </c>
      <c r="H2261" s="11" t="str">
        <f t="shared" si="112"/>
        <v>count</v>
      </c>
    </row>
    <row r="2262" spans="1:8">
      <c r="A2262" s="11" t="str">
        <f t="shared" si="113"/>
        <v>25-452839722013</v>
      </c>
      <c r="B2262" t="s">
        <v>1119</v>
      </c>
      <c r="C2262" t="s">
        <v>1120</v>
      </c>
      <c r="D2262">
        <v>2013</v>
      </c>
      <c r="E2262" t="s">
        <v>69</v>
      </c>
      <c r="F2262">
        <v>206712.17</v>
      </c>
      <c r="G2262">
        <v>210</v>
      </c>
      <c r="H2262" s="11" t="str">
        <f t="shared" si="112"/>
        <v>volume</v>
      </c>
    </row>
    <row r="2263" spans="1:8">
      <c r="A2263" s="11" t="str">
        <f t="shared" si="113"/>
        <v>25-452839722011</v>
      </c>
      <c r="B2263" t="s">
        <v>1119</v>
      </c>
      <c r="C2263" t="s">
        <v>1120</v>
      </c>
      <c r="D2263">
        <v>2011</v>
      </c>
      <c r="E2263" t="s">
        <v>63</v>
      </c>
      <c r="F2263">
        <v>210319.7</v>
      </c>
      <c r="G2263">
        <v>158</v>
      </c>
      <c r="H2263" s="11" t="str">
        <f t="shared" si="112"/>
        <v>count</v>
      </c>
    </row>
    <row r="2264" spans="1:8">
      <c r="A2264" s="11" t="str">
        <f t="shared" si="113"/>
        <v>25-452839722011</v>
      </c>
      <c r="B2264" t="s">
        <v>1119</v>
      </c>
      <c r="C2264" t="s">
        <v>1120</v>
      </c>
      <c r="D2264">
        <v>2011</v>
      </c>
      <c r="E2264" t="s">
        <v>104</v>
      </c>
      <c r="F2264">
        <v>87494.96</v>
      </c>
      <c r="G2264">
        <v>59</v>
      </c>
      <c r="H2264" s="11" t="str">
        <f t="shared" si="112"/>
        <v>count</v>
      </c>
    </row>
    <row r="2265" spans="1:8">
      <c r="A2265" s="11" t="str">
        <f t="shared" si="113"/>
        <v>25-452839722012</v>
      </c>
      <c r="B2265" t="s">
        <v>1119</v>
      </c>
      <c r="C2265" t="s">
        <v>1120</v>
      </c>
      <c r="D2265">
        <v>2012</v>
      </c>
      <c r="E2265" t="s">
        <v>69</v>
      </c>
      <c r="F2265">
        <v>153072.65</v>
      </c>
      <c r="G2265">
        <v>156</v>
      </c>
      <c r="H2265" s="11" t="str">
        <f t="shared" si="112"/>
        <v>count</v>
      </c>
    </row>
    <row r="2266" spans="1:8">
      <c r="A2266" s="11" t="str">
        <f t="shared" si="113"/>
        <v>25-452839722012</v>
      </c>
      <c r="B2266" t="s">
        <v>1119</v>
      </c>
      <c r="C2266" t="s">
        <v>1120</v>
      </c>
      <c r="D2266">
        <v>2012</v>
      </c>
      <c r="E2266" t="s">
        <v>63</v>
      </c>
      <c r="F2266">
        <v>1062237.8</v>
      </c>
      <c r="G2266">
        <v>858</v>
      </c>
      <c r="H2266" s="11" t="str">
        <f t="shared" si="112"/>
        <v>count</v>
      </c>
    </row>
    <row r="2267" spans="1:8">
      <c r="A2267" s="11" t="str">
        <f t="shared" si="113"/>
        <v>25-452839722012</v>
      </c>
      <c r="B2267" t="s">
        <v>1119</v>
      </c>
      <c r="C2267" t="s">
        <v>1120</v>
      </c>
      <c r="D2267">
        <v>2012</v>
      </c>
      <c r="E2267" t="s">
        <v>104</v>
      </c>
      <c r="F2267">
        <v>458670.56</v>
      </c>
      <c r="G2267">
        <v>397</v>
      </c>
      <c r="H2267" s="11" t="str">
        <f t="shared" si="112"/>
        <v>count</v>
      </c>
    </row>
    <row r="2268" spans="1:8">
      <c r="A2268" s="11" t="str">
        <f t="shared" si="113"/>
        <v>25-452839722013</v>
      </c>
      <c r="B2268" t="s">
        <v>1119</v>
      </c>
      <c r="C2268" t="s">
        <v>1120</v>
      </c>
      <c r="D2268">
        <v>2013</v>
      </c>
      <c r="E2268" t="s">
        <v>133</v>
      </c>
      <c r="F2268">
        <v>34744.03</v>
      </c>
      <c r="G2268">
        <v>31</v>
      </c>
      <c r="H2268" s="11" t="str">
        <f t="shared" si="112"/>
        <v>count</v>
      </c>
    </row>
    <row r="2269" spans="1:8">
      <c r="A2269" s="11" t="str">
        <f t="shared" si="113"/>
        <v>25-452839722011</v>
      </c>
      <c r="B2269" t="s">
        <v>1119</v>
      </c>
      <c r="C2269" t="s">
        <v>1120</v>
      </c>
      <c r="D2269">
        <v>2011</v>
      </c>
      <c r="E2269" t="s">
        <v>69</v>
      </c>
      <c r="F2269">
        <v>444.34</v>
      </c>
      <c r="G2269">
        <v>1</v>
      </c>
      <c r="H2269" s="11" t="str">
        <f t="shared" si="112"/>
        <v>count</v>
      </c>
    </row>
    <row r="2270" spans="1:8">
      <c r="A2270" s="11" t="str">
        <f t="shared" si="113"/>
        <v>25-452839722013</v>
      </c>
      <c r="B2270" t="s">
        <v>1119</v>
      </c>
      <c r="C2270" t="s">
        <v>1120</v>
      </c>
      <c r="D2270">
        <v>2013</v>
      </c>
      <c r="E2270" t="s">
        <v>104</v>
      </c>
      <c r="F2270">
        <v>490645.95</v>
      </c>
      <c r="G2270">
        <v>447</v>
      </c>
      <c r="H2270" s="11" t="str">
        <f t="shared" si="112"/>
        <v>count</v>
      </c>
    </row>
    <row r="2271" spans="1:8">
      <c r="A2271" s="11" t="str">
        <f t="shared" si="113"/>
        <v>25-452839722013</v>
      </c>
      <c r="B2271" t="s">
        <v>1119</v>
      </c>
      <c r="C2271" t="s">
        <v>1120</v>
      </c>
      <c r="D2271">
        <v>2013</v>
      </c>
      <c r="E2271" t="s">
        <v>63</v>
      </c>
      <c r="F2271">
        <v>984485.88</v>
      </c>
      <c r="G2271">
        <v>974</v>
      </c>
      <c r="H2271" s="11" t="str">
        <f t="shared" si="112"/>
        <v>count</v>
      </c>
    </row>
    <row r="2272" spans="1:8">
      <c r="A2272" s="11" t="str">
        <f t="shared" si="113"/>
        <v>25-666282932013</v>
      </c>
      <c r="B2272" t="s">
        <v>1121</v>
      </c>
      <c r="C2272" t="s">
        <v>1122</v>
      </c>
      <c r="D2272">
        <v>2013</v>
      </c>
      <c r="E2272" t="s">
        <v>104</v>
      </c>
      <c r="F2272">
        <v>213194.78</v>
      </c>
      <c r="G2272">
        <v>288</v>
      </c>
      <c r="H2272" s="11" t="str">
        <f t="shared" si="112"/>
        <v>volume</v>
      </c>
    </row>
    <row r="2273" spans="1:8">
      <c r="A2273" s="11" t="str">
        <f t="shared" si="113"/>
        <v>25-666282932013</v>
      </c>
      <c r="B2273" t="s">
        <v>1121</v>
      </c>
      <c r="C2273" t="s">
        <v>1122</v>
      </c>
      <c r="D2273">
        <v>2013</v>
      </c>
      <c r="E2273" t="s">
        <v>63</v>
      </c>
      <c r="F2273">
        <v>286067.06</v>
      </c>
      <c r="G2273">
        <v>402</v>
      </c>
      <c r="H2273" s="11" t="str">
        <f t="shared" si="112"/>
        <v>count</v>
      </c>
    </row>
    <row r="2274" spans="1:8">
      <c r="A2274" s="11" t="str">
        <f t="shared" si="113"/>
        <v>25-666282932011</v>
      </c>
      <c r="B2274" t="s">
        <v>1121</v>
      </c>
      <c r="C2274" t="s">
        <v>1122</v>
      </c>
      <c r="D2274">
        <v>2011</v>
      </c>
      <c r="E2274" t="s">
        <v>105</v>
      </c>
      <c r="F2274">
        <v>52095.83</v>
      </c>
      <c r="G2274">
        <v>66</v>
      </c>
      <c r="H2274" s="11" t="str">
        <f t="shared" si="112"/>
        <v>count</v>
      </c>
    </row>
    <row r="2275" spans="1:8">
      <c r="A2275" s="11" t="str">
        <f t="shared" si="113"/>
        <v>25-666282932012</v>
      </c>
      <c r="B2275" t="s">
        <v>1121</v>
      </c>
      <c r="C2275" t="s">
        <v>1122</v>
      </c>
      <c r="D2275">
        <v>2012</v>
      </c>
      <c r="E2275" t="s">
        <v>63</v>
      </c>
      <c r="F2275">
        <v>335375.02</v>
      </c>
      <c r="G2275">
        <v>523</v>
      </c>
      <c r="H2275" s="11" t="str">
        <f t="shared" si="112"/>
        <v>count</v>
      </c>
    </row>
    <row r="2276" spans="1:8">
      <c r="A2276" s="11" t="str">
        <f t="shared" si="113"/>
        <v>25-666282932012</v>
      </c>
      <c r="B2276" t="s">
        <v>1121</v>
      </c>
      <c r="C2276" t="s">
        <v>1122</v>
      </c>
      <c r="D2276">
        <v>2012</v>
      </c>
      <c r="E2276" t="s">
        <v>104</v>
      </c>
      <c r="F2276">
        <v>247053.96</v>
      </c>
      <c r="G2276">
        <v>371</v>
      </c>
      <c r="H2276" s="11" t="str">
        <f t="shared" si="112"/>
        <v>count</v>
      </c>
    </row>
    <row r="2277" spans="1:8">
      <c r="A2277" s="11" t="str">
        <f t="shared" si="113"/>
        <v>25-666282932011</v>
      </c>
      <c r="B2277" t="s">
        <v>1121</v>
      </c>
      <c r="C2277" t="s">
        <v>1122</v>
      </c>
      <c r="D2277">
        <v>2011</v>
      </c>
      <c r="E2277" t="s">
        <v>69</v>
      </c>
      <c r="F2277">
        <v>390.4</v>
      </c>
      <c r="G2277">
        <v>2</v>
      </c>
      <c r="H2277" s="11" t="str">
        <f t="shared" si="112"/>
        <v>count</v>
      </c>
    </row>
    <row r="2278" spans="1:8">
      <c r="A2278" s="11" t="str">
        <f t="shared" si="113"/>
        <v>25-666282932013</v>
      </c>
      <c r="B2278" t="s">
        <v>1121</v>
      </c>
      <c r="C2278" t="s">
        <v>1122</v>
      </c>
      <c r="D2278">
        <v>2013</v>
      </c>
      <c r="E2278" t="s">
        <v>105</v>
      </c>
      <c r="F2278">
        <v>27564.15</v>
      </c>
      <c r="G2278">
        <v>38</v>
      </c>
      <c r="H2278" s="11" t="str">
        <f t="shared" si="112"/>
        <v>count</v>
      </c>
    </row>
    <row r="2279" spans="1:8">
      <c r="A2279" s="11" t="str">
        <f t="shared" si="113"/>
        <v>25-666282932012</v>
      </c>
      <c r="B2279" t="s">
        <v>1121</v>
      </c>
      <c r="C2279" t="s">
        <v>1122</v>
      </c>
      <c r="D2279">
        <v>2012</v>
      </c>
      <c r="E2279" t="s">
        <v>69</v>
      </c>
      <c r="F2279">
        <v>235209.13</v>
      </c>
      <c r="G2279">
        <v>468</v>
      </c>
      <c r="H2279" s="11" t="str">
        <f t="shared" si="112"/>
        <v>count</v>
      </c>
    </row>
    <row r="2280" spans="1:8">
      <c r="A2280" s="11" t="str">
        <f t="shared" si="113"/>
        <v>25-666282932012</v>
      </c>
      <c r="B2280" t="s">
        <v>1121</v>
      </c>
      <c r="C2280" t="s">
        <v>1122</v>
      </c>
      <c r="D2280">
        <v>2012</v>
      </c>
      <c r="E2280" t="s">
        <v>105</v>
      </c>
      <c r="F2280">
        <v>50518.27</v>
      </c>
      <c r="G2280">
        <v>65</v>
      </c>
      <c r="H2280" s="11" t="str">
        <f t="shared" si="112"/>
        <v>count</v>
      </c>
    </row>
    <row r="2281" spans="1:8">
      <c r="A2281" s="11" t="str">
        <f t="shared" si="113"/>
        <v>25-666282932011</v>
      </c>
      <c r="B2281" t="s">
        <v>1121</v>
      </c>
      <c r="C2281" t="s">
        <v>1122</v>
      </c>
      <c r="D2281">
        <v>2011</v>
      </c>
      <c r="E2281" t="s">
        <v>63</v>
      </c>
      <c r="F2281">
        <v>567111.48</v>
      </c>
      <c r="G2281">
        <v>773</v>
      </c>
      <c r="H2281" s="11" t="str">
        <f t="shared" si="112"/>
        <v>count</v>
      </c>
    </row>
    <row r="2282" spans="1:8">
      <c r="A2282" s="11" t="str">
        <f t="shared" si="113"/>
        <v>25-666282932013</v>
      </c>
      <c r="B2282" t="s">
        <v>1121</v>
      </c>
      <c r="C2282" t="s">
        <v>1122</v>
      </c>
      <c r="D2282">
        <v>2013</v>
      </c>
      <c r="E2282" t="s">
        <v>69</v>
      </c>
      <c r="F2282">
        <v>271166.90000000002</v>
      </c>
      <c r="G2282">
        <v>531</v>
      </c>
      <c r="H2282" s="11" t="str">
        <f t="shared" si="112"/>
        <v>count</v>
      </c>
    </row>
    <row r="2283" spans="1:8">
      <c r="A2283" s="11" t="str">
        <f t="shared" si="113"/>
        <v>25-666282932011</v>
      </c>
      <c r="B2283" t="s">
        <v>1121</v>
      </c>
      <c r="C2283" t="s">
        <v>1122</v>
      </c>
      <c r="D2283">
        <v>2011</v>
      </c>
      <c r="E2283" t="s">
        <v>104</v>
      </c>
      <c r="F2283">
        <v>255500.67</v>
      </c>
      <c r="G2283">
        <v>361</v>
      </c>
      <c r="H2283" s="11" t="str">
        <f t="shared" si="112"/>
        <v>count</v>
      </c>
    </row>
    <row r="2284" spans="1:8">
      <c r="A2284" s="11" t="str">
        <f t="shared" si="113"/>
        <v>25-669333532013</v>
      </c>
      <c r="B2284" t="s">
        <v>1123</v>
      </c>
      <c r="C2284" t="s">
        <v>1124</v>
      </c>
      <c r="D2284">
        <v>2013</v>
      </c>
      <c r="E2284" t="s">
        <v>63</v>
      </c>
      <c r="F2284">
        <v>62953.84</v>
      </c>
      <c r="G2284">
        <v>325</v>
      </c>
      <c r="H2284" s="11" t="str">
        <f t="shared" si="112"/>
        <v>volume</v>
      </c>
    </row>
    <row r="2285" spans="1:8">
      <c r="A2285" s="11" t="str">
        <f t="shared" si="113"/>
        <v>25-669333532013</v>
      </c>
      <c r="B2285" t="s">
        <v>1123</v>
      </c>
      <c r="C2285" t="s">
        <v>1124</v>
      </c>
      <c r="D2285">
        <v>2013</v>
      </c>
      <c r="E2285" t="s">
        <v>69</v>
      </c>
      <c r="F2285">
        <v>133540.99</v>
      </c>
      <c r="G2285">
        <v>666</v>
      </c>
      <c r="H2285" s="11" t="str">
        <f t="shared" si="112"/>
        <v>count</v>
      </c>
    </row>
    <row r="2286" spans="1:8">
      <c r="A2286" s="11" t="str">
        <f t="shared" si="113"/>
        <v>25-669333532011</v>
      </c>
      <c r="B2286" t="s">
        <v>1123</v>
      </c>
      <c r="C2286" t="s">
        <v>1124</v>
      </c>
      <c r="D2286">
        <v>2011</v>
      </c>
      <c r="E2286" t="s">
        <v>105</v>
      </c>
      <c r="F2286">
        <v>1318.5</v>
      </c>
      <c r="G2286">
        <v>2</v>
      </c>
      <c r="H2286" s="11" t="str">
        <f t="shared" si="112"/>
        <v>count</v>
      </c>
    </row>
    <row r="2287" spans="1:8">
      <c r="A2287" s="11" t="str">
        <f t="shared" si="113"/>
        <v>25-669333532013</v>
      </c>
      <c r="B2287" t="s">
        <v>1123</v>
      </c>
      <c r="C2287" t="s">
        <v>1124</v>
      </c>
      <c r="D2287">
        <v>2013</v>
      </c>
      <c r="E2287" t="s">
        <v>104</v>
      </c>
      <c r="F2287">
        <v>46142.5</v>
      </c>
      <c r="G2287">
        <v>171</v>
      </c>
      <c r="H2287" s="11" t="str">
        <f t="shared" si="112"/>
        <v>count</v>
      </c>
    </row>
    <row r="2288" spans="1:8">
      <c r="A2288" s="11" t="str">
        <f t="shared" si="113"/>
        <v>25-669333532012</v>
      </c>
      <c r="B2288" t="s">
        <v>1123</v>
      </c>
      <c r="C2288" t="s">
        <v>1124</v>
      </c>
      <c r="D2288">
        <v>2012</v>
      </c>
      <c r="E2288" t="s">
        <v>106</v>
      </c>
      <c r="F2288">
        <v>3262.5</v>
      </c>
      <c r="G2288">
        <v>43</v>
      </c>
      <c r="H2288" s="11" t="str">
        <f t="shared" si="112"/>
        <v>count</v>
      </c>
    </row>
    <row r="2289" spans="1:8">
      <c r="A2289" s="11" t="str">
        <f t="shared" si="113"/>
        <v>25-669333532011</v>
      </c>
      <c r="B2289" t="s">
        <v>1123</v>
      </c>
      <c r="C2289" t="s">
        <v>1124</v>
      </c>
      <c r="D2289">
        <v>2011</v>
      </c>
      <c r="E2289" t="s">
        <v>1075</v>
      </c>
      <c r="F2289">
        <v>3740</v>
      </c>
      <c r="G2289">
        <v>15</v>
      </c>
      <c r="H2289" s="11" t="str">
        <f t="shared" si="112"/>
        <v>count</v>
      </c>
    </row>
    <row r="2290" spans="1:8">
      <c r="A2290" s="11" t="str">
        <f t="shared" si="113"/>
        <v>25-669333532012</v>
      </c>
      <c r="B2290" t="s">
        <v>1123</v>
      </c>
      <c r="C2290" t="s">
        <v>1124</v>
      </c>
      <c r="D2290">
        <v>2012</v>
      </c>
      <c r="E2290" t="s">
        <v>63</v>
      </c>
      <c r="F2290">
        <v>72135.990000000005</v>
      </c>
      <c r="G2290">
        <v>351</v>
      </c>
      <c r="H2290" s="11" t="str">
        <f t="shared" si="112"/>
        <v>count</v>
      </c>
    </row>
    <row r="2291" spans="1:8">
      <c r="A2291" s="11" t="str">
        <f t="shared" si="113"/>
        <v>25-669333532011</v>
      </c>
      <c r="B2291" t="s">
        <v>1123</v>
      </c>
      <c r="C2291" t="s">
        <v>1124</v>
      </c>
      <c r="D2291">
        <v>2011</v>
      </c>
      <c r="E2291" t="s">
        <v>1076</v>
      </c>
      <c r="F2291">
        <v>250</v>
      </c>
      <c r="G2291">
        <v>1</v>
      </c>
      <c r="H2291" s="11" t="str">
        <f t="shared" si="112"/>
        <v>count</v>
      </c>
    </row>
    <row r="2292" spans="1:8">
      <c r="A2292" s="11" t="str">
        <f t="shared" si="113"/>
        <v>25-669333532012</v>
      </c>
      <c r="B2292" t="s">
        <v>1123</v>
      </c>
      <c r="C2292" t="s">
        <v>1124</v>
      </c>
      <c r="D2292">
        <v>2012</v>
      </c>
      <c r="E2292" t="s">
        <v>1074</v>
      </c>
      <c r="F2292">
        <v>9135.5</v>
      </c>
      <c r="G2292">
        <v>48</v>
      </c>
      <c r="H2292" s="11" t="str">
        <f t="shared" si="112"/>
        <v>count</v>
      </c>
    </row>
    <row r="2293" spans="1:8">
      <c r="A2293" s="11" t="str">
        <f t="shared" si="113"/>
        <v>25-669333532012</v>
      </c>
      <c r="B2293" t="s">
        <v>1123</v>
      </c>
      <c r="C2293" t="s">
        <v>1124</v>
      </c>
      <c r="D2293">
        <v>2012</v>
      </c>
      <c r="E2293" t="s">
        <v>104</v>
      </c>
      <c r="F2293">
        <v>42886.48</v>
      </c>
      <c r="G2293">
        <v>169</v>
      </c>
      <c r="H2293" s="11" t="str">
        <f t="shared" si="112"/>
        <v>count</v>
      </c>
    </row>
    <row r="2294" spans="1:8">
      <c r="A2294" s="11" t="str">
        <f t="shared" si="113"/>
        <v>25-669333532013</v>
      </c>
      <c r="B2294" t="s">
        <v>1123</v>
      </c>
      <c r="C2294" t="s">
        <v>1124</v>
      </c>
      <c r="D2294">
        <v>2013</v>
      </c>
      <c r="E2294" t="s">
        <v>105</v>
      </c>
      <c r="F2294">
        <v>2042.5</v>
      </c>
      <c r="G2294">
        <v>12</v>
      </c>
      <c r="H2294" s="11" t="str">
        <f t="shared" si="112"/>
        <v>count</v>
      </c>
    </row>
    <row r="2295" spans="1:8">
      <c r="A2295" s="11" t="str">
        <f t="shared" si="113"/>
        <v>25-669333532013</v>
      </c>
      <c r="B2295" t="s">
        <v>1123</v>
      </c>
      <c r="C2295" t="s">
        <v>1124</v>
      </c>
      <c r="D2295">
        <v>2013</v>
      </c>
      <c r="E2295" t="s">
        <v>106</v>
      </c>
      <c r="F2295">
        <v>12045</v>
      </c>
      <c r="G2295">
        <v>84</v>
      </c>
      <c r="H2295" s="11" t="str">
        <f t="shared" si="112"/>
        <v>count</v>
      </c>
    </row>
    <row r="2296" spans="1:8">
      <c r="A2296" s="11" t="str">
        <f t="shared" si="113"/>
        <v>25-669333532011</v>
      </c>
      <c r="B2296" t="s">
        <v>1123</v>
      </c>
      <c r="C2296" t="s">
        <v>1124</v>
      </c>
      <c r="D2296">
        <v>2011</v>
      </c>
      <c r="E2296" t="s">
        <v>69</v>
      </c>
      <c r="F2296">
        <v>165</v>
      </c>
      <c r="G2296">
        <v>1</v>
      </c>
      <c r="H2296" s="11" t="str">
        <f t="shared" si="112"/>
        <v>count</v>
      </c>
    </row>
    <row r="2297" spans="1:8">
      <c r="A2297" s="11" t="str">
        <f t="shared" si="113"/>
        <v>25-669333532012</v>
      </c>
      <c r="B2297" t="s">
        <v>1123</v>
      </c>
      <c r="C2297" t="s">
        <v>1124</v>
      </c>
      <c r="D2297">
        <v>2012</v>
      </c>
      <c r="E2297" t="s">
        <v>1075</v>
      </c>
      <c r="F2297">
        <v>2214.67</v>
      </c>
      <c r="G2297">
        <v>15</v>
      </c>
      <c r="H2297" s="11" t="str">
        <f t="shared" si="112"/>
        <v>count</v>
      </c>
    </row>
    <row r="2298" spans="1:8">
      <c r="A2298" s="11" t="str">
        <f t="shared" si="113"/>
        <v>25-669333532012</v>
      </c>
      <c r="B2298" t="s">
        <v>1123</v>
      </c>
      <c r="C2298" t="s">
        <v>1124</v>
      </c>
      <c r="D2298">
        <v>2012</v>
      </c>
      <c r="E2298" t="s">
        <v>105</v>
      </c>
      <c r="F2298">
        <v>1545.49</v>
      </c>
      <c r="G2298">
        <v>6</v>
      </c>
      <c r="H2298" s="11" t="str">
        <f t="shared" si="112"/>
        <v>count</v>
      </c>
    </row>
    <row r="2299" spans="1:8">
      <c r="A2299" s="11" t="str">
        <f t="shared" si="113"/>
        <v>25-669333532011</v>
      </c>
      <c r="B2299" t="s">
        <v>1123</v>
      </c>
      <c r="C2299" t="s">
        <v>1124</v>
      </c>
      <c r="D2299">
        <v>2011</v>
      </c>
      <c r="E2299" t="s">
        <v>104</v>
      </c>
      <c r="F2299">
        <v>23076.83</v>
      </c>
      <c r="G2299">
        <v>94</v>
      </c>
      <c r="H2299" s="11" t="str">
        <f t="shared" si="112"/>
        <v>count</v>
      </c>
    </row>
    <row r="2300" spans="1:8">
      <c r="A2300" s="11" t="str">
        <f t="shared" si="113"/>
        <v>25-669333532012</v>
      </c>
      <c r="B2300" t="s">
        <v>1123</v>
      </c>
      <c r="C2300" t="s">
        <v>1124</v>
      </c>
      <c r="D2300">
        <v>2012</v>
      </c>
      <c r="E2300" t="s">
        <v>69</v>
      </c>
      <c r="F2300">
        <v>99949.55</v>
      </c>
      <c r="G2300">
        <v>475</v>
      </c>
      <c r="H2300" s="11" t="str">
        <f t="shared" si="112"/>
        <v>count</v>
      </c>
    </row>
    <row r="2301" spans="1:8">
      <c r="A2301" s="11" t="str">
        <f t="shared" si="113"/>
        <v>25-669333532011</v>
      </c>
      <c r="B2301" t="s">
        <v>1123</v>
      </c>
      <c r="C2301" t="s">
        <v>1124</v>
      </c>
      <c r="D2301">
        <v>2011</v>
      </c>
      <c r="E2301" t="s">
        <v>106</v>
      </c>
      <c r="F2301">
        <v>2400</v>
      </c>
      <c r="G2301">
        <v>32</v>
      </c>
      <c r="H2301" s="11" t="str">
        <f t="shared" si="112"/>
        <v>count</v>
      </c>
    </row>
    <row r="2302" spans="1:8">
      <c r="A2302" s="11" t="str">
        <f t="shared" si="113"/>
        <v>25-669333532012</v>
      </c>
      <c r="B2302" t="s">
        <v>1123</v>
      </c>
      <c r="C2302" t="s">
        <v>1124</v>
      </c>
      <c r="D2302">
        <v>2012</v>
      </c>
      <c r="E2302" t="s">
        <v>1076</v>
      </c>
      <c r="F2302">
        <v>425</v>
      </c>
      <c r="G2302">
        <v>2</v>
      </c>
      <c r="H2302" s="11" t="str">
        <f t="shared" si="112"/>
        <v>count</v>
      </c>
    </row>
    <row r="2303" spans="1:8">
      <c r="A2303" s="11" t="str">
        <f t="shared" si="113"/>
        <v>25-669333532011</v>
      </c>
      <c r="B2303" t="s">
        <v>1123</v>
      </c>
      <c r="C2303" t="s">
        <v>1124</v>
      </c>
      <c r="D2303">
        <v>2011</v>
      </c>
      <c r="E2303" t="s">
        <v>63</v>
      </c>
      <c r="F2303">
        <v>96094.19</v>
      </c>
      <c r="G2303">
        <v>418</v>
      </c>
      <c r="H2303" s="11" t="str">
        <f t="shared" si="112"/>
        <v>count</v>
      </c>
    </row>
    <row r="2304" spans="1:8">
      <c r="A2304" s="11" t="str">
        <f t="shared" si="113"/>
        <v>25-669333532011</v>
      </c>
      <c r="B2304" t="s">
        <v>1123</v>
      </c>
      <c r="C2304" t="s">
        <v>1124</v>
      </c>
      <c r="D2304">
        <v>2011</v>
      </c>
      <c r="E2304" t="s">
        <v>1074</v>
      </c>
      <c r="F2304">
        <v>17794.830000000002</v>
      </c>
      <c r="G2304">
        <v>101</v>
      </c>
      <c r="H2304" s="11" t="str">
        <f t="shared" si="112"/>
        <v>count</v>
      </c>
    </row>
    <row r="2305" spans="1:8">
      <c r="A2305" s="11" t="str">
        <f t="shared" si="113"/>
        <v>25-725074052013</v>
      </c>
      <c r="B2305" t="s">
        <v>1125</v>
      </c>
      <c r="C2305" t="s">
        <v>1126</v>
      </c>
      <c r="D2305">
        <v>2013</v>
      </c>
      <c r="E2305" t="s">
        <v>133</v>
      </c>
      <c r="F2305">
        <v>6298373.3300000001</v>
      </c>
      <c r="G2305">
        <v>2087</v>
      </c>
      <c r="H2305" s="11" t="str">
        <f t="shared" si="112"/>
        <v>volume</v>
      </c>
    </row>
    <row r="2306" spans="1:8">
      <c r="A2306" s="11" t="str">
        <f t="shared" si="113"/>
        <v>25-725074052013</v>
      </c>
      <c r="B2306" t="s">
        <v>1125</v>
      </c>
      <c r="C2306" t="s">
        <v>1126</v>
      </c>
      <c r="D2306">
        <v>2013</v>
      </c>
      <c r="E2306" t="s">
        <v>105</v>
      </c>
      <c r="F2306">
        <v>510054.71</v>
      </c>
      <c r="G2306">
        <v>190</v>
      </c>
      <c r="H2306" s="11" t="str">
        <f t="shared" ref="H2306:H2369" si="114">IF(B2306=B2305,"count","volume")</f>
        <v>count</v>
      </c>
    </row>
    <row r="2307" spans="1:8">
      <c r="A2307" s="11" t="str">
        <f t="shared" ref="A2307:A2370" si="115">B2307&amp;D2307</f>
        <v>25-725074052013</v>
      </c>
      <c r="B2307" t="s">
        <v>1125</v>
      </c>
      <c r="C2307" t="s">
        <v>1126</v>
      </c>
      <c r="D2307">
        <v>2013</v>
      </c>
      <c r="E2307" t="s">
        <v>69</v>
      </c>
      <c r="F2307">
        <v>5451310.6799999997</v>
      </c>
      <c r="G2307">
        <v>2275</v>
      </c>
      <c r="H2307" s="11" t="str">
        <f t="shared" si="114"/>
        <v>count</v>
      </c>
    </row>
    <row r="2308" spans="1:8">
      <c r="A2308" s="11" t="str">
        <f t="shared" si="115"/>
        <v>25-725074052012</v>
      </c>
      <c r="B2308" t="s">
        <v>1125</v>
      </c>
      <c r="C2308" t="s">
        <v>1126</v>
      </c>
      <c r="D2308">
        <v>2012</v>
      </c>
      <c r="E2308" t="s">
        <v>1074</v>
      </c>
      <c r="F2308">
        <v>86930.74</v>
      </c>
      <c r="G2308">
        <v>44</v>
      </c>
      <c r="H2308" s="11" t="str">
        <f t="shared" si="114"/>
        <v>count</v>
      </c>
    </row>
    <row r="2309" spans="1:8">
      <c r="A2309" s="11" t="str">
        <f t="shared" si="115"/>
        <v>25-725074052012</v>
      </c>
      <c r="B2309" t="s">
        <v>1125</v>
      </c>
      <c r="C2309" t="s">
        <v>1126</v>
      </c>
      <c r="D2309">
        <v>2012</v>
      </c>
      <c r="E2309" t="s">
        <v>133</v>
      </c>
      <c r="F2309">
        <v>8423947.7799999993</v>
      </c>
      <c r="G2309">
        <v>2908</v>
      </c>
      <c r="H2309" s="11" t="str">
        <f t="shared" si="114"/>
        <v>count</v>
      </c>
    </row>
    <row r="2310" spans="1:8">
      <c r="A2310" s="11" t="str">
        <f t="shared" si="115"/>
        <v>25-725074052012</v>
      </c>
      <c r="B2310" t="s">
        <v>1125</v>
      </c>
      <c r="C2310" t="s">
        <v>1126</v>
      </c>
      <c r="D2310">
        <v>2012</v>
      </c>
      <c r="E2310" t="s">
        <v>69</v>
      </c>
      <c r="F2310">
        <v>4477295.4000000004</v>
      </c>
      <c r="G2310">
        <v>2004</v>
      </c>
      <c r="H2310" s="11" t="str">
        <f t="shared" si="114"/>
        <v>count</v>
      </c>
    </row>
    <row r="2311" spans="1:8">
      <c r="A2311" s="11" t="str">
        <f t="shared" si="115"/>
        <v>25-725074052012</v>
      </c>
      <c r="B2311" t="s">
        <v>1125</v>
      </c>
      <c r="C2311" t="s">
        <v>1126</v>
      </c>
      <c r="D2311">
        <v>2012</v>
      </c>
      <c r="E2311" t="s">
        <v>104</v>
      </c>
      <c r="F2311">
        <v>13142984.18</v>
      </c>
      <c r="G2311">
        <v>4385</v>
      </c>
      <c r="H2311" s="11" t="str">
        <f t="shared" si="114"/>
        <v>count</v>
      </c>
    </row>
    <row r="2312" spans="1:8">
      <c r="A2312" s="11" t="str">
        <f t="shared" si="115"/>
        <v>25-725074052011</v>
      </c>
      <c r="B2312" t="s">
        <v>1125</v>
      </c>
      <c r="C2312" t="s">
        <v>1126</v>
      </c>
      <c r="D2312">
        <v>2011</v>
      </c>
      <c r="E2312" t="s">
        <v>1076</v>
      </c>
      <c r="F2312">
        <v>121914.45</v>
      </c>
      <c r="G2312">
        <v>42</v>
      </c>
      <c r="H2312" s="11" t="str">
        <f t="shared" si="114"/>
        <v>count</v>
      </c>
    </row>
    <row r="2313" spans="1:8">
      <c r="A2313" s="11" t="str">
        <f t="shared" si="115"/>
        <v>25-725074052011</v>
      </c>
      <c r="B2313" t="s">
        <v>1125</v>
      </c>
      <c r="C2313" t="s">
        <v>1126</v>
      </c>
      <c r="D2313">
        <v>2011</v>
      </c>
      <c r="E2313" t="s">
        <v>106</v>
      </c>
      <c r="F2313">
        <v>3806826.59</v>
      </c>
      <c r="G2313">
        <v>1505</v>
      </c>
      <c r="H2313" s="11" t="str">
        <f t="shared" si="114"/>
        <v>count</v>
      </c>
    </row>
    <row r="2314" spans="1:8">
      <c r="A2314" s="11" t="str">
        <f t="shared" si="115"/>
        <v>25-725074052012</v>
      </c>
      <c r="B2314" t="s">
        <v>1125</v>
      </c>
      <c r="C2314" t="s">
        <v>1126</v>
      </c>
      <c r="D2314">
        <v>2012</v>
      </c>
      <c r="E2314" t="s">
        <v>63</v>
      </c>
      <c r="F2314">
        <v>13872639.9</v>
      </c>
      <c r="G2314">
        <v>5137</v>
      </c>
      <c r="H2314" s="11" t="str">
        <f t="shared" si="114"/>
        <v>count</v>
      </c>
    </row>
    <row r="2315" spans="1:8">
      <c r="A2315" s="11" t="str">
        <f t="shared" si="115"/>
        <v>25-725074052012</v>
      </c>
      <c r="B2315" t="s">
        <v>1125</v>
      </c>
      <c r="C2315" t="s">
        <v>1126</v>
      </c>
      <c r="D2315">
        <v>2012</v>
      </c>
      <c r="E2315" t="s">
        <v>1076</v>
      </c>
      <c r="F2315">
        <v>33735.339999999997</v>
      </c>
      <c r="G2315">
        <v>26</v>
      </c>
      <c r="H2315" s="11" t="str">
        <f t="shared" si="114"/>
        <v>count</v>
      </c>
    </row>
    <row r="2316" spans="1:8">
      <c r="A2316" s="11" t="str">
        <f t="shared" si="115"/>
        <v>25-725074052013</v>
      </c>
      <c r="B2316" t="s">
        <v>1125</v>
      </c>
      <c r="C2316" t="s">
        <v>1126</v>
      </c>
      <c r="D2316">
        <v>2013</v>
      </c>
      <c r="E2316" t="s">
        <v>63</v>
      </c>
      <c r="F2316">
        <v>13430629.33</v>
      </c>
      <c r="G2316">
        <v>4683</v>
      </c>
      <c r="H2316" s="11" t="str">
        <f t="shared" si="114"/>
        <v>count</v>
      </c>
    </row>
    <row r="2317" spans="1:8">
      <c r="A2317" s="11" t="str">
        <f t="shared" si="115"/>
        <v>25-725074052013</v>
      </c>
      <c r="B2317" t="s">
        <v>1125</v>
      </c>
      <c r="C2317" t="s">
        <v>1126</v>
      </c>
      <c r="D2317">
        <v>2013</v>
      </c>
      <c r="E2317" t="s">
        <v>104</v>
      </c>
      <c r="F2317">
        <v>11452757.35</v>
      </c>
      <c r="G2317">
        <v>3447</v>
      </c>
      <c r="H2317" s="11" t="str">
        <f t="shared" si="114"/>
        <v>count</v>
      </c>
    </row>
    <row r="2318" spans="1:8">
      <c r="A2318" s="11" t="str">
        <f t="shared" si="115"/>
        <v>25-725074052011</v>
      </c>
      <c r="B2318" t="s">
        <v>1125</v>
      </c>
      <c r="C2318" t="s">
        <v>1126</v>
      </c>
      <c r="D2318">
        <v>2011</v>
      </c>
      <c r="E2318" t="s">
        <v>105</v>
      </c>
      <c r="F2318">
        <v>289828.46000000002</v>
      </c>
      <c r="G2318">
        <v>142</v>
      </c>
      <c r="H2318" s="11" t="str">
        <f t="shared" si="114"/>
        <v>count</v>
      </c>
    </row>
    <row r="2319" spans="1:8">
      <c r="A2319" s="11" t="str">
        <f t="shared" si="115"/>
        <v>25-725074052012</v>
      </c>
      <c r="B2319" t="s">
        <v>1125</v>
      </c>
      <c r="C2319" t="s">
        <v>1126</v>
      </c>
      <c r="D2319">
        <v>2012</v>
      </c>
      <c r="E2319" t="s">
        <v>1075</v>
      </c>
      <c r="F2319">
        <v>95687.87</v>
      </c>
      <c r="G2319">
        <v>40</v>
      </c>
      <c r="H2319" s="11" t="str">
        <f t="shared" si="114"/>
        <v>count</v>
      </c>
    </row>
    <row r="2320" spans="1:8">
      <c r="A2320" s="11" t="str">
        <f t="shared" si="115"/>
        <v>25-725074052011</v>
      </c>
      <c r="B2320" t="s">
        <v>1125</v>
      </c>
      <c r="C2320" t="s">
        <v>1126</v>
      </c>
      <c r="D2320">
        <v>2011</v>
      </c>
      <c r="E2320" t="s">
        <v>133</v>
      </c>
      <c r="F2320">
        <v>8401840.3000000007</v>
      </c>
      <c r="G2320">
        <v>2898</v>
      </c>
      <c r="H2320" s="11" t="str">
        <f t="shared" si="114"/>
        <v>count</v>
      </c>
    </row>
    <row r="2321" spans="1:8">
      <c r="A2321" s="11" t="str">
        <f t="shared" si="115"/>
        <v>25-725074052011</v>
      </c>
      <c r="B2321" t="s">
        <v>1125</v>
      </c>
      <c r="C2321" t="s">
        <v>1126</v>
      </c>
      <c r="D2321">
        <v>2011</v>
      </c>
      <c r="E2321" t="s">
        <v>69</v>
      </c>
      <c r="F2321">
        <v>17748.61</v>
      </c>
      <c r="G2321">
        <v>11</v>
      </c>
      <c r="H2321" s="11" t="str">
        <f t="shared" si="114"/>
        <v>count</v>
      </c>
    </row>
    <row r="2322" spans="1:8">
      <c r="A2322" s="11" t="str">
        <f t="shared" si="115"/>
        <v>25-725074052013</v>
      </c>
      <c r="B2322" t="s">
        <v>1125</v>
      </c>
      <c r="C2322" t="s">
        <v>1126</v>
      </c>
      <c r="D2322">
        <v>2013</v>
      </c>
      <c r="E2322" t="s">
        <v>106</v>
      </c>
      <c r="F2322">
        <v>6288699.1299999999</v>
      </c>
      <c r="G2322">
        <v>2283</v>
      </c>
      <c r="H2322" s="11" t="str">
        <f t="shared" si="114"/>
        <v>count</v>
      </c>
    </row>
    <row r="2323" spans="1:8">
      <c r="A2323" s="11" t="str">
        <f t="shared" si="115"/>
        <v>25-725074052012</v>
      </c>
      <c r="B2323" t="s">
        <v>1125</v>
      </c>
      <c r="C2323" t="s">
        <v>1126</v>
      </c>
      <c r="D2323">
        <v>2012</v>
      </c>
      <c r="E2323" t="s">
        <v>105</v>
      </c>
      <c r="F2323">
        <v>454703.81</v>
      </c>
      <c r="G2323">
        <v>204</v>
      </c>
      <c r="H2323" s="11" t="str">
        <f t="shared" si="114"/>
        <v>count</v>
      </c>
    </row>
    <row r="2324" spans="1:8">
      <c r="A2324" s="11" t="str">
        <f t="shared" si="115"/>
        <v>25-725074052011</v>
      </c>
      <c r="B2324" t="s">
        <v>1125</v>
      </c>
      <c r="C2324" t="s">
        <v>1126</v>
      </c>
      <c r="D2324">
        <v>2011</v>
      </c>
      <c r="E2324" t="s">
        <v>1075</v>
      </c>
      <c r="F2324">
        <v>27657.54</v>
      </c>
      <c r="G2324">
        <v>14</v>
      </c>
      <c r="H2324" s="11" t="str">
        <f t="shared" si="114"/>
        <v>count</v>
      </c>
    </row>
    <row r="2325" spans="1:8">
      <c r="A2325" s="11" t="str">
        <f t="shared" si="115"/>
        <v>25-725074052011</v>
      </c>
      <c r="B2325" t="s">
        <v>1125</v>
      </c>
      <c r="C2325" t="s">
        <v>1126</v>
      </c>
      <c r="D2325">
        <v>2011</v>
      </c>
      <c r="E2325" t="s">
        <v>104</v>
      </c>
      <c r="F2325">
        <v>10472366.02</v>
      </c>
      <c r="G2325">
        <v>3507</v>
      </c>
      <c r="H2325" s="11" t="str">
        <f t="shared" si="114"/>
        <v>count</v>
      </c>
    </row>
    <row r="2326" spans="1:8">
      <c r="A2326" s="11" t="str">
        <f t="shared" si="115"/>
        <v>25-725074052012</v>
      </c>
      <c r="B2326" t="s">
        <v>1125</v>
      </c>
      <c r="C2326" t="s">
        <v>1126</v>
      </c>
      <c r="D2326">
        <v>2012</v>
      </c>
      <c r="E2326" t="s">
        <v>106</v>
      </c>
      <c r="F2326">
        <v>5482047.4100000001</v>
      </c>
      <c r="G2326">
        <v>2047</v>
      </c>
      <c r="H2326" s="11" t="str">
        <f t="shared" si="114"/>
        <v>count</v>
      </c>
    </row>
    <row r="2327" spans="1:8">
      <c r="A2327" s="11" t="str">
        <f t="shared" si="115"/>
        <v>25-725074052011</v>
      </c>
      <c r="B2327" t="s">
        <v>1125</v>
      </c>
      <c r="C2327" t="s">
        <v>1126</v>
      </c>
      <c r="D2327">
        <v>2011</v>
      </c>
      <c r="E2327" t="s">
        <v>1074</v>
      </c>
      <c r="F2327">
        <v>93942.21</v>
      </c>
      <c r="G2327">
        <v>33</v>
      </c>
      <c r="H2327" s="11" t="str">
        <f t="shared" si="114"/>
        <v>count</v>
      </c>
    </row>
    <row r="2328" spans="1:8">
      <c r="A2328" s="11" t="str">
        <f t="shared" si="115"/>
        <v>25-725074052011</v>
      </c>
      <c r="B2328" t="s">
        <v>1125</v>
      </c>
      <c r="C2328" t="s">
        <v>1126</v>
      </c>
      <c r="D2328">
        <v>2011</v>
      </c>
      <c r="E2328" t="s">
        <v>63</v>
      </c>
      <c r="F2328">
        <v>11347090.48</v>
      </c>
      <c r="G2328">
        <v>4528</v>
      </c>
      <c r="H2328" s="11" t="str">
        <f t="shared" si="114"/>
        <v>count</v>
      </c>
    </row>
    <row r="2329" spans="1:8">
      <c r="A2329" s="11" t="str">
        <f t="shared" si="115"/>
        <v>25-736206482012</v>
      </c>
      <c r="B2329" t="s">
        <v>1127</v>
      </c>
      <c r="C2329" t="s">
        <v>1128</v>
      </c>
      <c r="D2329">
        <v>2012</v>
      </c>
      <c r="E2329" t="s">
        <v>133</v>
      </c>
      <c r="F2329">
        <v>236150.58</v>
      </c>
      <c r="G2329">
        <v>221</v>
      </c>
      <c r="H2329" s="11" t="str">
        <f t="shared" si="114"/>
        <v>volume</v>
      </c>
    </row>
    <row r="2330" spans="1:8">
      <c r="A2330" s="11" t="str">
        <f t="shared" si="115"/>
        <v>25-736206482011</v>
      </c>
      <c r="B2330" t="s">
        <v>1127</v>
      </c>
      <c r="C2330" t="s">
        <v>1128</v>
      </c>
      <c r="D2330">
        <v>2011</v>
      </c>
      <c r="E2330" t="s">
        <v>105</v>
      </c>
      <c r="F2330">
        <v>65512.98</v>
      </c>
      <c r="G2330">
        <v>78</v>
      </c>
      <c r="H2330" s="11" t="str">
        <f t="shared" si="114"/>
        <v>count</v>
      </c>
    </row>
    <row r="2331" spans="1:8">
      <c r="A2331" s="11" t="str">
        <f t="shared" si="115"/>
        <v>25-736206482013</v>
      </c>
      <c r="B2331" t="s">
        <v>1127</v>
      </c>
      <c r="C2331" t="s">
        <v>1128</v>
      </c>
      <c r="D2331">
        <v>2013</v>
      </c>
      <c r="E2331" t="s">
        <v>104</v>
      </c>
      <c r="F2331">
        <v>353747.52</v>
      </c>
      <c r="G2331">
        <v>384</v>
      </c>
      <c r="H2331" s="11" t="str">
        <f t="shared" si="114"/>
        <v>count</v>
      </c>
    </row>
    <row r="2332" spans="1:8">
      <c r="A2332" s="11" t="str">
        <f t="shared" si="115"/>
        <v>25-736206482013</v>
      </c>
      <c r="B2332" t="s">
        <v>1127</v>
      </c>
      <c r="C2332" t="s">
        <v>1128</v>
      </c>
      <c r="D2332">
        <v>2013</v>
      </c>
      <c r="E2332" t="s">
        <v>63</v>
      </c>
      <c r="F2332">
        <v>684171.42</v>
      </c>
      <c r="G2332">
        <v>737</v>
      </c>
      <c r="H2332" s="11" t="str">
        <f t="shared" si="114"/>
        <v>count</v>
      </c>
    </row>
    <row r="2333" spans="1:8">
      <c r="A2333" s="11" t="str">
        <f t="shared" si="115"/>
        <v>25-736206482013</v>
      </c>
      <c r="B2333" t="s">
        <v>1127</v>
      </c>
      <c r="C2333" t="s">
        <v>1128</v>
      </c>
      <c r="D2333">
        <v>2013</v>
      </c>
      <c r="E2333" t="s">
        <v>69</v>
      </c>
      <c r="F2333">
        <v>386091.04</v>
      </c>
      <c r="G2333">
        <v>435</v>
      </c>
      <c r="H2333" s="11" t="str">
        <f t="shared" si="114"/>
        <v>count</v>
      </c>
    </row>
    <row r="2334" spans="1:8">
      <c r="A2334" s="11" t="str">
        <f t="shared" si="115"/>
        <v>25-736206482012</v>
      </c>
      <c r="B2334" t="s">
        <v>1127</v>
      </c>
      <c r="C2334" t="s">
        <v>1128</v>
      </c>
      <c r="D2334">
        <v>2012</v>
      </c>
      <c r="E2334" t="s">
        <v>104</v>
      </c>
      <c r="F2334">
        <v>329543.11</v>
      </c>
      <c r="G2334">
        <v>372</v>
      </c>
      <c r="H2334" s="11" t="str">
        <f t="shared" si="114"/>
        <v>count</v>
      </c>
    </row>
    <row r="2335" spans="1:8">
      <c r="A2335" s="11" t="str">
        <f t="shared" si="115"/>
        <v>25-736206482012</v>
      </c>
      <c r="B2335" t="s">
        <v>1127</v>
      </c>
      <c r="C2335" t="s">
        <v>1128</v>
      </c>
      <c r="D2335">
        <v>2012</v>
      </c>
      <c r="E2335" t="s">
        <v>63</v>
      </c>
      <c r="F2335">
        <v>591172.23</v>
      </c>
      <c r="G2335">
        <v>642</v>
      </c>
      <c r="H2335" s="11" t="str">
        <f t="shared" si="114"/>
        <v>count</v>
      </c>
    </row>
    <row r="2336" spans="1:8">
      <c r="A2336" s="11" t="str">
        <f t="shared" si="115"/>
        <v>25-736206482011</v>
      </c>
      <c r="B2336" t="s">
        <v>1127</v>
      </c>
      <c r="C2336" t="s">
        <v>1128</v>
      </c>
      <c r="D2336">
        <v>2011</v>
      </c>
      <c r="E2336" t="s">
        <v>106</v>
      </c>
      <c r="F2336">
        <v>6199.01</v>
      </c>
      <c r="G2336">
        <v>5</v>
      </c>
      <c r="H2336" s="11" t="str">
        <f t="shared" si="114"/>
        <v>count</v>
      </c>
    </row>
    <row r="2337" spans="1:8">
      <c r="A2337" s="11" t="str">
        <f t="shared" si="115"/>
        <v>25-736206482011</v>
      </c>
      <c r="B2337" t="s">
        <v>1127</v>
      </c>
      <c r="C2337" t="s">
        <v>1128</v>
      </c>
      <c r="D2337">
        <v>2011</v>
      </c>
      <c r="E2337" t="s">
        <v>104</v>
      </c>
      <c r="F2337">
        <v>362471.62</v>
      </c>
      <c r="G2337">
        <v>406</v>
      </c>
      <c r="H2337" s="11" t="str">
        <f t="shared" si="114"/>
        <v>count</v>
      </c>
    </row>
    <row r="2338" spans="1:8">
      <c r="A2338" s="11" t="str">
        <f t="shared" si="115"/>
        <v>25-736206482013</v>
      </c>
      <c r="B2338" t="s">
        <v>1127</v>
      </c>
      <c r="C2338" t="s">
        <v>1128</v>
      </c>
      <c r="D2338">
        <v>2013</v>
      </c>
      <c r="E2338" t="s">
        <v>133</v>
      </c>
      <c r="F2338">
        <v>290309.71999999997</v>
      </c>
      <c r="G2338">
        <v>287</v>
      </c>
      <c r="H2338" s="11" t="str">
        <f t="shared" si="114"/>
        <v>count</v>
      </c>
    </row>
    <row r="2339" spans="1:8">
      <c r="A2339" s="11" t="str">
        <f t="shared" si="115"/>
        <v>25-736206482011</v>
      </c>
      <c r="B2339" t="s">
        <v>1127</v>
      </c>
      <c r="C2339" t="s">
        <v>1128</v>
      </c>
      <c r="D2339">
        <v>2011</v>
      </c>
      <c r="E2339" t="s">
        <v>63</v>
      </c>
      <c r="F2339">
        <v>571423.54</v>
      </c>
      <c r="G2339">
        <v>684</v>
      </c>
      <c r="H2339" s="11" t="str">
        <f t="shared" si="114"/>
        <v>count</v>
      </c>
    </row>
    <row r="2340" spans="1:8">
      <c r="A2340" s="11" t="str">
        <f t="shared" si="115"/>
        <v>25-736206482013</v>
      </c>
      <c r="B2340" t="s">
        <v>1127</v>
      </c>
      <c r="C2340" t="s">
        <v>1128</v>
      </c>
      <c r="D2340">
        <v>2013</v>
      </c>
      <c r="E2340" t="s">
        <v>105</v>
      </c>
      <c r="F2340">
        <v>129985.45</v>
      </c>
      <c r="G2340">
        <v>137</v>
      </c>
      <c r="H2340" s="11" t="str">
        <f t="shared" si="114"/>
        <v>count</v>
      </c>
    </row>
    <row r="2341" spans="1:8">
      <c r="A2341" s="11" t="str">
        <f t="shared" si="115"/>
        <v>25-736206482012</v>
      </c>
      <c r="B2341" t="s">
        <v>1127</v>
      </c>
      <c r="C2341" t="s">
        <v>1128</v>
      </c>
      <c r="D2341">
        <v>2012</v>
      </c>
      <c r="E2341" t="s">
        <v>106</v>
      </c>
      <c r="F2341">
        <v>60301.31</v>
      </c>
      <c r="G2341">
        <v>57</v>
      </c>
      <c r="H2341" s="11" t="str">
        <f t="shared" si="114"/>
        <v>count</v>
      </c>
    </row>
    <row r="2342" spans="1:8">
      <c r="A2342" s="11" t="str">
        <f t="shared" si="115"/>
        <v>25-736206482011</v>
      </c>
      <c r="B2342" t="s">
        <v>1127</v>
      </c>
      <c r="C2342" t="s">
        <v>1128</v>
      </c>
      <c r="D2342">
        <v>2011</v>
      </c>
      <c r="E2342" t="s">
        <v>69</v>
      </c>
      <c r="F2342">
        <v>350</v>
      </c>
      <c r="G2342">
        <v>2</v>
      </c>
      <c r="H2342" s="11" t="str">
        <f t="shared" si="114"/>
        <v>count</v>
      </c>
    </row>
    <row r="2343" spans="1:8">
      <c r="A2343" s="11" t="str">
        <f t="shared" si="115"/>
        <v>25-736206482012</v>
      </c>
      <c r="B2343" t="s">
        <v>1127</v>
      </c>
      <c r="C2343" t="s">
        <v>1128</v>
      </c>
      <c r="D2343">
        <v>2012</v>
      </c>
      <c r="E2343" t="s">
        <v>105</v>
      </c>
      <c r="F2343">
        <v>130275.05</v>
      </c>
      <c r="G2343">
        <v>135</v>
      </c>
      <c r="H2343" s="11" t="str">
        <f t="shared" si="114"/>
        <v>count</v>
      </c>
    </row>
    <row r="2344" spans="1:8">
      <c r="A2344" s="11" t="str">
        <f t="shared" si="115"/>
        <v>25-736206482012</v>
      </c>
      <c r="B2344" t="s">
        <v>1127</v>
      </c>
      <c r="C2344" t="s">
        <v>1128</v>
      </c>
      <c r="D2344">
        <v>2012</v>
      </c>
      <c r="E2344" t="s">
        <v>69</v>
      </c>
      <c r="F2344">
        <v>256232.78</v>
      </c>
      <c r="G2344">
        <v>288</v>
      </c>
      <c r="H2344" s="11" t="str">
        <f t="shared" si="114"/>
        <v>count</v>
      </c>
    </row>
    <row r="2345" spans="1:8">
      <c r="A2345" s="11" t="str">
        <f t="shared" si="115"/>
        <v>25-736206482013</v>
      </c>
      <c r="B2345" t="s">
        <v>1127</v>
      </c>
      <c r="C2345" t="s">
        <v>1128</v>
      </c>
      <c r="D2345">
        <v>2013</v>
      </c>
      <c r="E2345" t="s">
        <v>106</v>
      </c>
      <c r="F2345">
        <v>57106.23</v>
      </c>
      <c r="G2345">
        <v>57</v>
      </c>
      <c r="H2345" s="11" t="str">
        <f t="shared" si="114"/>
        <v>count</v>
      </c>
    </row>
    <row r="2346" spans="1:8">
      <c r="A2346" s="11" t="str">
        <f t="shared" si="115"/>
        <v>25-736206482011</v>
      </c>
      <c r="B2346" t="s">
        <v>1127</v>
      </c>
      <c r="C2346" t="s">
        <v>1128</v>
      </c>
      <c r="D2346">
        <v>2011</v>
      </c>
      <c r="E2346" t="s">
        <v>133</v>
      </c>
      <c r="F2346">
        <v>241010.13</v>
      </c>
      <c r="G2346">
        <v>208</v>
      </c>
      <c r="H2346" s="11" t="str">
        <f t="shared" si="114"/>
        <v>count</v>
      </c>
    </row>
    <row r="2347" spans="1:8">
      <c r="A2347" s="11" t="str">
        <f t="shared" si="115"/>
        <v>25-750072812012</v>
      </c>
      <c r="B2347" t="s">
        <v>1129</v>
      </c>
      <c r="C2347" t="s">
        <v>1130</v>
      </c>
      <c r="D2347">
        <v>2012</v>
      </c>
      <c r="E2347" t="s">
        <v>133</v>
      </c>
      <c r="F2347">
        <v>174628.97</v>
      </c>
      <c r="G2347">
        <v>51</v>
      </c>
      <c r="H2347" s="11" t="str">
        <f t="shared" si="114"/>
        <v>volume</v>
      </c>
    </row>
    <row r="2348" spans="1:8">
      <c r="A2348" s="11" t="str">
        <f t="shared" si="115"/>
        <v>25-750072812012</v>
      </c>
      <c r="B2348" t="s">
        <v>1129</v>
      </c>
      <c r="C2348" t="s">
        <v>1130</v>
      </c>
      <c r="D2348">
        <v>2012</v>
      </c>
      <c r="E2348" t="s">
        <v>69</v>
      </c>
      <c r="F2348">
        <v>60271.65</v>
      </c>
      <c r="G2348">
        <v>32</v>
      </c>
      <c r="H2348" s="11" t="str">
        <f t="shared" si="114"/>
        <v>count</v>
      </c>
    </row>
    <row r="2349" spans="1:8">
      <c r="A2349" s="11" t="str">
        <f t="shared" si="115"/>
        <v>25-750072812013</v>
      </c>
      <c r="B2349" t="s">
        <v>1129</v>
      </c>
      <c r="C2349" t="s">
        <v>1130</v>
      </c>
      <c r="D2349">
        <v>2013</v>
      </c>
      <c r="E2349" t="s">
        <v>105</v>
      </c>
      <c r="F2349">
        <v>16476.72</v>
      </c>
      <c r="G2349">
        <v>6</v>
      </c>
      <c r="H2349" s="11" t="str">
        <f t="shared" si="114"/>
        <v>count</v>
      </c>
    </row>
    <row r="2350" spans="1:8">
      <c r="A2350" s="11" t="str">
        <f t="shared" si="115"/>
        <v>25-750072812011</v>
      </c>
      <c r="B2350" t="s">
        <v>1129</v>
      </c>
      <c r="C2350" t="s">
        <v>1130</v>
      </c>
      <c r="D2350">
        <v>2011</v>
      </c>
      <c r="E2350" t="s">
        <v>133</v>
      </c>
      <c r="F2350">
        <v>177986.28</v>
      </c>
      <c r="G2350">
        <v>46</v>
      </c>
      <c r="H2350" s="11" t="str">
        <f t="shared" si="114"/>
        <v>count</v>
      </c>
    </row>
    <row r="2351" spans="1:8">
      <c r="A2351" s="11" t="str">
        <f t="shared" si="115"/>
        <v>25-750072812012</v>
      </c>
      <c r="B2351" t="s">
        <v>1129</v>
      </c>
      <c r="C2351" t="s">
        <v>1130</v>
      </c>
      <c r="D2351">
        <v>2012</v>
      </c>
      <c r="E2351" t="s">
        <v>63</v>
      </c>
      <c r="F2351">
        <v>408741.38</v>
      </c>
      <c r="G2351">
        <v>108</v>
      </c>
      <c r="H2351" s="11" t="str">
        <f t="shared" si="114"/>
        <v>count</v>
      </c>
    </row>
    <row r="2352" spans="1:8">
      <c r="A2352" s="11" t="str">
        <f t="shared" si="115"/>
        <v>25-750072812012</v>
      </c>
      <c r="B2352" t="s">
        <v>1129</v>
      </c>
      <c r="C2352" t="s">
        <v>1130</v>
      </c>
      <c r="D2352">
        <v>2012</v>
      </c>
      <c r="E2352" t="s">
        <v>104</v>
      </c>
      <c r="F2352">
        <v>159951.54</v>
      </c>
      <c r="G2352">
        <v>57</v>
      </c>
      <c r="H2352" s="11" t="str">
        <f t="shared" si="114"/>
        <v>count</v>
      </c>
    </row>
    <row r="2353" spans="1:8">
      <c r="A2353" s="11" t="str">
        <f t="shared" si="115"/>
        <v>25-750072812013</v>
      </c>
      <c r="B2353" t="s">
        <v>1129</v>
      </c>
      <c r="C2353" t="s">
        <v>1130</v>
      </c>
      <c r="D2353">
        <v>2013</v>
      </c>
      <c r="E2353" t="s">
        <v>104</v>
      </c>
      <c r="F2353">
        <v>185678.05</v>
      </c>
      <c r="G2353">
        <v>52</v>
      </c>
      <c r="H2353" s="11" t="str">
        <f t="shared" si="114"/>
        <v>count</v>
      </c>
    </row>
    <row r="2354" spans="1:8">
      <c r="A2354" s="11" t="str">
        <f t="shared" si="115"/>
        <v>25-750072812011</v>
      </c>
      <c r="B2354" t="s">
        <v>1129</v>
      </c>
      <c r="C2354" t="s">
        <v>1130</v>
      </c>
      <c r="D2354">
        <v>2011</v>
      </c>
      <c r="E2354" t="s">
        <v>105</v>
      </c>
      <c r="F2354">
        <v>2750</v>
      </c>
      <c r="G2354">
        <v>1</v>
      </c>
      <c r="H2354" s="11" t="str">
        <f t="shared" si="114"/>
        <v>count</v>
      </c>
    </row>
    <row r="2355" spans="1:8">
      <c r="A2355" s="11" t="str">
        <f t="shared" si="115"/>
        <v>25-750072812012</v>
      </c>
      <c r="B2355" t="s">
        <v>1129</v>
      </c>
      <c r="C2355" t="s">
        <v>1130</v>
      </c>
      <c r="D2355">
        <v>2012</v>
      </c>
      <c r="E2355" t="s">
        <v>106</v>
      </c>
      <c r="F2355">
        <v>7660</v>
      </c>
      <c r="G2355">
        <v>1</v>
      </c>
      <c r="H2355" s="11" t="str">
        <f t="shared" si="114"/>
        <v>count</v>
      </c>
    </row>
    <row r="2356" spans="1:8">
      <c r="A2356" s="11" t="str">
        <f t="shared" si="115"/>
        <v>25-750072812013</v>
      </c>
      <c r="B2356" t="s">
        <v>1129</v>
      </c>
      <c r="C2356" t="s">
        <v>1130</v>
      </c>
      <c r="D2356">
        <v>2013</v>
      </c>
      <c r="E2356" t="s">
        <v>63</v>
      </c>
      <c r="F2356">
        <v>325622.67</v>
      </c>
      <c r="G2356">
        <v>98</v>
      </c>
      <c r="H2356" s="11" t="str">
        <f t="shared" si="114"/>
        <v>count</v>
      </c>
    </row>
    <row r="2357" spans="1:8">
      <c r="A2357" s="11" t="str">
        <f t="shared" si="115"/>
        <v>25-750072812011</v>
      </c>
      <c r="B2357" t="s">
        <v>1129</v>
      </c>
      <c r="C2357" t="s">
        <v>1130</v>
      </c>
      <c r="D2357">
        <v>2011</v>
      </c>
      <c r="E2357" t="s">
        <v>104</v>
      </c>
      <c r="F2357">
        <v>58053.599999999999</v>
      </c>
      <c r="G2357">
        <v>18</v>
      </c>
      <c r="H2357" s="11" t="str">
        <f t="shared" si="114"/>
        <v>count</v>
      </c>
    </row>
    <row r="2358" spans="1:8">
      <c r="A2358" s="11" t="str">
        <f t="shared" si="115"/>
        <v>25-750072812013</v>
      </c>
      <c r="B2358" t="s">
        <v>1129</v>
      </c>
      <c r="C2358" t="s">
        <v>1130</v>
      </c>
      <c r="D2358">
        <v>2013</v>
      </c>
      <c r="E2358" t="s">
        <v>133</v>
      </c>
      <c r="F2358">
        <v>107636.58</v>
      </c>
      <c r="G2358">
        <v>21</v>
      </c>
      <c r="H2358" s="11" t="str">
        <f t="shared" si="114"/>
        <v>count</v>
      </c>
    </row>
    <row r="2359" spans="1:8">
      <c r="A2359" s="11" t="str">
        <f t="shared" si="115"/>
        <v>25-750072812012</v>
      </c>
      <c r="B2359" t="s">
        <v>1129</v>
      </c>
      <c r="C2359" t="s">
        <v>1130</v>
      </c>
      <c r="D2359">
        <v>2012</v>
      </c>
      <c r="E2359" t="s">
        <v>105</v>
      </c>
      <c r="F2359">
        <v>18174.96</v>
      </c>
      <c r="G2359">
        <v>5</v>
      </c>
      <c r="H2359" s="11" t="str">
        <f t="shared" si="114"/>
        <v>count</v>
      </c>
    </row>
    <row r="2360" spans="1:8">
      <c r="A2360" s="11" t="str">
        <f t="shared" si="115"/>
        <v>25-750072812011</v>
      </c>
      <c r="B2360" t="s">
        <v>1129</v>
      </c>
      <c r="C2360" t="s">
        <v>1130</v>
      </c>
      <c r="D2360">
        <v>2011</v>
      </c>
      <c r="E2360" t="s">
        <v>63</v>
      </c>
      <c r="F2360">
        <v>258808.02</v>
      </c>
      <c r="G2360">
        <v>76</v>
      </c>
      <c r="H2360" s="11" t="str">
        <f t="shared" si="114"/>
        <v>count</v>
      </c>
    </row>
    <row r="2361" spans="1:8">
      <c r="A2361" s="11" t="str">
        <f t="shared" si="115"/>
        <v>25-750072812013</v>
      </c>
      <c r="B2361" t="s">
        <v>1129</v>
      </c>
      <c r="C2361" t="s">
        <v>1130</v>
      </c>
      <c r="D2361">
        <v>2013</v>
      </c>
      <c r="E2361" t="s">
        <v>69</v>
      </c>
      <c r="F2361">
        <v>23299.45</v>
      </c>
      <c r="G2361">
        <v>19</v>
      </c>
      <c r="H2361" s="11" t="str">
        <f t="shared" si="114"/>
        <v>count</v>
      </c>
    </row>
    <row r="2362" spans="1:8">
      <c r="A2362" s="11" t="str">
        <f t="shared" si="115"/>
        <v>25-756583282012</v>
      </c>
      <c r="B2362" t="s">
        <v>1131</v>
      </c>
      <c r="C2362" t="s">
        <v>1132</v>
      </c>
      <c r="D2362">
        <v>2012</v>
      </c>
      <c r="E2362" t="s">
        <v>63</v>
      </c>
      <c r="F2362">
        <v>77708.05</v>
      </c>
      <c r="G2362">
        <v>470</v>
      </c>
      <c r="H2362" s="11" t="str">
        <f t="shared" si="114"/>
        <v>volume</v>
      </c>
    </row>
    <row r="2363" spans="1:8">
      <c r="A2363" s="11" t="str">
        <f t="shared" si="115"/>
        <v>25-756583282013</v>
      </c>
      <c r="B2363" t="s">
        <v>1131</v>
      </c>
      <c r="C2363" t="s">
        <v>1132</v>
      </c>
      <c r="D2363">
        <v>2013</v>
      </c>
      <c r="E2363" t="s">
        <v>105</v>
      </c>
      <c r="F2363">
        <v>2661.55</v>
      </c>
      <c r="G2363">
        <v>10</v>
      </c>
      <c r="H2363" s="11" t="str">
        <f t="shared" si="114"/>
        <v>count</v>
      </c>
    </row>
    <row r="2364" spans="1:8">
      <c r="A2364" s="11" t="str">
        <f t="shared" si="115"/>
        <v>25-756583282012</v>
      </c>
      <c r="B2364" t="s">
        <v>1131</v>
      </c>
      <c r="C2364" t="s">
        <v>1132</v>
      </c>
      <c r="D2364">
        <v>2012</v>
      </c>
      <c r="E2364" t="s">
        <v>69</v>
      </c>
      <c r="F2364">
        <v>122377.22</v>
      </c>
      <c r="G2364">
        <v>759</v>
      </c>
      <c r="H2364" s="11" t="str">
        <f t="shared" si="114"/>
        <v>count</v>
      </c>
    </row>
    <row r="2365" spans="1:8">
      <c r="A2365" s="11" t="str">
        <f t="shared" si="115"/>
        <v>25-756583282012</v>
      </c>
      <c r="B2365" t="s">
        <v>1131</v>
      </c>
      <c r="C2365" t="s">
        <v>1132</v>
      </c>
      <c r="D2365">
        <v>2012</v>
      </c>
      <c r="E2365" t="s">
        <v>104</v>
      </c>
      <c r="F2365">
        <v>39539.910000000003</v>
      </c>
      <c r="G2365">
        <v>254</v>
      </c>
      <c r="H2365" s="11" t="str">
        <f t="shared" si="114"/>
        <v>count</v>
      </c>
    </row>
    <row r="2366" spans="1:8">
      <c r="A2366" s="11" t="str">
        <f t="shared" si="115"/>
        <v>25-756583282011</v>
      </c>
      <c r="B2366" t="s">
        <v>1131</v>
      </c>
      <c r="C2366" t="s">
        <v>1132</v>
      </c>
      <c r="D2366">
        <v>2011</v>
      </c>
      <c r="E2366" t="s">
        <v>104</v>
      </c>
      <c r="F2366">
        <v>43118.48</v>
      </c>
      <c r="G2366">
        <v>309</v>
      </c>
      <c r="H2366" s="11" t="str">
        <f t="shared" si="114"/>
        <v>count</v>
      </c>
    </row>
    <row r="2367" spans="1:8">
      <c r="A2367" s="11" t="str">
        <f t="shared" si="115"/>
        <v>25-756583282011</v>
      </c>
      <c r="B2367" t="s">
        <v>1131</v>
      </c>
      <c r="C2367" t="s">
        <v>1132</v>
      </c>
      <c r="D2367">
        <v>2011</v>
      </c>
      <c r="E2367" t="s">
        <v>63</v>
      </c>
      <c r="F2367">
        <v>153852.48000000001</v>
      </c>
      <c r="G2367">
        <v>1002</v>
      </c>
      <c r="H2367" s="11" t="str">
        <f t="shared" si="114"/>
        <v>count</v>
      </c>
    </row>
    <row r="2368" spans="1:8">
      <c r="A2368" s="11" t="str">
        <f t="shared" si="115"/>
        <v>25-756583282013</v>
      </c>
      <c r="B2368" t="s">
        <v>1131</v>
      </c>
      <c r="C2368" t="s">
        <v>1132</v>
      </c>
      <c r="D2368">
        <v>2013</v>
      </c>
      <c r="E2368" t="s">
        <v>69</v>
      </c>
      <c r="F2368">
        <v>132199.91</v>
      </c>
      <c r="G2368">
        <v>789</v>
      </c>
      <c r="H2368" s="11" t="str">
        <f t="shared" si="114"/>
        <v>count</v>
      </c>
    </row>
    <row r="2369" spans="1:8">
      <c r="A2369" s="11" t="str">
        <f t="shared" si="115"/>
        <v>25-756583282012</v>
      </c>
      <c r="B2369" t="s">
        <v>1131</v>
      </c>
      <c r="C2369" t="s">
        <v>1132</v>
      </c>
      <c r="D2369">
        <v>2012</v>
      </c>
      <c r="E2369" t="s">
        <v>105</v>
      </c>
      <c r="F2369">
        <v>4052.5</v>
      </c>
      <c r="G2369">
        <v>14</v>
      </c>
      <c r="H2369" s="11" t="str">
        <f t="shared" si="114"/>
        <v>count</v>
      </c>
    </row>
    <row r="2370" spans="1:8">
      <c r="A2370" s="11" t="str">
        <f t="shared" si="115"/>
        <v>25-756583282013</v>
      </c>
      <c r="B2370" t="s">
        <v>1131</v>
      </c>
      <c r="C2370" t="s">
        <v>1132</v>
      </c>
      <c r="D2370">
        <v>2013</v>
      </c>
      <c r="E2370" t="s">
        <v>63</v>
      </c>
      <c r="F2370">
        <v>76093.48</v>
      </c>
      <c r="G2370">
        <v>414</v>
      </c>
      <c r="H2370" s="11" t="str">
        <f t="shared" ref="H2370:H2433" si="116">IF(B2370=B2369,"count","volume")</f>
        <v>count</v>
      </c>
    </row>
    <row r="2371" spans="1:8">
      <c r="A2371" s="11" t="str">
        <f t="shared" ref="A2371:A2434" si="117">B2371&amp;D2371</f>
        <v>25-756583282011</v>
      </c>
      <c r="B2371" t="s">
        <v>1131</v>
      </c>
      <c r="C2371" t="s">
        <v>1132</v>
      </c>
      <c r="D2371">
        <v>2011</v>
      </c>
      <c r="E2371" t="s">
        <v>69</v>
      </c>
      <c r="F2371">
        <v>245</v>
      </c>
      <c r="G2371">
        <v>1</v>
      </c>
      <c r="H2371" s="11" t="str">
        <f t="shared" si="116"/>
        <v>count</v>
      </c>
    </row>
    <row r="2372" spans="1:8">
      <c r="A2372" s="11" t="str">
        <f t="shared" si="117"/>
        <v>25-756583282013</v>
      </c>
      <c r="B2372" t="s">
        <v>1131</v>
      </c>
      <c r="C2372" t="s">
        <v>1132</v>
      </c>
      <c r="D2372">
        <v>2013</v>
      </c>
      <c r="E2372" t="s">
        <v>104</v>
      </c>
      <c r="F2372">
        <v>33116.01</v>
      </c>
      <c r="G2372">
        <v>165</v>
      </c>
      <c r="H2372" s="11" t="str">
        <f t="shared" si="116"/>
        <v>count</v>
      </c>
    </row>
    <row r="2373" spans="1:8">
      <c r="A2373" s="11" t="str">
        <f t="shared" si="117"/>
        <v>25-756583282011</v>
      </c>
      <c r="B2373" t="s">
        <v>1131</v>
      </c>
      <c r="C2373" t="s">
        <v>1132</v>
      </c>
      <c r="D2373">
        <v>2011</v>
      </c>
      <c r="E2373" t="s">
        <v>105</v>
      </c>
      <c r="F2373">
        <v>7133.5</v>
      </c>
      <c r="G2373">
        <v>21</v>
      </c>
      <c r="H2373" s="11" t="str">
        <f t="shared" si="116"/>
        <v>count</v>
      </c>
    </row>
    <row r="2374" spans="1:8">
      <c r="A2374" s="11" t="str">
        <f t="shared" si="117"/>
        <v>25-774596772011</v>
      </c>
      <c r="B2374" t="s">
        <v>1133</v>
      </c>
      <c r="C2374" t="s">
        <v>1134</v>
      </c>
      <c r="D2374">
        <v>2011</v>
      </c>
      <c r="E2374" t="s">
        <v>104</v>
      </c>
      <c r="F2374">
        <v>280826.31</v>
      </c>
      <c r="G2374">
        <v>165</v>
      </c>
      <c r="H2374" s="11" t="str">
        <f t="shared" si="116"/>
        <v>volume</v>
      </c>
    </row>
    <row r="2375" spans="1:8">
      <c r="A2375" s="11" t="str">
        <f t="shared" si="117"/>
        <v>25-774596772011</v>
      </c>
      <c r="B2375" t="s">
        <v>1133</v>
      </c>
      <c r="C2375" t="s">
        <v>1134</v>
      </c>
      <c r="D2375">
        <v>2011</v>
      </c>
      <c r="E2375" t="s">
        <v>63</v>
      </c>
      <c r="F2375">
        <v>493129.49</v>
      </c>
      <c r="G2375">
        <v>347</v>
      </c>
      <c r="H2375" s="11" t="str">
        <f t="shared" si="116"/>
        <v>count</v>
      </c>
    </row>
    <row r="2376" spans="1:8">
      <c r="A2376" s="11" t="str">
        <f t="shared" si="117"/>
        <v>25-774596772011</v>
      </c>
      <c r="B2376" t="s">
        <v>1133</v>
      </c>
      <c r="C2376" t="s">
        <v>1134</v>
      </c>
      <c r="D2376">
        <v>2011</v>
      </c>
      <c r="E2376" t="s">
        <v>1074</v>
      </c>
      <c r="F2376">
        <v>11014.2</v>
      </c>
      <c r="G2376">
        <v>10</v>
      </c>
      <c r="H2376" s="11" t="str">
        <f t="shared" si="116"/>
        <v>count</v>
      </c>
    </row>
    <row r="2377" spans="1:8">
      <c r="A2377" s="11" t="str">
        <f t="shared" si="117"/>
        <v>25-774596772012</v>
      </c>
      <c r="B2377" t="s">
        <v>1133</v>
      </c>
      <c r="C2377" t="s">
        <v>1134</v>
      </c>
      <c r="D2377">
        <v>2012</v>
      </c>
      <c r="E2377" t="s">
        <v>105</v>
      </c>
      <c r="F2377">
        <v>4069.8</v>
      </c>
      <c r="G2377">
        <v>2</v>
      </c>
      <c r="H2377" s="11" t="str">
        <f t="shared" si="116"/>
        <v>count</v>
      </c>
    </row>
    <row r="2378" spans="1:8">
      <c r="A2378" s="11" t="str">
        <f t="shared" si="117"/>
        <v>25-774596772011</v>
      </c>
      <c r="B2378" t="s">
        <v>1133</v>
      </c>
      <c r="C2378" t="s">
        <v>1134</v>
      </c>
      <c r="D2378">
        <v>2011</v>
      </c>
      <c r="E2378" t="s">
        <v>1075</v>
      </c>
      <c r="F2378">
        <v>8122.79</v>
      </c>
      <c r="G2378">
        <v>14</v>
      </c>
      <c r="H2378" s="11" t="str">
        <f t="shared" si="116"/>
        <v>count</v>
      </c>
    </row>
    <row r="2379" spans="1:8">
      <c r="A2379" s="11" t="str">
        <f t="shared" si="117"/>
        <v>25-774596772011</v>
      </c>
      <c r="B2379" t="s">
        <v>1133</v>
      </c>
      <c r="C2379" t="s">
        <v>1134</v>
      </c>
      <c r="D2379">
        <v>2011</v>
      </c>
      <c r="E2379" t="s">
        <v>133</v>
      </c>
      <c r="F2379">
        <v>324269.81</v>
      </c>
      <c r="G2379">
        <v>134</v>
      </c>
      <c r="H2379" s="11" t="str">
        <f t="shared" si="116"/>
        <v>count</v>
      </c>
    </row>
    <row r="2380" spans="1:8">
      <c r="A2380" s="11" t="str">
        <f t="shared" si="117"/>
        <v>25-774596772011</v>
      </c>
      <c r="B2380" t="s">
        <v>1133</v>
      </c>
      <c r="C2380" t="s">
        <v>1134</v>
      </c>
      <c r="D2380">
        <v>2011</v>
      </c>
      <c r="E2380" t="s">
        <v>105</v>
      </c>
      <c r="F2380">
        <v>74735.179999999993</v>
      </c>
      <c r="G2380">
        <v>61</v>
      </c>
      <c r="H2380" s="11" t="str">
        <f t="shared" si="116"/>
        <v>count</v>
      </c>
    </row>
    <row r="2381" spans="1:8">
      <c r="A2381" s="11" t="str">
        <f t="shared" si="117"/>
        <v>25-774596772012</v>
      </c>
      <c r="B2381" t="s">
        <v>1133</v>
      </c>
      <c r="C2381" t="s">
        <v>1134</v>
      </c>
      <c r="D2381">
        <v>2012</v>
      </c>
      <c r="E2381" t="s">
        <v>133</v>
      </c>
      <c r="F2381">
        <v>185735.51</v>
      </c>
      <c r="G2381">
        <v>49</v>
      </c>
      <c r="H2381" s="11" t="str">
        <f t="shared" si="116"/>
        <v>count</v>
      </c>
    </row>
    <row r="2382" spans="1:8">
      <c r="A2382" s="11" t="str">
        <f t="shared" si="117"/>
        <v>25-774596772012</v>
      </c>
      <c r="B2382" t="s">
        <v>1133</v>
      </c>
      <c r="C2382" t="s">
        <v>1134</v>
      </c>
      <c r="D2382">
        <v>2012</v>
      </c>
      <c r="E2382" t="s">
        <v>104</v>
      </c>
      <c r="F2382">
        <v>75965.240000000005</v>
      </c>
      <c r="G2382">
        <v>25</v>
      </c>
      <c r="H2382" s="11" t="str">
        <f t="shared" si="116"/>
        <v>count</v>
      </c>
    </row>
    <row r="2383" spans="1:8">
      <c r="A2383" s="11" t="str">
        <f t="shared" si="117"/>
        <v>25-774596772011</v>
      </c>
      <c r="B2383" t="s">
        <v>1133</v>
      </c>
      <c r="C2383" t="s">
        <v>1134</v>
      </c>
      <c r="D2383">
        <v>2011</v>
      </c>
      <c r="E2383" t="s">
        <v>1076</v>
      </c>
      <c r="F2383">
        <v>7856.16</v>
      </c>
      <c r="G2383">
        <v>7</v>
      </c>
      <c r="H2383" s="11" t="str">
        <f t="shared" si="116"/>
        <v>count</v>
      </c>
    </row>
    <row r="2384" spans="1:8">
      <c r="A2384" s="11" t="str">
        <f t="shared" si="117"/>
        <v>25-774596772012</v>
      </c>
      <c r="B2384" t="s">
        <v>1133</v>
      </c>
      <c r="C2384" t="s">
        <v>1134</v>
      </c>
      <c r="D2384">
        <v>2012</v>
      </c>
      <c r="E2384" t="s">
        <v>63</v>
      </c>
      <c r="F2384">
        <v>77940.149999999994</v>
      </c>
      <c r="G2384">
        <v>25</v>
      </c>
      <c r="H2384" s="11" t="str">
        <f t="shared" si="116"/>
        <v>count</v>
      </c>
    </row>
    <row r="2385" spans="1:8">
      <c r="A2385" s="11" t="str">
        <f t="shared" si="117"/>
        <v>25-774596772012</v>
      </c>
      <c r="B2385" t="s">
        <v>1133</v>
      </c>
      <c r="C2385" t="s">
        <v>1134</v>
      </c>
      <c r="D2385">
        <v>2012</v>
      </c>
      <c r="E2385" t="s">
        <v>69</v>
      </c>
      <c r="F2385">
        <v>7528</v>
      </c>
      <c r="G2385">
        <v>4</v>
      </c>
      <c r="H2385" s="11" t="str">
        <f t="shared" si="116"/>
        <v>count</v>
      </c>
    </row>
    <row r="2386" spans="1:8">
      <c r="A2386" s="11" t="str">
        <f t="shared" si="117"/>
        <v>25-794267272011</v>
      </c>
      <c r="B2386" t="s">
        <v>1135</v>
      </c>
      <c r="C2386" t="s">
        <v>1136</v>
      </c>
      <c r="D2386">
        <v>2011</v>
      </c>
      <c r="E2386" t="s">
        <v>63</v>
      </c>
      <c r="F2386">
        <v>869676.4</v>
      </c>
      <c r="G2386">
        <v>752</v>
      </c>
      <c r="H2386" s="11" t="str">
        <f t="shared" si="116"/>
        <v>volume</v>
      </c>
    </row>
    <row r="2387" spans="1:8">
      <c r="A2387" s="11" t="str">
        <f t="shared" si="117"/>
        <v>25-794267272011</v>
      </c>
      <c r="B2387" t="s">
        <v>1135</v>
      </c>
      <c r="C2387" t="s">
        <v>1136</v>
      </c>
      <c r="D2387">
        <v>2011</v>
      </c>
      <c r="E2387" t="s">
        <v>104</v>
      </c>
      <c r="F2387">
        <v>618696.31999999995</v>
      </c>
      <c r="G2387">
        <v>499</v>
      </c>
      <c r="H2387" s="11" t="str">
        <f t="shared" si="116"/>
        <v>count</v>
      </c>
    </row>
    <row r="2388" spans="1:8">
      <c r="A2388" s="11" t="str">
        <f t="shared" si="117"/>
        <v>25-794267272012</v>
      </c>
      <c r="B2388" t="s">
        <v>1135</v>
      </c>
      <c r="C2388" t="s">
        <v>1136</v>
      </c>
      <c r="D2388">
        <v>2012</v>
      </c>
      <c r="E2388" t="s">
        <v>106</v>
      </c>
      <c r="F2388">
        <v>44868.9</v>
      </c>
      <c r="G2388">
        <v>7</v>
      </c>
      <c r="H2388" s="11" t="str">
        <f t="shared" si="116"/>
        <v>count</v>
      </c>
    </row>
    <row r="2389" spans="1:8">
      <c r="A2389" s="11" t="str">
        <f t="shared" si="117"/>
        <v>25-794267272013</v>
      </c>
      <c r="B2389" t="s">
        <v>1135</v>
      </c>
      <c r="C2389" t="s">
        <v>1136</v>
      </c>
      <c r="D2389">
        <v>2013</v>
      </c>
      <c r="E2389" t="s">
        <v>104</v>
      </c>
      <c r="F2389">
        <v>477510.76</v>
      </c>
      <c r="G2389">
        <v>396</v>
      </c>
      <c r="H2389" s="11" t="str">
        <f t="shared" si="116"/>
        <v>count</v>
      </c>
    </row>
    <row r="2390" spans="1:8">
      <c r="A2390" s="11" t="str">
        <f t="shared" si="117"/>
        <v>25-794267272013</v>
      </c>
      <c r="B2390" t="s">
        <v>1135</v>
      </c>
      <c r="C2390" t="s">
        <v>1136</v>
      </c>
      <c r="D2390">
        <v>2013</v>
      </c>
      <c r="E2390" t="s">
        <v>63</v>
      </c>
      <c r="F2390">
        <v>707524.79</v>
      </c>
      <c r="G2390">
        <v>575</v>
      </c>
      <c r="H2390" s="11" t="str">
        <f t="shared" si="116"/>
        <v>count</v>
      </c>
    </row>
    <row r="2391" spans="1:8">
      <c r="A2391" s="11" t="str">
        <f t="shared" si="117"/>
        <v>25-794267272012</v>
      </c>
      <c r="B2391" t="s">
        <v>1135</v>
      </c>
      <c r="C2391" t="s">
        <v>1136</v>
      </c>
      <c r="D2391">
        <v>2012</v>
      </c>
      <c r="E2391" t="s">
        <v>69</v>
      </c>
      <c r="F2391">
        <v>178474.25</v>
      </c>
      <c r="G2391">
        <v>170</v>
      </c>
      <c r="H2391" s="11" t="str">
        <f t="shared" si="116"/>
        <v>count</v>
      </c>
    </row>
    <row r="2392" spans="1:8">
      <c r="A2392" s="11" t="str">
        <f t="shared" si="117"/>
        <v>25-794267272012</v>
      </c>
      <c r="B2392" t="s">
        <v>1135</v>
      </c>
      <c r="C2392" t="s">
        <v>1136</v>
      </c>
      <c r="D2392">
        <v>2012</v>
      </c>
      <c r="E2392" t="s">
        <v>104</v>
      </c>
      <c r="F2392">
        <v>516713</v>
      </c>
      <c r="G2392">
        <v>438</v>
      </c>
      <c r="H2392" s="11" t="str">
        <f t="shared" si="116"/>
        <v>count</v>
      </c>
    </row>
    <row r="2393" spans="1:8">
      <c r="A2393" s="11" t="str">
        <f t="shared" si="117"/>
        <v>25-794267272012</v>
      </c>
      <c r="B2393" t="s">
        <v>1135</v>
      </c>
      <c r="C2393" t="s">
        <v>1136</v>
      </c>
      <c r="D2393">
        <v>2012</v>
      </c>
      <c r="E2393" t="s">
        <v>63</v>
      </c>
      <c r="F2393">
        <v>747764.51</v>
      </c>
      <c r="G2393">
        <v>614</v>
      </c>
      <c r="H2393" s="11" t="str">
        <f t="shared" si="116"/>
        <v>count</v>
      </c>
    </row>
    <row r="2394" spans="1:8">
      <c r="A2394" s="11" t="str">
        <f t="shared" si="117"/>
        <v>25-794267272011</v>
      </c>
      <c r="B2394" t="s">
        <v>1135</v>
      </c>
      <c r="C2394" t="s">
        <v>1136</v>
      </c>
      <c r="D2394">
        <v>2011</v>
      </c>
      <c r="E2394" t="s">
        <v>106</v>
      </c>
      <c r="F2394">
        <v>47491.08</v>
      </c>
      <c r="G2394">
        <v>28</v>
      </c>
      <c r="H2394" s="11" t="str">
        <f t="shared" si="116"/>
        <v>count</v>
      </c>
    </row>
    <row r="2395" spans="1:8">
      <c r="A2395" s="11" t="str">
        <f t="shared" si="117"/>
        <v>25-794267272013</v>
      </c>
      <c r="B2395" t="s">
        <v>1135</v>
      </c>
      <c r="C2395" t="s">
        <v>1136</v>
      </c>
      <c r="D2395">
        <v>2013</v>
      </c>
      <c r="E2395" t="s">
        <v>69</v>
      </c>
      <c r="F2395">
        <v>176468.27</v>
      </c>
      <c r="G2395">
        <v>163</v>
      </c>
      <c r="H2395" s="11" t="str">
        <f t="shared" si="116"/>
        <v>count</v>
      </c>
    </row>
    <row r="2396" spans="1:8">
      <c r="A2396" s="11" t="str">
        <f t="shared" si="117"/>
        <v>25-795019542012</v>
      </c>
      <c r="B2396" t="s">
        <v>1137</v>
      </c>
      <c r="C2396" t="s">
        <v>1138</v>
      </c>
      <c r="D2396">
        <v>2012</v>
      </c>
      <c r="E2396" t="s">
        <v>69</v>
      </c>
      <c r="F2396">
        <v>42527.21</v>
      </c>
      <c r="G2396">
        <v>33</v>
      </c>
      <c r="H2396" s="11" t="str">
        <f t="shared" si="116"/>
        <v>volume</v>
      </c>
    </row>
    <row r="2397" spans="1:8">
      <c r="A2397" s="11" t="str">
        <f t="shared" si="117"/>
        <v>25-795019542011</v>
      </c>
      <c r="B2397" t="s">
        <v>1137</v>
      </c>
      <c r="C2397" t="s">
        <v>1138</v>
      </c>
      <c r="D2397">
        <v>2011</v>
      </c>
      <c r="E2397" t="s">
        <v>104</v>
      </c>
      <c r="F2397">
        <v>241172.58</v>
      </c>
      <c r="G2397">
        <v>184</v>
      </c>
      <c r="H2397" s="11" t="str">
        <f t="shared" si="116"/>
        <v>count</v>
      </c>
    </row>
    <row r="2398" spans="1:8">
      <c r="A2398" s="11" t="str">
        <f t="shared" si="117"/>
        <v>25-795019542011</v>
      </c>
      <c r="B2398" t="s">
        <v>1137</v>
      </c>
      <c r="C2398" t="s">
        <v>1138</v>
      </c>
      <c r="D2398">
        <v>2011</v>
      </c>
      <c r="E2398" t="s">
        <v>63</v>
      </c>
      <c r="F2398">
        <v>402589.62</v>
      </c>
      <c r="G2398">
        <v>304</v>
      </c>
      <c r="H2398" s="11" t="str">
        <f t="shared" si="116"/>
        <v>count</v>
      </c>
    </row>
    <row r="2399" spans="1:8">
      <c r="A2399" s="11" t="str">
        <f t="shared" si="117"/>
        <v>25-795019542011</v>
      </c>
      <c r="B2399" t="s">
        <v>1137</v>
      </c>
      <c r="C2399" t="s">
        <v>1138</v>
      </c>
      <c r="D2399">
        <v>2011</v>
      </c>
      <c r="E2399" t="s">
        <v>133</v>
      </c>
      <c r="F2399">
        <v>337494.3</v>
      </c>
      <c r="G2399">
        <v>267</v>
      </c>
      <c r="H2399" s="11" t="str">
        <f t="shared" si="116"/>
        <v>count</v>
      </c>
    </row>
    <row r="2400" spans="1:8">
      <c r="A2400" s="11" t="str">
        <f t="shared" si="117"/>
        <v>25-795019542012</v>
      </c>
      <c r="B2400" t="s">
        <v>1137</v>
      </c>
      <c r="C2400" t="s">
        <v>1138</v>
      </c>
      <c r="D2400">
        <v>2012</v>
      </c>
      <c r="E2400" t="s">
        <v>63</v>
      </c>
      <c r="F2400">
        <v>414965.05</v>
      </c>
      <c r="G2400">
        <v>313</v>
      </c>
      <c r="H2400" s="11" t="str">
        <f t="shared" si="116"/>
        <v>count</v>
      </c>
    </row>
    <row r="2401" spans="1:8">
      <c r="A2401" s="11" t="str">
        <f t="shared" si="117"/>
        <v>25-795019542012</v>
      </c>
      <c r="B2401" t="s">
        <v>1137</v>
      </c>
      <c r="C2401" t="s">
        <v>1138</v>
      </c>
      <c r="D2401">
        <v>2012</v>
      </c>
      <c r="E2401" t="s">
        <v>104</v>
      </c>
      <c r="F2401">
        <v>221051.77</v>
      </c>
      <c r="G2401">
        <v>164</v>
      </c>
      <c r="H2401" s="11" t="str">
        <f t="shared" si="116"/>
        <v>count</v>
      </c>
    </row>
    <row r="2402" spans="1:8">
      <c r="A2402" s="11" t="str">
        <f t="shared" si="117"/>
        <v>25-795019542013</v>
      </c>
      <c r="B2402" t="s">
        <v>1137</v>
      </c>
      <c r="C2402" t="s">
        <v>1138</v>
      </c>
      <c r="D2402">
        <v>2013</v>
      </c>
      <c r="E2402" t="s">
        <v>104</v>
      </c>
      <c r="F2402">
        <v>328367.34000000003</v>
      </c>
      <c r="G2402">
        <v>259</v>
      </c>
      <c r="H2402" s="11" t="str">
        <f t="shared" si="116"/>
        <v>count</v>
      </c>
    </row>
    <row r="2403" spans="1:8">
      <c r="A2403" s="11" t="str">
        <f t="shared" si="117"/>
        <v>25-795019542013</v>
      </c>
      <c r="B2403" t="s">
        <v>1137</v>
      </c>
      <c r="C2403" t="s">
        <v>1138</v>
      </c>
      <c r="D2403">
        <v>2013</v>
      </c>
      <c r="E2403" t="s">
        <v>63</v>
      </c>
      <c r="F2403">
        <v>549760.32999999996</v>
      </c>
      <c r="G2403">
        <v>387</v>
      </c>
      <c r="H2403" s="11" t="str">
        <f t="shared" si="116"/>
        <v>count</v>
      </c>
    </row>
    <row r="2404" spans="1:8">
      <c r="A2404" s="11" t="str">
        <f t="shared" si="117"/>
        <v>25-795019542013</v>
      </c>
      <c r="B2404" t="s">
        <v>1137</v>
      </c>
      <c r="C2404" t="s">
        <v>1138</v>
      </c>
      <c r="D2404">
        <v>2013</v>
      </c>
      <c r="E2404" t="s">
        <v>133</v>
      </c>
      <c r="F2404">
        <v>36851</v>
      </c>
      <c r="G2404">
        <v>16</v>
      </c>
      <c r="H2404" s="11" t="str">
        <f t="shared" si="116"/>
        <v>count</v>
      </c>
    </row>
    <row r="2405" spans="1:8">
      <c r="A2405" s="11" t="str">
        <f t="shared" si="117"/>
        <v>25-795019542013</v>
      </c>
      <c r="B2405" t="s">
        <v>1137</v>
      </c>
      <c r="C2405" t="s">
        <v>1138</v>
      </c>
      <c r="D2405">
        <v>2013</v>
      </c>
      <c r="E2405" t="s">
        <v>69</v>
      </c>
      <c r="F2405">
        <v>42820.61</v>
      </c>
      <c r="G2405">
        <v>29</v>
      </c>
      <c r="H2405" s="11" t="str">
        <f t="shared" si="116"/>
        <v>count</v>
      </c>
    </row>
    <row r="2406" spans="1:8">
      <c r="A2406" s="11" t="str">
        <f t="shared" si="117"/>
        <v>25-795019542012</v>
      </c>
      <c r="B2406" t="s">
        <v>1137</v>
      </c>
      <c r="C2406" t="s">
        <v>1138</v>
      </c>
      <c r="D2406">
        <v>2012</v>
      </c>
      <c r="E2406" t="s">
        <v>133</v>
      </c>
      <c r="F2406">
        <v>423047.1</v>
      </c>
      <c r="G2406">
        <v>350</v>
      </c>
      <c r="H2406" s="11" t="str">
        <f t="shared" si="116"/>
        <v>count</v>
      </c>
    </row>
    <row r="2407" spans="1:8">
      <c r="A2407" s="11" t="str">
        <f t="shared" si="117"/>
        <v>25-795477922013</v>
      </c>
      <c r="B2407" t="s">
        <v>1139</v>
      </c>
      <c r="C2407" t="s">
        <v>1140</v>
      </c>
      <c r="D2407">
        <v>2013</v>
      </c>
      <c r="E2407" t="s">
        <v>104</v>
      </c>
      <c r="F2407">
        <v>1210537.81</v>
      </c>
      <c r="G2407">
        <v>1014</v>
      </c>
      <c r="H2407" s="11" t="str">
        <f t="shared" si="116"/>
        <v>volume</v>
      </c>
    </row>
    <row r="2408" spans="1:8">
      <c r="A2408" s="11" t="str">
        <f t="shared" si="117"/>
        <v>25-795477922011</v>
      </c>
      <c r="B2408" t="s">
        <v>1139</v>
      </c>
      <c r="C2408" t="s">
        <v>1140</v>
      </c>
      <c r="D2408">
        <v>2011</v>
      </c>
      <c r="E2408" t="s">
        <v>106</v>
      </c>
      <c r="F2408">
        <v>2407.38</v>
      </c>
      <c r="G2408">
        <v>2</v>
      </c>
      <c r="H2408" s="11" t="str">
        <f t="shared" si="116"/>
        <v>count</v>
      </c>
    </row>
    <row r="2409" spans="1:8">
      <c r="A2409" s="11" t="str">
        <f t="shared" si="117"/>
        <v>25-795477922012</v>
      </c>
      <c r="B2409" t="s">
        <v>1139</v>
      </c>
      <c r="C2409" t="s">
        <v>1140</v>
      </c>
      <c r="D2409">
        <v>2012</v>
      </c>
      <c r="E2409" t="s">
        <v>69</v>
      </c>
      <c r="F2409">
        <v>358384.11</v>
      </c>
      <c r="G2409">
        <v>396</v>
      </c>
      <c r="H2409" s="11" t="str">
        <f t="shared" si="116"/>
        <v>count</v>
      </c>
    </row>
    <row r="2410" spans="1:8">
      <c r="A2410" s="11" t="str">
        <f t="shared" si="117"/>
        <v>25-795477922011</v>
      </c>
      <c r="B2410" t="s">
        <v>1139</v>
      </c>
      <c r="C2410" t="s">
        <v>1140</v>
      </c>
      <c r="D2410">
        <v>2011</v>
      </c>
      <c r="E2410" t="s">
        <v>104</v>
      </c>
      <c r="F2410">
        <v>1622308.4</v>
      </c>
      <c r="G2410">
        <v>1203</v>
      </c>
      <c r="H2410" s="11" t="str">
        <f t="shared" si="116"/>
        <v>count</v>
      </c>
    </row>
    <row r="2411" spans="1:8">
      <c r="A2411" s="11" t="str">
        <f t="shared" si="117"/>
        <v>25-795477922011</v>
      </c>
      <c r="B2411" t="s">
        <v>1139</v>
      </c>
      <c r="C2411" t="s">
        <v>1140</v>
      </c>
      <c r="D2411">
        <v>2011</v>
      </c>
      <c r="E2411" t="s">
        <v>63</v>
      </c>
      <c r="F2411">
        <v>2893395.14</v>
      </c>
      <c r="G2411">
        <v>2289</v>
      </c>
      <c r="H2411" s="11" t="str">
        <f t="shared" si="116"/>
        <v>count</v>
      </c>
    </row>
    <row r="2412" spans="1:8">
      <c r="A2412" s="11" t="str">
        <f t="shared" si="117"/>
        <v>25-795477922012</v>
      </c>
      <c r="B2412" t="s">
        <v>1139</v>
      </c>
      <c r="C2412" t="s">
        <v>1140</v>
      </c>
      <c r="D2412">
        <v>2012</v>
      </c>
      <c r="E2412" t="s">
        <v>104</v>
      </c>
      <c r="F2412">
        <v>1690197.97</v>
      </c>
      <c r="G2412">
        <v>1233</v>
      </c>
      <c r="H2412" s="11" t="str">
        <f t="shared" si="116"/>
        <v>count</v>
      </c>
    </row>
    <row r="2413" spans="1:8">
      <c r="A2413" s="11" t="str">
        <f t="shared" si="117"/>
        <v>25-795477922012</v>
      </c>
      <c r="B2413" t="s">
        <v>1139</v>
      </c>
      <c r="C2413" t="s">
        <v>1140</v>
      </c>
      <c r="D2413">
        <v>2012</v>
      </c>
      <c r="E2413" t="s">
        <v>63</v>
      </c>
      <c r="F2413">
        <v>2710623.42</v>
      </c>
      <c r="G2413">
        <v>1932</v>
      </c>
      <c r="H2413" s="11" t="str">
        <f t="shared" si="116"/>
        <v>count</v>
      </c>
    </row>
    <row r="2414" spans="1:8">
      <c r="A2414" s="11" t="str">
        <f t="shared" si="117"/>
        <v>25-795477922013</v>
      </c>
      <c r="B2414" t="s">
        <v>1139</v>
      </c>
      <c r="C2414" t="s">
        <v>1140</v>
      </c>
      <c r="D2414">
        <v>2013</v>
      </c>
      <c r="E2414" t="s">
        <v>106</v>
      </c>
      <c r="F2414">
        <v>28242.38</v>
      </c>
      <c r="G2414">
        <v>19</v>
      </c>
      <c r="H2414" s="11" t="str">
        <f t="shared" si="116"/>
        <v>count</v>
      </c>
    </row>
    <row r="2415" spans="1:8">
      <c r="A2415" s="11" t="str">
        <f t="shared" si="117"/>
        <v>25-795477922011</v>
      </c>
      <c r="B2415" t="s">
        <v>1139</v>
      </c>
      <c r="C2415" t="s">
        <v>1140</v>
      </c>
      <c r="D2415">
        <v>2011</v>
      </c>
      <c r="E2415" t="s">
        <v>69</v>
      </c>
      <c r="F2415">
        <v>595.58000000000004</v>
      </c>
      <c r="G2415">
        <v>2</v>
      </c>
      <c r="H2415" s="11" t="str">
        <f t="shared" si="116"/>
        <v>count</v>
      </c>
    </row>
    <row r="2416" spans="1:8">
      <c r="A2416" s="11" t="str">
        <f t="shared" si="117"/>
        <v>25-795477922013</v>
      </c>
      <c r="B2416" t="s">
        <v>1139</v>
      </c>
      <c r="C2416" t="s">
        <v>1140</v>
      </c>
      <c r="D2416">
        <v>2013</v>
      </c>
      <c r="E2416" t="s">
        <v>69</v>
      </c>
      <c r="F2416">
        <v>339960.91</v>
      </c>
      <c r="G2416">
        <v>400</v>
      </c>
      <c r="H2416" s="11" t="str">
        <f t="shared" si="116"/>
        <v>count</v>
      </c>
    </row>
    <row r="2417" spans="1:8">
      <c r="A2417" s="11" t="str">
        <f t="shared" si="117"/>
        <v>25-795477922013</v>
      </c>
      <c r="B2417" t="s">
        <v>1139</v>
      </c>
      <c r="C2417" t="s">
        <v>1140</v>
      </c>
      <c r="D2417">
        <v>2013</v>
      </c>
      <c r="E2417" t="s">
        <v>63</v>
      </c>
      <c r="F2417">
        <v>1937164.35</v>
      </c>
      <c r="G2417">
        <v>1633</v>
      </c>
      <c r="H2417" s="11" t="str">
        <f t="shared" si="116"/>
        <v>count</v>
      </c>
    </row>
    <row r="2418" spans="1:8">
      <c r="A2418" s="11" t="str">
        <f t="shared" si="117"/>
        <v>25-798305732012</v>
      </c>
      <c r="B2418" t="s">
        <v>1141</v>
      </c>
      <c r="C2418" t="s">
        <v>1142</v>
      </c>
      <c r="D2418">
        <v>2012</v>
      </c>
      <c r="E2418" t="s">
        <v>105</v>
      </c>
      <c r="F2418">
        <v>27355.77</v>
      </c>
      <c r="G2418">
        <v>23</v>
      </c>
      <c r="H2418" s="11" t="str">
        <f t="shared" si="116"/>
        <v>volume</v>
      </c>
    </row>
    <row r="2419" spans="1:8">
      <c r="A2419" s="11" t="str">
        <f t="shared" si="117"/>
        <v>25-798305732011</v>
      </c>
      <c r="B2419" t="s">
        <v>1141</v>
      </c>
      <c r="C2419" t="s">
        <v>1142</v>
      </c>
      <c r="D2419">
        <v>2011</v>
      </c>
      <c r="E2419" t="s">
        <v>69</v>
      </c>
      <c r="F2419">
        <v>713.67</v>
      </c>
      <c r="G2419">
        <v>1</v>
      </c>
      <c r="H2419" s="11" t="str">
        <f t="shared" si="116"/>
        <v>count</v>
      </c>
    </row>
    <row r="2420" spans="1:8">
      <c r="A2420" s="11" t="str">
        <f t="shared" si="117"/>
        <v>25-798305732013</v>
      </c>
      <c r="B2420" t="s">
        <v>1141</v>
      </c>
      <c r="C2420" t="s">
        <v>1142</v>
      </c>
      <c r="D2420">
        <v>2013</v>
      </c>
      <c r="E2420" t="s">
        <v>105</v>
      </c>
      <c r="F2420">
        <v>16845.77</v>
      </c>
      <c r="G2420">
        <v>19</v>
      </c>
      <c r="H2420" s="11" t="str">
        <f t="shared" si="116"/>
        <v>count</v>
      </c>
    </row>
    <row r="2421" spans="1:8">
      <c r="A2421" s="11" t="str">
        <f t="shared" si="117"/>
        <v>25-798305732011</v>
      </c>
      <c r="B2421" t="s">
        <v>1141</v>
      </c>
      <c r="C2421" t="s">
        <v>1142</v>
      </c>
      <c r="D2421">
        <v>2011</v>
      </c>
      <c r="E2421" t="s">
        <v>63</v>
      </c>
      <c r="F2421">
        <v>278476.55</v>
      </c>
      <c r="G2421">
        <v>319</v>
      </c>
      <c r="H2421" s="11" t="str">
        <f t="shared" si="116"/>
        <v>count</v>
      </c>
    </row>
    <row r="2422" spans="1:8">
      <c r="A2422" s="11" t="str">
        <f t="shared" si="117"/>
        <v>25-798305732011</v>
      </c>
      <c r="B2422" t="s">
        <v>1141</v>
      </c>
      <c r="C2422" t="s">
        <v>1142</v>
      </c>
      <c r="D2422">
        <v>2011</v>
      </c>
      <c r="E2422" t="s">
        <v>104</v>
      </c>
      <c r="F2422">
        <v>190735.93</v>
      </c>
      <c r="G2422">
        <v>157</v>
      </c>
      <c r="H2422" s="11" t="str">
        <f t="shared" si="116"/>
        <v>count</v>
      </c>
    </row>
    <row r="2423" spans="1:8">
      <c r="A2423" s="11" t="str">
        <f t="shared" si="117"/>
        <v>25-798305732013</v>
      </c>
      <c r="B2423" t="s">
        <v>1141</v>
      </c>
      <c r="C2423" t="s">
        <v>1142</v>
      </c>
      <c r="D2423">
        <v>2013</v>
      </c>
      <c r="E2423" t="s">
        <v>69</v>
      </c>
      <c r="F2423">
        <v>86073.17</v>
      </c>
      <c r="G2423">
        <v>125</v>
      </c>
      <c r="H2423" s="11" t="str">
        <f t="shared" si="116"/>
        <v>count</v>
      </c>
    </row>
    <row r="2424" spans="1:8">
      <c r="A2424" s="11" t="str">
        <f t="shared" si="117"/>
        <v>25-798305732012</v>
      </c>
      <c r="B2424" t="s">
        <v>1141</v>
      </c>
      <c r="C2424" t="s">
        <v>1142</v>
      </c>
      <c r="D2424">
        <v>2012</v>
      </c>
      <c r="E2424" t="s">
        <v>104</v>
      </c>
      <c r="F2424">
        <v>124294.54</v>
      </c>
      <c r="G2424">
        <v>121</v>
      </c>
      <c r="H2424" s="11" t="str">
        <f t="shared" si="116"/>
        <v>count</v>
      </c>
    </row>
    <row r="2425" spans="1:8">
      <c r="A2425" s="11" t="str">
        <f t="shared" si="117"/>
        <v>25-798305732012</v>
      </c>
      <c r="B2425" t="s">
        <v>1141</v>
      </c>
      <c r="C2425" t="s">
        <v>1142</v>
      </c>
      <c r="D2425">
        <v>2012</v>
      </c>
      <c r="E2425" t="s">
        <v>63</v>
      </c>
      <c r="F2425">
        <v>240972.54</v>
      </c>
      <c r="G2425">
        <v>260</v>
      </c>
      <c r="H2425" s="11" t="str">
        <f t="shared" si="116"/>
        <v>count</v>
      </c>
    </row>
    <row r="2426" spans="1:8">
      <c r="A2426" s="11" t="str">
        <f t="shared" si="117"/>
        <v>25-798305732011</v>
      </c>
      <c r="B2426" t="s">
        <v>1141</v>
      </c>
      <c r="C2426" t="s">
        <v>1142</v>
      </c>
      <c r="D2426">
        <v>2011</v>
      </c>
      <c r="E2426" t="s">
        <v>106</v>
      </c>
      <c r="F2426">
        <v>652.63</v>
      </c>
      <c r="G2426">
        <v>2</v>
      </c>
      <c r="H2426" s="11" t="str">
        <f t="shared" si="116"/>
        <v>count</v>
      </c>
    </row>
    <row r="2427" spans="1:8">
      <c r="A2427" s="11" t="str">
        <f t="shared" si="117"/>
        <v>25-798305732011</v>
      </c>
      <c r="B2427" t="s">
        <v>1141</v>
      </c>
      <c r="C2427" t="s">
        <v>1142</v>
      </c>
      <c r="D2427">
        <v>2011</v>
      </c>
      <c r="E2427" t="s">
        <v>105</v>
      </c>
      <c r="F2427">
        <v>33962.04</v>
      </c>
      <c r="G2427">
        <v>33</v>
      </c>
      <c r="H2427" s="11" t="str">
        <f t="shared" si="116"/>
        <v>count</v>
      </c>
    </row>
    <row r="2428" spans="1:8">
      <c r="A2428" s="11" t="str">
        <f t="shared" si="117"/>
        <v>25-798305732012</v>
      </c>
      <c r="B2428" t="s">
        <v>1141</v>
      </c>
      <c r="C2428" t="s">
        <v>1142</v>
      </c>
      <c r="D2428">
        <v>2012</v>
      </c>
      <c r="E2428" t="s">
        <v>69</v>
      </c>
      <c r="F2428">
        <v>69551.55</v>
      </c>
      <c r="G2428">
        <v>92</v>
      </c>
      <c r="H2428" s="11" t="str">
        <f t="shared" si="116"/>
        <v>count</v>
      </c>
    </row>
    <row r="2429" spans="1:8">
      <c r="A2429" s="11" t="str">
        <f t="shared" si="117"/>
        <v>25-798305732013</v>
      </c>
      <c r="B2429" t="s">
        <v>1141</v>
      </c>
      <c r="C2429" t="s">
        <v>1142</v>
      </c>
      <c r="D2429">
        <v>2013</v>
      </c>
      <c r="E2429" t="s">
        <v>104</v>
      </c>
      <c r="F2429">
        <v>108851.97</v>
      </c>
      <c r="G2429">
        <v>129</v>
      </c>
      <c r="H2429" s="11" t="str">
        <f t="shared" si="116"/>
        <v>count</v>
      </c>
    </row>
    <row r="2430" spans="1:8">
      <c r="A2430" s="11" t="str">
        <f t="shared" si="117"/>
        <v>25-798305732013</v>
      </c>
      <c r="B2430" t="s">
        <v>1141</v>
      </c>
      <c r="C2430" t="s">
        <v>1142</v>
      </c>
      <c r="D2430">
        <v>2013</v>
      </c>
      <c r="E2430" t="s">
        <v>63</v>
      </c>
      <c r="F2430">
        <v>188209.06</v>
      </c>
      <c r="G2430">
        <v>225</v>
      </c>
      <c r="H2430" s="11" t="str">
        <f t="shared" si="116"/>
        <v>count</v>
      </c>
    </row>
    <row r="2431" spans="1:8">
      <c r="A2431" s="11" t="str">
        <f t="shared" si="117"/>
        <v>25-799074282011</v>
      </c>
      <c r="B2431" t="s">
        <v>1143</v>
      </c>
      <c r="C2431" t="s">
        <v>1144</v>
      </c>
      <c r="D2431">
        <v>2011</v>
      </c>
      <c r="E2431" t="s">
        <v>133</v>
      </c>
      <c r="F2431">
        <v>93607.92</v>
      </c>
      <c r="G2431">
        <v>306</v>
      </c>
      <c r="H2431" s="11" t="str">
        <f t="shared" si="116"/>
        <v>volume</v>
      </c>
    </row>
    <row r="2432" spans="1:8">
      <c r="A2432" s="11" t="str">
        <f t="shared" si="117"/>
        <v>25-799074282013</v>
      </c>
      <c r="B2432" t="s">
        <v>1143</v>
      </c>
      <c r="C2432" t="s">
        <v>1144</v>
      </c>
      <c r="D2432">
        <v>2013</v>
      </c>
      <c r="E2432" t="s">
        <v>105</v>
      </c>
      <c r="F2432">
        <v>89132.59</v>
      </c>
      <c r="G2432">
        <v>271</v>
      </c>
      <c r="H2432" s="11" t="str">
        <f t="shared" si="116"/>
        <v>count</v>
      </c>
    </row>
    <row r="2433" spans="1:8">
      <c r="A2433" s="11" t="str">
        <f t="shared" si="117"/>
        <v>25-799074282012</v>
      </c>
      <c r="B2433" t="s">
        <v>1143</v>
      </c>
      <c r="C2433" t="s">
        <v>1144</v>
      </c>
      <c r="D2433">
        <v>2012</v>
      </c>
      <c r="E2433" t="s">
        <v>63</v>
      </c>
      <c r="F2433">
        <v>431379.36</v>
      </c>
      <c r="G2433">
        <v>1353</v>
      </c>
      <c r="H2433" s="11" t="str">
        <f t="shared" si="116"/>
        <v>count</v>
      </c>
    </row>
    <row r="2434" spans="1:8">
      <c r="A2434" s="11" t="str">
        <f t="shared" si="117"/>
        <v>25-799074282011</v>
      </c>
      <c r="B2434" t="s">
        <v>1143</v>
      </c>
      <c r="C2434" t="s">
        <v>1144</v>
      </c>
      <c r="D2434">
        <v>2011</v>
      </c>
      <c r="E2434" t="s">
        <v>69</v>
      </c>
      <c r="F2434">
        <v>150</v>
      </c>
      <c r="G2434">
        <v>1</v>
      </c>
      <c r="H2434" s="11" t="str">
        <f t="shared" ref="H2434:H2445" si="118">IF(B2434=B2433,"count","volume")</f>
        <v>count</v>
      </c>
    </row>
    <row r="2435" spans="1:8">
      <c r="A2435" s="11" t="str">
        <f t="shared" ref="A2435:A2498" si="119">B2435&amp;D2435</f>
        <v>25-799074282012</v>
      </c>
      <c r="B2435" t="s">
        <v>1143</v>
      </c>
      <c r="C2435" t="s">
        <v>1144</v>
      </c>
      <c r="D2435">
        <v>2012</v>
      </c>
      <c r="E2435" t="s">
        <v>104</v>
      </c>
      <c r="F2435">
        <v>321703.03000000003</v>
      </c>
      <c r="G2435">
        <v>1011</v>
      </c>
      <c r="H2435" s="11" t="str">
        <f t="shared" si="118"/>
        <v>count</v>
      </c>
    </row>
    <row r="2436" spans="1:8">
      <c r="A2436" s="11" t="str">
        <f t="shared" si="119"/>
        <v>25-799074282013</v>
      </c>
      <c r="B2436" t="s">
        <v>1143</v>
      </c>
      <c r="C2436" t="s">
        <v>1144</v>
      </c>
      <c r="D2436">
        <v>2013</v>
      </c>
      <c r="E2436" t="s">
        <v>63</v>
      </c>
      <c r="F2436">
        <v>523393.06</v>
      </c>
      <c r="G2436">
        <v>1468</v>
      </c>
      <c r="H2436" s="11" t="str">
        <f t="shared" si="118"/>
        <v>count</v>
      </c>
    </row>
    <row r="2437" spans="1:8">
      <c r="A2437" s="11" t="str">
        <f t="shared" si="119"/>
        <v>25-799074282013</v>
      </c>
      <c r="B2437" t="s">
        <v>1143</v>
      </c>
      <c r="C2437" t="s">
        <v>1144</v>
      </c>
      <c r="D2437">
        <v>2013</v>
      </c>
      <c r="E2437" t="s">
        <v>133</v>
      </c>
      <c r="F2437">
        <v>152329.17000000001</v>
      </c>
      <c r="G2437">
        <v>338</v>
      </c>
      <c r="H2437" s="11" t="str">
        <f t="shared" si="118"/>
        <v>count</v>
      </c>
    </row>
    <row r="2438" spans="1:8">
      <c r="A2438" s="11" t="str">
        <f t="shared" si="119"/>
        <v>25-799074282013</v>
      </c>
      <c r="B2438" t="s">
        <v>1143</v>
      </c>
      <c r="C2438" t="s">
        <v>1144</v>
      </c>
      <c r="D2438">
        <v>2013</v>
      </c>
      <c r="E2438" t="s">
        <v>69</v>
      </c>
      <c r="F2438">
        <v>667746.71</v>
      </c>
      <c r="G2438">
        <v>1863</v>
      </c>
      <c r="H2438" s="11" t="str">
        <f t="shared" si="118"/>
        <v>count</v>
      </c>
    </row>
    <row r="2439" spans="1:8">
      <c r="A2439" s="11" t="str">
        <f t="shared" si="119"/>
        <v>25-799074282011</v>
      </c>
      <c r="B2439" t="s">
        <v>1143</v>
      </c>
      <c r="C2439" t="s">
        <v>1144</v>
      </c>
      <c r="D2439">
        <v>2011</v>
      </c>
      <c r="E2439" t="s">
        <v>105</v>
      </c>
      <c r="F2439">
        <v>65738.47</v>
      </c>
      <c r="G2439">
        <v>249</v>
      </c>
      <c r="H2439" s="11" t="str">
        <f t="shared" si="118"/>
        <v>count</v>
      </c>
    </row>
    <row r="2440" spans="1:8">
      <c r="A2440" s="11" t="str">
        <f t="shared" si="119"/>
        <v>25-799074282013</v>
      </c>
      <c r="B2440" t="s">
        <v>1143</v>
      </c>
      <c r="C2440" t="s">
        <v>1144</v>
      </c>
      <c r="D2440">
        <v>2013</v>
      </c>
      <c r="E2440" t="s">
        <v>104</v>
      </c>
      <c r="F2440">
        <v>338864.31</v>
      </c>
      <c r="G2440">
        <v>931</v>
      </c>
      <c r="H2440" s="11" t="str">
        <f t="shared" si="118"/>
        <v>count</v>
      </c>
    </row>
    <row r="2441" spans="1:8">
      <c r="A2441" s="11" t="str">
        <f t="shared" si="119"/>
        <v>25-799074282012</v>
      </c>
      <c r="B2441" t="s">
        <v>1143</v>
      </c>
      <c r="C2441" t="s">
        <v>1144</v>
      </c>
      <c r="D2441">
        <v>2012</v>
      </c>
      <c r="E2441" t="s">
        <v>133</v>
      </c>
      <c r="F2441">
        <v>113421.27</v>
      </c>
      <c r="G2441">
        <v>315</v>
      </c>
      <c r="H2441" s="11" t="str">
        <f t="shared" si="118"/>
        <v>count</v>
      </c>
    </row>
    <row r="2442" spans="1:8">
      <c r="A2442" s="11" t="str">
        <f t="shared" si="119"/>
        <v>25-799074282012</v>
      </c>
      <c r="B2442" t="s">
        <v>1143</v>
      </c>
      <c r="C2442" t="s">
        <v>1144</v>
      </c>
      <c r="D2442">
        <v>2012</v>
      </c>
      <c r="E2442" t="s">
        <v>105</v>
      </c>
      <c r="F2442">
        <v>74311.960000000006</v>
      </c>
      <c r="G2442">
        <v>237</v>
      </c>
      <c r="H2442" s="11" t="str">
        <f t="shared" si="118"/>
        <v>count</v>
      </c>
    </row>
    <row r="2443" spans="1:8">
      <c r="A2443" s="11" t="str">
        <f t="shared" si="119"/>
        <v>25-799074282011</v>
      </c>
      <c r="B2443" t="s">
        <v>1143</v>
      </c>
      <c r="C2443" t="s">
        <v>1144</v>
      </c>
      <c r="D2443">
        <v>2011</v>
      </c>
      <c r="E2443" t="s">
        <v>104</v>
      </c>
      <c r="F2443">
        <v>262843</v>
      </c>
      <c r="G2443">
        <v>991</v>
      </c>
      <c r="H2443" s="11" t="str">
        <f t="shared" si="118"/>
        <v>count</v>
      </c>
    </row>
    <row r="2444" spans="1:8">
      <c r="A2444" s="11" t="str">
        <f t="shared" si="119"/>
        <v>25-799074282012</v>
      </c>
      <c r="B2444" t="s">
        <v>1143</v>
      </c>
      <c r="C2444" t="s">
        <v>1144</v>
      </c>
      <c r="D2444">
        <v>2012</v>
      </c>
      <c r="E2444" t="s">
        <v>69</v>
      </c>
      <c r="F2444">
        <v>427551.46</v>
      </c>
      <c r="G2444">
        <v>1316</v>
      </c>
      <c r="H2444" s="11" t="str">
        <f t="shared" si="118"/>
        <v>count</v>
      </c>
    </row>
    <row r="2445" spans="1:8">
      <c r="A2445" s="11" t="str">
        <f t="shared" si="119"/>
        <v>25-799074282011</v>
      </c>
      <c r="B2445" t="s">
        <v>1143</v>
      </c>
      <c r="C2445" t="s">
        <v>1144</v>
      </c>
      <c r="D2445">
        <v>2011</v>
      </c>
      <c r="E2445" t="s">
        <v>63</v>
      </c>
      <c r="F2445">
        <v>583938.17000000004</v>
      </c>
      <c r="G2445">
        <v>2082</v>
      </c>
      <c r="H2445" s="11" t="str">
        <f t="shared" si="118"/>
        <v>count</v>
      </c>
    </row>
    <row r="2446" spans="1:8">
      <c r="A2446" s="11" t="str">
        <f t="shared" si="119"/>
        <v/>
      </c>
    </row>
    <row r="2447" spans="1:8">
      <c r="A2447" s="11" t="str">
        <f t="shared" si="119"/>
        <v/>
      </c>
    </row>
    <row r="2448" spans="1:8">
      <c r="A2448" s="11" t="str">
        <f t="shared" si="119"/>
        <v/>
      </c>
    </row>
    <row r="2449" spans="1:1">
      <c r="A2449" s="11" t="str">
        <f t="shared" si="119"/>
        <v/>
      </c>
    </row>
    <row r="2450" spans="1:1">
      <c r="A2450" s="11" t="str">
        <f t="shared" si="119"/>
        <v/>
      </c>
    </row>
    <row r="2451" spans="1:1">
      <c r="A2451" s="11" t="str">
        <f t="shared" si="119"/>
        <v/>
      </c>
    </row>
    <row r="2452" spans="1:1">
      <c r="A2452" s="11" t="str">
        <f t="shared" si="119"/>
        <v/>
      </c>
    </row>
    <row r="2453" spans="1:1">
      <c r="A2453" s="11" t="str">
        <f t="shared" si="119"/>
        <v/>
      </c>
    </row>
    <row r="2454" spans="1:1">
      <c r="A2454" s="11" t="str">
        <f t="shared" si="119"/>
        <v/>
      </c>
    </row>
    <row r="2455" spans="1:1">
      <c r="A2455" s="11" t="str">
        <f t="shared" si="119"/>
        <v/>
      </c>
    </row>
    <row r="2456" spans="1:1">
      <c r="A2456" s="11" t="str">
        <f t="shared" si="119"/>
        <v/>
      </c>
    </row>
    <row r="2457" spans="1:1">
      <c r="A2457" s="11" t="str">
        <f t="shared" si="119"/>
        <v/>
      </c>
    </row>
    <row r="2458" spans="1:1">
      <c r="A2458" s="11" t="str">
        <f t="shared" si="119"/>
        <v/>
      </c>
    </row>
    <row r="2459" spans="1:1">
      <c r="A2459" s="11" t="str">
        <f t="shared" si="119"/>
        <v/>
      </c>
    </row>
    <row r="2460" spans="1:1">
      <c r="A2460" s="11" t="str">
        <f t="shared" si="119"/>
        <v/>
      </c>
    </row>
    <row r="2461" spans="1:1">
      <c r="A2461" s="11" t="str">
        <f t="shared" si="119"/>
        <v/>
      </c>
    </row>
    <row r="2462" spans="1:1">
      <c r="A2462" s="11" t="str">
        <f t="shared" si="119"/>
        <v/>
      </c>
    </row>
    <row r="2463" spans="1:1">
      <c r="A2463" s="11" t="str">
        <f t="shared" si="119"/>
        <v/>
      </c>
    </row>
    <row r="2464" spans="1:1">
      <c r="A2464" s="11" t="str">
        <f t="shared" si="119"/>
        <v/>
      </c>
    </row>
    <row r="2465" spans="1:1">
      <c r="A2465" s="11" t="str">
        <f t="shared" si="119"/>
        <v/>
      </c>
    </row>
    <row r="2466" spans="1:1">
      <c r="A2466" s="11" t="str">
        <f t="shared" si="119"/>
        <v/>
      </c>
    </row>
    <row r="2467" spans="1:1">
      <c r="A2467" s="11" t="str">
        <f t="shared" si="119"/>
        <v/>
      </c>
    </row>
    <row r="2468" spans="1:1">
      <c r="A2468" s="11" t="str">
        <f t="shared" si="119"/>
        <v/>
      </c>
    </row>
    <row r="2469" spans="1:1">
      <c r="A2469" s="11" t="str">
        <f t="shared" si="119"/>
        <v/>
      </c>
    </row>
    <row r="2470" spans="1:1">
      <c r="A2470" s="11" t="str">
        <f t="shared" si="119"/>
        <v/>
      </c>
    </row>
    <row r="2471" spans="1:1">
      <c r="A2471" s="11" t="str">
        <f t="shared" si="119"/>
        <v/>
      </c>
    </row>
    <row r="2472" spans="1:1">
      <c r="A2472" s="11" t="str">
        <f t="shared" si="119"/>
        <v/>
      </c>
    </row>
    <row r="2473" spans="1:1">
      <c r="A2473" s="11" t="str">
        <f t="shared" si="119"/>
        <v/>
      </c>
    </row>
    <row r="2474" spans="1:1">
      <c r="A2474" s="11" t="str">
        <f t="shared" si="119"/>
        <v/>
      </c>
    </row>
    <row r="2475" spans="1:1">
      <c r="A2475" s="11" t="str">
        <f t="shared" si="119"/>
        <v/>
      </c>
    </row>
    <row r="2476" spans="1:1">
      <c r="A2476" s="11" t="str">
        <f t="shared" si="119"/>
        <v/>
      </c>
    </row>
    <row r="2477" spans="1:1">
      <c r="A2477" s="11" t="str">
        <f t="shared" si="119"/>
        <v/>
      </c>
    </row>
    <row r="2478" spans="1:1">
      <c r="A2478" s="11" t="str">
        <f t="shared" si="119"/>
        <v/>
      </c>
    </row>
    <row r="2479" spans="1:1">
      <c r="A2479" s="11" t="str">
        <f t="shared" si="119"/>
        <v/>
      </c>
    </row>
    <row r="2480" spans="1:1">
      <c r="A2480" s="11" t="str">
        <f t="shared" si="119"/>
        <v/>
      </c>
    </row>
    <row r="2481" spans="1:1">
      <c r="A2481" s="11" t="str">
        <f t="shared" si="119"/>
        <v/>
      </c>
    </row>
    <row r="2482" spans="1:1">
      <c r="A2482" s="11" t="str">
        <f t="shared" si="119"/>
        <v/>
      </c>
    </row>
    <row r="2483" spans="1:1">
      <c r="A2483" s="11" t="str">
        <f t="shared" si="119"/>
        <v/>
      </c>
    </row>
    <row r="2484" spans="1:1">
      <c r="A2484" s="11" t="str">
        <f t="shared" si="119"/>
        <v/>
      </c>
    </row>
    <row r="2485" spans="1:1">
      <c r="A2485" s="11" t="str">
        <f t="shared" si="119"/>
        <v/>
      </c>
    </row>
    <row r="2486" spans="1:1">
      <c r="A2486" s="11" t="str">
        <f t="shared" si="119"/>
        <v/>
      </c>
    </row>
    <row r="2487" spans="1:1">
      <c r="A2487" s="11" t="str">
        <f t="shared" si="119"/>
        <v/>
      </c>
    </row>
    <row r="2488" spans="1:1">
      <c r="A2488" s="11" t="str">
        <f t="shared" si="119"/>
        <v/>
      </c>
    </row>
    <row r="2489" spans="1:1">
      <c r="A2489" s="11" t="str">
        <f t="shared" si="119"/>
        <v/>
      </c>
    </row>
    <row r="2490" spans="1:1">
      <c r="A2490" s="11" t="str">
        <f t="shared" si="119"/>
        <v/>
      </c>
    </row>
    <row r="2491" spans="1:1">
      <c r="A2491" s="11" t="str">
        <f t="shared" si="119"/>
        <v/>
      </c>
    </row>
    <row r="2492" spans="1:1">
      <c r="A2492" s="11" t="str">
        <f t="shared" si="119"/>
        <v/>
      </c>
    </row>
    <row r="2493" spans="1:1">
      <c r="A2493" s="11" t="str">
        <f t="shared" si="119"/>
        <v/>
      </c>
    </row>
    <row r="2494" spans="1:1">
      <c r="A2494" s="11" t="str">
        <f t="shared" si="119"/>
        <v/>
      </c>
    </row>
    <row r="2495" spans="1:1">
      <c r="A2495" s="11" t="str">
        <f t="shared" si="119"/>
        <v/>
      </c>
    </row>
    <row r="2496" spans="1:1">
      <c r="A2496" s="11" t="str">
        <f t="shared" si="119"/>
        <v/>
      </c>
    </row>
    <row r="2497" spans="1:1">
      <c r="A2497" s="11" t="str">
        <f t="shared" si="119"/>
        <v/>
      </c>
    </row>
    <row r="2498" spans="1:1">
      <c r="A2498" s="11" t="str">
        <f t="shared" si="119"/>
        <v/>
      </c>
    </row>
    <row r="2499" spans="1:1">
      <c r="A2499" s="11" t="str">
        <f t="shared" ref="A2499:A2562" si="120">B2499&amp;D2499</f>
        <v/>
      </c>
    </row>
    <row r="2500" spans="1:1">
      <c r="A2500" s="11" t="str">
        <f t="shared" si="120"/>
        <v/>
      </c>
    </row>
    <row r="2501" spans="1:1">
      <c r="A2501" s="11" t="str">
        <f t="shared" si="120"/>
        <v/>
      </c>
    </row>
    <row r="2502" spans="1:1">
      <c r="A2502" s="11" t="str">
        <f t="shared" si="120"/>
        <v/>
      </c>
    </row>
    <row r="2503" spans="1:1">
      <c r="A2503" s="11" t="str">
        <f t="shared" si="120"/>
        <v/>
      </c>
    </row>
    <row r="2504" spans="1:1">
      <c r="A2504" s="11" t="str">
        <f t="shared" si="120"/>
        <v/>
      </c>
    </row>
    <row r="2505" spans="1:1">
      <c r="A2505" s="11" t="str">
        <f t="shared" si="120"/>
        <v/>
      </c>
    </row>
    <row r="2506" spans="1:1">
      <c r="A2506" s="11" t="str">
        <f t="shared" si="120"/>
        <v/>
      </c>
    </row>
    <row r="2507" spans="1:1">
      <c r="A2507" s="11" t="str">
        <f t="shared" si="120"/>
        <v/>
      </c>
    </row>
    <row r="2508" spans="1:1">
      <c r="A2508" s="11" t="str">
        <f t="shared" si="120"/>
        <v/>
      </c>
    </row>
    <row r="2509" spans="1:1">
      <c r="A2509" s="11" t="str">
        <f t="shared" si="120"/>
        <v/>
      </c>
    </row>
    <row r="2510" spans="1:1">
      <c r="A2510" s="11" t="str">
        <f t="shared" si="120"/>
        <v/>
      </c>
    </row>
    <row r="2511" spans="1:1">
      <c r="A2511" s="11" t="str">
        <f t="shared" si="120"/>
        <v/>
      </c>
    </row>
    <row r="2512" spans="1:1">
      <c r="A2512" s="11" t="str">
        <f t="shared" si="120"/>
        <v/>
      </c>
    </row>
    <row r="2513" spans="1:1">
      <c r="A2513" s="11" t="str">
        <f t="shared" si="120"/>
        <v/>
      </c>
    </row>
    <row r="2514" spans="1:1">
      <c r="A2514" s="11" t="str">
        <f t="shared" si="120"/>
        <v/>
      </c>
    </row>
    <row r="2515" spans="1:1">
      <c r="A2515" s="11" t="str">
        <f t="shared" si="120"/>
        <v/>
      </c>
    </row>
    <row r="2516" spans="1:1">
      <c r="A2516" s="11" t="str">
        <f t="shared" si="120"/>
        <v/>
      </c>
    </row>
    <row r="2517" spans="1:1">
      <c r="A2517" s="11" t="str">
        <f t="shared" si="120"/>
        <v/>
      </c>
    </row>
    <row r="2518" spans="1:1">
      <c r="A2518" s="11" t="str">
        <f t="shared" si="120"/>
        <v/>
      </c>
    </row>
    <row r="2519" spans="1:1">
      <c r="A2519" s="11" t="str">
        <f t="shared" si="120"/>
        <v/>
      </c>
    </row>
    <row r="2520" spans="1:1">
      <c r="A2520" s="11" t="str">
        <f t="shared" si="120"/>
        <v/>
      </c>
    </row>
    <row r="2521" spans="1:1">
      <c r="A2521" s="11" t="str">
        <f t="shared" si="120"/>
        <v/>
      </c>
    </row>
    <row r="2522" spans="1:1">
      <c r="A2522" s="11" t="str">
        <f t="shared" si="120"/>
        <v/>
      </c>
    </row>
    <row r="2523" spans="1:1">
      <c r="A2523" s="11" t="str">
        <f t="shared" si="120"/>
        <v/>
      </c>
    </row>
    <row r="2524" spans="1:1">
      <c r="A2524" s="11" t="str">
        <f t="shared" si="120"/>
        <v/>
      </c>
    </row>
    <row r="2525" spans="1:1">
      <c r="A2525" s="11" t="str">
        <f t="shared" si="120"/>
        <v/>
      </c>
    </row>
    <row r="2526" spans="1:1">
      <c r="A2526" s="11" t="str">
        <f t="shared" si="120"/>
        <v/>
      </c>
    </row>
    <row r="2527" spans="1:1">
      <c r="A2527" s="11" t="str">
        <f t="shared" si="120"/>
        <v/>
      </c>
    </row>
    <row r="2528" spans="1:1">
      <c r="A2528" s="11" t="str">
        <f t="shared" si="120"/>
        <v/>
      </c>
    </row>
    <row r="2529" spans="1:1">
      <c r="A2529" s="11" t="str">
        <f t="shared" si="120"/>
        <v/>
      </c>
    </row>
    <row r="2530" spans="1:1">
      <c r="A2530" s="11" t="str">
        <f t="shared" si="120"/>
        <v/>
      </c>
    </row>
    <row r="2531" spans="1:1">
      <c r="A2531" s="11" t="str">
        <f t="shared" si="120"/>
        <v/>
      </c>
    </row>
    <row r="2532" spans="1:1">
      <c r="A2532" s="11" t="str">
        <f t="shared" si="120"/>
        <v/>
      </c>
    </row>
    <row r="2533" spans="1:1">
      <c r="A2533" s="11" t="str">
        <f t="shared" si="120"/>
        <v/>
      </c>
    </row>
    <row r="2534" spans="1:1">
      <c r="A2534" s="11" t="str">
        <f t="shared" si="120"/>
        <v/>
      </c>
    </row>
    <row r="2535" spans="1:1">
      <c r="A2535" s="11" t="str">
        <f t="shared" si="120"/>
        <v/>
      </c>
    </row>
    <row r="2536" spans="1:1">
      <c r="A2536" s="11" t="str">
        <f t="shared" si="120"/>
        <v/>
      </c>
    </row>
    <row r="2537" spans="1:1">
      <c r="A2537" s="11" t="str">
        <f t="shared" si="120"/>
        <v/>
      </c>
    </row>
    <row r="2538" spans="1:1">
      <c r="A2538" s="11" t="str">
        <f t="shared" si="120"/>
        <v/>
      </c>
    </row>
    <row r="2539" spans="1:1">
      <c r="A2539" s="11" t="str">
        <f t="shared" si="120"/>
        <v/>
      </c>
    </row>
    <row r="2540" spans="1:1">
      <c r="A2540" s="11" t="str">
        <f t="shared" si="120"/>
        <v/>
      </c>
    </row>
    <row r="2541" spans="1:1">
      <c r="A2541" s="11" t="str">
        <f t="shared" si="120"/>
        <v/>
      </c>
    </row>
    <row r="2542" spans="1:1">
      <c r="A2542" s="11" t="str">
        <f t="shared" si="120"/>
        <v/>
      </c>
    </row>
    <row r="2543" spans="1:1">
      <c r="A2543" s="11" t="str">
        <f t="shared" si="120"/>
        <v/>
      </c>
    </row>
    <row r="2544" spans="1:1">
      <c r="A2544" s="11" t="str">
        <f t="shared" si="120"/>
        <v/>
      </c>
    </row>
    <row r="2545" spans="1:1">
      <c r="A2545" s="11" t="str">
        <f t="shared" si="120"/>
        <v/>
      </c>
    </row>
    <row r="2546" spans="1:1">
      <c r="A2546" s="11" t="str">
        <f t="shared" si="120"/>
        <v/>
      </c>
    </row>
    <row r="2547" spans="1:1">
      <c r="A2547" s="11" t="str">
        <f t="shared" si="120"/>
        <v/>
      </c>
    </row>
    <row r="2548" spans="1:1">
      <c r="A2548" s="11" t="str">
        <f t="shared" si="120"/>
        <v/>
      </c>
    </row>
    <row r="2549" spans="1:1">
      <c r="A2549" s="11" t="str">
        <f t="shared" si="120"/>
        <v/>
      </c>
    </row>
    <row r="2550" spans="1:1">
      <c r="A2550" s="11" t="str">
        <f t="shared" si="120"/>
        <v/>
      </c>
    </row>
    <row r="2551" spans="1:1">
      <c r="A2551" s="11" t="str">
        <f t="shared" si="120"/>
        <v/>
      </c>
    </row>
    <row r="2552" spans="1:1">
      <c r="A2552" s="11" t="str">
        <f t="shared" si="120"/>
        <v/>
      </c>
    </row>
    <row r="2553" spans="1:1">
      <c r="A2553" s="11" t="str">
        <f t="shared" si="120"/>
        <v/>
      </c>
    </row>
    <row r="2554" spans="1:1">
      <c r="A2554" s="11" t="str">
        <f t="shared" si="120"/>
        <v/>
      </c>
    </row>
    <row r="2555" spans="1:1">
      <c r="A2555" s="11" t="str">
        <f t="shared" si="120"/>
        <v/>
      </c>
    </row>
    <row r="2556" spans="1:1">
      <c r="A2556" s="11" t="str">
        <f t="shared" si="120"/>
        <v/>
      </c>
    </row>
    <row r="2557" spans="1:1">
      <c r="A2557" s="11" t="str">
        <f t="shared" si="120"/>
        <v/>
      </c>
    </row>
    <row r="2558" spans="1:1">
      <c r="A2558" s="11" t="str">
        <f t="shared" si="120"/>
        <v/>
      </c>
    </row>
    <row r="2559" spans="1:1">
      <c r="A2559" s="11" t="str">
        <f t="shared" si="120"/>
        <v/>
      </c>
    </row>
    <row r="2560" spans="1:1">
      <c r="A2560" s="11" t="str">
        <f t="shared" si="120"/>
        <v/>
      </c>
    </row>
    <row r="2561" spans="1:1">
      <c r="A2561" s="11" t="str">
        <f t="shared" si="120"/>
        <v/>
      </c>
    </row>
    <row r="2562" spans="1:1">
      <c r="A2562" s="11" t="str">
        <f t="shared" si="120"/>
        <v/>
      </c>
    </row>
    <row r="2563" spans="1:1">
      <c r="A2563" s="11" t="str">
        <f t="shared" ref="A2563:A2626" si="121">B2563&amp;D2563</f>
        <v/>
      </c>
    </row>
    <row r="2564" spans="1:1">
      <c r="A2564" s="11" t="str">
        <f t="shared" si="121"/>
        <v/>
      </c>
    </row>
    <row r="2565" spans="1:1">
      <c r="A2565" s="11" t="str">
        <f t="shared" si="121"/>
        <v/>
      </c>
    </row>
    <row r="2566" spans="1:1">
      <c r="A2566" s="11" t="str">
        <f t="shared" si="121"/>
        <v/>
      </c>
    </row>
    <row r="2567" spans="1:1">
      <c r="A2567" s="11" t="str">
        <f t="shared" si="121"/>
        <v/>
      </c>
    </row>
    <row r="2568" spans="1:1">
      <c r="A2568" s="11" t="str">
        <f t="shared" si="121"/>
        <v/>
      </c>
    </row>
    <row r="2569" spans="1:1">
      <c r="A2569" s="11" t="str">
        <f t="shared" si="121"/>
        <v/>
      </c>
    </row>
    <row r="2570" spans="1:1">
      <c r="A2570" s="11" t="str">
        <f t="shared" si="121"/>
        <v/>
      </c>
    </row>
    <row r="2571" spans="1:1">
      <c r="A2571" s="11" t="str">
        <f t="shared" si="121"/>
        <v/>
      </c>
    </row>
    <row r="2572" spans="1:1">
      <c r="A2572" s="11" t="str">
        <f t="shared" si="121"/>
        <v/>
      </c>
    </row>
    <row r="2573" spans="1:1">
      <c r="A2573" s="11" t="str">
        <f t="shared" si="121"/>
        <v/>
      </c>
    </row>
    <row r="2574" spans="1:1">
      <c r="A2574" s="11" t="str">
        <f t="shared" si="121"/>
        <v/>
      </c>
    </row>
    <row r="2575" spans="1:1">
      <c r="A2575" s="11" t="str">
        <f t="shared" si="121"/>
        <v/>
      </c>
    </row>
    <row r="2576" spans="1:1">
      <c r="A2576" s="11" t="str">
        <f t="shared" si="121"/>
        <v/>
      </c>
    </row>
    <row r="2577" spans="1:1">
      <c r="A2577" s="11" t="str">
        <f t="shared" si="121"/>
        <v/>
      </c>
    </row>
    <row r="2578" spans="1:1">
      <c r="A2578" s="11" t="str">
        <f t="shared" si="121"/>
        <v/>
      </c>
    </row>
    <row r="2579" spans="1:1">
      <c r="A2579" s="11" t="str">
        <f t="shared" si="121"/>
        <v/>
      </c>
    </row>
    <row r="2580" spans="1:1">
      <c r="A2580" s="11" t="str">
        <f t="shared" si="121"/>
        <v/>
      </c>
    </row>
    <row r="2581" spans="1:1">
      <c r="A2581" s="11" t="str">
        <f t="shared" si="121"/>
        <v/>
      </c>
    </row>
    <row r="2582" spans="1:1">
      <c r="A2582" s="11" t="str">
        <f t="shared" si="121"/>
        <v/>
      </c>
    </row>
    <row r="2583" spans="1:1">
      <c r="A2583" s="11" t="str">
        <f t="shared" si="121"/>
        <v/>
      </c>
    </row>
    <row r="2584" spans="1:1">
      <c r="A2584" s="11" t="str">
        <f t="shared" si="121"/>
        <v/>
      </c>
    </row>
    <row r="2585" spans="1:1">
      <c r="A2585" s="11" t="str">
        <f t="shared" si="121"/>
        <v/>
      </c>
    </row>
    <row r="2586" spans="1:1">
      <c r="A2586" s="11" t="str">
        <f t="shared" si="121"/>
        <v/>
      </c>
    </row>
    <row r="2587" spans="1:1">
      <c r="A2587" s="11" t="str">
        <f t="shared" si="121"/>
        <v/>
      </c>
    </row>
    <row r="2588" spans="1:1">
      <c r="A2588" s="11" t="str">
        <f t="shared" si="121"/>
        <v/>
      </c>
    </row>
    <row r="2589" spans="1:1">
      <c r="A2589" s="11" t="str">
        <f t="shared" si="121"/>
        <v/>
      </c>
    </row>
    <row r="2590" spans="1:1">
      <c r="A2590" s="11" t="str">
        <f t="shared" si="121"/>
        <v/>
      </c>
    </row>
    <row r="2591" spans="1:1">
      <c r="A2591" s="11" t="str">
        <f t="shared" si="121"/>
        <v/>
      </c>
    </row>
    <row r="2592" spans="1:1">
      <c r="A2592" s="11" t="str">
        <f t="shared" si="121"/>
        <v/>
      </c>
    </row>
    <row r="2593" spans="1:1">
      <c r="A2593" s="11" t="str">
        <f t="shared" si="121"/>
        <v/>
      </c>
    </row>
    <row r="2594" spans="1:1">
      <c r="A2594" s="11" t="str">
        <f t="shared" si="121"/>
        <v/>
      </c>
    </row>
    <row r="2595" spans="1:1">
      <c r="A2595" s="11" t="str">
        <f t="shared" si="121"/>
        <v/>
      </c>
    </row>
    <row r="2596" spans="1:1">
      <c r="A2596" s="11" t="str">
        <f t="shared" si="121"/>
        <v/>
      </c>
    </row>
    <row r="2597" spans="1:1">
      <c r="A2597" s="11" t="str">
        <f t="shared" si="121"/>
        <v/>
      </c>
    </row>
    <row r="2598" spans="1:1">
      <c r="A2598" s="11" t="str">
        <f t="shared" si="121"/>
        <v/>
      </c>
    </row>
    <row r="2599" spans="1:1">
      <c r="A2599" s="11" t="str">
        <f t="shared" si="121"/>
        <v/>
      </c>
    </row>
    <row r="2600" spans="1:1">
      <c r="A2600" s="11" t="str">
        <f t="shared" si="121"/>
        <v/>
      </c>
    </row>
    <row r="2601" spans="1:1">
      <c r="A2601" s="11" t="str">
        <f t="shared" si="121"/>
        <v/>
      </c>
    </row>
    <row r="2602" spans="1:1">
      <c r="A2602" s="11" t="str">
        <f t="shared" si="121"/>
        <v/>
      </c>
    </row>
    <row r="2603" spans="1:1">
      <c r="A2603" s="11" t="str">
        <f t="shared" si="121"/>
        <v/>
      </c>
    </row>
    <row r="2604" spans="1:1">
      <c r="A2604" s="11" t="str">
        <f t="shared" si="121"/>
        <v/>
      </c>
    </row>
    <row r="2605" spans="1:1">
      <c r="A2605" s="11" t="str">
        <f t="shared" si="121"/>
        <v/>
      </c>
    </row>
    <row r="2606" spans="1:1">
      <c r="A2606" s="11" t="str">
        <f t="shared" si="121"/>
        <v/>
      </c>
    </row>
    <row r="2607" spans="1:1">
      <c r="A2607" s="11" t="str">
        <f t="shared" si="121"/>
        <v/>
      </c>
    </row>
    <row r="2608" spans="1:1">
      <c r="A2608" s="11" t="str">
        <f t="shared" si="121"/>
        <v/>
      </c>
    </row>
    <row r="2609" spans="1:1">
      <c r="A2609" s="11" t="str">
        <f t="shared" si="121"/>
        <v/>
      </c>
    </row>
    <row r="2610" spans="1:1">
      <c r="A2610" s="11" t="str">
        <f t="shared" si="121"/>
        <v/>
      </c>
    </row>
    <row r="2611" spans="1:1">
      <c r="A2611" s="11" t="str">
        <f t="shared" si="121"/>
        <v/>
      </c>
    </row>
    <row r="2612" spans="1:1">
      <c r="A2612" s="11" t="str">
        <f t="shared" si="121"/>
        <v/>
      </c>
    </row>
    <row r="2613" spans="1:1">
      <c r="A2613" s="11" t="str">
        <f t="shared" si="121"/>
        <v/>
      </c>
    </row>
    <row r="2614" spans="1:1">
      <c r="A2614" s="11" t="str">
        <f t="shared" si="121"/>
        <v/>
      </c>
    </row>
    <row r="2615" spans="1:1">
      <c r="A2615" s="11" t="str">
        <f t="shared" si="121"/>
        <v/>
      </c>
    </row>
    <row r="2616" spans="1:1">
      <c r="A2616" s="11" t="str">
        <f t="shared" si="121"/>
        <v/>
      </c>
    </row>
    <row r="2617" spans="1:1">
      <c r="A2617" s="11" t="str">
        <f t="shared" si="121"/>
        <v/>
      </c>
    </row>
    <row r="2618" spans="1:1">
      <c r="A2618" s="11" t="str">
        <f t="shared" si="121"/>
        <v/>
      </c>
    </row>
    <row r="2619" spans="1:1">
      <c r="A2619" s="11" t="str">
        <f t="shared" si="121"/>
        <v/>
      </c>
    </row>
    <row r="2620" spans="1:1">
      <c r="A2620" s="11" t="str">
        <f t="shared" si="121"/>
        <v/>
      </c>
    </row>
    <row r="2621" spans="1:1">
      <c r="A2621" s="11" t="str">
        <f t="shared" si="121"/>
        <v/>
      </c>
    </row>
    <row r="2622" spans="1:1">
      <c r="A2622" s="11" t="str">
        <f t="shared" si="121"/>
        <v/>
      </c>
    </row>
    <row r="2623" spans="1:1">
      <c r="A2623" s="11" t="str">
        <f t="shared" si="121"/>
        <v/>
      </c>
    </row>
    <row r="2624" spans="1:1">
      <c r="A2624" s="11" t="str">
        <f t="shared" si="121"/>
        <v/>
      </c>
    </row>
    <row r="2625" spans="1:1">
      <c r="A2625" s="11" t="str">
        <f t="shared" si="121"/>
        <v/>
      </c>
    </row>
    <row r="2626" spans="1:1">
      <c r="A2626" s="11" t="str">
        <f t="shared" si="121"/>
        <v/>
      </c>
    </row>
    <row r="2627" spans="1:1">
      <c r="A2627" s="11" t="str">
        <f t="shared" ref="A2627:A2690" si="122">B2627&amp;D2627</f>
        <v/>
      </c>
    </row>
    <row r="2628" spans="1:1">
      <c r="A2628" s="11" t="str">
        <f t="shared" si="122"/>
        <v/>
      </c>
    </row>
    <row r="2629" spans="1:1">
      <c r="A2629" s="11" t="str">
        <f t="shared" si="122"/>
        <v/>
      </c>
    </row>
    <row r="2630" spans="1:1">
      <c r="A2630" s="11" t="str">
        <f t="shared" si="122"/>
        <v/>
      </c>
    </row>
    <row r="2631" spans="1:1">
      <c r="A2631" s="11" t="str">
        <f t="shared" si="122"/>
        <v/>
      </c>
    </row>
    <row r="2632" spans="1:1">
      <c r="A2632" s="11" t="str">
        <f t="shared" si="122"/>
        <v/>
      </c>
    </row>
    <row r="2633" spans="1:1">
      <c r="A2633" s="11" t="str">
        <f t="shared" si="122"/>
        <v/>
      </c>
    </row>
    <row r="2634" spans="1:1">
      <c r="A2634" s="11" t="str">
        <f t="shared" si="122"/>
        <v/>
      </c>
    </row>
    <row r="2635" spans="1:1">
      <c r="A2635" s="11" t="str">
        <f t="shared" si="122"/>
        <v/>
      </c>
    </row>
    <row r="2636" spans="1:1">
      <c r="A2636" s="11" t="str">
        <f t="shared" si="122"/>
        <v/>
      </c>
    </row>
    <row r="2637" spans="1:1">
      <c r="A2637" s="11" t="str">
        <f t="shared" si="122"/>
        <v/>
      </c>
    </row>
    <row r="2638" spans="1:1">
      <c r="A2638" s="11" t="str">
        <f t="shared" si="122"/>
        <v/>
      </c>
    </row>
    <row r="2639" spans="1:1">
      <c r="A2639" s="11" t="str">
        <f t="shared" si="122"/>
        <v/>
      </c>
    </row>
    <row r="2640" spans="1:1">
      <c r="A2640" s="11" t="str">
        <f t="shared" si="122"/>
        <v/>
      </c>
    </row>
    <row r="2641" spans="1:1">
      <c r="A2641" s="11" t="str">
        <f t="shared" si="122"/>
        <v/>
      </c>
    </row>
    <row r="2642" spans="1:1">
      <c r="A2642" s="11" t="str">
        <f t="shared" si="122"/>
        <v/>
      </c>
    </row>
    <row r="2643" spans="1:1">
      <c r="A2643" s="11" t="str">
        <f t="shared" si="122"/>
        <v/>
      </c>
    </row>
    <row r="2644" spans="1:1">
      <c r="A2644" s="11" t="str">
        <f t="shared" si="122"/>
        <v/>
      </c>
    </row>
    <row r="2645" spans="1:1">
      <c r="A2645" s="11" t="str">
        <f t="shared" si="122"/>
        <v/>
      </c>
    </row>
    <row r="2646" spans="1:1">
      <c r="A2646" s="11" t="str">
        <f t="shared" si="122"/>
        <v/>
      </c>
    </row>
    <row r="2647" spans="1:1">
      <c r="A2647" s="11" t="str">
        <f t="shared" si="122"/>
        <v/>
      </c>
    </row>
    <row r="2648" spans="1:1">
      <c r="A2648" s="11" t="str">
        <f t="shared" si="122"/>
        <v/>
      </c>
    </row>
    <row r="2649" spans="1:1">
      <c r="A2649" s="11" t="str">
        <f t="shared" si="122"/>
        <v/>
      </c>
    </row>
    <row r="2650" spans="1:1">
      <c r="A2650" s="11" t="str">
        <f t="shared" si="122"/>
        <v/>
      </c>
    </row>
    <row r="2651" spans="1:1">
      <c r="A2651" s="11" t="str">
        <f t="shared" si="122"/>
        <v/>
      </c>
    </row>
    <row r="2652" spans="1:1">
      <c r="A2652" s="11" t="str">
        <f t="shared" si="122"/>
        <v/>
      </c>
    </row>
    <row r="2653" spans="1:1">
      <c r="A2653" s="11" t="str">
        <f t="shared" si="122"/>
        <v/>
      </c>
    </row>
    <row r="2654" spans="1:1">
      <c r="A2654" s="11" t="str">
        <f t="shared" si="122"/>
        <v/>
      </c>
    </row>
    <row r="2655" spans="1:1">
      <c r="A2655" s="11" t="str">
        <f t="shared" si="122"/>
        <v/>
      </c>
    </row>
    <row r="2656" spans="1:1">
      <c r="A2656" s="11" t="str">
        <f t="shared" si="122"/>
        <v/>
      </c>
    </row>
    <row r="2657" spans="1:1">
      <c r="A2657" s="11" t="str">
        <f t="shared" si="122"/>
        <v/>
      </c>
    </row>
    <row r="2658" spans="1:1">
      <c r="A2658" s="11" t="str">
        <f t="shared" si="122"/>
        <v/>
      </c>
    </row>
    <row r="2659" spans="1:1">
      <c r="A2659" s="11" t="str">
        <f t="shared" si="122"/>
        <v/>
      </c>
    </row>
    <row r="2660" spans="1:1">
      <c r="A2660" s="11" t="str">
        <f t="shared" si="122"/>
        <v/>
      </c>
    </row>
    <row r="2661" spans="1:1">
      <c r="A2661" s="11" t="str">
        <f t="shared" si="122"/>
        <v/>
      </c>
    </row>
    <row r="2662" spans="1:1">
      <c r="A2662" s="11" t="str">
        <f t="shared" si="122"/>
        <v/>
      </c>
    </row>
    <row r="2663" spans="1:1">
      <c r="A2663" s="11" t="str">
        <f t="shared" si="122"/>
        <v/>
      </c>
    </row>
    <row r="2664" spans="1:1">
      <c r="A2664" s="11" t="str">
        <f t="shared" si="122"/>
        <v/>
      </c>
    </row>
    <row r="2665" spans="1:1">
      <c r="A2665" s="11" t="str">
        <f t="shared" si="122"/>
        <v/>
      </c>
    </row>
    <row r="2666" spans="1:1">
      <c r="A2666" s="11" t="str">
        <f t="shared" si="122"/>
        <v/>
      </c>
    </row>
    <row r="2667" spans="1:1">
      <c r="A2667" s="11" t="str">
        <f t="shared" si="122"/>
        <v/>
      </c>
    </row>
    <row r="2668" spans="1:1">
      <c r="A2668" s="11" t="str">
        <f t="shared" si="122"/>
        <v/>
      </c>
    </row>
    <row r="2669" spans="1:1">
      <c r="A2669" s="11" t="str">
        <f t="shared" si="122"/>
        <v/>
      </c>
    </row>
    <row r="2670" spans="1:1">
      <c r="A2670" s="11" t="str">
        <f t="shared" si="122"/>
        <v/>
      </c>
    </row>
    <row r="2671" spans="1:1">
      <c r="A2671" s="11" t="str">
        <f t="shared" si="122"/>
        <v/>
      </c>
    </row>
    <row r="2672" spans="1:1">
      <c r="A2672" s="11" t="str">
        <f t="shared" si="122"/>
        <v/>
      </c>
    </row>
    <row r="2673" spans="1:1">
      <c r="A2673" s="11" t="str">
        <f t="shared" si="122"/>
        <v/>
      </c>
    </row>
    <row r="2674" spans="1:1">
      <c r="A2674" s="11" t="str">
        <f t="shared" si="122"/>
        <v/>
      </c>
    </row>
    <row r="2675" spans="1:1">
      <c r="A2675" s="11" t="str">
        <f t="shared" si="122"/>
        <v/>
      </c>
    </row>
    <row r="2676" spans="1:1">
      <c r="A2676" s="11" t="str">
        <f t="shared" si="122"/>
        <v/>
      </c>
    </row>
    <row r="2677" spans="1:1">
      <c r="A2677" s="11" t="str">
        <f t="shared" si="122"/>
        <v/>
      </c>
    </row>
    <row r="2678" spans="1:1">
      <c r="A2678" s="11" t="str">
        <f t="shared" si="122"/>
        <v/>
      </c>
    </row>
    <row r="2679" spans="1:1">
      <c r="A2679" s="11" t="str">
        <f t="shared" si="122"/>
        <v/>
      </c>
    </row>
    <row r="2680" spans="1:1">
      <c r="A2680" s="11" t="str">
        <f t="shared" si="122"/>
        <v/>
      </c>
    </row>
    <row r="2681" spans="1:1">
      <c r="A2681" s="11" t="str">
        <f t="shared" si="122"/>
        <v/>
      </c>
    </row>
    <row r="2682" spans="1:1">
      <c r="A2682" s="11" t="str">
        <f t="shared" si="122"/>
        <v/>
      </c>
    </row>
    <row r="2683" spans="1:1">
      <c r="A2683" s="11" t="str">
        <f t="shared" si="122"/>
        <v/>
      </c>
    </row>
    <row r="2684" spans="1:1">
      <c r="A2684" s="11" t="str">
        <f t="shared" si="122"/>
        <v/>
      </c>
    </row>
    <row r="2685" spans="1:1">
      <c r="A2685" s="11" t="str">
        <f t="shared" si="122"/>
        <v/>
      </c>
    </row>
    <row r="2686" spans="1:1">
      <c r="A2686" s="11" t="str">
        <f t="shared" si="122"/>
        <v/>
      </c>
    </row>
    <row r="2687" spans="1:1">
      <c r="A2687" s="11" t="str">
        <f t="shared" si="122"/>
        <v/>
      </c>
    </row>
    <row r="2688" spans="1:1">
      <c r="A2688" s="11" t="str">
        <f t="shared" si="122"/>
        <v/>
      </c>
    </row>
    <row r="2689" spans="1:1">
      <c r="A2689" s="11" t="str">
        <f t="shared" si="122"/>
        <v/>
      </c>
    </row>
    <row r="2690" spans="1:1">
      <c r="A2690" s="11" t="str">
        <f t="shared" si="122"/>
        <v/>
      </c>
    </row>
    <row r="2691" spans="1:1">
      <c r="A2691" s="11" t="str">
        <f t="shared" ref="A2691:A2754" si="123">B2691&amp;D2691</f>
        <v/>
      </c>
    </row>
    <row r="2692" spans="1:1">
      <c r="A2692" s="11" t="str">
        <f t="shared" si="123"/>
        <v/>
      </c>
    </row>
    <row r="2693" spans="1:1">
      <c r="A2693" s="11" t="str">
        <f t="shared" si="123"/>
        <v/>
      </c>
    </row>
    <row r="2694" spans="1:1">
      <c r="A2694" s="11" t="str">
        <f t="shared" si="123"/>
        <v/>
      </c>
    </row>
    <row r="2695" spans="1:1">
      <c r="A2695" s="11" t="str">
        <f t="shared" si="123"/>
        <v/>
      </c>
    </row>
    <row r="2696" spans="1:1">
      <c r="A2696" s="11" t="str">
        <f t="shared" si="123"/>
        <v/>
      </c>
    </row>
    <row r="2697" spans="1:1">
      <c r="A2697" s="11" t="str">
        <f t="shared" si="123"/>
        <v/>
      </c>
    </row>
    <row r="2698" spans="1:1">
      <c r="A2698" s="11" t="str">
        <f t="shared" si="123"/>
        <v/>
      </c>
    </row>
    <row r="2699" spans="1:1">
      <c r="A2699" s="11" t="str">
        <f t="shared" si="123"/>
        <v/>
      </c>
    </row>
    <row r="2700" spans="1:1">
      <c r="A2700" s="11" t="str">
        <f t="shared" si="123"/>
        <v/>
      </c>
    </row>
    <row r="2701" spans="1:1">
      <c r="A2701" s="11" t="str">
        <f t="shared" si="123"/>
        <v/>
      </c>
    </row>
    <row r="2702" spans="1:1">
      <c r="A2702" s="11" t="str">
        <f t="shared" si="123"/>
        <v/>
      </c>
    </row>
    <row r="2703" spans="1:1">
      <c r="A2703" s="11" t="str">
        <f t="shared" si="123"/>
        <v/>
      </c>
    </row>
    <row r="2704" spans="1:1">
      <c r="A2704" s="11" t="str">
        <f t="shared" si="123"/>
        <v/>
      </c>
    </row>
    <row r="2705" spans="1:1">
      <c r="A2705" s="11" t="str">
        <f t="shared" si="123"/>
        <v/>
      </c>
    </row>
    <row r="2706" spans="1:1">
      <c r="A2706" s="11" t="str">
        <f t="shared" si="123"/>
        <v/>
      </c>
    </row>
    <row r="2707" spans="1:1">
      <c r="A2707" s="11" t="str">
        <f t="shared" si="123"/>
        <v/>
      </c>
    </row>
    <row r="2708" spans="1:1">
      <c r="A2708" s="11" t="str">
        <f t="shared" si="123"/>
        <v/>
      </c>
    </row>
    <row r="2709" spans="1:1">
      <c r="A2709" s="11" t="str">
        <f t="shared" si="123"/>
        <v/>
      </c>
    </row>
    <row r="2710" spans="1:1">
      <c r="A2710" s="11" t="str">
        <f t="shared" si="123"/>
        <v/>
      </c>
    </row>
    <row r="2711" spans="1:1">
      <c r="A2711" s="11" t="str">
        <f t="shared" si="123"/>
        <v/>
      </c>
    </row>
    <row r="2712" spans="1:1">
      <c r="A2712" s="11" t="str">
        <f t="shared" si="123"/>
        <v/>
      </c>
    </row>
    <row r="2713" spans="1:1">
      <c r="A2713" s="11" t="str">
        <f t="shared" si="123"/>
        <v/>
      </c>
    </row>
    <row r="2714" spans="1:1">
      <c r="A2714" s="11" t="str">
        <f t="shared" si="123"/>
        <v/>
      </c>
    </row>
    <row r="2715" spans="1:1">
      <c r="A2715" s="11" t="str">
        <f t="shared" si="123"/>
        <v/>
      </c>
    </row>
    <row r="2716" spans="1:1">
      <c r="A2716" s="11" t="str">
        <f t="shared" si="123"/>
        <v/>
      </c>
    </row>
    <row r="2717" spans="1:1">
      <c r="A2717" s="11" t="str">
        <f t="shared" si="123"/>
        <v/>
      </c>
    </row>
    <row r="2718" spans="1:1">
      <c r="A2718" s="11" t="str">
        <f t="shared" si="123"/>
        <v/>
      </c>
    </row>
    <row r="2719" spans="1:1">
      <c r="A2719" s="11" t="str">
        <f t="shared" si="123"/>
        <v/>
      </c>
    </row>
    <row r="2720" spans="1:1">
      <c r="A2720" s="11" t="str">
        <f t="shared" si="123"/>
        <v/>
      </c>
    </row>
    <row r="2721" spans="1:1">
      <c r="A2721" s="11" t="str">
        <f t="shared" si="123"/>
        <v/>
      </c>
    </row>
    <row r="2722" spans="1:1">
      <c r="A2722" s="11" t="str">
        <f t="shared" si="123"/>
        <v/>
      </c>
    </row>
    <row r="2723" spans="1:1">
      <c r="A2723" s="11" t="str">
        <f t="shared" si="123"/>
        <v/>
      </c>
    </row>
    <row r="2724" spans="1:1">
      <c r="A2724" s="11" t="str">
        <f t="shared" si="123"/>
        <v/>
      </c>
    </row>
    <row r="2725" spans="1:1">
      <c r="A2725" s="11" t="str">
        <f t="shared" si="123"/>
        <v/>
      </c>
    </row>
    <row r="2726" spans="1:1">
      <c r="A2726" s="11" t="str">
        <f t="shared" si="123"/>
        <v/>
      </c>
    </row>
    <row r="2727" spans="1:1">
      <c r="A2727" s="11" t="str">
        <f t="shared" si="123"/>
        <v/>
      </c>
    </row>
    <row r="2728" spans="1:1">
      <c r="A2728" s="11" t="str">
        <f t="shared" si="123"/>
        <v/>
      </c>
    </row>
    <row r="2729" spans="1:1">
      <c r="A2729" s="11" t="str">
        <f t="shared" si="123"/>
        <v/>
      </c>
    </row>
    <row r="2730" spans="1:1">
      <c r="A2730" s="11" t="str">
        <f t="shared" si="123"/>
        <v/>
      </c>
    </row>
    <row r="2731" spans="1:1">
      <c r="A2731" s="11" t="str">
        <f t="shared" si="123"/>
        <v/>
      </c>
    </row>
    <row r="2732" spans="1:1">
      <c r="A2732" s="11" t="str">
        <f t="shared" si="123"/>
        <v/>
      </c>
    </row>
    <row r="2733" spans="1:1">
      <c r="A2733" s="11" t="str">
        <f t="shared" si="123"/>
        <v/>
      </c>
    </row>
    <row r="2734" spans="1:1">
      <c r="A2734" s="11" t="str">
        <f t="shared" si="123"/>
        <v/>
      </c>
    </row>
    <row r="2735" spans="1:1">
      <c r="A2735" s="11" t="str">
        <f t="shared" si="123"/>
        <v/>
      </c>
    </row>
    <row r="2736" spans="1:1">
      <c r="A2736" s="11" t="str">
        <f t="shared" si="123"/>
        <v/>
      </c>
    </row>
    <row r="2737" spans="1:1">
      <c r="A2737" s="11" t="str">
        <f t="shared" si="123"/>
        <v/>
      </c>
    </row>
    <row r="2738" spans="1:1">
      <c r="A2738" s="11" t="str">
        <f t="shared" si="123"/>
        <v/>
      </c>
    </row>
    <row r="2739" spans="1:1">
      <c r="A2739" s="11" t="str">
        <f t="shared" si="123"/>
        <v/>
      </c>
    </row>
    <row r="2740" spans="1:1">
      <c r="A2740" s="11" t="str">
        <f t="shared" si="123"/>
        <v/>
      </c>
    </row>
    <row r="2741" spans="1:1">
      <c r="A2741" s="11" t="str">
        <f t="shared" si="123"/>
        <v/>
      </c>
    </row>
    <row r="2742" spans="1:1">
      <c r="A2742" s="11" t="str">
        <f t="shared" si="123"/>
        <v/>
      </c>
    </row>
    <row r="2743" spans="1:1">
      <c r="A2743" s="11" t="str">
        <f t="shared" si="123"/>
        <v/>
      </c>
    </row>
    <row r="2744" spans="1:1">
      <c r="A2744" s="11" t="str">
        <f t="shared" si="123"/>
        <v/>
      </c>
    </row>
    <row r="2745" spans="1:1">
      <c r="A2745" s="11" t="str">
        <f t="shared" si="123"/>
        <v/>
      </c>
    </row>
    <row r="2746" spans="1:1">
      <c r="A2746" s="11" t="str">
        <f t="shared" si="123"/>
        <v/>
      </c>
    </row>
    <row r="2747" spans="1:1">
      <c r="A2747" s="11" t="str">
        <f t="shared" si="123"/>
        <v/>
      </c>
    </row>
    <row r="2748" spans="1:1">
      <c r="A2748" s="11" t="str">
        <f t="shared" si="123"/>
        <v/>
      </c>
    </row>
    <row r="2749" spans="1:1">
      <c r="A2749" s="11" t="str">
        <f t="shared" si="123"/>
        <v/>
      </c>
    </row>
    <row r="2750" spans="1:1">
      <c r="A2750" s="11" t="str">
        <f t="shared" si="123"/>
        <v/>
      </c>
    </row>
    <row r="2751" spans="1:1">
      <c r="A2751" s="11" t="str">
        <f t="shared" si="123"/>
        <v/>
      </c>
    </row>
    <row r="2752" spans="1:1">
      <c r="A2752" s="11" t="str">
        <f t="shared" si="123"/>
        <v/>
      </c>
    </row>
    <row r="2753" spans="1:1">
      <c r="A2753" s="11" t="str">
        <f t="shared" si="123"/>
        <v/>
      </c>
    </row>
    <row r="2754" spans="1:1">
      <c r="A2754" s="11" t="str">
        <f t="shared" si="123"/>
        <v/>
      </c>
    </row>
    <row r="2755" spans="1:1">
      <c r="A2755" s="11" t="str">
        <f t="shared" ref="A2755:A2818" si="124">B2755&amp;D2755</f>
        <v/>
      </c>
    </row>
    <row r="2756" spans="1:1">
      <c r="A2756" s="11" t="str">
        <f t="shared" si="124"/>
        <v/>
      </c>
    </row>
    <row r="2757" spans="1:1">
      <c r="A2757" s="11" t="str">
        <f t="shared" si="124"/>
        <v/>
      </c>
    </row>
    <row r="2758" spans="1:1">
      <c r="A2758" s="11" t="str">
        <f t="shared" si="124"/>
        <v/>
      </c>
    </row>
    <row r="2759" spans="1:1">
      <c r="A2759" s="11" t="str">
        <f t="shared" si="124"/>
        <v/>
      </c>
    </row>
    <row r="2760" spans="1:1">
      <c r="A2760" s="11" t="str">
        <f t="shared" si="124"/>
        <v/>
      </c>
    </row>
    <row r="2761" spans="1:1">
      <c r="A2761" s="11" t="str">
        <f t="shared" si="124"/>
        <v/>
      </c>
    </row>
    <row r="2762" spans="1:1">
      <c r="A2762" s="11" t="str">
        <f t="shared" si="124"/>
        <v/>
      </c>
    </row>
    <row r="2763" spans="1:1">
      <c r="A2763" s="11" t="str">
        <f t="shared" si="124"/>
        <v/>
      </c>
    </row>
    <row r="2764" spans="1:1">
      <c r="A2764" s="11" t="str">
        <f t="shared" si="124"/>
        <v/>
      </c>
    </row>
    <row r="2765" spans="1:1">
      <c r="A2765" s="11" t="str">
        <f t="shared" si="124"/>
        <v/>
      </c>
    </row>
    <row r="2766" spans="1:1">
      <c r="A2766" s="11" t="str">
        <f t="shared" si="124"/>
        <v/>
      </c>
    </row>
    <row r="2767" spans="1:1">
      <c r="A2767" s="11" t="str">
        <f t="shared" si="124"/>
        <v/>
      </c>
    </row>
    <row r="2768" spans="1:1">
      <c r="A2768" s="11" t="str">
        <f t="shared" si="124"/>
        <v/>
      </c>
    </row>
    <row r="2769" spans="1:1">
      <c r="A2769" s="11" t="str">
        <f t="shared" si="124"/>
        <v/>
      </c>
    </row>
    <row r="2770" spans="1:1">
      <c r="A2770" s="11" t="str">
        <f t="shared" si="124"/>
        <v/>
      </c>
    </row>
    <row r="2771" spans="1:1">
      <c r="A2771" s="11" t="str">
        <f t="shared" si="124"/>
        <v/>
      </c>
    </row>
    <row r="2772" spans="1:1">
      <c r="A2772" s="11" t="str">
        <f t="shared" si="124"/>
        <v/>
      </c>
    </row>
    <row r="2773" spans="1:1">
      <c r="A2773" s="11" t="str">
        <f t="shared" si="124"/>
        <v/>
      </c>
    </row>
    <row r="2774" spans="1:1">
      <c r="A2774" s="11" t="str">
        <f t="shared" si="124"/>
        <v/>
      </c>
    </row>
    <row r="2775" spans="1:1">
      <c r="A2775" s="11" t="str">
        <f t="shared" si="124"/>
        <v/>
      </c>
    </row>
    <row r="2776" spans="1:1">
      <c r="A2776" s="11" t="str">
        <f t="shared" si="124"/>
        <v/>
      </c>
    </row>
    <row r="2777" spans="1:1">
      <c r="A2777" s="11" t="str">
        <f t="shared" si="124"/>
        <v/>
      </c>
    </row>
    <row r="2778" spans="1:1">
      <c r="A2778" s="11" t="str">
        <f t="shared" si="124"/>
        <v/>
      </c>
    </row>
    <row r="2779" spans="1:1">
      <c r="A2779" s="11" t="str">
        <f t="shared" si="124"/>
        <v/>
      </c>
    </row>
    <row r="2780" spans="1:1">
      <c r="A2780" s="11" t="str">
        <f t="shared" si="124"/>
        <v/>
      </c>
    </row>
    <row r="2781" spans="1:1">
      <c r="A2781" s="11" t="str">
        <f t="shared" si="124"/>
        <v/>
      </c>
    </row>
    <row r="2782" spans="1:1">
      <c r="A2782" s="11" t="str">
        <f t="shared" si="124"/>
        <v/>
      </c>
    </row>
    <row r="2783" spans="1:1">
      <c r="A2783" s="11" t="str">
        <f t="shared" si="124"/>
        <v/>
      </c>
    </row>
    <row r="2784" spans="1:1">
      <c r="A2784" s="11" t="str">
        <f t="shared" si="124"/>
        <v/>
      </c>
    </row>
    <row r="2785" spans="1:1">
      <c r="A2785" s="11" t="str">
        <f t="shared" si="124"/>
        <v/>
      </c>
    </row>
    <row r="2786" spans="1:1">
      <c r="A2786" s="11" t="str">
        <f t="shared" si="124"/>
        <v/>
      </c>
    </row>
    <row r="2787" spans="1:1">
      <c r="A2787" s="11" t="str">
        <f t="shared" si="124"/>
        <v/>
      </c>
    </row>
    <row r="2788" spans="1:1">
      <c r="A2788" s="11" t="str">
        <f t="shared" si="124"/>
        <v/>
      </c>
    </row>
    <row r="2789" spans="1:1">
      <c r="A2789" s="11" t="str">
        <f t="shared" si="124"/>
        <v/>
      </c>
    </row>
    <row r="2790" spans="1:1">
      <c r="A2790" s="11" t="str">
        <f t="shared" si="124"/>
        <v/>
      </c>
    </row>
    <row r="2791" spans="1:1">
      <c r="A2791" s="11" t="str">
        <f t="shared" si="124"/>
        <v/>
      </c>
    </row>
    <row r="2792" spans="1:1">
      <c r="A2792" s="11" t="str">
        <f t="shared" si="124"/>
        <v/>
      </c>
    </row>
    <row r="2793" spans="1:1">
      <c r="A2793" s="11" t="str">
        <f t="shared" si="124"/>
        <v/>
      </c>
    </row>
    <row r="2794" spans="1:1">
      <c r="A2794" s="11" t="str">
        <f t="shared" si="124"/>
        <v/>
      </c>
    </row>
    <row r="2795" spans="1:1">
      <c r="A2795" s="11" t="str">
        <f t="shared" si="124"/>
        <v/>
      </c>
    </row>
    <row r="2796" spans="1:1">
      <c r="A2796" s="11" t="str">
        <f t="shared" si="124"/>
        <v/>
      </c>
    </row>
    <row r="2797" spans="1:1">
      <c r="A2797" s="11" t="str">
        <f t="shared" si="124"/>
        <v/>
      </c>
    </row>
    <row r="2798" spans="1:1">
      <c r="A2798" s="11" t="str">
        <f t="shared" si="124"/>
        <v/>
      </c>
    </row>
    <row r="2799" spans="1:1">
      <c r="A2799" s="11" t="str">
        <f t="shared" si="124"/>
        <v/>
      </c>
    </row>
    <row r="2800" spans="1:1">
      <c r="A2800" s="11" t="str">
        <f t="shared" si="124"/>
        <v/>
      </c>
    </row>
    <row r="2801" spans="1:1">
      <c r="A2801" s="11" t="str">
        <f t="shared" si="124"/>
        <v/>
      </c>
    </row>
    <row r="2802" spans="1:1">
      <c r="A2802" s="11" t="str">
        <f t="shared" si="124"/>
        <v/>
      </c>
    </row>
    <row r="2803" spans="1:1">
      <c r="A2803" s="11" t="str">
        <f t="shared" si="124"/>
        <v/>
      </c>
    </row>
    <row r="2804" spans="1:1">
      <c r="A2804" s="11" t="str">
        <f t="shared" si="124"/>
        <v/>
      </c>
    </row>
    <row r="2805" spans="1:1">
      <c r="A2805" s="11" t="str">
        <f t="shared" si="124"/>
        <v/>
      </c>
    </row>
    <row r="2806" spans="1:1">
      <c r="A2806" s="11" t="str">
        <f t="shared" si="124"/>
        <v/>
      </c>
    </row>
    <row r="2807" spans="1:1">
      <c r="A2807" s="11" t="str">
        <f t="shared" si="124"/>
        <v/>
      </c>
    </row>
    <row r="2808" spans="1:1">
      <c r="A2808" s="11" t="str">
        <f t="shared" si="124"/>
        <v/>
      </c>
    </row>
    <row r="2809" spans="1:1">
      <c r="A2809" s="11" t="str">
        <f t="shared" si="124"/>
        <v/>
      </c>
    </row>
    <row r="2810" spans="1:1">
      <c r="A2810" s="11" t="str">
        <f t="shared" si="124"/>
        <v/>
      </c>
    </row>
    <row r="2811" spans="1:1">
      <c r="A2811" s="11" t="str">
        <f t="shared" si="124"/>
        <v/>
      </c>
    </row>
    <row r="2812" spans="1:1">
      <c r="A2812" s="11" t="str">
        <f t="shared" si="124"/>
        <v/>
      </c>
    </row>
    <row r="2813" spans="1:1">
      <c r="A2813" s="11" t="str">
        <f t="shared" si="124"/>
        <v/>
      </c>
    </row>
    <row r="2814" spans="1:1">
      <c r="A2814" s="11" t="str">
        <f t="shared" si="124"/>
        <v/>
      </c>
    </row>
    <row r="2815" spans="1:1">
      <c r="A2815" s="11" t="str">
        <f t="shared" si="124"/>
        <v/>
      </c>
    </row>
    <row r="2816" spans="1:1">
      <c r="A2816" s="11" t="str">
        <f t="shared" si="124"/>
        <v/>
      </c>
    </row>
    <row r="2817" spans="1:1">
      <c r="A2817" s="11" t="str">
        <f t="shared" si="124"/>
        <v/>
      </c>
    </row>
    <row r="2818" spans="1:1">
      <c r="A2818" s="11" t="str">
        <f t="shared" si="124"/>
        <v/>
      </c>
    </row>
    <row r="2819" spans="1:1">
      <c r="A2819" s="11" t="str">
        <f t="shared" ref="A2819:A2882" si="125">B2819&amp;D2819</f>
        <v/>
      </c>
    </row>
    <row r="2820" spans="1:1">
      <c r="A2820" s="11" t="str">
        <f t="shared" si="125"/>
        <v/>
      </c>
    </row>
    <row r="2821" spans="1:1">
      <c r="A2821" s="11" t="str">
        <f t="shared" si="125"/>
        <v/>
      </c>
    </row>
    <row r="2822" spans="1:1">
      <c r="A2822" s="11" t="str">
        <f t="shared" si="125"/>
        <v/>
      </c>
    </row>
    <row r="2823" spans="1:1">
      <c r="A2823" s="11" t="str">
        <f t="shared" si="125"/>
        <v/>
      </c>
    </row>
    <row r="2824" spans="1:1">
      <c r="A2824" s="11" t="str">
        <f t="shared" si="125"/>
        <v/>
      </c>
    </row>
    <row r="2825" spans="1:1">
      <c r="A2825" s="11" t="str">
        <f t="shared" si="125"/>
        <v/>
      </c>
    </row>
    <row r="2826" spans="1:1">
      <c r="A2826" s="11" t="str">
        <f t="shared" si="125"/>
        <v/>
      </c>
    </row>
    <row r="2827" spans="1:1">
      <c r="A2827" s="11" t="str">
        <f t="shared" si="125"/>
        <v/>
      </c>
    </row>
    <row r="2828" spans="1:1">
      <c r="A2828" s="11" t="str">
        <f t="shared" si="125"/>
        <v/>
      </c>
    </row>
    <row r="2829" spans="1:1">
      <c r="A2829" s="11" t="str">
        <f t="shared" si="125"/>
        <v/>
      </c>
    </row>
    <row r="2830" spans="1:1">
      <c r="A2830" s="11" t="str">
        <f t="shared" si="125"/>
        <v/>
      </c>
    </row>
    <row r="2831" spans="1:1">
      <c r="A2831" s="11" t="str">
        <f t="shared" si="125"/>
        <v/>
      </c>
    </row>
    <row r="2832" spans="1:1">
      <c r="A2832" s="11" t="str">
        <f t="shared" si="125"/>
        <v/>
      </c>
    </row>
    <row r="2833" spans="1:1">
      <c r="A2833" s="11" t="str">
        <f t="shared" si="125"/>
        <v/>
      </c>
    </row>
    <row r="2834" spans="1:1">
      <c r="A2834" s="11" t="str">
        <f t="shared" si="125"/>
        <v/>
      </c>
    </row>
    <row r="2835" spans="1:1">
      <c r="A2835" s="11" t="str">
        <f t="shared" si="125"/>
        <v/>
      </c>
    </row>
    <row r="2836" spans="1:1">
      <c r="A2836" s="11" t="str">
        <f t="shared" si="125"/>
        <v/>
      </c>
    </row>
    <row r="2837" spans="1:1">
      <c r="A2837" s="11" t="str">
        <f t="shared" si="125"/>
        <v/>
      </c>
    </row>
    <row r="2838" spans="1:1">
      <c r="A2838" s="11" t="str">
        <f t="shared" si="125"/>
        <v/>
      </c>
    </row>
    <row r="2839" spans="1:1">
      <c r="A2839" s="11" t="str">
        <f t="shared" si="125"/>
        <v/>
      </c>
    </row>
    <row r="2840" spans="1:1">
      <c r="A2840" s="11" t="str">
        <f t="shared" si="125"/>
        <v/>
      </c>
    </row>
    <row r="2841" spans="1:1">
      <c r="A2841" s="11" t="str">
        <f t="shared" si="125"/>
        <v/>
      </c>
    </row>
    <row r="2842" spans="1:1">
      <c r="A2842" s="11" t="str">
        <f t="shared" si="125"/>
        <v/>
      </c>
    </row>
    <row r="2843" spans="1:1">
      <c r="A2843" s="11" t="str">
        <f t="shared" si="125"/>
        <v/>
      </c>
    </row>
    <row r="2844" spans="1:1">
      <c r="A2844" s="11" t="str">
        <f t="shared" si="125"/>
        <v/>
      </c>
    </row>
    <row r="2845" spans="1:1">
      <c r="A2845" s="11" t="str">
        <f t="shared" si="125"/>
        <v/>
      </c>
    </row>
    <row r="2846" spans="1:1">
      <c r="A2846" s="11" t="str">
        <f t="shared" si="125"/>
        <v/>
      </c>
    </row>
    <row r="2847" spans="1:1">
      <c r="A2847" s="11" t="str">
        <f t="shared" si="125"/>
        <v/>
      </c>
    </row>
    <row r="2848" spans="1:1">
      <c r="A2848" s="11" t="str">
        <f t="shared" si="125"/>
        <v/>
      </c>
    </row>
    <row r="2849" spans="1:1">
      <c r="A2849" s="11" t="str">
        <f t="shared" si="125"/>
        <v/>
      </c>
    </row>
    <row r="2850" spans="1:1">
      <c r="A2850" s="11" t="str">
        <f t="shared" si="125"/>
        <v/>
      </c>
    </row>
    <row r="2851" spans="1:1">
      <c r="A2851" s="11" t="str">
        <f t="shared" si="125"/>
        <v/>
      </c>
    </row>
    <row r="2852" spans="1:1">
      <c r="A2852" s="11" t="str">
        <f t="shared" si="125"/>
        <v/>
      </c>
    </row>
    <row r="2853" spans="1:1">
      <c r="A2853" s="11" t="str">
        <f t="shared" si="125"/>
        <v/>
      </c>
    </row>
    <row r="2854" spans="1:1">
      <c r="A2854" s="11" t="str">
        <f t="shared" si="125"/>
        <v/>
      </c>
    </row>
    <row r="2855" spans="1:1">
      <c r="A2855" s="11" t="str">
        <f t="shared" si="125"/>
        <v/>
      </c>
    </row>
    <row r="2856" spans="1:1">
      <c r="A2856" s="11" t="str">
        <f t="shared" si="125"/>
        <v/>
      </c>
    </row>
    <row r="2857" spans="1:1">
      <c r="A2857" s="11" t="str">
        <f t="shared" si="125"/>
        <v/>
      </c>
    </row>
    <row r="2858" spans="1:1">
      <c r="A2858" s="11" t="str">
        <f t="shared" si="125"/>
        <v/>
      </c>
    </row>
    <row r="2859" spans="1:1">
      <c r="A2859" s="11" t="str">
        <f t="shared" si="125"/>
        <v/>
      </c>
    </row>
    <row r="2860" spans="1:1">
      <c r="A2860" s="11" t="str">
        <f t="shared" si="125"/>
        <v/>
      </c>
    </row>
    <row r="2861" spans="1:1">
      <c r="A2861" s="11" t="str">
        <f t="shared" si="125"/>
        <v/>
      </c>
    </row>
    <row r="2862" spans="1:1">
      <c r="A2862" s="11" t="str">
        <f t="shared" si="125"/>
        <v/>
      </c>
    </row>
    <row r="2863" spans="1:1">
      <c r="A2863" s="11" t="str">
        <f t="shared" si="125"/>
        <v/>
      </c>
    </row>
    <row r="2864" spans="1:1">
      <c r="A2864" s="11" t="str">
        <f t="shared" si="125"/>
        <v/>
      </c>
    </row>
    <row r="2865" spans="1:1">
      <c r="A2865" s="11" t="str">
        <f t="shared" si="125"/>
        <v/>
      </c>
    </row>
    <row r="2866" spans="1:1">
      <c r="A2866" s="11" t="str">
        <f t="shared" si="125"/>
        <v/>
      </c>
    </row>
    <row r="2867" spans="1:1">
      <c r="A2867" s="11" t="str">
        <f t="shared" si="125"/>
        <v/>
      </c>
    </row>
    <row r="2868" spans="1:1">
      <c r="A2868" s="11" t="str">
        <f t="shared" si="125"/>
        <v/>
      </c>
    </row>
    <row r="2869" spans="1:1">
      <c r="A2869" s="11" t="str">
        <f t="shared" si="125"/>
        <v/>
      </c>
    </row>
    <row r="2870" spans="1:1">
      <c r="A2870" s="11" t="str">
        <f t="shared" si="125"/>
        <v/>
      </c>
    </row>
    <row r="2871" spans="1:1">
      <c r="A2871" s="11" t="str">
        <f t="shared" si="125"/>
        <v/>
      </c>
    </row>
    <row r="2872" spans="1:1">
      <c r="A2872" s="11" t="str">
        <f t="shared" si="125"/>
        <v/>
      </c>
    </row>
    <row r="2873" spans="1:1">
      <c r="A2873" s="11" t="str">
        <f t="shared" si="125"/>
        <v/>
      </c>
    </row>
    <row r="2874" spans="1:1">
      <c r="A2874" s="11" t="str">
        <f t="shared" si="125"/>
        <v/>
      </c>
    </row>
    <row r="2875" spans="1:1">
      <c r="A2875" s="11" t="str">
        <f t="shared" si="125"/>
        <v/>
      </c>
    </row>
    <row r="2876" spans="1:1">
      <c r="A2876" s="11" t="str">
        <f t="shared" si="125"/>
        <v/>
      </c>
    </row>
    <row r="2877" spans="1:1">
      <c r="A2877" s="11" t="str">
        <f t="shared" si="125"/>
        <v/>
      </c>
    </row>
    <row r="2878" spans="1:1">
      <c r="A2878" s="11" t="str">
        <f t="shared" si="125"/>
        <v/>
      </c>
    </row>
    <row r="2879" spans="1:1">
      <c r="A2879" s="11" t="str">
        <f t="shared" si="125"/>
        <v/>
      </c>
    </row>
    <row r="2880" spans="1:1">
      <c r="A2880" s="11" t="str">
        <f t="shared" si="125"/>
        <v/>
      </c>
    </row>
    <row r="2881" spans="1:1">
      <c r="A2881" s="11" t="str">
        <f t="shared" si="125"/>
        <v/>
      </c>
    </row>
    <row r="2882" spans="1:1">
      <c r="A2882" s="11" t="str">
        <f t="shared" si="125"/>
        <v/>
      </c>
    </row>
    <row r="2883" spans="1:1">
      <c r="A2883" s="11" t="str">
        <f t="shared" ref="A2883:A2946" si="126">B2883&amp;D2883</f>
        <v/>
      </c>
    </row>
    <row r="2884" spans="1:1">
      <c r="A2884" s="11" t="str">
        <f t="shared" si="126"/>
        <v/>
      </c>
    </row>
    <row r="2885" spans="1:1">
      <c r="A2885" s="11" t="str">
        <f t="shared" si="126"/>
        <v/>
      </c>
    </row>
    <row r="2886" spans="1:1">
      <c r="A2886" s="11" t="str">
        <f t="shared" si="126"/>
        <v/>
      </c>
    </row>
    <row r="2887" spans="1:1">
      <c r="A2887" s="11" t="str">
        <f t="shared" si="126"/>
        <v/>
      </c>
    </row>
    <row r="2888" spans="1:1">
      <c r="A2888" s="11" t="str">
        <f t="shared" si="126"/>
        <v/>
      </c>
    </row>
    <row r="2889" spans="1:1">
      <c r="A2889" s="11" t="str">
        <f t="shared" si="126"/>
        <v/>
      </c>
    </row>
    <row r="2890" spans="1:1">
      <c r="A2890" s="11" t="str">
        <f t="shared" si="126"/>
        <v/>
      </c>
    </row>
    <row r="2891" spans="1:1">
      <c r="A2891" s="11" t="str">
        <f t="shared" si="126"/>
        <v/>
      </c>
    </row>
    <row r="2892" spans="1:1">
      <c r="A2892" s="11" t="str">
        <f t="shared" si="126"/>
        <v/>
      </c>
    </row>
    <row r="2893" spans="1:1">
      <c r="A2893" s="11" t="str">
        <f t="shared" si="126"/>
        <v/>
      </c>
    </row>
    <row r="2894" spans="1:1">
      <c r="A2894" s="11" t="str">
        <f t="shared" si="126"/>
        <v/>
      </c>
    </row>
    <row r="2895" spans="1:1">
      <c r="A2895" s="11" t="str">
        <f t="shared" si="126"/>
        <v/>
      </c>
    </row>
    <row r="2896" spans="1:1">
      <c r="A2896" s="11" t="str">
        <f t="shared" si="126"/>
        <v/>
      </c>
    </row>
    <row r="2897" spans="1:1">
      <c r="A2897" s="11" t="str">
        <f t="shared" si="126"/>
        <v/>
      </c>
    </row>
    <row r="2898" spans="1:1">
      <c r="A2898" s="11" t="str">
        <f t="shared" si="126"/>
        <v/>
      </c>
    </row>
    <row r="2899" spans="1:1">
      <c r="A2899" s="11" t="str">
        <f t="shared" si="126"/>
        <v/>
      </c>
    </row>
    <row r="2900" spans="1:1">
      <c r="A2900" s="11" t="str">
        <f t="shared" si="126"/>
        <v/>
      </c>
    </row>
    <row r="2901" spans="1:1">
      <c r="A2901" s="11" t="str">
        <f t="shared" si="126"/>
        <v/>
      </c>
    </row>
    <row r="2902" spans="1:1">
      <c r="A2902" s="11" t="str">
        <f t="shared" si="126"/>
        <v/>
      </c>
    </row>
    <row r="2903" spans="1:1">
      <c r="A2903" s="11" t="str">
        <f t="shared" si="126"/>
        <v/>
      </c>
    </row>
    <row r="2904" spans="1:1">
      <c r="A2904" s="11" t="str">
        <f t="shared" si="126"/>
        <v/>
      </c>
    </row>
    <row r="2905" spans="1:1">
      <c r="A2905" s="11" t="str">
        <f t="shared" si="126"/>
        <v/>
      </c>
    </row>
    <row r="2906" spans="1:1">
      <c r="A2906" s="11" t="str">
        <f t="shared" si="126"/>
        <v/>
      </c>
    </row>
    <row r="2907" spans="1:1">
      <c r="A2907" s="11" t="str">
        <f t="shared" si="126"/>
        <v/>
      </c>
    </row>
    <row r="2908" spans="1:1">
      <c r="A2908" s="11" t="str">
        <f t="shared" si="126"/>
        <v/>
      </c>
    </row>
    <row r="2909" spans="1:1">
      <c r="A2909" s="11" t="str">
        <f t="shared" si="126"/>
        <v/>
      </c>
    </row>
    <row r="2910" spans="1:1">
      <c r="A2910" s="11" t="str">
        <f t="shared" si="126"/>
        <v/>
      </c>
    </row>
    <row r="2911" spans="1:1">
      <c r="A2911" s="11" t="str">
        <f t="shared" si="126"/>
        <v/>
      </c>
    </row>
    <row r="2912" spans="1:1">
      <c r="A2912" s="11" t="str">
        <f t="shared" si="126"/>
        <v/>
      </c>
    </row>
    <row r="2913" spans="1:1">
      <c r="A2913" s="11" t="str">
        <f t="shared" si="126"/>
        <v/>
      </c>
    </row>
    <row r="2914" spans="1:1">
      <c r="A2914" s="11" t="str">
        <f t="shared" si="126"/>
        <v/>
      </c>
    </row>
    <row r="2915" spans="1:1">
      <c r="A2915" s="11" t="str">
        <f t="shared" si="126"/>
        <v/>
      </c>
    </row>
    <row r="2916" spans="1:1">
      <c r="A2916" s="11" t="str">
        <f t="shared" si="126"/>
        <v/>
      </c>
    </row>
    <row r="2917" spans="1:1">
      <c r="A2917" s="11" t="str">
        <f t="shared" si="126"/>
        <v/>
      </c>
    </row>
    <row r="2918" spans="1:1">
      <c r="A2918" s="11" t="str">
        <f t="shared" si="126"/>
        <v/>
      </c>
    </row>
    <row r="2919" spans="1:1">
      <c r="A2919" s="11" t="str">
        <f t="shared" si="126"/>
        <v/>
      </c>
    </row>
    <row r="2920" spans="1:1">
      <c r="A2920" s="11" t="str">
        <f t="shared" si="126"/>
        <v/>
      </c>
    </row>
    <row r="2921" spans="1:1">
      <c r="A2921" s="11" t="str">
        <f t="shared" si="126"/>
        <v/>
      </c>
    </row>
    <row r="2922" spans="1:1">
      <c r="A2922" s="11" t="str">
        <f t="shared" si="126"/>
        <v/>
      </c>
    </row>
    <row r="2923" spans="1:1">
      <c r="A2923" s="11" t="str">
        <f t="shared" si="126"/>
        <v/>
      </c>
    </row>
    <row r="2924" spans="1:1">
      <c r="A2924" s="11" t="str">
        <f t="shared" si="126"/>
        <v/>
      </c>
    </row>
    <row r="2925" spans="1:1">
      <c r="A2925" s="11" t="str">
        <f t="shared" si="126"/>
        <v/>
      </c>
    </row>
    <row r="2926" spans="1:1">
      <c r="A2926" s="11" t="str">
        <f t="shared" si="126"/>
        <v/>
      </c>
    </row>
    <row r="2927" spans="1:1">
      <c r="A2927" s="11" t="str">
        <f t="shared" si="126"/>
        <v/>
      </c>
    </row>
    <row r="2928" spans="1:1">
      <c r="A2928" s="11" t="str">
        <f t="shared" si="126"/>
        <v/>
      </c>
    </row>
    <row r="2929" spans="1:1">
      <c r="A2929" s="11" t="str">
        <f t="shared" si="126"/>
        <v/>
      </c>
    </row>
    <row r="2930" spans="1:1">
      <c r="A2930" s="11" t="str">
        <f t="shared" si="126"/>
        <v/>
      </c>
    </row>
    <row r="2931" spans="1:1">
      <c r="A2931" s="11" t="str">
        <f t="shared" si="126"/>
        <v/>
      </c>
    </row>
    <row r="2932" spans="1:1">
      <c r="A2932" s="11" t="str">
        <f t="shared" si="126"/>
        <v/>
      </c>
    </row>
    <row r="2933" spans="1:1">
      <c r="A2933" s="11" t="str">
        <f t="shared" si="126"/>
        <v/>
      </c>
    </row>
    <row r="2934" spans="1:1">
      <c r="A2934" s="11" t="str">
        <f t="shared" si="126"/>
        <v/>
      </c>
    </row>
    <row r="2935" spans="1:1">
      <c r="A2935" s="11" t="str">
        <f t="shared" si="126"/>
        <v/>
      </c>
    </row>
    <row r="2936" spans="1:1">
      <c r="A2936" s="11" t="str">
        <f t="shared" si="126"/>
        <v/>
      </c>
    </row>
    <row r="2937" spans="1:1">
      <c r="A2937" s="11" t="str">
        <f t="shared" si="126"/>
        <v/>
      </c>
    </row>
    <row r="2938" spans="1:1">
      <c r="A2938" s="11" t="str">
        <f t="shared" si="126"/>
        <v/>
      </c>
    </row>
    <row r="2939" spans="1:1">
      <c r="A2939" s="11" t="str">
        <f t="shared" si="126"/>
        <v/>
      </c>
    </row>
    <row r="2940" spans="1:1">
      <c r="A2940" s="11" t="str">
        <f t="shared" si="126"/>
        <v/>
      </c>
    </row>
    <row r="2941" spans="1:1">
      <c r="A2941" s="11" t="str">
        <f t="shared" si="126"/>
        <v/>
      </c>
    </row>
    <row r="2942" spans="1:1">
      <c r="A2942" s="11" t="str">
        <f t="shared" si="126"/>
        <v/>
      </c>
    </row>
    <row r="2943" spans="1:1">
      <c r="A2943" s="11" t="str">
        <f t="shared" si="126"/>
        <v/>
      </c>
    </row>
    <row r="2944" spans="1:1">
      <c r="A2944" s="11" t="str">
        <f t="shared" si="126"/>
        <v/>
      </c>
    </row>
    <row r="2945" spans="1:1">
      <c r="A2945" s="11" t="str">
        <f t="shared" si="126"/>
        <v/>
      </c>
    </row>
    <row r="2946" spans="1:1">
      <c r="A2946" s="11" t="str">
        <f t="shared" si="126"/>
        <v/>
      </c>
    </row>
    <row r="2947" spans="1:1">
      <c r="A2947" s="11" t="str">
        <f t="shared" ref="A2947:A3010" si="127">B2947&amp;D2947</f>
        <v/>
      </c>
    </row>
    <row r="2948" spans="1:1">
      <c r="A2948" s="11" t="str">
        <f t="shared" si="127"/>
        <v/>
      </c>
    </row>
    <row r="2949" spans="1:1">
      <c r="A2949" s="11" t="str">
        <f t="shared" si="127"/>
        <v/>
      </c>
    </row>
    <row r="2950" spans="1:1">
      <c r="A2950" s="11" t="str">
        <f t="shared" si="127"/>
        <v/>
      </c>
    </row>
    <row r="2951" spans="1:1">
      <c r="A2951" s="11" t="str">
        <f t="shared" si="127"/>
        <v/>
      </c>
    </row>
    <row r="2952" spans="1:1">
      <c r="A2952" s="11" t="str">
        <f t="shared" si="127"/>
        <v/>
      </c>
    </row>
    <row r="2953" spans="1:1">
      <c r="A2953" s="11" t="str">
        <f t="shared" si="127"/>
        <v/>
      </c>
    </row>
    <row r="2954" spans="1:1">
      <c r="A2954" s="11" t="str">
        <f t="shared" si="127"/>
        <v/>
      </c>
    </row>
    <row r="2955" spans="1:1">
      <c r="A2955" s="11" t="str">
        <f t="shared" si="127"/>
        <v/>
      </c>
    </row>
    <row r="2956" spans="1:1">
      <c r="A2956" s="11" t="str">
        <f t="shared" si="127"/>
        <v/>
      </c>
    </row>
    <row r="2957" spans="1:1">
      <c r="A2957" s="11" t="str">
        <f t="shared" si="127"/>
        <v/>
      </c>
    </row>
    <row r="2958" spans="1:1">
      <c r="A2958" s="11" t="str">
        <f t="shared" si="127"/>
        <v/>
      </c>
    </row>
    <row r="2959" spans="1:1">
      <c r="A2959" s="11" t="str">
        <f t="shared" si="127"/>
        <v/>
      </c>
    </row>
    <row r="2960" spans="1:1">
      <c r="A2960" s="11" t="str">
        <f t="shared" si="127"/>
        <v/>
      </c>
    </row>
    <row r="2961" spans="1:1">
      <c r="A2961" s="11" t="str">
        <f t="shared" si="127"/>
        <v/>
      </c>
    </row>
    <row r="2962" spans="1:1">
      <c r="A2962" s="11" t="str">
        <f t="shared" si="127"/>
        <v/>
      </c>
    </row>
    <row r="2963" spans="1:1">
      <c r="A2963" s="11" t="str">
        <f t="shared" si="127"/>
        <v/>
      </c>
    </row>
    <row r="2964" spans="1:1">
      <c r="A2964" s="11" t="str">
        <f t="shared" si="127"/>
        <v/>
      </c>
    </row>
    <row r="2965" spans="1:1">
      <c r="A2965" s="11" t="str">
        <f t="shared" si="127"/>
        <v/>
      </c>
    </row>
    <row r="2966" spans="1:1">
      <c r="A2966" s="11" t="str">
        <f t="shared" si="127"/>
        <v/>
      </c>
    </row>
    <row r="2967" spans="1:1">
      <c r="A2967" s="11" t="str">
        <f t="shared" si="127"/>
        <v/>
      </c>
    </row>
    <row r="2968" spans="1:1">
      <c r="A2968" s="11" t="str">
        <f t="shared" si="127"/>
        <v/>
      </c>
    </row>
    <row r="2969" spans="1:1">
      <c r="A2969" s="11" t="str">
        <f t="shared" si="127"/>
        <v/>
      </c>
    </row>
    <row r="2970" spans="1:1">
      <c r="A2970" s="11" t="str">
        <f t="shared" si="127"/>
        <v/>
      </c>
    </row>
    <row r="2971" spans="1:1">
      <c r="A2971" s="11" t="str">
        <f t="shared" si="127"/>
        <v/>
      </c>
    </row>
    <row r="2972" spans="1:1">
      <c r="A2972" s="11" t="str">
        <f t="shared" si="127"/>
        <v/>
      </c>
    </row>
    <row r="2973" spans="1:1">
      <c r="A2973" s="11" t="str">
        <f t="shared" si="127"/>
        <v/>
      </c>
    </row>
    <row r="2974" spans="1:1">
      <c r="A2974" s="11" t="str">
        <f t="shared" si="127"/>
        <v/>
      </c>
    </row>
    <row r="2975" spans="1:1">
      <c r="A2975" s="11" t="str">
        <f t="shared" si="127"/>
        <v/>
      </c>
    </row>
    <row r="2976" spans="1:1">
      <c r="A2976" s="11" t="str">
        <f t="shared" si="127"/>
        <v/>
      </c>
    </row>
    <row r="2977" spans="1:1">
      <c r="A2977" s="11" t="str">
        <f t="shared" si="127"/>
        <v/>
      </c>
    </row>
    <row r="2978" spans="1:1">
      <c r="A2978" s="11" t="str">
        <f t="shared" si="127"/>
        <v/>
      </c>
    </row>
    <row r="2979" spans="1:1">
      <c r="A2979" s="11" t="str">
        <f t="shared" si="127"/>
        <v/>
      </c>
    </row>
    <row r="2980" spans="1:1">
      <c r="A2980" s="11" t="str">
        <f t="shared" si="127"/>
        <v/>
      </c>
    </row>
    <row r="2981" spans="1:1">
      <c r="A2981" s="11" t="str">
        <f t="shared" si="127"/>
        <v/>
      </c>
    </row>
    <row r="2982" spans="1:1">
      <c r="A2982" s="11" t="str">
        <f t="shared" si="127"/>
        <v/>
      </c>
    </row>
    <row r="2983" spans="1:1">
      <c r="A2983" s="11" t="str">
        <f t="shared" si="127"/>
        <v/>
      </c>
    </row>
    <row r="2984" spans="1:1">
      <c r="A2984" s="11" t="str">
        <f t="shared" si="127"/>
        <v/>
      </c>
    </row>
    <row r="2985" spans="1:1">
      <c r="A2985" s="11" t="str">
        <f t="shared" si="127"/>
        <v/>
      </c>
    </row>
    <row r="2986" spans="1:1">
      <c r="A2986" s="11" t="str">
        <f t="shared" si="127"/>
        <v/>
      </c>
    </row>
    <row r="2987" spans="1:1">
      <c r="A2987" s="11" t="str">
        <f t="shared" si="127"/>
        <v/>
      </c>
    </row>
    <row r="2988" spans="1:1">
      <c r="A2988" s="11" t="str">
        <f t="shared" si="127"/>
        <v/>
      </c>
    </row>
    <row r="2989" spans="1:1">
      <c r="A2989" s="11" t="str">
        <f t="shared" si="127"/>
        <v/>
      </c>
    </row>
    <row r="2990" spans="1:1">
      <c r="A2990" s="11" t="str">
        <f t="shared" si="127"/>
        <v/>
      </c>
    </row>
    <row r="2991" spans="1:1">
      <c r="A2991" s="11" t="str">
        <f t="shared" si="127"/>
        <v/>
      </c>
    </row>
    <row r="2992" spans="1:1">
      <c r="A2992" s="11" t="str">
        <f t="shared" si="127"/>
        <v/>
      </c>
    </row>
    <row r="2993" spans="1:1">
      <c r="A2993" s="11" t="str">
        <f t="shared" si="127"/>
        <v/>
      </c>
    </row>
    <row r="2994" spans="1:1">
      <c r="A2994" s="11" t="str">
        <f t="shared" si="127"/>
        <v/>
      </c>
    </row>
    <row r="2995" spans="1:1">
      <c r="A2995" s="11" t="str">
        <f t="shared" si="127"/>
        <v/>
      </c>
    </row>
    <row r="2996" spans="1:1">
      <c r="A2996" s="11" t="str">
        <f t="shared" si="127"/>
        <v/>
      </c>
    </row>
    <row r="2997" spans="1:1">
      <c r="A2997" s="11" t="str">
        <f t="shared" si="127"/>
        <v/>
      </c>
    </row>
    <row r="2998" spans="1:1">
      <c r="A2998" s="11" t="str">
        <f t="shared" si="127"/>
        <v/>
      </c>
    </row>
    <row r="2999" spans="1:1">
      <c r="A2999" s="11" t="str">
        <f t="shared" si="127"/>
        <v/>
      </c>
    </row>
    <row r="3000" spans="1:1">
      <c r="A3000" s="11" t="str">
        <f t="shared" si="127"/>
        <v/>
      </c>
    </row>
    <row r="3001" spans="1:1">
      <c r="A3001" s="11" t="str">
        <f t="shared" si="127"/>
        <v/>
      </c>
    </row>
    <row r="3002" spans="1:1">
      <c r="A3002" s="11" t="str">
        <f t="shared" si="127"/>
        <v/>
      </c>
    </row>
    <row r="3003" spans="1:1">
      <c r="A3003" s="11" t="str">
        <f t="shared" si="127"/>
        <v/>
      </c>
    </row>
    <row r="3004" spans="1:1">
      <c r="A3004" s="11" t="str">
        <f t="shared" si="127"/>
        <v/>
      </c>
    </row>
    <row r="3005" spans="1:1">
      <c r="A3005" s="11" t="str">
        <f t="shared" si="127"/>
        <v/>
      </c>
    </row>
    <row r="3006" spans="1:1">
      <c r="A3006" s="11" t="str">
        <f t="shared" si="127"/>
        <v/>
      </c>
    </row>
    <row r="3007" spans="1:1">
      <c r="A3007" s="11" t="str">
        <f t="shared" si="127"/>
        <v/>
      </c>
    </row>
    <row r="3008" spans="1:1">
      <c r="A3008" s="11" t="str">
        <f t="shared" si="127"/>
        <v/>
      </c>
    </row>
    <row r="3009" spans="1:1">
      <c r="A3009" s="11" t="str">
        <f t="shared" si="127"/>
        <v/>
      </c>
    </row>
    <row r="3010" spans="1:1">
      <c r="A3010" s="11" t="str">
        <f t="shared" si="127"/>
        <v/>
      </c>
    </row>
    <row r="3011" spans="1:1">
      <c r="A3011" s="11" t="str">
        <f t="shared" ref="A3011:A3074" si="128">B3011&amp;D3011</f>
        <v/>
      </c>
    </row>
    <row r="3012" spans="1:1">
      <c r="A3012" s="11" t="str">
        <f t="shared" si="128"/>
        <v/>
      </c>
    </row>
    <row r="3013" spans="1:1">
      <c r="A3013" s="11" t="str">
        <f t="shared" si="128"/>
        <v/>
      </c>
    </row>
    <row r="3014" spans="1:1">
      <c r="A3014" s="11" t="str">
        <f t="shared" si="128"/>
        <v/>
      </c>
    </row>
    <row r="3015" spans="1:1">
      <c r="A3015" s="11" t="str">
        <f t="shared" si="128"/>
        <v/>
      </c>
    </row>
    <row r="3016" spans="1:1">
      <c r="A3016" s="11" t="str">
        <f t="shared" si="128"/>
        <v/>
      </c>
    </row>
    <row r="3017" spans="1:1">
      <c r="A3017" s="11" t="str">
        <f t="shared" si="128"/>
        <v/>
      </c>
    </row>
    <row r="3018" spans="1:1">
      <c r="A3018" s="11" t="str">
        <f t="shared" si="128"/>
        <v/>
      </c>
    </row>
    <row r="3019" spans="1:1">
      <c r="A3019" s="11" t="str">
        <f t="shared" si="128"/>
        <v/>
      </c>
    </row>
    <row r="3020" spans="1:1">
      <c r="A3020" s="11" t="str">
        <f t="shared" si="128"/>
        <v/>
      </c>
    </row>
    <row r="3021" spans="1:1">
      <c r="A3021" s="11" t="str">
        <f t="shared" si="128"/>
        <v/>
      </c>
    </row>
    <row r="3022" spans="1:1">
      <c r="A3022" s="11" t="str">
        <f t="shared" si="128"/>
        <v/>
      </c>
    </row>
    <row r="3023" spans="1:1">
      <c r="A3023" s="11" t="str">
        <f t="shared" si="128"/>
        <v/>
      </c>
    </row>
    <row r="3024" spans="1:1">
      <c r="A3024" s="11" t="str">
        <f t="shared" si="128"/>
        <v/>
      </c>
    </row>
    <row r="3025" spans="1:1">
      <c r="A3025" s="11" t="str">
        <f t="shared" si="128"/>
        <v/>
      </c>
    </row>
    <row r="3026" spans="1:1">
      <c r="A3026" s="11" t="str">
        <f t="shared" si="128"/>
        <v/>
      </c>
    </row>
    <row r="3027" spans="1:1">
      <c r="A3027" s="11" t="str">
        <f t="shared" si="128"/>
        <v/>
      </c>
    </row>
    <row r="3028" spans="1:1">
      <c r="A3028" s="11" t="str">
        <f t="shared" si="128"/>
        <v/>
      </c>
    </row>
    <row r="3029" spans="1:1">
      <c r="A3029" s="11" t="str">
        <f t="shared" si="128"/>
        <v/>
      </c>
    </row>
    <row r="3030" spans="1:1">
      <c r="A3030" s="11" t="str">
        <f t="shared" si="128"/>
        <v/>
      </c>
    </row>
    <row r="3031" spans="1:1">
      <c r="A3031" s="11" t="str">
        <f t="shared" si="128"/>
        <v/>
      </c>
    </row>
    <row r="3032" spans="1:1">
      <c r="A3032" s="11" t="str">
        <f t="shared" si="128"/>
        <v/>
      </c>
    </row>
    <row r="3033" spans="1:1">
      <c r="A3033" s="11" t="str">
        <f t="shared" si="128"/>
        <v/>
      </c>
    </row>
    <row r="3034" spans="1:1">
      <c r="A3034" s="11" t="str">
        <f t="shared" si="128"/>
        <v/>
      </c>
    </row>
    <row r="3035" spans="1:1">
      <c r="A3035" s="11" t="str">
        <f t="shared" si="128"/>
        <v/>
      </c>
    </row>
    <row r="3036" spans="1:1">
      <c r="A3036" s="11" t="str">
        <f t="shared" si="128"/>
        <v/>
      </c>
    </row>
    <row r="3037" spans="1:1">
      <c r="A3037" s="11" t="str">
        <f t="shared" si="128"/>
        <v/>
      </c>
    </row>
    <row r="3038" spans="1:1">
      <c r="A3038" s="11" t="str">
        <f t="shared" si="128"/>
        <v/>
      </c>
    </row>
    <row r="3039" spans="1:1">
      <c r="A3039" s="11" t="str">
        <f t="shared" si="128"/>
        <v/>
      </c>
    </row>
    <row r="3040" spans="1:1">
      <c r="A3040" s="11" t="str">
        <f t="shared" si="128"/>
        <v/>
      </c>
    </row>
    <row r="3041" spans="1:1">
      <c r="A3041" s="11" t="str">
        <f t="shared" si="128"/>
        <v/>
      </c>
    </row>
    <row r="3042" spans="1:1">
      <c r="A3042" s="11" t="str">
        <f t="shared" si="128"/>
        <v/>
      </c>
    </row>
    <row r="3043" spans="1:1">
      <c r="A3043" s="11" t="str">
        <f t="shared" si="128"/>
        <v/>
      </c>
    </row>
    <row r="3044" spans="1:1">
      <c r="A3044" s="11" t="str">
        <f t="shared" si="128"/>
        <v/>
      </c>
    </row>
    <row r="3045" spans="1:1">
      <c r="A3045" s="11" t="str">
        <f t="shared" si="128"/>
        <v/>
      </c>
    </row>
    <row r="3046" spans="1:1">
      <c r="A3046" s="11" t="str">
        <f t="shared" si="128"/>
        <v/>
      </c>
    </row>
    <row r="3047" spans="1:1">
      <c r="A3047" s="11" t="str">
        <f t="shared" si="128"/>
        <v/>
      </c>
    </row>
    <row r="3048" spans="1:1">
      <c r="A3048" s="11" t="str">
        <f t="shared" si="128"/>
        <v/>
      </c>
    </row>
    <row r="3049" spans="1:1">
      <c r="A3049" s="11" t="str">
        <f t="shared" si="128"/>
        <v/>
      </c>
    </row>
    <row r="3050" spans="1:1">
      <c r="A3050" s="11" t="str">
        <f t="shared" si="128"/>
        <v/>
      </c>
    </row>
    <row r="3051" spans="1:1">
      <c r="A3051" s="11" t="str">
        <f t="shared" si="128"/>
        <v/>
      </c>
    </row>
    <row r="3052" spans="1:1">
      <c r="A3052" s="11" t="str">
        <f t="shared" si="128"/>
        <v/>
      </c>
    </row>
    <row r="3053" spans="1:1">
      <c r="A3053" s="11" t="str">
        <f t="shared" si="128"/>
        <v/>
      </c>
    </row>
    <row r="3054" spans="1:1">
      <c r="A3054" s="11" t="str">
        <f t="shared" si="128"/>
        <v/>
      </c>
    </row>
    <row r="3055" spans="1:1">
      <c r="A3055" s="11" t="str">
        <f t="shared" si="128"/>
        <v/>
      </c>
    </row>
    <row r="3056" spans="1:1">
      <c r="A3056" s="11" t="str">
        <f t="shared" si="128"/>
        <v/>
      </c>
    </row>
    <row r="3057" spans="1:1">
      <c r="A3057" s="11" t="str">
        <f t="shared" si="128"/>
        <v/>
      </c>
    </row>
    <row r="3058" spans="1:1">
      <c r="A3058" s="11" t="str">
        <f t="shared" si="128"/>
        <v/>
      </c>
    </row>
    <row r="3059" spans="1:1">
      <c r="A3059" s="11" t="str">
        <f t="shared" si="128"/>
        <v/>
      </c>
    </row>
    <row r="3060" spans="1:1">
      <c r="A3060" s="11" t="str">
        <f t="shared" si="128"/>
        <v/>
      </c>
    </row>
    <row r="3061" spans="1:1">
      <c r="A3061" s="11" t="str">
        <f t="shared" si="128"/>
        <v/>
      </c>
    </row>
    <row r="3062" spans="1:1">
      <c r="A3062" s="11" t="str">
        <f t="shared" si="128"/>
        <v/>
      </c>
    </row>
    <row r="3063" spans="1:1">
      <c r="A3063" s="11" t="str">
        <f t="shared" si="128"/>
        <v/>
      </c>
    </row>
    <row r="3064" spans="1:1">
      <c r="A3064" s="11" t="str">
        <f t="shared" si="128"/>
        <v/>
      </c>
    </row>
    <row r="3065" spans="1:1">
      <c r="A3065" s="11" t="str">
        <f t="shared" si="128"/>
        <v/>
      </c>
    </row>
    <row r="3066" spans="1:1">
      <c r="A3066" s="11" t="str">
        <f t="shared" si="128"/>
        <v/>
      </c>
    </row>
    <row r="3067" spans="1:1">
      <c r="A3067" s="11" t="str">
        <f t="shared" si="128"/>
        <v/>
      </c>
    </row>
    <row r="3068" spans="1:1">
      <c r="A3068" s="11" t="str">
        <f t="shared" si="128"/>
        <v/>
      </c>
    </row>
    <row r="3069" spans="1:1">
      <c r="A3069" s="11" t="str">
        <f t="shared" si="128"/>
        <v/>
      </c>
    </row>
    <row r="3070" spans="1:1">
      <c r="A3070" s="11" t="str">
        <f t="shared" si="128"/>
        <v/>
      </c>
    </row>
    <row r="3071" spans="1:1">
      <c r="A3071" s="11" t="str">
        <f t="shared" si="128"/>
        <v/>
      </c>
    </row>
    <row r="3072" spans="1:1">
      <c r="A3072" s="11" t="str">
        <f t="shared" si="128"/>
        <v/>
      </c>
    </row>
    <row r="3073" spans="1:1">
      <c r="A3073" s="11" t="str">
        <f t="shared" si="128"/>
        <v/>
      </c>
    </row>
    <row r="3074" spans="1:1">
      <c r="A3074" s="11" t="str">
        <f t="shared" si="128"/>
        <v/>
      </c>
    </row>
    <row r="3075" spans="1:1">
      <c r="A3075" s="11" t="str">
        <f t="shared" ref="A3075:A3138" si="129">B3075&amp;D3075</f>
        <v/>
      </c>
    </row>
    <row r="3076" spans="1:1">
      <c r="A3076" s="11" t="str">
        <f t="shared" si="129"/>
        <v/>
      </c>
    </row>
    <row r="3077" spans="1:1">
      <c r="A3077" s="11" t="str">
        <f t="shared" si="129"/>
        <v/>
      </c>
    </row>
    <row r="3078" spans="1:1">
      <c r="A3078" s="11" t="str">
        <f t="shared" si="129"/>
        <v/>
      </c>
    </row>
    <row r="3079" spans="1:1">
      <c r="A3079" s="11" t="str">
        <f t="shared" si="129"/>
        <v/>
      </c>
    </row>
    <row r="3080" spans="1:1">
      <c r="A3080" s="11" t="str">
        <f t="shared" si="129"/>
        <v/>
      </c>
    </row>
    <row r="3081" spans="1:1">
      <c r="A3081" s="11" t="str">
        <f t="shared" si="129"/>
        <v/>
      </c>
    </row>
    <row r="3082" spans="1:1">
      <c r="A3082" s="11" t="str">
        <f t="shared" si="129"/>
        <v/>
      </c>
    </row>
    <row r="3083" spans="1:1">
      <c r="A3083" s="11" t="str">
        <f t="shared" si="129"/>
        <v/>
      </c>
    </row>
    <row r="3084" spans="1:1">
      <c r="A3084" s="11" t="str">
        <f t="shared" si="129"/>
        <v/>
      </c>
    </row>
    <row r="3085" spans="1:1">
      <c r="A3085" s="11" t="str">
        <f t="shared" si="129"/>
        <v/>
      </c>
    </row>
    <row r="3086" spans="1:1">
      <c r="A3086" s="11" t="str">
        <f t="shared" si="129"/>
        <v/>
      </c>
    </row>
    <row r="3087" spans="1:1">
      <c r="A3087" s="11" t="str">
        <f t="shared" si="129"/>
        <v/>
      </c>
    </row>
    <row r="3088" spans="1:1">
      <c r="A3088" s="11" t="str">
        <f t="shared" si="129"/>
        <v/>
      </c>
    </row>
    <row r="3089" spans="1:1">
      <c r="A3089" s="11" t="str">
        <f t="shared" si="129"/>
        <v/>
      </c>
    </row>
    <row r="3090" spans="1:1">
      <c r="A3090" s="11" t="str">
        <f t="shared" si="129"/>
        <v/>
      </c>
    </row>
    <row r="3091" spans="1:1">
      <c r="A3091" s="11" t="str">
        <f t="shared" si="129"/>
        <v/>
      </c>
    </row>
    <row r="3092" spans="1:1">
      <c r="A3092" s="11" t="str">
        <f t="shared" si="129"/>
        <v/>
      </c>
    </row>
    <row r="3093" spans="1:1">
      <c r="A3093" s="11" t="str">
        <f t="shared" si="129"/>
        <v/>
      </c>
    </row>
    <row r="3094" spans="1:1">
      <c r="A3094" s="11" t="str">
        <f t="shared" si="129"/>
        <v/>
      </c>
    </row>
    <row r="3095" spans="1:1">
      <c r="A3095" s="11" t="str">
        <f t="shared" si="129"/>
        <v/>
      </c>
    </row>
    <row r="3096" spans="1:1">
      <c r="A3096" s="11" t="str">
        <f t="shared" si="129"/>
        <v/>
      </c>
    </row>
    <row r="3097" spans="1:1">
      <c r="A3097" s="11" t="str">
        <f t="shared" si="129"/>
        <v/>
      </c>
    </row>
    <row r="3098" spans="1:1">
      <c r="A3098" s="11" t="str">
        <f t="shared" si="129"/>
        <v/>
      </c>
    </row>
    <row r="3099" spans="1:1">
      <c r="A3099" s="11" t="str">
        <f t="shared" si="129"/>
        <v/>
      </c>
    </row>
    <row r="3100" spans="1:1">
      <c r="A3100" s="11" t="str">
        <f t="shared" si="129"/>
        <v/>
      </c>
    </row>
    <row r="3101" spans="1:1">
      <c r="A3101" s="11" t="str">
        <f t="shared" si="129"/>
        <v/>
      </c>
    </row>
    <row r="3102" spans="1:1">
      <c r="A3102" s="11" t="str">
        <f t="shared" si="129"/>
        <v/>
      </c>
    </row>
    <row r="3103" spans="1:1">
      <c r="A3103" s="11" t="str">
        <f t="shared" si="129"/>
        <v/>
      </c>
    </row>
    <row r="3104" spans="1:1">
      <c r="A3104" s="11" t="str">
        <f t="shared" si="129"/>
        <v/>
      </c>
    </row>
    <row r="3105" spans="1:1">
      <c r="A3105" s="11" t="str">
        <f t="shared" si="129"/>
        <v/>
      </c>
    </row>
    <row r="3106" spans="1:1">
      <c r="A3106" s="11" t="str">
        <f t="shared" si="129"/>
        <v/>
      </c>
    </row>
    <row r="3107" spans="1:1">
      <c r="A3107" s="11" t="str">
        <f t="shared" si="129"/>
        <v/>
      </c>
    </row>
    <row r="3108" spans="1:1">
      <c r="A3108" s="11" t="str">
        <f t="shared" si="129"/>
        <v/>
      </c>
    </row>
    <row r="3109" spans="1:1">
      <c r="A3109" s="11" t="str">
        <f t="shared" si="129"/>
        <v/>
      </c>
    </row>
    <row r="3110" spans="1:1">
      <c r="A3110" s="11" t="str">
        <f t="shared" si="129"/>
        <v/>
      </c>
    </row>
    <row r="3111" spans="1:1">
      <c r="A3111" s="11" t="str">
        <f t="shared" si="129"/>
        <v/>
      </c>
    </row>
    <row r="3112" spans="1:1">
      <c r="A3112" s="11" t="str">
        <f t="shared" si="129"/>
        <v/>
      </c>
    </row>
    <row r="3113" spans="1:1">
      <c r="A3113" s="11" t="str">
        <f t="shared" si="129"/>
        <v/>
      </c>
    </row>
    <row r="3114" spans="1:1">
      <c r="A3114" s="11" t="str">
        <f t="shared" si="129"/>
        <v/>
      </c>
    </row>
    <row r="3115" spans="1:1">
      <c r="A3115" s="11" t="str">
        <f t="shared" si="129"/>
        <v/>
      </c>
    </row>
    <row r="3116" spans="1:1">
      <c r="A3116" s="11" t="str">
        <f t="shared" si="129"/>
        <v/>
      </c>
    </row>
    <row r="3117" spans="1:1">
      <c r="A3117" s="11" t="str">
        <f t="shared" si="129"/>
        <v/>
      </c>
    </row>
    <row r="3118" spans="1:1">
      <c r="A3118" s="11" t="str">
        <f t="shared" si="129"/>
        <v/>
      </c>
    </row>
    <row r="3119" spans="1:1">
      <c r="A3119" s="11" t="str">
        <f t="shared" si="129"/>
        <v/>
      </c>
    </row>
    <row r="3120" spans="1:1">
      <c r="A3120" s="11" t="str">
        <f t="shared" si="129"/>
        <v/>
      </c>
    </row>
    <row r="3121" spans="1:1">
      <c r="A3121" s="11" t="str">
        <f t="shared" si="129"/>
        <v/>
      </c>
    </row>
    <row r="3122" spans="1:1">
      <c r="A3122" s="11" t="str">
        <f t="shared" si="129"/>
        <v/>
      </c>
    </row>
    <row r="3123" spans="1:1">
      <c r="A3123" s="11" t="str">
        <f t="shared" si="129"/>
        <v/>
      </c>
    </row>
    <row r="3124" spans="1:1">
      <c r="A3124" s="11" t="str">
        <f t="shared" si="129"/>
        <v/>
      </c>
    </row>
    <row r="3125" spans="1:1">
      <c r="A3125" s="11" t="str">
        <f t="shared" si="129"/>
        <v/>
      </c>
    </row>
    <row r="3126" spans="1:1">
      <c r="A3126" s="11" t="str">
        <f t="shared" si="129"/>
        <v/>
      </c>
    </row>
    <row r="3127" spans="1:1">
      <c r="A3127" s="11" t="str">
        <f t="shared" si="129"/>
        <v/>
      </c>
    </row>
    <row r="3128" spans="1:1">
      <c r="A3128" s="11" t="str">
        <f t="shared" si="129"/>
        <v/>
      </c>
    </row>
    <row r="3129" spans="1:1">
      <c r="A3129" s="11" t="str">
        <f t="shared" si="129"/>
        <v/>
      </c>
    </row>
    <row r="3130" spans="1:1">
      <c r="A3130" s="11" t="str">
        <f t="shared" si="129"/>
        <v/>
      </c>
    </row>
    <row r="3131" spans="1:1">
      <c r="A3131" s="11" t="str">
        <f t="shared" si="129"/>
        <v/>
      </c>
    </row>
    <row r="3132" spans="1:1">
      <c r="A3132" s="11" t="str">
        <f t="shared" si="129"/>
        <v/>
      </c>
    </row>
    <row r="3133" spans="1:1">
      <c r="A3133" s="11" t="str">
        <f t="shared" si="129"/>
        <v/>
      </c>
    </row>
    <row r="3134" spans="1:1">
      <c r="A3134" s="11" t="str">
        <f t="shared" si="129"/>
        <v/>
      </c>
    </row>
    <row r="3135" spans="1:1">
      <c r="A3135" s="11" t="str">
        <f t="shared" si="129"/>
        <v/>
      </c>
    </row>
    <row r="3136" spans="1:1">
      <c r="A3136" s="11" t="str">
        <f t="shared" si="129"/>
        <v/>
      </c>
    </row>
    <row r="3137" spans="1:1">
      <c r="A3137" s="11" t="str">
        <f t="shared" si="129"/>
        <v/>
      </c>
    </row>
    <row r="3138" spans="1:1">
      <c r="A3138" s="11" t="str">
        <f t="shared" si="129"/>
        <v/>
      </c>
    </row>
    <row r="3139" spans="1:1">
      <c r="A3139" s="11" t="str">
        <f t="shared" ref="A3139:A3202" si="130">B3139&amp;D3139</f>
        <v/>
      </c>
    </row>
    <row r="3140" spans="1:1">
      <c r="A3140" s="11" t="str">
        <f t="shared" si="130"/>
        <v/>
      </c>
    </row>
    <row r="3141" spans="1:1">
      <c r="A3141" s="11" t="str">
        <f t="shared" si="130"/>
        <v/>
      </c>
    </row>
    <row r="3142" spans="1:1">
      <c r="A3142" s="11" t="str">
        <f t="shared" si="130"/>
        <v/>
      </c>
    </row>
    <row r="3143" spans="1:1">
      <c r="A3143" s="11" t="str">
        <f t="shared" si="130"/>
        <v/>
      </c>
    </row>
    <row r="3144" spans="1:1">
      <c r="A3144" s="11" t="str">
        <f t="shared" si="130"/>
        <v/>
      </c>
    </row>
    <row r="3145" spans="1:1">
      <c r="A3145" s="11" t="str">
        <f t="shared" si="130"/>
        <v/>
      </c>
    </row>
    <row r="3146" spans="1:1">
      <c r="A3146" s="11" t="str">
        <f t="shared" si="130"/>
        <v/>
      </c>
    </row>
    <row r="3147" spans="1:1">
      <c r="A3147" s="11" t="str">
        <f t="shared" si="130"/>
        <v/>
      </c>
    </row>
    <row r="3148" spans="1:1">
      <c r="A3148" s="11" t="str">
        <f t="shared" si="130"/>
        <v/>
      </c>
    </row>
    <row r="3149" spans="1:1">
      <c r="A3149" s="11" t="str">
        <f t="shared" si="130"/>
        <v/>
      </c>
    </row>
    <row r="3150" spans="1:1">
      <c r="A3150" s="11" t="str">
        <f t="shared" si="130"/>
        <v/>
      </c>
    </row>
    <row r="3151" spans="1:1">
      <c r="A3151" s="11" t="str">
        <f t="shared" si="130"/>
        <v/>
      </c>
    </row>
    <row r="3152" spans="1:1">
      <c r="A3152" s="11" t="str">
        <f t="shared" si="130"/>
        <v/>
      </c>
    </row>
    <row r="3153" spans="1:1">
      <c r="A3153" s="11" t="str">
        <f t="shared" si="130"/>
        <v/>
      </c>
    </row>
    <row r="3154" spans="1:1">
      <c r="A3154" s="11" t="str">
        <f t="shared" si="130"/>
        <v/>
      </c>
    </row>
    <row r="3155" spans="1:1">
      <c r="A3155" s="11" t="str">
        <f t="shared" si="130"/>
        <v/>
      </c>
    </row>
    <row r="3156" spans="1:1">
      <c r="A3156" s="11" t="str">
        <f t="shared" si="130"/>
        <v/>
      </c>
    </row>
    <row r="3157" spans="1:1">
      <c r="A3157" s="11" t="str">
        <f t="shared" si="130"/>
        <v/>
      </c>
    </row>
    <row r="3158" spans="1:1">
      <c r="A3158" s="11" t="str">
        <f t="shared" si="130"/>
        <v/>
      </c>
    </row>
    <row r="3159" spans="1:1">
      <c r="A3159" s="11" t="str">
        <f t="shared" si="130"/>
        <v/>
      </c>
    </row>
    <row r="3160" spans="1:1">
      <c r="A3160" s="11" t="str">
        <f t="shared" si="130"/>
        <v/>
      </c>
    </row>
    <row r="3161" spans="1:1">
      <c r="A3161" s="11" t="str">
        <f t="shared" si="130"/>
        <v/>
      </c>
    </row>
    <row r="3162" spans="1:1">
      <c r="A3162" s="11" t="str">
        <f t="shared" si="130"/>
        <v/>
      </c>
    </row>
    <row r="3163" spans="1:1">
      <c r="A3163" s="11" t="str">
        <f t="shared" si="130"/>
        <v/>
      </c>
    </row>
    <row r="3164" spans="1:1">
      <c r="A3164" s="11" t="str">
        <f t="shared" si="130"/>
        <v/>
      </c>
    </row>
    <row r="3165" spans="1:1">
      <c r="A3165" s="11" t="str">
        <f t="shared" si="130"/>
        <v/>
      </c>
    </row>
    <row r="3166" spans="1:1">
      <c r="A3166" s="11" t="str">
        <f t="shared" si="130"/>
        <v/>
      </c>
    </row>
    <row r="3167" spans="1:1">
      <c r="A3167" s="11" t="str">
        <f t="shared" si="130"/>
        <v/>
      </c>
    </row>
    <row r="3168" spans="1:1">
      <c r="A3168" s="11" t="str">
        <f t="shared" si="130"/>
        <v/>
      </c>
    </row>
    <row r="3169" spans="1:1">
      <c r="A3169" s="11" t="str">
        <f t="shared" si="130"/>
        <v/>
      </c>
    </row>
    <row r="3170" spans="1:1">
      <c r="A3170" s="11" t="str">
        <f t="shared" si="130"/>
        <v/>
      </c>
    </row>
    <row r="3171" spans="1:1">
      <c r="A3171" s="11" t="str">
        <f t="shared" si="130"/>
        <v/>
      </c>
    </row>
    <row r="3172" spans="1:1">
      <c r="A3172" s="11" t="str">
        <f t="shared" si="130"/>
        <v/>
      </c>
    </row>
    <row r="3173" spans="1:1">
      <c r="A3173" s="11" t="str">
        <f t="shared" si="130"/>
        <v/>
      </c>
    </row>
    <row r="3174" spans="1:1">
      <c r="A3174" s="11" t="str">
        <f t="shared" si="130"/>
        <v/>
      </c>
    </row>
    <row r="3175" spans="1:1">
      <c r="A3175" s="11" t="str">
        <f t="shared" si="130"/>
        <v/>
      </c>
    </row>
    <row r="3176" spans="1:1">
      <c r="A3176" s="11" t="str">
        <f t="shared" si="130"/>
        <v/>
      </c>
    </row>
    <row r="3177" spans="1:1">
      <c r="A3177" s="11" t="str">
        <f t="shared" si="130"/>
        <v/>
      </c>
    </row>
    <row r="3178" spans="1:1">
      <c r="A3178" s="11" t="str">
        <f t="shared" si="130"/>
        <v/>
      </c>
    </row>
    <row r="3179" spans="1:1">
      <c r="A3179" s="11" t="str">
        <f t="shared" si="130"/>
        <v/>
      </c>
    </row>
    <row r="3180" spans="1:1">
      <c r="A3180" s="11" t="str">
        <f t="shared" si="130"/>
        <v/>
      </c>
    </row>
    <row r="3181" spans="1:1">
      <c r="A3181" s="11" t="str">
        <f t="shared" si="130"/>
        <v/>
      </c>
    </row>
    <row r="3182" spans="1:1">
      <c r="A3182" s="11" t="str">
        <f t="shared" si="130"/>
        <v/>
      </c>
    </row>
    <row r="3183" spans="1:1">
      <c r="A3183" s="11" t="str">
        <f t="shared" si="130"/>
        <v/>
      </c>
    </row>
    <row r="3184" spans="1:1">
      <c r="A3184" s="11" t="str">
        <f t="shared" si="130"/>
        <v/>
      </c>
    </row>
    <row r="3185" spans="1:1">
      <c r="A3185" s="11" t="str">
        <f t="shared" si="130"/>
        <v/>
      </c>
    </row>
    <row r="3186" spans="1:1">
      <c r="A3186" s="11" t="str">
        <f t="shared" si="130"/>
        <v/>
      </c>
    </row>
    <row r="3187" spans="1:1">
      <c r="A3187" s="11" t="str">
        <f t="shared" si="130"/>
        <v/>
      </c>
    </row>
    <row r="3188" spans="1:1">
      <c r="A3188" s="11" t="str">
        <f t="shared" si="130"/>
        <v/>
      </c>
    </row>
    <row r="3189" spans="1:1">
      <c r="A3189" s="11" t="str">
        <f t="shared" si="130"/>
        <v/>
      </c>
    </row>
    <row r="3190" spans="1:1">
      <c r="A3190" s="11" t="str">
        <f t="shared" si="130"/>
        <v/>
      </c>
    </row>
    <row r="3191" spans="1:1">
      <c r="A3191" s="11" t="str">
        <f t="shared" si="130"/>
        <v/>
      </c>
    </row>
    <row r="3192" spans="1:1">
      <c r="A3192" s="11" t="str">
        <f t="shared" si="130"/>
        <v/>
      </c>
    </row>
    <row r="3193" spans="1:1">
      <c r="A3193" s="11" t="str">
        <f t="shared" si="130"/>
        <v/>
      </c>
    </row>
    <row r="3194" spans="1:1">
      <c r="A3194" s="11" t="str">
        <f t="shared" si="130"/>
        <v/>
      </c>
    </row>
    <row r="3195" spans="1:1">
      <c r="A3195" s="11" t="str">
        <f t="shared" si="130"/>
        <v/>
      </c>
    </row>
    <row r="3196" spans="1:1">
      <c r="A3196" s="11" t="str">
        <f t="shared" si="130"/>
        <v/>
      </c>
    </row>
    <row r="3197" spans="1:1">
      <c r="A3197" s="11" t="str">
        <f t="shared" si="130"/>
        <v/>
      </c>
    </row>
    <row r="3198" spans="1:1">
      <c r="A3198" s="11" t="str">
        <f t="shared" si="130"/>
        <v/>
      </c>
    </row>
    <row r="3199" spans="1:1">
      <c r="A3199" s="11" t="str">
        <f t="shared" si="130"/>
        <v/>
      </c>
    </row>
    <row r="3200" spans="1:1">
      <c r="A3200" s="11" t="str">
        <f t="shared" si="130"/>
        <v/>
      </c>
    </row>
    <row r="3201" spans="1:1">
      <c r="A3201" s="11" t="str">
        <f t="shared" si="130"/>
        <v/>
      </c>
    </row>
    <row r="3202" spans="1:1">
      <c r="A3202" s="11" t="str">
        <f t="shared" si="130"/>
        <v/>
      </c>
    </row>
    <row r="3203" spans="1:1">
      <c r="A3203" s="11" t="str">
        <f t="shared" ref="A3203:A3266" si="131">B3203&amp;D3203</f>
        <v/>
      </c>
    </row>
    <row r="3204" spans="1:1">
      <c r="A3204" s="11" t="str">
        <f t="shared" si="131"/>
        <v/>
      </c>
    </row>
    <row r="3205" spans="1:1">
      <c r="A3205" s="11" t="str">
        <f t="shared" si="131"/>
        <v/>
      </c>
    </row>
    <row r="3206" spans="1:1">
      <c r="A3206" s="11" t="str">
        <f t="shared" si="131"/>
        <v/>
      </c>
    </row>
    <row r="3207" spans="1:1">
      <c r="A3207" s="11" t="str">
        <f t="shared" si="131"/>
        <v/>
      </c>
    </row>
    <row r="3208" spans="1:1">
      <c r="A3208" s="11" t="str">
        <f t="shared" si="131"/>
        <v/>
      </c>
    </row>
    <row r="3209" spans="1:1">
      <c r="A3209" s="11" t="str">
        <f t="shared" si="131"/>
        <v/>
      </c>
    </row>
    <row r="3210" spans="1:1">
      <c r="A3210" s="11" t="str">
        <f t="shared" si="131"/>
        <v/>
      </c>
    </row>
    <row r="3211" spans="1:1">
      <c r="A3211" s="11" t="str">
        <f t="shared" si="131"/>
        <v/>
      </c>
    </row>
    <row r="3212" spans="1:1">
      <c r="A3212" s="11" t="str">
        <f t="shared" si="131"/>
        <v/>
      </c>
    </row>
    <row r="3213" spans="1:1">
      <c r="A3213" s="11" t="str">
        <f t="shared" si="131"/>
        <v/>
      </c>
    </row>
    <row r="3214" spans="1:1">
      <c r="A3214" s="11" t="str">
        <f t="shared" si="131"/>
        <v/>
      </c>
    </row>
    <row r="3215" spans="1:1">
      <c r="A3215" s="11" t="str">
        <f t="shared" si="131"/>
        <v/>
      </c>
    </row>
    <row r="3216" spans="1:1">
      <c r="A3216" s="11" t="str">
        <f t="shared" si="131"/>
        <v/>
      </c>
    </row>
    <row r="3217" spans="1:1">
      <c r="A3217" s="11" t="str">
        <f t="shared" si="131"/>
        <v/>
      </c>
    </row>
    <row r="3218" spans="1:1">
      <c r="A3218" s="11" t="str">
        <f t="shared" si="131"/>
        <v/>
      </c>
    </row>
    <row r="3219" spans="1:1">
      <c r="A3219" s="11" t="str">
        <f t="shared" si="131"/>
        <v/>
      </c>
    </row>
    <row r="3220" spans="1:1">
      <c r="A3220" s="11" t="str">
        <f t="shared" si="131"/>
        <v/>
      </c>
    </row>
    <row r="3221" spans="1:1">
      <c r="A3221" s="11" t="str">
        <f t="shared" si="131"/>
        <v/>
      </c>
    </row>
    <row r="3222" spans="1:1">
      <c r="A3222" s="11" t="str">
        <f t="shared" si="131"/>
        <v/>
      </c>
    </row>
    <row r="3223" spans="1:1">
      <c r="A3223" s="11" t="str">
        <f t="shared" si="131"/>
        <v/>
      </c>
    </row>
    <row r="3224" spans="1:1">
      <c r="A3224" s="11" t="str">
        <f t="shared" si="131"/>
        <v/>
      </c>
    </row>
    <row r="3225" spans="1:1">
      <c r="A3225" s="11" t="str">
        <f t="shared" si="131"/>
        <v/>
      </c>
    </row>
    <row r="3226" spans="1:1">
      <c r="A3226" s="11" t="str">
        <f t="shared" si="131"/>
        <v/>
      </c>
    </row>
    <row r="3227" spans="1:1">
      <c r="A3227" s="11" t="str">
        <f t="shared" si="131"/>
        <v/>
      </c>
    </row>
    <row r="3228" spans="1:1">
      <c r="A3228" s="11" t="str">
        <f t="shared" si="131"/>
        <v/>
      </c>
    </row>
    <row r="3229" spans="1:1">
      <c r="A3229" s="11" t="str">
        <f t="shared" si="131"/>
        <v/>
      </c>
    </row>
    <row r="3230" spans="1:1">
      <c r="A3230" s="11" t="str">
        <f t="shared" si="131"/>
        <v/>
      </c>
    </row>
    <row r="3231" spans="1:1">
      <c r="A3231" s="11" t="str">
        <f t="shared" si="131"/>
        <v/>
      </c>
    </row>
    <row r="3232" spans="1:1">
      <c r="A3232" s="11" t="str">
        <f t="shared" si="131"/>
        <v/>
      </c>
    </row>
    <row r="3233" spans="1:1">
      <c r="A3233" s="11" t="str">
        <f t="shared" si="131"/>
        <v/>
      </c>
    </row>
    <row r="3234" spans="1:1">
      <c r="A3234" s="11" t="str">
        <f t="shared" si="131"/>
        <v/>
      </c>
    </row>
    <row r="3235" spans="1:1">
      <c r="A3235" s="11" t="str">
        <f t="shared" si="131"/>
        <v/>
      </c>
    </row>
    <row r="3236" spans="1:1">
      <c r="A3236" s="11" t="str">
        <f t="shared" si="131"/>
        <v/>
      </c>
    </row>
    <row r="3237" spans="1:1">
      <c r="A3237" s="11" t="str">
        <f t="shared" si="131"/>
        <v/>
      </c>
    </row>
    <row r="3238" spans="1:1">
      <c r="A3238" s="11" t="str">
        <f t="shared" si="131"/>
        <v/>
      </c>
    </row>
    <row r="3239" spans="1:1">
      <c r="A3239" s="11" t="str">
        <f t="shared" si="131"/>
        <v/>
      </c>
    </row>
    <row r="3240" spans="1:1">
      <c r="A3240" s="11" t="str">
        <f t="shared" si="131"/>
        <v/>
      </c>
    </row>
    <row r="3241" spans="1:1">
      <c r="A3241" s="11" t="str">
        <f t="shared" si="131"/>
        <v/>
      </c>
    </row>
    <row r="3242" spans="1:1">
      <c r="A3242" s="11" t="str">
        <f t="shared" si="131"/>
        <v/>
      </c>
    </row>
    <row r="3243" spans="1:1">
      <c r="A3243" s="11" t="str">
        <f t="shared" si="131"/>
        <v/>
      </c>
    </row>
    <row r="3244" spans="1:1">
      <c r="A3244" s="11" t="str">
        <f t="shared" si="131"/>
        <v/>
      </c>
    </row>
    <row r="3245" spans="1:1">
      <c r="A3245" s="11" t="str">
        <f t="shared" si="131"/>
        <v/>
      </c>
    </row>
    <row r="3246" spans="1:1">
      <c r="A3246" s="11" t="str">
        <f t="shared" si="131"/>
        <v/>
      </c>
    </row>
    <row r="3247" spans="1:1">
      <c r="A3247" s="11" t="str">
        <f t="shared" si="131"/>
        <v/>
      </c>
    </row>
    <row r="3248" spans="1:1">
      <c r="A3248" s="11" t="str">
        <f t="shared" si="131"/>
        <v/>
      </c>
    </row>
    <row r="3249" spans="1:1">
      <c r="A3249" s="11" t="str">
        <f t="shared" si="131"/>
        <v/>
      </c>
    </row>
    <row r="3250" spans="1:1">
      <c r="A3250" s="11" t="str">
        <f t="shared" si="131"/>
        <v/>
      </c>
    </row>
    <row r="3251" spans="1:1">
      <c r="A3251" s="11" t="str">
        <f t="shared" si="131"/>
        <v/>
      </c>
    </row>
    <row r="3252" spans="1:1">
      <c r="A3252" s="11" t="str">
        <f t="shared" si="131"/>
        <v/>
      </c>
    </row>
    <row r="3253" spans="1:1">
      <c r="A3253" s="11" t="str">
        <f t="shared" si="131"/>
        <v/>
      </c>
    </row>
    <row r="3254" spans="1:1">
      <c r="A3254" s="11" t="str">
        <f t="shared" si="131"/>
        <v/>
      </c>
    </row>
    <row r="3255" spans="1:1">
      <c r="A3255" s="11" t="str">
        <f t="shared" si="131"/>
        <v/>
      </c>
    </row>
    <row r="3256" spans="1:1">
      <c r="A3256" s="11" t="str">
        <f t="shared" si="131"/>
        <v/>
      </c>
    </row>
    <row r="3257" spans="1:1">
      <c r="A3257" s="11" t="str">
        <f t="shared" si="131"/>
        <v/>
      </c>
    </row>
    <row r="3258" spans="1:1">
      <c r="A3258" s="11" t="str">
        <f t="shared" si="131"/>
        <v/>
      </c>
    </row>
    <row r="3259" spans="1:1">
      <c r="A3259" s="11" t="str">
        <f t="shared" si="131"/>
        <v/>
      </c>
    </row>
    <row r="3260" spans="1:1">
      <c r="A3260" s="11" t="str">
        <f t="shared" si="131"/>
        <v/>
      </c>
    </row>
    <row r="3261" spans="1:1">
      <c r="A3261" s="11" t="str">
        <f t="shared" si="131"/>
        <v/>
      </c>
    </row>
    <row r="3262" spans="1:1">
      <c r="A3262" s="11" t="str">
        <f t="shared" si="131"/>
        <v/>
      </c>
    </row>
    <row r="3263" spans="1:1">
      <c r="A3263" s="11" t="str">
        <f t="shared" si="131"/>
        <v/>
      </c>
    </row>
    <row r="3264" spans="1:1">
      <c r="A3264" s="11" t="str">
        <f t="shared" si="131"/>
        <v/>
      </c>
    </row>
    <row r="3265" spans="1:1">
      <c r="A3265" s="11" t="str">
        <f t="shared" si="131"/>
        <v/>
      </c>
    </row>
    <row r="3266" spans="1:1">
      <c r="A3266" s="11" t="str">
        <f t="shared" si="131"/>
        <v/>
      </c>
    </row>
    <row r="3267" spans="1:1">
      <c r="A3267" s="11" t="str">
        <f t="shared" ref="A3267:A3330" si="132">B3267&amp;D3267</f>
        <v/>
      </c>
    </row>
    <row r="3268" spans="1:1">
      <c r="A3268" s="11" t="str">
        <f t="shared" si="132"/>
        <v/>
      </c>
    </row>
    <row r="3269" spans="1:1">
      <c r="A3269" s="11" t="str">
        <f t="shared" si="132"/>
        <v/>
      </c>
    </row>
    <row r="3270" spans="1:1">
      <c r="A3270" s="11" t="str">
        <f t="shared" si="132"/>
        <v/>
      </c>
    </row>
    <row r="3271" spans="1:1">
      <c r="A3271" s="11" t="str">
        <f t="shared" si="132"/>
        <v/>
      </c>
    </row>
    <row r="3272" spans="1:1">
      <c r="A3272" s="11" t="str">
        <f t="shared" si="132"/>
        <v/>
      </c>
    </row>
    <row r="3273" spans="1:1">
      <c r="A3273" s="11" t="str">
        <f t="shared" si="132"/>
        <v/>
      </c>
    </row>
    <row r="3274" spans="1:1">
      <c r="A3274" s="11" t="str">
        <f t="shared" si="132"/>
        <v/>
      </c>
    </row>
    <row r="3275" spans="1:1">
      <c r="A3275" s="11" t="str">
        <f t="shared" si="132"/>
        <v/>
      </c>
    </row>
    <row r="3276" spans="1:1">
      <c r="A3276" s="11" t="str">
        <f t="shared" si="132"/>
        <v/>
      </c>
    </row>
    <row r="3277" spans="1:1">
      <c r="A3277" s="11" t="str">
        <f t="shared" si="132"/>
        <v/>
      </c>
    </row>
    <row r="3278" spans="1:1">
      <c r="A3278" s="11" t="str">
        <f t="shared" si="132"/>
        <v/>
      </c>
    </row>
    <row r="3279" spans="1:1">
      <c r="A3279" s="11" t="str">
        <f t="shared" si="132"/>
        <v/>
      </c>
    </row>
    <row r="3280" spans="1:1">
      <c r="A3280" s="11" t="str">
        <f t="shared" si="132"/>
        <v/>
      </c>
    </row>
    <row r="3281" spans="1:1">
      <c r="A3281" s="11" t="str">
        <f t="shared" si="132"/>
        <v/>
      </c>
    </row>
    <row r="3282" spans="1:1">
      <c r="A3282" s="11" t="str">
        <f t="shared" si="132"/>
        <v/>
      </c>
    </row>
    <row r="3283" spans="1:1">
      <c r="A3283" s="11" t="str">
        <f t="shared" si="132"/>
        <v/>
      </c>
    </row>
    <row r="3284" spans="1:1">
      <c r="A3284" s="11" t="str">
        <f t="shared" si="132"/>
        <v/>
      </c>
    </row>
    <row r="3285" spans="1:1">
      <c r="A3285" s="11" t="str">
        <f t="shared" si="132"/>
        <v/>
      </c>
    </row>
    <row r="3286" spans="1:1">
      <c r="A3286" s="11" t="str">
        <f t="shared" si="132"/>
        <v/>
      </c>
    </row>
    <row r="3287" spans="1:1">
      <c r="A3287" s="11" t="str">
        <f t="shared" si="132"/>
        <v/>
      </c>
    </row>
    <row r="3288" spans="1:1">
      <c r="A3288" s="11" t="str">
        <f t="shared" si="132"/>
        <v/>
      </c>
    </row>
    <row r="3289" spans="1:1">
      <c r="A3289" s="11" t="str">
        <f t="shared" si="132"/>
        <v/>
      </c>
    </row>
    <row r="3290" spans="1:1">
      <c r="A3290" s="11" t="str">
        <f t="shared" si="132"/>
        <v/>
      </c>
    </row>
    <row r="3291" spans="1:1">
      <c r="A3291" s="11" t="str">
        <f t="shared" si="132"/>
        <v/>
      </c>
    </row>
    <row r="3292" spans="1:1">
      <c r="A3292" s="11" t="str">
        <f t="shared" si="132"/>
        <v/>
      </c>
    </row>
    <row r="3293" spans="1:1">
      <c r="A3293" s="11" t="str">
        <f t="shared" si="132"/>
        <v/>
      </c>
    </row>
    <row r="3294" spans="1:1">
      <c r="A3294" s="11" t="str">
        <f t="shared" si="132"/>
        <v/>
      </c>
    </row>
    <row r="3295" spans="1:1">
      <c r="A3295" s="11" t="str">
        <f t="shared" si="132"/>
        <v/>
      </c>
    </row>
    <row r="3296" spans="1:1">
      <c r="A3296" s="11" t="str">
        <f t="shared" si="132"/>
        <v/>
      </c>
    </row>
    <row r="3297" spans="1:1">
      <c r="A3297" s="11" t="str">
        <f t="shared" si="132"/>
        <v/>
      </c>
    </row>
    <row r="3298" spans="1:1">
      <c r="A3298" s="11" t="str">
        <f t="shared" si="132"/>
        <v/>
      </c>
    </row>
    <row r="3299" spans="1:1">
      <c r="A3299" s="11" t="str">
        <f t="shared" si="132"/>
        <v/>
      </c>
    </row>
    <row r="3300" spans="1:1">
      <c r="A3300" s="11" t="str">
        <f t="shared" si="132"/>
        <v/>
      </c>
    </row>
    <row r="3301" spans="1:1">
      <c r="A3301" s="11" t="str">
        <f t="shared" si="132"/>
        <v/>
      </c>
    </row>
    <row r="3302" spans="1:1">
      <c r="A3302" s="11" t="str">
        <f t="shared" si="132"/>
        <v/>
      </c>
    </row>
    <row r="3303" spans="1:1">
      <c r="A3303" s="11" t="str">
        <f t="shared" si="132"/>
        <v/>
      </c>
    </row>
    <row r="3304" spans="1:1">
      <c r="A3304" s="11" t="str">
        <f t="shared" si="132"/>
        <v/>
      </c>
    </row>
    <row r="3305" spans="1:1">
      <c r="A3305" s="11" t="str">
        <f t="shared" si="132"/>
        <v/>
      </c>
    </row>
    <row r="3306" spans="1:1">
      <c r="A3306" s="11" t="str">
        <f t="shared" si="132"/>
        <v/>
      </c>
    </row>
    <row r="3307" spans="1:1">
      <c r="A3307" s="11" t="str">
        <f t="shared" si="132"/>
        <v/>
      </c>
    </row>
    <row r="3308" spans="1:1">
      <c r="A3308" s="11" t="str">
        <f t="shared" si="132"/>
        <v/>
      </c>
    </row>
    <row r="3309" spans="1:1">
      <c r="A3309" s="11" t="str">
        <f t="shared" si="132"/>
        <v/>
      </c>
    </row>
    <row r="3310" spans="1:1">
      <c r="A3310" s="11" t="str">
        <f t="shared" si="132"/>
        <v/>
      </c>
    </row>
    <row r="3311" spans="1:1">
      <c r="A3311" s="11" t="str">
        <f t="shared" si="132"/>
        <v/>
      </c>
    </row>
    <row r="3312" spans="1:1">
      <c r="A3312" s="11" t="str">
        <f t="shared" si="132"/>
        <v/>
      </c>
    </row>
    <row r="3313" spans="1:1">
      <c r="A3313" s="11" t="str">
        <f t="shared" si="132"/>
        <v/>
      </c>
    </row>
    <row r="3314" spans="1:1">
      <c r="A3314" s="11" t="str">
        <f t="shared" si="132"/>
        <v/>
      </c>
    </row>
    <row r="3315" spans="1:1">
      <c r="A3315" s="11" t="str">
        <f t="shared" si="132"/>
        <v/>
      </c>
    </row>
    <row r="3316" spans="1:1">
      <c r="A3316" s="11" t="str">
        <f t="shared" si="132"/>
        <v/>
      </c>
    </row>
    <row r="3317" spans="1:1">
      <c r="A3317" s="11" t="str">
        <f t="shared" si="132"/>
        <v/>
      </c>
    </row>
    <row r="3318" spans="1:1">
      <c r="A3318" s="11" t="str">
        <f t="shared" si="132"/>
        <v/>
      </c>
    </row>
    <row r="3319" spans="1:1">
      <c r="A3319" s="11" t="str">
        <f t="shared" si="132"/>
        <v/>
      </c>
    </row>
    <row r="3320" spans="1:1">
      <c r="A3320" s="11" t="str">
        <f t="shared" si="132"/>
        <v/>
      </c>
    </row>
    <row r="3321" spans="1:1">
      <c r="A3321" s="11" t="str">
        <f t="shared" si="132"/>
        <v/>
      </c>
    </row>
    <row r="3322" spans="1:1">
      <c r="A3322" s="11" t="str">
        <f t="shared" si="132"/>
        <v/>
      </c>
    </row>
    <row r="3323" spans="1:1">
      <c r="A3323" s="11" t="str">
        <f t="shared" si="132"/>
        <v/>
      </c>
    </row>
    <row r="3324" spans="1:1">
      <c r="A3324" s="11" t="str">
        <f t="shared" si="132"/>
        <v/>
      </c>
    </row>
    <row r="3325" spans="1:1">
      <c r="A3325" s="11" t="str">
        <f t="shared" si="132"/>
        <v/>
      </c>
    </row>
    <row r="3326" spans="1:1">
      <c r="A3326" s="11" t="str">
        <f t="shared" si="132"/>
        <v/>
      </c>
    </row>
    <row r="3327" spans="1:1">
      <c r="A3327" s="11" t="str">
        <f t="shared" si="132"/>
        <v/>
      </c>
    </row>
    <row r="3328" spans="1:1">
      <c r="A3328" s="11" t="str">
        <f t="shared" si="132"/>
        <v/>
      </c>
    </row>
    <row r="3329" spans="1:1">
      <c r="A3329" s="11" t="str">
        <f t="shared" si="132"/>
        <v/>
      </c>
    </row>
    <row r="3330" spans="1:1">
      <c r="A3330" s="11" t="str">
        <f t="shared" si="132"/>
        <v/>
      </c>
    </row>
    <row r="3331" spans="1:1">
      <c r="A3331" s="11" t="str">
        <f t="shared" ref="A3331:A3394" si="133">B3331&amp;D3331</f>
        <v/>
      </c>
    </row>
    <row r="3332" spans="1:1">
      <c r="A3332" s="11" t="str">
        <f t="shared" si="133"/>
        <v/>
      </c>
    </row>
    <row r="3333" spans="1:1">
      <c r="A3333" s="11" t="str">
        <f t="shared" si="133"/>
        <v/>
      </c>
    </row>
    <row r="3334" spans="1:1">
      <c r="A3334" s="11" t="str">
        <f t="shared" si="133"/>
        <v/>
      </c>
    </row>
    <row r="3335" spans="1:1">
      <c r="A3335" s="11" t="str">
        <f t="shared" si="133"/>
        <v/>
      </c>
    </row>
    <row r="3336" spans="1:1">
      <c r="A3336" s="11" t="str">
        <f t="shared" si="133"/>
        <v/>
      </c>
    </row>
    <row r="3337" spans="1:1">
      <c r="A3337" s="11" t="str">
        <f t="shared" si="133"/>
        <v/>
      </c>
    </row>
    <row r="3338" spans="1:1">
      <c r="A3338" s="11" t="str">
        <f t="shared" si="133"/>
        <v/>
      </c>
    </row>
    <row r="3339" spans="1:1">
      <c r="A3339" s="11" t="str">
        <f t="shared" si="133"/>
        <v/>
      </c>
    </row>
    <row r="3340" spans="1:1">
      <c r="A3340" s="11" t="str">
        <f t="shared" si="133"/>
        <v/>
      </c>
    </row>
    <row r="3341" spans="1:1">
      <c r="A3341" s="11" t="str">
        <f t="shared" si="133"/>
        <v/>
      </c>
    </row>
    <row r="3342" spans="1:1">
      <c r="A3342" s="11" t="str">
        <f t="shared" si="133"/>
        <v/>
      </c>
    </row>
    <row r="3343" spans="1:1">
      <c r="A3343" s="11" t="str">
        <f t="shared" si="133"/>
        <v/>
      </c>
    </row>
    <row r="3344" spans="1:1">
      <c r="A3344" s="11" t="str">
        <f t="shared" si="133"/>
        <v/>
      </c>
    </row>
    <row r="3345" spans="1:1">
      <c r="A3345" s="11" t="str">
        <f t="shared" si="133"/>
        <v/>
      </c>
    </row>
    <row r="3346" spans="1:1">
      <c r="A3346" s="11" t="str">
        <f t="shared" si="133"/>
        <v/>
      </c>
    </row>
    <row r="3347" spans="1:1">
      <c r="A3347" s="11" t="str">
        <f t="shared" si="133"/>
        <v/>
      </c>
    </row>
    <row r="3348" spans="1:1">
      <c r="A3348" s="11" t="str">
        <f t="shared" si="133"/>
        <v/>
      </c>
    </row>
    <row r="3349" spans="1:1">
      <c r="A3349" s="11" t="str">
        <f t="shared" si="133"/>
        <v/>
      </c>
    </row>
    <row r="3350" spans="1:1">
      <c r="A3350" s="11" t="str">
        <f t="shared" si="133"/>
        <v/>
      </c>
    </row>
    <row r="3351" spans="1:1">
      <c r="A3351" s="11" t="str">
        <f t="shared" si="133"/>
        <v/>
      </c>
    </row>
    <row r="3352" spans="1:1">
      <c r="A3352" s="11" t="str">
        <f t="shared" si="133"/>
        <v/>
      </c>
    </row>
    <row r="3353" spans="1:1">
      <c r="A3353" s="11" t="str">
        <f t="shared" si="133"/>
        <v/>
      </c>
    </row>
    <row r="3354" spans="1:1">
      <c r="A3354" s="11" t="str">
        <f t="shared" si="133"/>
        <v/>
      </c>
    </row>
    <row r="3355" spans="1:1">
      <c r="A3355" s="11" t="str">
        <f t="shared" si="133"/>
        <v/>
      </c>
    </row>
    <row r="3356" spans="1:1">
      <c r="A3356" s="11" t="str">
        <f t="shared" si="133"/>
        <v/>
      </c>
    </row>
    <row r="3357" spans="1:1">
      <c r="A3357" s="11" t="str">
        <f t="shared" si="133"/>
        <v/>
      </c>
    </row>
    <row r="3358" spans="1:1">
      <c r="A3358" s="11" t="str">
        <f t="shared" si="133"/>
        <v/>
      </c>
    </row>
    <row r="3359" spans="1:1">
      <c r="A3359" s="11" t="str">
        <f t="shared" si="133"/>
        <v/>
      </c>
    </row>
    <row r="3360" spans="1:1">
      <c r="A3360" s="11" t="str">
        <f t="shared" si="133"/>
        <v/>
      </c>
    </row>
    <row r="3361" spans="1:1">
      <c r="A3361" s="11" t="str">
        <f t="shared" si="133"/>
        <v/>
      </c>
    </row>
    <row r="3362" spans="1:1">
      <c r="A3362" s="11" t="str">
        <f t="shared" si="133"/>
        <v/>
      </c>
    </row>
    <row r="3363" spans="1:1">
      <c r="A3363" s="11" t="str">
        <f t="shared" si="133"/>
        <v/>
      </c>
    </row>
    <row r="3364" spans="1:1">
      <c r="A3364" s="11" t="str">
        <f t="shared" si="133"/>
        <v/>
      </c>
    </row>
    <row r="3365" spans="1:1">
      <c r="A3365" s="11" t="str">
        <f t="shared" si="133"/>
        <v/>
      </c>
    </row>
    <row r="3366" spans="1:1">
      <c r="A3366" s="11" t="str">
        <f t="shared" si="133"/>
        <v/>
      </c>
    </row>
    <row r="3367" spans="1:1">
      <c r="A3367" s="11" t="str">
        <f t="shared" si="133"/>
        <v/>
      </c>
    </row>
    <row r="3368" spans="1:1">
      <c r="A3368" s="11" t="str">
        <f t="shared" si="133"/>
        <v/>
      </c>
    </row>
    <row r="3369" spans="1:1">
      <c r="A3369" s="11" t="str">
        <f t="shared" si="133"/>
        <v/>
      </c>
    </row>
    <row r="3370" spans="1:1">
      <c r="A3370" s="11" t="str">
        <f t="shared" si="133"/>
        <v/>
      </c>
    </row>
    <row r="3371" spans="1:1">
      <c r="A3371" s="11" t="str">
        <f t="shared" si="133"/>
        <v/>
      </c>
    </row>
    <row r="3372" spans="1:1">
      <c r="A3372" s="11" t="str">
        <f t="shared" si="133"/>
        <v/>
      </c>
    </row>
    <row r="3373" spans="1:1">
      <c r="A3373" s="11" t="str">
        <f t="shared" si="133"/>
        <v/>
      </c>
    </row>
    <row r="3374" spans="1:1">
      <c r="A3374" s="11" t="str">
        <f t="shared" si="133"/>
        <v/>
      </c>
    </row>
    <row r="3375" spans="1:1">
      <c r="A3375" s="11" t="str">
        <f t="shared" si="133"/>
        <v/>
      </c>
    </row>
    <row r="3376" spans="1:1">
      <c r="A3376" s="11" t="str">
        <f t="shared" si="133"/>
        <v/>
      </c>
    </row>
    <row r="3377" spans="1:1">
      <c r="A3377" s="11" t="str">
        <f t="shared" si="133"/>
        <v/>
      </c>
    </row>
    <row r="3378" spans="1:1">
      <c r="A3378" s="11" t="str">
        <f t="shared" si="133"/>
        <v/>
      </c>
    </row>
    <row r="3379" spans="1:1">
      <c r="A3379" s="11" t="str">
        <f t="shared" si="133"/>
        <v/>
      </c>
    </row>
    <row r="3380" spans="1:1">
      <c r="A3380" s="11" t="str">
        <f t="shared" si="133"/>
        <v/>
      </c>
    </row>
    <row r="3381" spans="1:1">
      <c r="A3381" s="11" t="str">
        <f t="shared" si="133"/>
        <v/>
      </c>
    </row>
    <row r="3382" spans="1:1">
      <c r="A3382" s="11" t="str">
        <f t="shared" si="133"/>
        <v/>
      </c>
    </row>
    <row r="3383" spans="1:1">
      <c r="A3383" s="11" t="str">
        <f t="shared" si="133"/>
        <v/>
      </c>
    </row>
    <row r="3384" spans="1:1">
      <c r="A3384" s="11" t="str">
        <f t="shared" si="133"/>
        <v/>
      </c>
    </row>
    <row r="3385" spans="1:1">
      <c r="A3385" s="11" t="str">
        <f t="shared" si="133"/>
        <v/>
      </c>
    </row>
    <row r="3386" spans="1:1">
      <c r="A3386" s="11" t="str">
        <f t="shared" si="133"/>
        <v/>
      </c>
    </row>
    <row r="3387" spans="1:1">
      <c r="A3387" s="11" t="str">
        <f t="shared" si="133"/>
        <v/>
      </c>
    </row>
    <row r="3388" spans="1:1">
      <c r="A3388" s="11" t="str">
        <f t="shared" si="133"/>
        <v/>
      </c>
    </row>
    <row r="3389" spans="1:1">
      <c r="A3389" s="11" t="str">
        <f t="shared" si="133"/>
        <v/>
      </c>
    </row>
    <row r="3390" spans="1:1">
      <c r="A3390" s="11" t="str">
        <f t="shared" si="133"/>
        <v/>
      </c>
    </row>
    <row r="3391" spans="1:1">
      <c r="A3391" s="11" t="str">
        <f t="shared" si="133"/>
        <v/>
      </c>
    </row>
    <row r="3392" spans="1:1">
      <c r="A3392" s="11" t="str">
        <f t="shared" si="133"/>
        <v/>
      </c>
    </row>
    <row r="3393" spans="1:1">
      <c r="A3393" s="11" t="str">
        <f t="shared" si="133"/>
        <v/>
      </c>
    </row>
    <row r="3394" spans="1:1">
      <c r="A3394" s="11" t="str">
        <f t="shared" si="133"/>
        <v/>
      </c>
    </row>
    <row r="3395" spans="1:1">
      <c r="A3395" s="11" t="str">
        <f t="shared" ref="A3395:A3458" si="134">B3395&amp;D3395</f>
        <v/>
      </c>
    </row>
    <row r="3396" spans="1:1">
      <c r="A3396" s="11" t="str">
        <f t="shared" si="134"/>
        <v/>
      </c>
    </row>
    <row r="3397" spans="1:1">
      <c r="A3397" s="11" t="str">
        <f t="shared" si="134"/>
        <v/>
      </c>
    </row>
    <row r="3398" spans="1:1">
      <c r="A3398" s="11" t="str">
        <f t="shared" si="134"/>
        <v/>
      </c>
    </row>
    <row r="3399" spans="1:1">
      <c r="A3399" s="11" t="str">
        <f t="shared" si="134"/>
        <v/>
      </c>
    </row>
    <row r="3400" spans="1:1">
      <c r="A3400" s="11" t="str">
        <f t="shared" si="134"/>
        <v/>
      </c>
    </row>
    <row r="3401" spans="1:1">
      <c r="A3401" s="11" t="str">
        <f t="shared" si="134"/>
        <v/>
      </c>
    </row>
    <row r="3402" spans="1:1">
      <c r="A3402" s="11" t="str">
        <f t="shared" si="134"/>
        <v/>
      </c>
    </row>
    <row r="3403" spans="1:1">
      <c r="A3403" s="11" t="str">
        <f t="shared" si="134"/>
        <v/>
      </c>
    </row>
    <row r="3404" spans="1:1">
      <c r="A3404" s="11" t="str">
        <f t="shared" si="134"/>
        <v/>
      </c>
    </row>
    <row r="3405" spans="1:1">
      <c r="A3405" s="11" t="str">
        <f t="shared" si="134"/>
        <v/>
      </c>
    </row>
    <row r="3406" spans="1:1">
      <c r="A3406" s="11" t="str">
        <f t="shared" si="134"/>
        <v/>
      </c>
    </row>
    <row r="3407" spans="1:1">
      <c r="A3407" s="11" t="str">
        <f t="shared" si="134"/>
        <v/>
      </c>
    </row>
    <row r="3408" spans="1:1">
      <c r="A3408" s="11" t="str">
        <f t="shared" si="134"/>
        <v/>
      </c>
    </row>
    <row r="3409" spans="1:1">
      <c r="A3409" s="11" t="str">
        <f t="shared" si="134"/>
        <v/>
      </c>
    </row>
    <row r="3410" spans="1:1">
      <c r="A3410" s="11" t="str">
        <f t="shared" si="134"/>
        <v/>
      </c>
    </row>
    <row r="3411" spans="1:1">
      <c r="A3411" s="11" t="str">
        <f t="shared" si="134"/>
        <v/>
      </c>
    </row>
    <row r="3412" spans="1:1">
      <c r="A3412" s="11" t="str">
        <f t="shared" si="134"/>
        <v/>
      </c>
    </row>
    <row r="3413" spans="1:1">
      <c r="A3413" s="11" t="str">
        <f t="shared" si="134"/>
        <v/>
      </c>
    </row>
    <row r="3414" spans="1:1">
      <c r="A3414" s="11" t="str">
        <f t="shared" si="134"/>
        <v/>
      </c>
    </row>
    <row r="3415" spans="1:1">
      <c r="A3415" s="11" t="str">
        <f t="shared" si="134"/>
        <v/>
      </c>
    </row>
    <row r="3416" spans="1:1">
      <c r="A3416" s="11" t="str">
        <f t="shared" si="134"/>
        <v/>
      </c>
    </row>
    <row r="3417" spans="1:1">
      <c r="A3417" s="11" t="str">
        <f t="shared" si="134"/>
        <v/>
      </c>
    </row>
    <row r="3418" spans="1:1">
      <c r="A3418" s="11" t="str">
        <f t="shared" si="134"/>
        <v/>
      </c>
    </row>
    <row r="3419" spans="1:1">
      <c r="A3419" s="11" t="str">
        <f t="shared" si="134"/>
        <v/>
      </c>
    </row>
    <row r="3420" spans="1:1">
      <c r="A3420" s="11" t="str">
        <f t="shared" si="134"/>
        <v/>
      </c>
    </row>
    <row r="3421" spans="1:1">
      <c r="A3421" s="11" t="str">
        <f t="shared" si="134"/>
        <v/>
      </c>
    </row>
    <row r="3422" spans="1:1">
      <c r="A3422" s="11" t="str">
        <f t="shared" si="134"/>
        <v/>
      </c>
    </row>
    <row r="3423" spans="1:1">
      <c r="A3423" s="11" t="str">
        <f t="shared" si="134"/>
        <v/>
      </c>
    </row>
    <row r="3424" spans="1:1">
      <c r="A3424" s="11" t="str">
        <f t="shared" si="134"/>
        <v/>
      </c>
    </row>
    <row r="3425" spans="1:1">
      <c r="A3425" s="11" t="str">
        <f t="shared" si="134"/>
        <v/>
      </c>
    </row>
    <row r="3426" spans="1:1">
      <c r="A3426" s="11" t="str">
        <f t="shared" si="134"/>
        <v/>
      </c>
    </row>
    <row r="3427" spans="1:1">
      <c r="A3427" s="11" t="str">
        <f t="shared" si="134"/>
        <v/>
      </c>
    </row>
    <row r="3428" spans="1:1">
      <c r="A3428" s="11" t="str">
        <f t="shared" si="134"/>
        <v/>
      </c>
    </row>
    <row r="3429" spans="1:1">
      <c r="A3429" s="11" t="str">
        <f t="shared" si="134"/>
        <v/>
      </c>
    </row>
    <row r="3430" spans="1:1">
      <c r="A3430" s="11" t="str">
        <f t="shared" si="134"/>
        <v/>
      </c>
    </row>
    <row r="3431" spans="1:1">
      <c r="A3431" s="11" t="str">
        <f t="shared" si="134"/>
        <v/>
      </c>
    </row>
    <row r="3432" spans="1:1">
      <c r="A3432" s="11" t="str">
        <f t="shared" si="134"/>
        <v/>
      </c>
    </row>
    <row r="3433" spans="1:1">
      <c r="A3433" s="11" t="str">
        <f t="shared" si="134"/>
        <v/>
      </c>
    </row>
    <row r="3434" spans="1:1">
      <c r="A3434" s="11" t="str">
        <f t="shared" si="134"/>
        <v/>
      </c>
    </row>
    <row r="3435" spans="1:1">
      <c r="A3435" s="11" t="str">
        <f t="shared" si="134"/>
        <v/>
      </c>
    </row>
    <row r="3436" spans="1:1">
      <c r="A3436" s="11" t="str">
        <f t="shared" si="134"/>
        <v/>
      </c>
    </row>
    <row r="3437" spans="1:1">
      <c r="A3437" s="11" t="str">
        <f t="shared" si="134"/>
        <v/>
      </c>
    </row>
    <row r="3438" spans="1:1">
      <c r="A3438" s="11" t="str">
        <f t="shared" si="134"/>
        <v/>
      </c>
    </row>
    <row r="3439" spans="1:1">
      <c r="A3439" s="11" t="str">
        <f t="shared" si="134"/>
        <v/>
      </c>
    </row>
    <row r="3440" spans="1:1">
      <c r="A3440" s="11" t="str">
        <f t="shared" si="134"/>
        <v/>
      </c>
    </row>
    <row r="3441" spans="1:1">
      <c r="A3441" s="11" t="str">
        <f t="shared" si="134"/>
        <v/>
      </c>
    </row>
    <row r="3442" spans="1:1">
      <c r="A3442" s="11" t="str">
        <f t="shared" si="134"/>
        <v/>
      </c>
    </row>
    <row r="3443" spans="1:1">
      <c r="A3443" s="11" t="str">
        <f t="shared" si="134"/>
        <v/>
      </c>
    </row>
    <row r="3444" spans="1:1">
      <c r="A3444" s="11" t="str">
        <f t="shared" si="134"/>
        <v/>
      </c>
    </row>
    <row r="3445" spans="1:1">
      <c r="A3445" s="11" t="str">
        <f t="shared" si="134"/>
        <v/>
      </c>
    </row>
    <row r="3446" spans="1:1">
      <c r="A3446" s="11" t="str">
        <f t="shared" si="134"/>
        <v/>
      </c>
    </row>
    <row r="3447" spans="1:1">
      <c r="A3447" s="11" t="str">
        <f t="shared" si="134"/>
        <v/>
      </c>
    </row>
    <row r="3448" spans="1:1">
      <c r="A3448" s="11" t="str">
        <f t="shared" si="134"/>
        <v/>
      </c>
    </row>
    <row r="3449" spans="1:1">
      <c r="A3449" s="11" t="str">
        <f t="shared" si="134"/>
        <v/>
      </c>
    </row>
    <row r="3450" spans="1:1">
      <c r="A3450" s="11" t="str">
        <f t="shared" si="134"/>
        <v/>
      </c>
    </row>
    <row r="3451" spans="1:1">
      <c r="A3451" s="11" t="str">
        <f t="shared" si="134"/>
        <v/>
      </c>
    </row>
    <row r="3452" spans="1:1">
      <c r="A3452" s="11" t="str">
        <f t="shared" si="134"/>
        <v/>
      </c>
    </row>
    <row r="3453" spans="1:1">
      <c r="A3453" s="11" t="str">
        <f t="shared" si="134"/>
        <v/>
      </c>
    </row>
    <row r="3454" spans="1:1">
      <c r="A3454" s="11" t="str">
        <f t="shared" si="134"/>
        <v/>
      </c>
    </row>
    <row r="3455" spans="1:1">
      <c r="A3455" s="11" t="str">
        <f t="shared" si="134"/>
        <v/>
      </c>
    </row>
    <row r="3456" spans="1:1">
      <c r="A3456" s="11" t="str">
        <f t="shared" si="134"/>
        <v/>
      </c>
    </row>
    <row r="3457" spans="1:1">
      <c r="A3457" s="11" t="str">
        <f t="shared" si="134"/>
        <v/>
      </c>
    </row>
    <row r="3458" spans="1:1">
      <c r="A3458" s="11" t="str">
        <f t="shared" si="134"/>
        <v/>
      </c>
    </row>
    <row r="3459" spans="1:1">
      <c r="A3459" s="11" t="str">
        <f t="shared" ref="A3459:A3522" si="135">B3459&amp;D3459</f>
        <v/>
      </c>
    </row>
    <row r="3460" spans="1:1">
      <c r="A3460" s="11" t="str">
        <f t="shared" si="135"/>
        <v/>
      </c>
    </row>
    <row r="3461" spans="1:1">
      <c r="A3461" s="11" t="str">
        <f t="shared" si="135"/>
        <v/>
      </c>
    </row>
    <row r="3462" spans="1:1">
      <c r="A3462" s="11" t="str">
        <f t="shared" si="135"/>
        <v/>
      </c>
    </row>
    <row r="3463" spans="1:1">
      <c r="A3463" s="11" t="str">
        <f t="shared" si="135"/>
        <v/>
      </c>
    </row>
    <row r="3464" spans="1:1">
      <c r="A3464" s="11" t="str">
        <f t="shared" si="135"/>
        <v/>
      </c>
    </row>
    <row r="3465" spans="1:1">
      <c r="A3465" s="11" t="str">
        <f t="shared" si="135"/>
        <v/>
      </c>
    </row>
    <row r="3466" spans="1:1">
      <c r="A3466" s="11" t="str">
        <f t="shared" si="135"/>
        <v/>
      </c>
    </row>
    <row r="3467" spans="1:1">
      <c r="A3467" s="11" t="str">
        <f t="shared" si="135"/>
        <v/>
      </c>
    </row>
    <row r="3468" spans="1:1">
      <c r="A3468" s="11" t="str">
        <f t="shared" si="135"/>
        <v/>
      </c>
    </row>
    <row r="3469" spans="1:1">
      <c r="A3469" s="11" t="str">
        <f t="shared" si="135"/>
        <v/>
      </c>
    </row>
    <row r="3470" spans="1:1">
      <c r="A3470" s="11" t="str">
        <f t="shared" si="135"/>
        <v/>
      </c>
    </row>
    <row r="3471" spans="1:1">
      <c r="A3471" s="11" t="str">
        <f t="shared" si="135"/>
        <v/>
      </c>
    </row>
    <row r="3472" spans="1:1">
      <c r="A3472" s="11" t="str">
        <f t="shared" si="135"/>
        <v/>
      </c>
    </row>
    <row r="3473" spans="1:1">
      <c r="A3473" s="11" t="str">
        <f t="shared" si="135"/>
        <v/>
      </c>
    </row>
    <row r="3474" spans="1:1">
      <c r="A3474" s="11" t="str">
        <f t="shared" si="135"/>
        <v/>
      </c>
    </row>
    <row r="3475" spans="1:1">
      <c r="A3475" s="11" t="str">
        <f t="shared" si="135"/>
        <v/>
      </c>
    </row>
    <row r="3476" spans="1:1">
      <c r="A3476" s="11" t="str">
        <f t="shared" si="135"/>
        <v/>
      </c>
    </row>
    <row r="3477" spans="1:1">
      <c r="A3477" s="11" t="str">
        <f t="shared" si="135"/>
        <v/>
      </c>
    </row>
    <row r="3478" spans="1:1">
      <c r="A3478" s="11" t="str">
        <f t="shared" si="135"/>
        <v/>
      </c>
    </row>
    <row r="3479" spans="1:1">
      <c r="A3479" s="11" t="str">
        <f t="shared" si="135"/>
        <v/>
      </c>
    </row>
    <row r="3480" spans="1:1">
      <c r="A3480" s="11" t="str">
        <f t="shared" si="135"/>
        <v/>
      </c>
    </row>
    <row r="3481" spans="1:1">
      <c r="A3481" s="11" t="str">
        <f t="shared" si="135"/>
        <v/>
      </c>
    </row>
    <row r="3482" spans="1:1">
      <c r="A3482" s="11" t="str">
        <f t="shared" si="135"/>
        <v/>
      </c>
    </row>
    <row r="3483" spans="1:1">
      <c r="A3483" s="11" t="str">
        <f t="shared" si="135"/>
        <v/>
      </c>
    </row>
    <row r="3484" spans="1:1">
      <c r="A3484" s="11" t="str">
        <f t="shared" si="135"/>
        <v/>
      </c>
    </row>
    <row r="3485" spans="1:1">
      <c r="A3485" s="11" t="str">
        <f t="shared" si="135"/>
        <v/>
      </c>
    </row>
    <row r="3486" spans="1:1">
      <c r="A3486" s="11" t="str">
        <f t="shared" si="135"/>
        <v/>
      </c>
    </row>
    <row r="3487" spans="1:1">
      <c r="A3487" s="11" t="str">
        <f t="shared" si="135"/>
        <v/>
      </c>
    </row>
    <row r="3488" spans="1:1">
      <c r="A3488" s="11" t="str">
        <f t="shared" si="135"/>
        <v/>
      </c>
    </row>
    <row r="3489" spans="1:1">
      <c r="A3489" s="11" t="str">
        <f t="shared" si="135"/>
        <v/>
      </c>
    </row>
    <row r="3490" spans="1:1">
      <c r="A3490" s="11" t="str">
        <f t="shared" si="135"/>
        <v/>
      </c>
    </row>
    <row r="3491" spans="1:1">
      <c r="A3491" s="11" t="str">
        <f t="shared" si="135"/>
        <v/>
      </c>
    </row>
    <row r="3492" spans="1:1">
      <c r="A3492" s="11" t="str">
        <f t="shared" si="135"/>
        <v/>
      </c>
    </row>
    <row r="3493" spans="1:1">
      <c r="A3493" s="11" t="str">
        <f t="shared" si="135"/>
        <v/>
      </c>
    </row>
    <row r="3494" spans="1:1">
      <c r="A3494" s="11" t="str">
        <f t="shared" si="135"/>
        <v/>
      </c>
    </row>
    <row r="3495" spans="1:1">
      <c r="A3495" s="11" t="str">
        <f t="shared" si="135"/>
        <v/>
      </c>
    </row>
    <row r="3496" spans="1:1">
      <c r="A3496" s="11" t="str">
        <f t="shared" si="135"/>
        <v/>
      </c>
    </row>
    <row r="3497" spans="1:1">
      <c r="A3497" s="11" t="str">
        <f t="shared" si="135"/>
        <v/>
      </c>
    </row>
    <row r="3498" spans="1:1">
      <c r="A3498" s="11" t="str">
        <f t="shared" si="135"/>
        <v/>
      </c>
    </row>
    <row r="3499" spans="1:1">
      <c r="A3499" s="11" t="str">
        <f t="shared" si="135"/>
        <v/>
      </c>
    </row>
    <row r="3500" spans="1:1">
      <c r="A3500" s="11" t="str">
        <f t="shared" si="135"/>
        <v/>
      </c>
    </row>
    <row r="3501" spans="1:1">
      <c r="A3501" s="11" t="str">
        <f t="shared" si="135"/>
        <v/>
      </c>
    </row>
    <row r="3502" spans="1:1">
      <c r="A3502" s="11" t="str">
        <f t="shared" si="135"/>
        <v/>
      </c>
    </row>
    <row r="3503" spans="1:1">
      <c r="A3503" s="11" t="str">
        <f t="shared" si="135"/>
        <v/>
      </c>
    </row>
    <row r="3504" spans="1:1">
      <c r="A3504" s="11" t="str">
        <f t="shared" si="135"/>
        <v/>
      </c>
    </row>
    <row r="3505" spans="1:1">
      <c r="A3505" s="11" t="str">
        <f t="shared" si="135"/>
        <v/>
      </c>
    </row>
    <row r="3506" spans="1:1">
      <c r="A3506" s="11" t="str">
        <f t="shared" si="135"/>
        <v/>
      </c>
    </row>
    <row r="3507" spans="1:1">
      <c r="A3507" s="11" t="str">
        <f t="shared" si="135"/>
        <v/>
      </c>
    </row>
    <row r="3508" spans="1:1">
      <c r="A3508" s="11" t="str">
        <f t="shared" si="135"/>
        <v/>
      </c>
    </row>
    <row r="3509" spans="1:1">
      <c r="A3509" s="11" t="str">
        <f t="shared" si="135"/>
        <v/>
      </c>
    </row>
    <row r="3510" spans="1:1">
      <c r="A3510" s="11" t="str">
        <f t="shared" si="135"/>
        <v/>
      </c>
    </row>
    <row r="3511" spans="1:1">
      <c r="A3511" s="11" t="str">
        <f t="shared" si="135"/>
        <v/>
      </c>
    </row>
    <row r="3512" spans="1:1">
      <c r="A3512" s="11" t="str">
        <f t="shared" si="135"/>
        <v/>
      </c>
    </row>
    <row r="3513" spans="1:1">
      <c r="A3513" s="11" t="str">
        <f t="shared" si="135"/>
        <v/>
      </c>
    </row>
    <row r="3514" spans="1:1">
      <c r="A3514" s="11" t="str">
        <f t="shared" si="135"/>
        <v/>
      </c>
    </row>
    <row r="3515" spans="1:1">
      <c r="A3515" s="11" t="str">
        <f t="shared" si="135"/>
        <v/>
      </c>
    </row>
    <row r="3516" spans="1:1">
      <c r="A3516" s="11" t="str">
        <f t="shared" si="135"/>
        <v/>
      </c>
    </row>
    <row r="3517" spans="1:1">
      <c r="A3517" s="11" t="str">
        <f t="shared" si="135"/>
        <v/>
      </c>
    </row>
    <row r="3518" spans="1:1">
      <c r="A3518" s="11" t="str">
        <f t="shared" si="135"/>
        <v/>
      </c>
    </row>
    <row r="3519" spans="1:1">
      <c r="A3519" s="11" t="str">
        <f t="shared" si="135"/>
        <v/>
      </c>
    </row>
    <row r="3520" spans="1:1">
      <c r="A3520" s="11" t="str">
        <f t="shared" si="135"/>
        <v/>
      </c>
    </row>
    <row r="3521" spans="1:1">
      <c r="A3521" s="11" t="str">
        <f t="shared" si="135"/>
        <v/>
      </c>
    </row>
    <row r="3522" spans="1:1">
      <c r="A3522" s="11" t="str">
        <f t="shared" si="135"/>
        <v/>
      </c>
    </row>
    <row r="3523" spans="1:1">
      <c r="A3523" s="11" t="str">
        <f t="shared" ref="A3523:A3586" si="136">B3523&amp;D3523</f>
        <v/>
      </c>
    </row>
    <row r="3524" spans="1:1">
      <c r="A3524" s="11" t="str">
        <f t="shared" si="136"/>
        <v/>
      </c>
    </row>
    <row r="3525" spans="1:1">
      <c r="A3525" s="11" t="str">
        <f t="shared" si="136"/>
        <v/>
      </c>
    </row>
    <row r="3526" spans="1:1">
      <c r="A3526" s="11" t="str">
        <f t="shared" si="136"/>
        <v/>
      </c>
    </row>
    <row r="3527" spans="1:1">
      <c r="A3527" s="11" t="str">
        <f t="shared" si="136"/>
        <v/>
      </c>
    </row>
    <row r="3528" spans="1:1">
      <c r="A3528" s="11" t="str">
        <f t="shared" si="136"/>
        <v/>
      </c>
    </row>
    <row r="3529" spans="1:1">
      <c r="A3529" s="11" t="str">
        <f t="shared" si="136"/>
        <v/>
      </c>
    </row>
    <row r="3530" spans="1:1">
      <c r="A3530" s="11" t="str">
        <f t="shared" si="136"/>
        <v/>
      </c>
    </row>
    <row r="3531" spans="1:1">
      <c r="A3531" s="11" t="str">
        <f t="shared" si="136"/>
        <v/>
      </c>
    </row>
    <row r="3532" spans="1:1">
      <c r="A3532" s="11" t="str">
        <f t="shared" si="136"/>
        <v/>
      </c>
    </row>
    <row r="3533" spans="1:1">
      <c r="A3533" s="11" t="str">
        <f t="shared" si="136"/>
        <v/>
      </c>
    </row>
    <row r="3534" spans="1:1">
      <c r="A3534" s="11" t="str">
        <f t="shared" si="136"/>
        <v/>
      </c>
    </row>
    <row r="3535" spans="1:1">
      <c r="A3535" s="11" t="str">
        <f t="shared" si="136"/>
        <v/>
      </c>
    </row>
    <row r="3536" spans="1:1">
      <c r="A3536" s="11" t="str">
        <f t="shared" si="136"/>
        <v/>
      </c>
    </row>
    <row r="3537" spans="1:1">
      <c r="A3537" s="11" t="str">
        <f t="shared" si="136"/>
        <v/>
      </c>
    </row>
    <row r="3538" spans="1:1">
      <c r="A3538" s="11" t="str">
        <f t="shared" si="136"/>
        <v/>
      </c>
    </row>
    <row r="3539" spans="1:1">
      <c r="A3539" s="11" t="str">
        <f t="shared" si="136"/>
        <v/>
      </c>
    </row>
    <row r="3540" spans="1:1">
      <c r="A3540" s="11" t="str">
        <f t="shared" si="136"/>
        <v/>
      </c>
    </row>
    <row r="3541" spans="1:1">
      <c r="A3541" s="11" t="str">
        <f t="shared" si="136"/>
        <v/>
      </c>
    </row>
    <row r="3542" spans="1:1">
      <c r="A3542" s="11" t="str">
        <f t="shared" si="136"/>
        <v/>
      </c>
    </row>
    <row r="3543" spans="1:1">
      <c r="A3543" s="11" t="str">
        <f t="shared" si="136"/>
        <v/>
      </c>
    </row>
    <row r="3544" spans="1:1">
      <c r="A3544" s="11" t="str">
        <f t="shared" si="136"/>
        <v/>
      </c>
    </row>
    <row r="3545" spans="1:1">
      <c r="A3545" s="11" t="str">
        <f t="shared" si="136"/>
        <v/>
      </c>
    </row>
    <row r="3546" spans="1:1">
      <c r="A3546" s="11" t="str">
        <f t="shared" si="136"/>
        <v/>
      </c>
    </row>
    <row r="3547" spans="1:1">
      <c r="A3547" s="11" t="str">
        <f t="shared" si="136"/>
        <v/>
      </c>
    </row>
    <row r="3548" spans="1:1">
      <c r="A3548" s="11" t="str">
        <f t="shared" si="136"/>
        <v/>
      </c>
    </row>
    <row r="3549" spans="1:1">
      <c r="A3549" s="11" t="str">
        <f t="shared" si="136"/>
        <v/>
      </c>
    </row>
    <row r="3550" spans="1:1">
      <c r="A3550" s="11" t="str">
        <f t="shared" si="136"/>
        <v/>
      </c>
    </row>
    <row r="3551" spans="1:1">
      <c r="A3551" s="11" t="str">
        <f t="shared" si="136"/>
        <v/>
      </c>
    </row>
    <row r="3552" spans="1:1">
      <c r="A3552" s="11" t="str">
        <f t="shared" si="136"/>
        <v/>
      </c>
    </row>
    <row r="3553" spans="1:1">
      <c r="A3553" s="11" t="str">
        <f t="shared" si="136"/>
        <v/>
      </c>
    </row>
    <row r="3554" spans="1:1">
      <c r="A3554" s="11" t="str">
        <f t="shared" si="136"/>
        <v/>
      </c>
    </row>
    <row r="3555" spans="1:1">
      <c r="A3555" s="11" t="str">
        <f t="shared" si="136"/>
        <v/>
      </c>
    </row>
    <row r="3556" spans="1:1">
      <c r="A3556" s="11" t="str">
        <f t="shared" si="136"/>
        <v/>
      </c>
    </row>
    <row r="3557" spans="1:1">
      <c r="A3557" s="11" t="str">
        <f t="shared" si="136"/>
        <v/>
      </c>
    </row>
    <row r="3558" spans="1:1">
      <c r="A3558" s="11" t="str">
        <f t="shared" si="136"/>
        <v/>
      </c>
    </row>
    <row r="3559" spans="1:1">
      <c r="A3559" s="11" t="str">
        <f t="shared" si="136"/>
        <v/>
      </c>
    </row>
    <row r="3560" spans="1:1">
      <c r="A3560" s="11" t="str">
        <f t="shared" si="136"/>
        <v/>
      </c>
    </row>
    <row r="3561" spans="1:1">
      <c r="A3561" s="11" t="str">
        <f t="shared" si="136"/>
        <v/>
      </c>
    </row>
    <row r="3562" spans="1:1">
      <c r="A3562" s="11" t="str">
        <f t="shared" si="136"/>
        <v/>
      </c>
    </row>
    <row r="3563" spans="1:1">
      <c r="A3563" s="11" t="str">
        <f t="shared" si="136"/>
        <v/>
      </c>
    </row>
    <row r="3564" spans="1:1">
      <c r="A3564" s="11" t="str">
        <f t="shared" si="136"/>
        <v/>
      </c>
    </row>
    <row r="3565" spans="1:1">
      <c r="A3565" s="11" t="str">
        <f t="shared" si="136"/>
        <v/>
      </c>
    </row>
    <row r="3566" spans="1:1">
      <c r="A3566" s="11" t="str">
        <f t="shared" si="136"/>
        <v/>
      </c>
    </row>
    <row r="3567" spans="1:1">
      <c r="A3567" s="11" t="str">
        <f t="shared" si="136"/>
        <v/>
      </c>
    </row>
    <row r="3568" spans="1:1">
      <c r="A3568" s="11" t="str">
        <f t="shared" si="136"/>
        <v/>
      </c>
    </row>
    <row r="3569" spans="1:1">
      <c r="A3569" s="11" t="str">
        <f t="shared" si="136"/>
        <v/>
      </c>
    </row>
    <row r="3570" spans="1:1">
      <c r="A3570" s="11" t="str">
        <f t="shared" si="136"/>
        <v/>
      </c>
    </row>
    <row r="3571" spans="1:1">
      <c r="A3571" s="11" t="str">
        <f t="shared" si="136"/>
        <v/>
      </c>
    </row>
    <row r="3572" spans="1:1">
      <c r="A3572" s="11" t="str">
        <f t="shared" si="136"/>
        <v/>
      </c>
    </row>
    <row r="3573" spans="1:1">
      <c r="A3573" s="11" t="str">
        <f t="shared" si="136"/>
        <v/>
      </c>
    </row>
    <row r="3574" spans="1:1">
      <c r="A3574" s="11" t="str">
        <f t="shared" si="136"/>
        <v/>
      </c>
    </row>
    <row r="3575" spans="1:1">
      <c r="A3575" s="11" t="str">
        <f t="shared" si="136"/>
        <v/>
      </c>
    </row>
    <row r="3576" spans="1:1">
      <c r="A3576" s="11" t="str">
        <f t="shared" si="136"/>
        <v/>
      </c>
    </row>
    <row r="3577" spans="1:1">
      <c r="A3577" s="11" t="str">
        <f t="shared" si="136"/>
        <v/>
      </c>
    </row>
    <row r="3578" spans="1:1">
      <c r="A3578" s="11" t="str">
        <f t="shared" si="136"/>
        <v/>
      </c>
    </row>
    <row r="3579" spans="1:1">
      <c r="A3579" s="11" t="str">
        <f t="shared" si="136"/>
        <v/>
      </c>
    </row>
    <row r="3580" spans="1:1">
      <c r="A3580" s="11" t="str">
        <f t="shared" si="136"/>
        <v/>
      </c>
    </row>
    <row r="3581" spans="1:1">
      <c r="A3581" s="11" t="str">
        <f t="shared" si="136"/>
        <v/>
      </c>
    </row>
    <row r="3582" spans="1:1">
      <c r="A3582" s="11" t="str">
        <f t="shared" si="136"/>
        <v/>
      </c>
    </row>
    <row r="3583" spans="1:1">
      <c r="A3583" s="11" t="str">
        <f t="shared" si="136"/>
        <v/>
      </c>
    </row>
    <row r="3584" spans="1:1">
      <c r="A3584" s="11" t="str">
        <f t="shared" si="136"/>
        <v/>
      </c>
    </row>
    <row r="3585" spans="1:1">
      <c r="A3585" s="11" t="str">
        <f t="shared" si="136"/>
        <v/>
      </c>
    </row>
    <row r="3586" spans="1:1">
      <c r="A3586" s="11" t="str">
        <f t="shared" si="136"/>
        <v/>
      </c>
    </row>
    <row r="3587" spans="1:1">
      <c r="A3587" s="11" t="str">
        <f t="shared" ref="A3587:A3650" si="137">B3587&amp;D3587</f>
        <v/>
      </c>
    </row>
    <row r="3588" spans="1:1">
      <c r="A3588" s="11" t="str">
        <f t="shared" si="137"/>
        <v/>
      </c>
    </row>
    <row r="3589" spans="1:1">
      <c r="A3589" s="11" t="str">
        <f t="shared" si="137"/>
        <v/>
      </c>
    </row>
    <row r="3590" spans="1:1">
      <c r="A3590" s="11" t="str">
        <f t="shared" si="137"/>
        <v/>
      </c>
    </row>
    <row r="3591" spans="1:1">
      <c r="A3591" s="11" t="str">
        <f t="shared" si="137"/>
        <v/>
      </c>
    </row>
    <row r="3592" spans="1:1">
      <c r="A3592" s="11" t="str">
        <f t="shared" si="137"/>
        <v/>
      </c>
    </row>
    <row r="3593" spans="1:1">
      <c r="A3593" s="11" t="str">
        <f t="shared" si="137"/>
        <v/>
      </c>
    </row>
    <row r="3594" spans="1:1">
      <c r="A3594" s="11" t="str">
        <f t="shared" si="137"/>
        <v/>
      </c>
    </row>
    <row r="3595" spans="1:1">
      <c r="A3595" s="11" t="str">
        <f t="shared" si="137"/>
        <v/>
      </c>
    </row>
    <row r="3596" spans="1:1">
      <c r="A3596" s="11" t="str">
        <f t="shared" si="137"/>
        <v/>
      </c>
    </row>
    <row r="3597" spans="1:1">
      <c r="A3597" s="11" t="str">
        <f t="shared" si="137"/>
        <v/>
      </c>
    </row>
    <row r="3598" spans="1:1">
      <c r="A3598" s="11" t="str">
        <f t="shared" si="137"/>
        <v/>
      </c>
    </row>
    <row r="3599" spans="1:1">
      <c r="A3599" s="11" t="str">
        <f t="shared" si="137"/>
        <v/>
      </c>
    </row>
    <row r="3600" spans="1:1">
      <c r="A3600" s="11" t="str">
        <f t="shared" si="137"/>
        <v/>
      </c>
    </row>
    <row r="3601" spans="1:1">
      <c r="A3601" s="11" t="str">
        <f t="shared" si="137"/>
        <v/>
      </c>
    </row>
    <row r="3602" spans="1:1">
      <c r="A3602" s="11" t="str">
        <f t="shared" si="137"/>
        <v/>
      </c>
    </row>
    <row r="3603" spans="1:1">
      <c r="A3603" s="11" t="str">
        <f t="shared" si="137"/>
        <v/>
      </c>
    </row>
    <row r="3604" spans="1:1">
      <c r="A3604" s="11" t="str">
        <f t="shared" si="137"/>
        <v/>
      </c>
    </row>
    <row r="3605" spans="1:1">
      <c r="A3605" s="11" t="str">
        <f t="shared" si="137"/>
        <v/>
      </c>
    </row>
    <row r="3606" spans="1:1">
      <c r="A3606" s="11" t="str">
        <f t="shared" si="137"/>
        <v/>
      </c>
    </row>
    <row r="3607" spans="1:1">
      <c r="A3607" s="11" t="str">
        <f t="shared" si="137"/>
        <v/>
      </c>
    </row>
    <row r="3608" spans="1:1">
      <c r="A3608" s="11" t="str">
        <f t="shared" si="137"/>
        <v/>
      </c>
    </row>
    <row r="3609" spans="1:1">
      <c r="A3609" s="11" t="str">
        <f t="shared" si="137"/>
        <v/>
      </c>
    </row>
    <row r="3610" spans="1:1">
      <c r="A3610" s="11" t="str">
        <f t="shared" si="137"/>
        <v/>
      </c>
    </row>
    <row r="3611" spans="1:1">
      <c r="A3611" s="11" t="str">
        <f t="shared" si="137"/>
        <v/>
      </c>
    </row>
    <row r="3612" spans="1:1">
      <c r="A3612" s="11" t="str">
        <f t="shared" si="137"/>
        <v/>
      </c>
    </row>
    <row r="3613" spans="1:1">
      <c r="A3613" s="11" t="str">
        <f t="shared" si="137"/>
        <v/>
      </c>
    </row>
    <row r="3614" spans="1:1">
      <c r="A3614" s="11" t="str">
        <f t="shared" si="137"/>
        <v/>
      </c>
    </row>
    <row r="3615" spans="1:1">
      <c r="A3615" s="11" t="str">
        <f t="shared" si="137"/>
        <v/>
      </c>
    </row>
    <row r="3616" spans="1:1">
      <c r="A3616" s="11" t="str">
        <f t="shared" si="137"/>
        <v/>
      </c>
    </row>
    <row r="3617" spans="1:1">
      <c r="A3617" s="11" t="str">
        <f t="shared" si="137"/>
        <v/>
      </c>
    </row>
    <row r="3618" spans="1:1">
      <c r="A3618" s="11" t="str">
        <f t="shared" si="137"/>
        <v/>
      </c>
    </row>
    <row r="3619" spans="1:1">
      <c r="A3619" s="11" t="str">
        <f t="shared" si="137"/>
        <v/>
      </c>
    </row>
    <row r="3620" spans="1:1">
      <c r="A3620" s="11" t="str">
        <f t="shared" si="137"/>
        <v/>
      </c>
    </row>
    <row r="3621" spans="1:1">
      <c r="A3621" s="11" t="str">
        <f t="shared" si="137"/>
        <v/>
      </c>
    </row>
    <row r="3622" spans="1:1">
      <c r="A3622" s="11" t="str">
        <f t="shared" si="137"/>
        <v/>
      </c>
    </row>
    <row r="3623" spans="1:1">
      <c r="A3623" s="11" t="str">
        <f t="shared" si="137"/>
        <v/>
      </c>
    </row>
    <row r="3624" spans="1:1">
      <c r="A3624" s="11" t="str">
        <f t="shared" si="137"/>
        <v/>
      </c>
    </row>
    <row r="3625" spans="1:1">
      <c r="A3625" s="11" t="str">
        <f t="shared" si="137"/>
        <v/>
      </c>
    </row>
    <row r="3626" spans="1:1">
      <c r="A3626" s="11" t="str">
        <f t="shared" si="137"/>
        <v/>
      </c>
    </row>
    <row r="3627" spans="1:1">
      <c r="A3627" s="11" t="str">
        <f t="shared" si="137"/>
        <v/>
      </c>
    </row>
    <row r="3628" spans="1:1">
      <c r="A3628" s="11" t="str">
        <f t="shared" si="137"/>
        <v/>
      </c>
    </row>
    <row r="3629" spans="1:1">
      <c r="A3629" s="11" t="str">
        <f t="shared" si="137"/>
        <v/>
      </c>
    </row>
    <row r="3630" spans="1:1">
      <c r="A3630" s="11" t="str">
        <f t="shared" si="137"/>
        <v/>
      </c>
    </row>
    <row r="3631" spans="1:1">
      <c r="A3631" s="11" t="str">
        <f t="shared" si="137"/>
        <v/>
      </c>
    </row>
    <row r="3632" spans="1:1">
      <c r="A3632" s="11" t="str">
        <f t="shared" si="137"/>
        <v/>
      </c>
    </row>
    <row r="3633" spans="1:1">
      <c r="A3633" s="11" t="str">
        <f t="shared" si="137"/>
        <v/>
      </c>
    </row>
    <row r="3634" spans="1:1">
      <c r="A3634" s="11" t="str">
        <f t="shared" si="137"/>
        <v/>
      </c>
    </row>
    <row r="3635" spans="1:1">
      <c r="A3635" s="11" t="str">
        <f t="shared" si="137"/>
        <v/>
      </c>
    </row>
    <row r="3636" spans="1:1">
      <c r="A3636" s="11" t="str">
        <f t="shared" si="137"/>
        <v/>
      </c>
    </row>
    <row r="3637" spans="1:1">
      <c r="A3637" s="11" t="str">
        <f t="shared" si="137"/>
        <v/>
      </c>
    </row>
    <row r="3638" spans="1:1">
      <c r="A3638" s="11" t="str">
        <f t="shared" si="137"/>
        <v/>
      </c>
    </row>
    <row r="3639" spans="1:1">
      <c r="A3639" s="11" t="str">
        <f t="shared" si="137"/>
        <v/>
      </c>
    </row>
    <row r="3640" spans="1:1">
      <c r="A3640" s="11" t="str">
        <f t="shared" si="137"/>
        <v/>
      </c>
    </row>
    <row r="3641" spans="1:1">
      <c r="A3641" s="11" t="str">
        <f t="shared" si="137"/>
        <v/>
      </c>
    </row>
    <row r="3642" spans="1:1">
      <c r="A3642" s="11" t="str">
        <f t="shared" si="137"/>
        <v/>
      </c>
    </row>
    <row r="3643" spans="1:1">
      <c r="A3643" s="11" t="str">
        <f t="shared" si="137"/>
        <v/>
      </c>
    </row>
    <row r="3644" spans="1:1">
      <c r="A3644" s="11" t="str">
        <f t="shared" si="137"/>
        <v/>
      </c>
    </row>
    <row r="3645" spans="1:1">
      <c r="A3645" s="11" t="str">
        <f t="shared" si="137"/>
        <v/>
      </c>
    </row>
    <row r="3646" spans="1:1">
      <c r="A3646" s="11" t="str">
        <f t="shared" si="137"/>
        <v/>
      </c>
    </row>
    <row r="3647" spans="1:1">
      <c r="A3647" s="11" t="str">
        <f t="shared" si="137"/>
        <v/>
      </c>
    </row>
    <row r="3648" spans="1:1">
      <c r="A3648" s="11" t="str">
        <f t="shared" si="137"/>
        <v/>
      </c>
    </row>
    <row r="3649" spans="1:1">
      <c r="A3649" s="11" t="str">
        <f t="shared" si="137"/>
        <v/>
      </c>
    </row>
    <row r="3650" spans="1:1">
      <c r="A3650" s="11" t="str">
        <f t="shared" si="137"/>
        <v/>
      </c>
    </row>
    <row r="3651" spans="1:1">
      <c r="A3651" s="11" t="str">
        <f t="shared" ref="A3651:A3714" si="138">B3651&amp;D3651</f>
        <v/>
      </c>
    </row>
    <row r="3652" spans="1:1">
      <c r="A3652" s="11" t="str">
        <f t="shared" si="138"/>
        <v/>
      </c>
    </row>
    <row r="3653" spans="1:1">
      <c r="A3653" s="11" t="str">
        <f t="shared" si="138"/>
        <v/>
      </c>
    </row>
    <row r="3654" spans="1:1">
      <c r="A3654" s="11" t="str">
        <f t="shared" si="138"/>
        <v/>
      </c>
    </row>
    <row r="3655" spans="1:1">
      <c r="A3655" s="11" t="str">
        <f t="shared" si="138"/>
        <v/>
      </c>
    </row>
    <row r="3656" spans="1:1">
      <c r="A3656" s="11" t="str">
        <f t="shared" si="138"/>
        <v/>
      </c>
    </row>
    <row r="3657" spans="1:1">
      <c r="A3657" s="11" t="str">
        <f t="shared" si="138"/>
        <v/>
      </c>
    </row>
    <row r="3658" spans="1:1">
      <c r="A3658" s="11" t="str">
        <f t="shared" si="138"/>
        <v/>
      </c>
    </row>
    <row r="3659" spans="1:1">
      <c r="A3659" s="11" t="str">
        <f t="shared" si="138"/>
        <v/>
      </c>
    </row>
    <row r="3660" spans="1:1">
      <c r="A3660" s="11" t="str">
        <f t="shared" si="138"/>
        <v/>
      </c>
    </row>
    <row r="3661" spans="1:1">
      <c r="A3661" s="11" t="str">
        <f t="shared" si="138"/>
        <v/>
      </c>
    </row>
    <row r="3662" spans="1:1">
      <c r="A3662" s="11" t="str">
        <f t="shared" si="138"/>
        <v/>
      </c>
    </row>
    <row r="3663" spans="1:1">
      <c r="A3663" s="11" t="str">
        <f t="shared" si="138"/>
        <v/>
      </c>
    </row>
    <row r="3664" spans="1:1">
      <c r="A3664" s="11" t="str">
        <f t="shared" si="138"/>
        <v/>
      </c>
    </row>
    <row r="3665" spans="1:1">
      <c r="A3665" s="11" t="str">
        <f t="shared" si="138"/>
        <v/>
      </c>
    </row>
    <row r="3666" spans="1:1">
      <c r="A3666" s="11" t="str">
        <f t="shared" si="138"/>
        <v/>
      </c>
    </row>
    <row r="3667" spans="1:1">
      <c r="A3667" s="11" t="str">
        <f t="shared" si="138"/>
        <v/>
      </c>
    </row>
    <row r="3668" spans="1:1">
      <c r="A3668" s="11" t="str">
        <f t="shared" si="138"/>
        <v/>
      </c>
    </row>
    <row r="3669" spans="1:1">
      <c r="A3669" s="11" t="str">
        <f t="shared" si="138"/>
        <v/>
      </c>
    </row>
    <row r="3670" spans="1:1">
      <c r="A3670" s="11" t="str">
        <f t="shared" si="138"/>
        <v/>
      </c>
    </row>
    <row r="3671" spans="1:1">
      <c r="A3671" s="11" t="str">
        <f t="shared" si="138"/>
        <v/>
      </c>
    </row>
    <row r="3672" spans="1:1">
      <c r="A3672" s="11" t="str">
        <f t="shared" si="138"/>
        <v/>
      </c>
    </row>
    <row r="3673" spans="1:1">
      <c r="A3673" s="11" t="str">
        <f t="shared" si="138"/>
        <v/>
      </c>
    </row>
    <row r="3674" spans="1:1">
      <c r="A3674" s="11" t="str">
        <f t="shared" si="138"/>
        <v/>
      </c>
    </row>
    <row r="3675" spans="1:1">
      <c r="A3675" s="11" t="str">
        <f t="shared" si="138"/>
        <v/>
      </c>
    </row>
    <row r="3676" spans="1:1">
      <c r="A3676" s="11" t="str">
        <f t="shared" si="138"/>
        <v/>
      </c>
    </row>
    <row r="3677" spans="1:1">
      <c r="A3677" s="11" t="str">
        <f t="shared" si="138"/>
        <v/>
      </c>
    </row>
    <row r="3678" spans="1:1">
      <c r="A3678" s="11" t="str">
        <f t="shared" si="138"/>
        <v/>
      </c>
    </row>
    <row r="3679" spans="1:1">
      <c r="A3679" s="11" t="str">
        <f t="shared" si="138"/>
        <v/>
      </c>
    </row>
    <row r="3680" spans="1:1">
      <c r="A3680" s="11" t="str">
        <f t="shared" si="138"/>
        <v/>
      </c>
    </row>
    <row r="3681" spans="1:1">
      <c r="A3681" s="11" t="str">
        <f t="shared" si="138"/>
        <v/>
      </c>
    </row>
    <row r="3682" spans="1:1">
      <c r="A3682" s="11" t="str">
        <f t="shared" si="138"/>
        <v/>
      </c>
    </row>
    <row r="3683" spans="1:1">
      <c r="A3683" s="11" t="str">
        <f t="shared" si="138"/>
        <v/>
      </c>
    </row>
    <row r="3684" spans="1:1">
      <c r="A3684" s="11" t="str">
        <f t="shared" si="138"/>
        <v/>
      </c>
    </row>
    <row r="3685" spans="1:1">
      <c r="A3685" s="11" t="str">
        <f t="shared" si="138"/>
        <v/>
      </c>
    </row>
    <row r="3686" spans="1:1">
      <c r="A3686" s="11" t="str">
        <f t="shared" si="138"/>
        <v/>
      </c>
    </row>
    <row r="3687" spans="1:1">
      <c r="A3687" s="11" t="str">
        <f t="shared" si="138"/>
        <v/>
      </c>
    </row>
    <row r="3688" spans="1:1">
      <c r="A3688" s="11" t="str">
        <f t="shared" si="138"/>
        <v/>
      </c>
    </row>
    <row r="3689" spans="1:1">
      <c r="A3689" s="11" t="str">
        <f t="shared" si="138"/>
        <v/>
      </c>
    </row>
    <row r="3690" spans="1:1">
      <c r="A3690" s="11" t="str">
        <f t="shared" si="138"/>
        <v/>
      </c>
    </row>
    <row r="3691" spans="1:1">
      <c r="A3691" s="11" t="str">
        <f t="shared" si="138"/>
        <v/>
      </c>
    </row>
    <row r="3692" spans="1:1">
      <c r="A3692" s="11" t="str">
        <f t="shared" si="138"/>
        <v/>
      </c>
    </row>
    <row r="3693" spans="1:1">
      <c r="A3693" s="11" t="str">
        <f t="shared" si="138"/>
        <v/>
      </c>
    </row>
    <row r="3694" spans="1:1">
      <c r="A3694" s="11" t="str">
        <f t="shared" si="138"/>
        <v/>
      </c>
    </row>
    <row r="3695" spans="1:1">
      <c r="A3695" s="11" t="str">
        <f t="shared" si="138"/>
        <v/>
      </c>
    </row>
    <row r="3696" spans="1:1">
      <c r="A3696" s="11" t="str">
        <f t="shared" si="138"/>
        <v/>
      </c>
    </row>
    <row r="3697" spans="1:1">
      <c r="A3697" s="11" t="str">
        <f t="shared" si="138"/>
        <v/>
      </c>
    </row>
    <row r="3698" spans="1:1">
      <c r="A3698" s="11" t="str">
        <f t="shared" si="138"/>
        <v/>
      </c>
    </row>
    <row r="3699" spans="1:1">
      <c r="A3699" s="11" t="str">
        <f t="shared" si="138"/>
        <v/>
      </c>
    </row>
    <row r="3700" spans="1:1">
      <c r="A3700" s="11" t="str">
        <f t="shared" si="138"/>
        <v/>
      </c>
    </row>
    <row r="3701" spans="1:1">
      <c r="A3701" s="11" t="str">
        <f t="shared" si="138"/>
        <v/>
      </c>
    </row>
    <row r="3702" spans="1:1">
      <c r="A3702" s="11" t="str">
        <f t="shared" si="138"/>
        <v/>
      </c>
    </row>
    <row r="3703" spans="1:1">
      <c r="A3703" s="11" t="str">
        <f t="shared" si="138"/>
        <v/>
      </c>
    </row>
    <row r="3704" spans="1:1">
      <c r="A3704" s="11" t="str">
        <f t="shared" si="138"/>
        <v/>
      </c>
    </row>
    <row r="3705" spans="1:1">
      <c r="A3705" s="11" t="str">
        <f t="shared" si="138"/>
        <v/>
      </c>
    </row>
    <row r="3706" spans="1:1">
      <c r="A3706" s="11" t="str">
        <f t="shared" si="138"/>
        <v/>
      </c>
    </row>
    <row r="3707" spans="1:1">
      <c r="A3707" s="11" t="str">
        <f t="shared" si="138"/>
        <v/>
      </c>
    </row>
    <row r="3708" spans="1:1">
      <c r="A3708" s="11" t="str">
        <f t="shared" si="138"/>
        <v/>
      </c>
    </row>
    <row r="3709" spans="1:1">
      <c r="A3709" s="11" t="str">
        <f t="shared" si="138"/>
        <v/>
      </c>
    </row>
    <row r="3710" spans="1:1">
      <c r="A3710" s="11" t="str">
        <f t="shared" si="138"/>
        <v/>
      </c>
    </row>
    <row r="3711" spans="1:1">
      <c r="A3711" s="11" t="str">
        <f t="shared" si="138"/>
        <v/>
      </c>
    </row>
    <row r="3712" spans="1:1">
      <c r="A3712" s="11" t="str">
        <f t="shared" si="138"/>
        <v/>
      </c>
    </row>
    <row r="3713" spans="1:1">
      <c r="A3713" s="11" t="str">
        <f t="shared" si="138"/>
        <v/>
      </c>
    </row>
    <row r="3714" spans="1:1">
      <c r="A3714" s="11" t="str">
        <f t="shared" si="138"/>
        <v/>
      </c>
    </row>
    <row r="3715" spans="1:1">
      <c r="A3715" s="11" t="str">
        <f t="shared" ref="A3715:A3778" si="139">B3715&amp;D3715</f>
        <v/>
      </c>
    </row>
    <row r="3716" spans="1:1">
      <c r="A3716" s="11" t="str">
        <f t="shared" si="139"/>
        <v/>
      </c>
    </row>
    <row r="3717" spans="1:1">
      <c r="A3717" s="11" t="str">
        <f t="shared" si="139"/>
        <v/>
      </c>
    </row>
    <row r="3718" spans="1:1">
      <c r="A3718" s="11" t="str">
        <f t="shared" si="139"/>
        <v/>
      </c>
    </row>
    <row r="3719" spans="1:1">
      <c r="A3719" s="11" t="str">
        <f t="shared" si="139"/>
        <v/>
      </c>
    </row>
    <row r="3720" spans="1:1">
      <c r="A3720" s="11" t="str">
        <f t="shared" si="139"/>
        <v/>
      </c>
    </row>
    <row r="3721" spans="1:1">
      <c r="A3721" s="11" t="str">
        <f t="shared" si="139"/>
        <v/>
      </c>
    </row>
    <row r="3722" spans="1:1">
      <c r="A3722" s="11" t="str">
        <f t="shared" si="139"/>
        <v/>
      </c>
    </row>
    <row r="3723" spans="1:1">
      <c r="A3723" s="11" t="str">
        <f t="shared" si="139"/>
        <v/>
      </c>
    </row>
    <row r="3724" spans="1:1">
      <c r="A3724" s="11" t="str">
        <f t="shared" si="139"/>
        <v/>
      </c>
    </row>
    <row r="3725" spans="1:1">
      <c r="A3725" s="11" t="str">
        <f t="shared" si="139"/>
        <v/>
      </c>
    </row>
    <row r="3726" spans="1:1">
      <c r="A3726" s="11" t="str">
        <f t="shared" si="139"/>
        <v/>
      </c>
    </row>
    <row r="3727" spans="1:1">
      <c r="A3727" s="11" t="str">
        <f t="shared" si="139"/>
        <v/>
      </c>
    </row>
    <row r="3728" spans="1:1">
      <c r="A3728" s="11" t="str">
        <f t="shared" si="139"/>
        <v/>
      </c>
    </row>
    <row r="3729" spans="1:1">
      <c r="A3729" s="11" t="str">
        <f t="shared" si="139"/>
        <v/>
      </c>
    </row>
    <row r="3730" spans="1:1">
      <c r="A3730" s="11" t="str">
        <f t="shared" si="139"/>
        <v/>
      </c>
    </row>
    <row r="3731" spans="1:1">
      <c r="A3731" s="11" t="str">
        <f t="shared" si="139"/>
        <v/>
      </c>
    </row>
    <row r="3732" spans="1:1">
      <c r="A3732" s="11" t="str">
        <f t="shared" si="139"/>
        <v/>
      </c>
    </row>
    <row r="3733" spans="1:1">
      <c r="A3733" s="11" t="str">
        <f t="shared" si="139"/>
        <v/>
      </c>
    </row>
    <row r="3734" spans="1:1">
      <c r="A3734" s="11" t="str">
        <f t="shared" si="139"/>
        <v/>
      </c>
    </row>
    <row r="3735" spans="1:1">
      <c r="A3735" s="11" t="str">
        <f t="shared" si="139"/>
        <v/>
      </c>
    </row>
    <row r="3736" spans="1:1">
      <c r="A3736" s="11" t="str">
        <f t="shared" si="139"/>
        <v/>
      </c>
    </row>
    <row r="3737" spans="1:1">
      <c r="A3737" s="11" t="str">
        <f t="shared" si="139"/>
        <v/>
      </c>
    </row>
    <row r="3738" spans="1:1">
      <c r="A3738" s="11" t="str">
        <f t="shared" si="139"/>
        <v/>
      </c>
    </row>
    <row r="3739" spans="1:1">
      <c r="A3739" s="11" t="str">
        <f t="shared" si="139"/>
        <v/>
      </c>
    </row>
    <row r="3740" spans="1:1">
      <c r="A3740" s="11" t="str">
        <f t="shared" si="139"/>
        <v/>
      </c>
    </row>
    <row r="3741" spans="1:1">
      <c r="A3741" s="11" t="str">
        <f t="shared" si="139"/>
        <v/>
      </c>
    </row>
    <row r="3742" spans="1:1">
      <c r="A3742" s="11" t="str">
        <f t="shared" si="139"/>
        <v/>
      </c>
    </row>
    <row r="3743" spans="1:1">
      <c r="A3743" s="11" t="str">
        <f t="shared" si="139"/>
        <v/>
      </c>
    </row>
    <row r="3744" spans="1:1">
      <c r="A3744" s="11" t="str">
        <f t="shared" si="139"/>
        <v/>
      </c>
    </row>
    <row r="3745" spans="1:1">
      <c r="A3745" s="11" t="str">
        <f t="shared" si="139"/>
        <v/>
      </c>
    </row>
    <row r="3746" spans="1:1">
      <c r="A3746" s="11" t="str">
        <f t="shared" si="139"/>
        <v/>
      </c>
    </row>
    <row r="3747" spans="1:1">
      <c r="A3747" s="11" t="str">
        <f t="shared" si="139"/>
        <v/>
      </c>
    </row>
    <row r="3748" spans="1:1">
      <c r="A3748" s="11" t="str">
        <f t="shared" si="139"/>
        <v/>
      </c>
    </row>
    <row r="3749" spans="1:1">
      <c r="A3749" s="11" t="str">
        <f t="shared" si="139"/>
        <v/>
      </c>
    </row>
    <row r="3750" spans="1:1">
      <c r="A3750" s="11" t="str">
        <f t="shared" si="139"/>
        <v/>
      </c>
    </row>
    <row r="3751" spans="1:1">
      <c r="A3751" s="11" t="str">
        <f t="shared" si="139"/>
        <v/>
      </c>
    </row>
    <row r="3752" spans="1:1">
      <c r="A3752" s="11" t="str">
        <f t="shared" si="139"/>
        <v/>
      </c>
    </row>
    <row r="3753" spans="1:1">
      <c r="A3753" s="11" t="str">
        <f t="shared" si="139"/>
        <v/>
      </c>
    </row>
    <row r="3754" spans="1:1">
      <c r="A3754" s="11" t="str">
        <f t="shared" si="139"/>
        <v/>
      </c>
    </row>
    <row r="3755" spans="1:1">
      <c r="A3755" s="11" t="str">
        <f t="shared" si="139"/>
        <v/>
      </c>
    </row>
    <row r="3756" spans="1:1">
      <c r="A3756" s="11" t="str">
        <f t="shared" si="139"/>
        <v/>
      </c>
    </row>
    <row r="3757" spans="1:1">
      <c r="A3757" s="11" t="str">
        <f t="shared" si="139"/>
        <v/>
      </c>
    </row>
    <row r="3758" spans="1:1">
      <c r="A3758" s="11" t="str">
        <f t="shared" si="139"/>
        <v/>
      </c>
    </row>
    <row r="3759" spans="1:1">
      <c r="A3759" s="11" t="str">
        <f t="shared" si="139"/>
        <v/>
      </c>
    </row>
    <row r="3760" spans="1:1">
      <c r="A3760" s="11" t="str">
        <f t="shared" si="139"/>
        <v/>
      </c>
    </row>
    <row r="3761" spans="1:1">
      <c r="A3761" s="11" t="str">
        <f t="shared" si="139"/>
        <v/>
      </c>
    </row>
    <row r="3762" spans="1:1">
      <c r="A3762" s="11" t="str">
        <f t="shared" si="139"/>
        <v/>
      </c>
    </row>
    <row r="3763" spans="1:1">
      <c r="A3763" s="11" t="str">
        <f t="shared" si="139"/>
        <v/>
      </c>
    </row>
    <row r="3764" spans="1:1">
      <c r="A3764" s="11" t="str">
        <f t="shared" si="139"/>
        <v/>
      </c>
    </row>
    <row r="3765" spans="1:1">
      <c r="A3765" s="11" t="str">
        <f t="shared" si="139"/>
        <v/>
      </c>
    </row>
    <row r="3766" spans="1:1">
      <c r="A3766" s="11" t="str">
        <f t="shared" si="139"/>
        <v/>
      </c>
    </row>
    <row r="3767" spans="1:1">
      <c r="A3767" s="11" t="str">
        <f t="shared" si="139"/>
        <v/>
      </c>
    </row>
    <row r="3768" spans="1:1">
      <c r="A3768" s="11" t="str">
        <f t="shared" si="139"/>
        <v/>
      </c>
    </row>
    <row r="3769" spans="1:1">
      <c r="A3769" s="11" t="str">
        <f t="shared" si="139"/>
        <v/>
      </c>
    </row>
    <row r="3770" spans="1:1">
      <c r="A3770" s="11" t="str">
        <f t="shared" si="139"/>
        <v/>
      </c>
    </row>
    <row r="3771" spans="1:1">
      <c r="A3771" s="11" t="str">
        <f t="shared" si="139"/>
        <v/>
      </c>
    </row>
    <row r="3772" spans="1:1">
      <c r="A3772" s="11" t="str">
        <f t="shared" si="139"/>
        <v/>
      </c>
    </row>
    <row r="3773" spans="1:1">
      <c r="A3773" s="11" t="str">
        <f t="shared" si="139"/>
        <v/>
      </c>
    </row>
    <row r="3774" spans="1:1">
      <c r="A3774" s="11" t="str">
        <f t="shared" si="139"/>
        <v/>
      </c>
    </row>
    <row r="3775" spans="1:1">
      <c r="A3775" s="11" t="str">
        <f t="shared" si="139"/>
        <v/>
      </c>
    </row>
    <row r="3776" spans="1:1">
      <c r="A3776" s="11" t="str">
        <f t="shared" si="139"/>
        <v/>
      </c>
    </row>
    <row r="3777" spans="1:1">
      <c r="A3777" s="11" t="str">
        <f t="shared" si="139"/>
        <v/>
      </c>
    </row>
    <row r="3778" spans="1:1">
      <c r="A3778" s="11" t="str">
        <f t="shared" si="139"/>
        <v/>
      </c>
    </row>
    <row r="3779" spans="1:1">
      <c r="A3779" s="11" t="str">
        <f t="shared" ref="A3779:A3842" si="140">B3779&amp;D3779</f>
        <v/>
      </c>
    </row>
    <row r="3780" spans="1:1">
      <c r="A3780" s="11" t="str">
        <f t="shared" si="140"/>
        <v/>
      </c>
    </row>
    <row r="3781" spans="1:1">
      <c r="A3781" s="11" t="str">
        <f t="shared" si="140"/>
        <v/>
      </c>
    </row>
    <row r="3782" spans="1:1">
      <c r="A3782" s="11" t="str">
        <f t="shared" si="140"/>
        <v/>
      </c>
    </row>
    <row r="3783" spans="1:1">
      <c r="A3783" s="11" t="str">
        <f t="shared" si="140"/>
        <v/>
      </c>
    </row>
    <row r="3784" spans="1:1">
      <c r="A3784" s="11" t="str">
        <f t="shared" si="140"/>
        <v/>
      </c>
    </row>
    <row r="3785" spans="1:1">
      <c r="A3785" s="11" t="str">
        <f t="shared" si="140"/>
        <v/>
      </c>
    </row>
    <row r="3786" spans="1:1">
      <c r="A3786" s="11" t="str">
        <f t="shared" si="140"/>
        <v/>
      </c>
    </row>
    <row r="3787" spans="1:1">
      <c r="A3787" s="11" t="str">
        <f t="shared" si="140"/>
        <v/>
      </c>
    </row>
    <row r="3788" spans="1:1">
      <c r="A3788" s="11" t="str">
        <f t="shared" si="140"/>
        <v/>
      </c>
    </row>
    <row r="3789" spans="1:1">
      <c r="A3789" s="11" t="str">
        <f t="shared" si="140"/>
        <v/>
      </c>
    </row>
    <row r="3790" spans="1:1">
      <c r="A3790" s="11" t="str">
        <f t="shared" si="140"/>
        <v/>
      </c>
    </row>
    <row r="3791" spans="1:1">
      <c r="A3791" s="11" t="str">
        <f t="shared" si="140"/>
        <v/>
      </c>
    </row>
    <row r="3792" spans="1:1">
      <c r="A3792" s="11" t="str">
        <f t="shared" si="140"/>
        <v/>
      </c>
    </row>
    <row r="3793" spans="1:1">
      <c r="A3793" s="11" t="str">
        <f t="shared" si="140"/>
        <v/>
      </c>
    </row>
    <row r="3794" spans="1:1">
      <c r="A3794" s="11" t="str">
        <f t="shared" si="140"/>
        <v/>
      </c>
    </row>
    <row r="3795" spans="1:1">
      <c r="A3795" s="11" t="str">
        <f t="shared" si="140"/>
        <v/>
      </c>
    </row>
    <row r="3796" spans="1:1">
      <c r="A3796" s="11" t="str">
        <f t="shared" si="140"/>
        <v/>
      </c>
    </row>
    <row r="3797" spans="1:1">
      <c r="A3797" s="11" t="str">
        <f t="shared" si="140"/>
        <v/>
      </c>
    </row>
    <row r="3798" spans="1:1">
      <c r="A3798" s="11" t="str">
        <f t="shared" si="140"/>
        <v/>
      </c>
    </row>
    <row r="3799" spans="1:1">
      <c r="A3799" s="11" t="str">
        <f t="shared" si="140"/>
        <v/>
      </c>
    </row>
    <row r="3800" spans="1:1">
      <c r="A3800" s="11" t="str">
        <f t="shared" si="140"/>
        <v/>
      </c>
    </row>
    <row r="3801" spans="1:1">
      <c r="A3801" s="11" t="str">
        <f t="shared" si="140"/>
        <v/>
      </c>
    </row>
    <row r="3802" spans="1:1">
      <c r="A3802" s="11" t="str">
        <f t="shared" si="140"/>
        <v/>
      </c>
    </row>
    <row r="3803" spans="1:1">
      <c r="A3803" s="11" t="str">
        <f t="shared" si="140"/>
        <v/>
      </c>
    </row>
    <row r="3804" spans="1:1">
      <c r="A3804" s="11" t="str">
        <f t="shared" si="140"/>
        <v/>
      </c>
    </row>
    <row r="3805" spans="1:1">
      <c r="A3805" s="11" t="str">
        <f t="shared" si="140"/>
        <v/>
      </c>
    </row>
    <row r="3806" spans="1:1">
      <c r="A3806" s="11" t="str">
        <f t="shared" si="140"/>
        <v/>
      </c>
    </row>
    <row r="3807" spans="1:1">
      <c r="A3807" s="11" t="str">
        <f t="shared" si="140"/>
        <v/>
      </c>
    </row>
    <row r="3808" spans="1:1">
      <c r="A3808" s="11" t="str">
        <f t="shared" si="140"/>
        <v/>
      </c>
    </row>
    <row r="3809" spans="1:1">
      <c r="A3809" s="11" t="str">
        <f t="shared" si="140"/>
        <v/>
      </c>
    </row>
    <row r="3810" spans="1:1">
      <c r="A3810" s="11" t="str">
        <f t="shared" si="140"/>
        <v/>
      </c>
    </row>
    <row r="3811" spans="1:1">
      <c r="A3811" s="11" t="str">
        <f t="shared" si="140"/>
        <v/>
      </c>
    </row>
    <row r="3812" spans="1:1">
      <c r="A3812" s="11" t="str">
        <f t="shared" si="140"/>
        <v/>
      </c>
    </row>
    <row r="3813" spans="1:1">
      <c r="A3813" s="11" t="str">
        <f t="shared" si="140"/>
        <v/>
      </c>
    </row>
    <row r="3814" spans="1:1">
      <c r="A3814" s="11" t="str">
        <f t="shared" si="140"/>
        <v/>
      </c>
    </row>
    <row r="3815" spans="1:1">
      <c r="A3815" s="11" t="str">
        <f t="shared" si="140"/>
        <v/>
      </c>
    </row>
    <row r="3816" spans="1:1">
      <c r="A3816" s="11" t="str">
        <f t="shared" si="140"/>
        <v/>
      </c>
    </row>
    <row r="3817" spans="1:1">
      <c r="A3817" s="11" t="str">
        <f t="shared" si="140"/>
        <v/>
      </c>
    </row>
    <row r="3818" spans="1:1">
      <c r="A3818" s="11" t="str">
        <f t="shared" si="140"/>
        <v/>
      </c>
    </row>
    <row r="3819" spans="1:1">
      <c r="A3819" s="11" t="str">
        <f t="shared" si="140"/>
        <v/>
      </c>
    </row>
    <row r="3820" spans="1:1">
      <c r="A3820" s="11" t="str">
        <f t="shared" si="140"/>
        <v/>
      </c>
    </row>
    <row r="3821" spans="1:1">
      <c r="A3821" s="11" t="str">
        <f t="shared" si="140"/>
        <v/>
      </c>
    </row>
    <row r="3822" spans="1:1">
      <c r="A3822" s="11" t="str">
        <f t="shared" si="140"/>
        <v/>
      </c>
    </row>
    <row r="3823" spans="1:1">
      <c r="A3823" s="11" t="str">
        <f t="shared" si="140"/>
        <v/>
      </c>
    </row>
    <row r="3824" spans="1:1">
      <c r="A3824" s="11" t="str">
        <f t="shared" si="140"/>
        <v/>
      </c>
    </row>
    <row r="3825" spans="1:1">
      <c r="A3825" s="11" t="str">
        <f t="shared" si="140"/>
        <v/>
      </c>
    </row>
    <row r="3826" spans="1:1">
      <c r="A3826" s="11" t="str">
        <f t="shared" si="140"/>
        <v/>
      </c>
    </row>
    <row r="3827" spans="1:1">
      <c r="A3827" s="11" t="str">
        <f t="shared" si="140"/>
        <v/>
      </c>
    </row>
    <row r="3828" spans="1:1">
      <c r="A3828" s="11" t="str">
        <f t="shared" si="140"/>
        <v/>
      </c>
    </row>
    <row r="3829" spans="1:1">
      <c r="A3829" s="11" t="str">
        <f t="shared" si="140"/>
        <v/>
      </c>
    </row>
    <row r="3830" spans="1:1">
      <c r="A3830" s="11" t="str">
        <f t="shared" si="140"/>
        <v/>
      </c>
    </row>
    <row r="3831" spans="1:1">
      <c r="A3831" s="11" t="str">
        <f t="shared" si="140"/>
        <v/>
      </c>
    </row>
    <row r="3832" spans="1:1">
      <c r="A3832" s="11" t="str">
        <f t="shared" si="140"/>
        <v/>
      </c>
    </row>
    <row r="3833" spans="1:1">
      <c r="A3833" s="11" t="str">
        <f t="shared" si="140"/>
        <v/>
      </c>
    </row>
    <row r="3834" spans="1:1">
      <c r="A3834" s="11" t="str">
        <f t="shared" si="140"/>
        <v/>
      </c>
    </row>
    <row r="3835" spans="1:1">
      <c r="A3835" s="11" t="str">
        <f t="shared" si="140"/>
        <v/>
      </c>
    </row>
    <row r="3836" spans="1:1">
      <c r="A3836" s="11" t="str">
        <f t="shared" si="140"/>
        <v/>
      </c>
    </row>
    <row r="3837" spans="1:1">
      <c r="A3837" s="11" t="str">
        <f t="shared" si="140"/>
        <v/>
      </c>
    </row>
    <row r="3838" spans="1:1">
      <c r="A3838" s="11" t="str">
        <f t="shared" si="140"/>
        <v/>
      </c>
    </row>
    <row r="3839" spans="1:1">
      <c r="A3839" s="11" t="str">
        <f t="shared" si="140"/>
        <v/>
      </c>
    </row>
    <row r="3840" spans="1:1">
      <c r="A3840" s="11" t="str">
        <f t="shared" si="140"/>
        <v/>
      </c>
    </row>
    <row r="3841" spans="1:1">
      <c r="A3841" s="11" t="str">
        <f t="shared" si="140"/>
        <v/>
      </c>
    </row>
    <row r="3842" spans="1:1">
      <c r="A3842" s="11" t="str">
        <f t="shared" si="140"/>
        <v/>
      </c>
    </row>
    <row r="3843" spans="1:1">
      <c r="A3843" s="11" t="str">
        <f t="shared" ref="A3843:A3906" si="141">B3843&amp;D3843</f>
        <v/>
      </c>
    </row>
    <row r="3844" spans="1:1">
      <c r="A3844" s="11" t="str">
        <f t="shared" si="141"/>
        <v/>
      </c>
    </row>
    <row r="3845" spans="1:1">
      <c r="A3845" s="11" t="str">
        <f t="shared" si="141"/>
        <v/>
      </c>
    </row>
    <row r="3846" spans="1:1">
      <c r="A3846" s="11" t="str">
        <f t="shared" si="141"/>
        <v/>
      </c>
    </row>
    <row r="3847" spans="1:1">
      <c r="A3847" s="11" t="str">
        <f t="shared" si="141"/>
        <v/>
      </c>
    </row>
    <row r="3848" spans="1:1">
      <c r="A3848" s="11" t="str">
        <f t="shared" si="141"/>
        <v/>
      </c>
    </row>
    <row r="3849" spans="1:1">
      <c r="A3849" s="11" t="str">
        <f t="shared" si="141"/>
        <v/>
      </c>
    </row>
    <row r="3850" spans="1:1">
      <c r="A3850" s="11" t="str">
        <f t="shared" si="141"/>
        <v/>
      </c>
    </row>
    <row r="3851" spans="1:1">
      <c r="A3851" s="11" t="str">
        <f t="shared" si="141"/>
        <v/>
      </c>
    </row>
    <row r="3852" spans="1:1">
      <c r="A3852" s="11" t="str">
        <f t="shared" si="141"/>
        <v/>
      </c>
    </row>
    <row r="3853" spans="1:1">
      <c r="A3853" s="11" t="str">
        <f t="shared" si="141"/>
        <v/>
      </c>
    </row>
    <row r="3854" spans="1:1">
      <c r="A3854" s="11" t="str">
        <f t="shared" si="141"/>
        <v/>
      </c>
    </row>
    <row r="3855" spans="1:1">
      <c r="A3855" s="11" t="str">
        <f t="shared" si="141"/>
        <v/>
      </c>
    </row>
    <row r="3856" spans="1:1">
      <c r="A3856" s="11" t="str">
        <f t="shared" si="141"/>
        <v/>
      </c>
    </row>
    <row r="3857" spans="1:1">
      <c r="A3857" s="11" t="str">
        <f t="shared" si="141"/>
        <v/>
      </c>
    </row>
    <row r="3858" spans="1:1">
      <c r="A3858" s="11" t="str">
        <f t="shared" si="141"/>
        <v/>
      </c>
    </row>
    <row r="3859" spans="1:1">
      <c r="A3859" s="11" t="str">
        <f t="shared" si="141"/>
        <v/>
      </c>
    </row>
    <row r="3860" spans="1:1">
      <c r="A3860" s="11" t="str">
        <f t="shared" si="141"/>
        <v/>
      </c>
    </row>
    <row r="3861" spans="1:1">
      <c r="A3861" s="11" t="str">
        <f t="shared" si="141"/>
        <v/>
      </c>
    </row>
    <row r="3862" spans="1:1">
      <c r="A3862" s="11" t="str">
        <f t="shared" si="141"/>
        <v/>
      </c>
    </row>
    <row r="3863" spans="1:1">
      <c r="A3863" s="11" t="str">
        <f t="shared" si="141"/>
        <v/>
      </c>
    </row>
    <row r="3864" spans="1:1">
      <c r="A3864" s="11" t="str">
        <f t="shared" si="141"/>
        <v/>
      </c>
    </row>
    <row r="3865" spans="1:1">
      <c r="A3865" s="11" t="str">
        <f t="shared" si="141"/>
        <v/>
      </c>
    </row>
    <row r="3866" spans="1:1">
      <c r="A3866" s="11" t="str">
        <f t="shared" si="141"/>
        <v/>
      </c>
    </row>
    <row r="3867" spans="1:1">
      <c r="A3867" s="11" t="str">
        <f t="shared" si="141"/>
        <v/>
      </c>
    </row>
    <row r="3868" spans="1:1">
      <c r="A3868" s="11" t="str">
        <f t="shared" si="141"/>
        <v/>
      </c>
    </row>
    <row r="3869" spans="1:1">
      <c r="A3869" s="11" t="str">
        <f t="shared" si="141"/>
        <v/>
      </c>
    </row>
    <row r="3870" spans="1:1">
      <c r="A3870" s="11" t="str">
        <f t="shared" si="141"/>
        <v/>
      </c>
    </row>
    <row r="3871" spans="1:1">
      <c r="A3871" s="11" t="str">
        <f t="shared" si="141"/>
        <v/>
      </c>
    </row>
    <row r="3872" spans="1:1">
      <c r="A3872" s="11" t="str">
        <f t="shared" si="141"/>
        <v/>
      </c>
    </row>
    <row r="3873" spans="1:1">
      <c r="A3873" s="11" t="str">
        <f t="shared" si="141"/>
        <v/>
      </c>
    </row>
    <row r="3874" spans="1:1">
      <c r="A3874" s="11" t="str">
        <f t="shared" si="141"/>
        <v/>
      </c>
    </row>
    <row r="3875" spans="1:1">
      <c r="A3875" s="11" t="str">
        <f t="shared" si="141"/>
        <v/>
      </c>
    </row>
    <row r="3876" spans="1:1">
      <c r="A3876" s="11" t="str">
        <f t="shared" si="141"/>
        <v/>
      </c>
    </row>
    <row r="3877" spans="1:1">
      <c r="A3877" s="11" t="str">
        <f t="shared" si="141"/>
        <v/>
      </c>
    </row>
    <row r="3878" spans="1:1">
      <c r="A3878" s="11" t="str">
        <f t="shared" si="141"/>
        <v/>
      </c>
    </row>
    <row r="3879" spans="1:1">
      <c r="A3879" s="11" t="str">
        <f t="shared" si="141"/>
        <v/>
      </c>
    </row>
    <row r="3880" spans="1:1">
      <c r="A3880" s="11" t="str">
        <f t="shared" si="141"/>
        <v/>
      </c>
    </row>
    <row r="3881" spans="1:1">
      <c r="A3881" s="11" t="str">
        <f t="shared" si="141"/>
        <v/>
      </c>
    </row>
    <row r="3882" spans="1:1">
      <c r="A3882" s="11" t="str">
        <f t="shared" si="141"/>
        <v/>
      </c>
    </row>
    <row r="3883" spans="1:1">
      <c r="A3883" s="11" t="str">
        <f t="shared" si="141"/>
        <v/>
      </c>
    </row>
    <row r="3884" spans="1:1">
      <c r="A3884" s="11" t="str">
        <f t="shared" si="141"/>
        <v/>
      </c>
    </row>
    <row r="3885" spans="1:1">
      <c r="A3885" s="11" t="str">
        <f t="shared" si="141"/>
        <v/>
      </c>
    </row>
    <row r="3886" spans="1:1">
      <c r="A3886" s="11" t="str">
        <f t="shared" si="141"/>
        <v/>
      </c>
    </row>
    <row r="3887" spans="1:1">
      <c r="A3887" s="11" t="str">
        <f t="shared" si="141"/>
        <v/>
      </c>
    </row>
    <row r="3888" spans="1:1">
      <c r="A3888" s="11" t="str">
        <f t="shared" si="141"/>
        <v/>
      </c>
    </row>
    <row r="3889" spans="1:1">
      <c r="A3889" s="11" t="str">
        <f t="shared" si="141"/>
        <v/>
      </c>
    </row>
    <row r="3890" spans="1:1">
      <c r="A3890" s="11" t="str">
        <f t="shared" si="141"/>
        <v/>
      </c>
    </row>
    <row r="3891" spans="1:1">
      <c r="A3891" s="11" t="str">
        <f t="shared" si="141"/>
        <v/>
      </c>
    </row>
    <row r="3892" spans="1:1">
      <c r="A3892" s="11" t="str">
        <f t="shared" si="141"/>
        <v/>
      </c>
    </row>
    <row r="3893" spans="1:1">
      <c r="A3893" s="11" t="str">
        <f t="shared" si="141"/>
        <v/>
      </c>
    </row>
    <row r="3894" spans="1:1">
      <c r="A3894" s="11" t="str">
        <f t="shared" si="141"/>
        <v/>
      </c>
    </row>
    <row r="3895" spans="1:1">
      <c r="A3895" s="11" t="str">
        <f t="shared" si="141"/>
        <v/>
      </c>
    </row>
    <row r="3896" spans="1:1">
      <c r="A3896" s="11" t="str">
        <f t="shared" si="141"/>
        <v/>
      </c>
    </row>
    <row r="3897" spans="1:1">
      <c r="A3897" s="11" t="str">
        <f t="shared" si="141"/>
        <v/>
      </c>
    </row>
    <row r="3898" spans="1:1">
      <c r="A3898" s="11" t="str">
        <f t="shared" si="141"/>
        <v/>
      </c>
    </row>
    <row r="3899" spans="1:1">
      <c r="A3899" s="11" t="str">
        <f t="shared" si="141"/>
        <v/>
      </c>
    </row>
    <row r="3900" spans="1:1">
      <c r="A3900" s="11" t="str">
        <f t="shared" si="141"/>
        <v/>
      </c>
    </row>
    <row r="3901" spans="1:1">
      <c r="A3901" s="11" t="str">
        <f t="shared" si="141"/>
        <v/>
      </c>
    </row>
    <row r="3902" spans="1:1">
      <c r="A3902" s="11" t="str">
        <f t="shared" si="141"/>
        <v/>
      </c>
    </row>
    <row r="3903" spans="1:1">
      <c r="A3903" s="11" t="str">
        <f t="shared" si="141"/>
        <v/>
      </c>
    </row>
    <row r="3904" spans="1:1">
      <c r="A3904" s="11" t="str">
        <f t="shared" si="141"/>
        <v/>
      </c>
    </row>
    <row r="3905" spans="1:1">
      <c r="A3905" s="11" t="str">
        <f t="shared" si="141"/>
        <v/>
      </c>
    </row>
    <row r="3906" spans="1:1">
      <c r="A3906" s="11" t="str">
        <f t="shared" si="141"/>
        <v/>
      </c>
    </row>
    <row r="3907" spans="1:1">
      <c r="A3907" s="11" t="str">
        <f t="shared" ref="A3907:A3970" si="142">B3907&amp;D3907</f>
        <v/>
      </c>
    </row>
    <row r="3908" spans="1:1">
      <c r="A3908" s="11" t="str">
        <f t="shared" si="142"/>
        <v/>
      </c>
    </row>
    <row r="3909" spans="1:1">
      <c r="A3909" s="11" t="str">
        <f t="shared" si="142"/>
        <v/>
      </c>
    </row>
    <row r="3910" spans="1:1">
      <c r="A3910" s="11" t="str">
        <f t="shared" si="142"/>
        <v/>
      </c>
    </row>
    <row r="3911" spans="1:1">
      <c r="A3911" s="11" t="str">
        <f t="shared" si="142"/>
        <v/>
      </c>
    </row>
    <row r="3912" spans="1:1">
      <c r="A3912" s="11" t="str">
        <f t="shared" si="142"/>
        <v/>
      </c>
    </row>
    <row r="3913" spans="1:1">
      <c r="A3913" s="11" t="str">
        <f t="shared" si="142"/>
        <v/>
      </c>
    </row>
    <row r="3914" spans="1:1">
      <c r="A3914" s="11" t="str">
        <f t="shared" si="142"/>
        <v/>
      </c>
    </row>
    <row r="3915" spans="1:1">
      <c r="A3915" s="11" t="str">
        <f t="shared" si="142"/>
        <v/>
      </c>
    </row>
    <row r="3916" spans="1:1">
      <c r="A3916" s="11" t="str">
        <f t="shared" si="142"/>
        <v/>
      </c>
    </row>
    <row r="3917" spans="1:1">
      <c r="A3917" s="11" t="str">
        <f t="shared" si="142"/>
        <v/>
      </c>
    </row>
    <row r="3918" spans="1:1">
      <c r="A3918" s="11" t="str">
        <f t="shared" si="142"/>
        <v/>
      </c>
    </row>
    <row r="3919" spans="1:1">
      <c r="A3919" s="11" t="str">
        <f t="shared" si="142"/>
        <v/>
      </c>
    </row>
    <row r="3920" spans="1:1">
      <c r="A3920" s="11" t="str">
        <f t="shared" si="142"/>
        <v/>
      </c>
    </row>
    <row r="3921" spans="1:1">
      <c r="A3921" s="11" t="str">
        <f t="shared" si="142"/>
        <v/>
      </c>
    </row>
    <row r="3922" spans="1:1">
      <c r="A3922" s="11" t="str">
        <f t="shared" si="142"/>
        <v/>
      </c>
    </row>
    <row r="3923" spans="1:1">
      <c r="A3923" s="11" t="str">
        <f t="shared" si="142"/>
        <v/>
      </c>
    </row>
    <row r="3924" spans="1:1">
      <c r="A3924" s="11" t="str">
        <f t="shared" si="142"/>
        <v/>
      </c>
    </row>
    <row r="3925" spans="1:1">
      <c r="A3925" s="11" t="str">
        <f t="shared" si="142"/>
        <v/>
      </c>
    </row>
    <row r="3926" spans="1:1">
      <c r="A3926" s="11" t="str">
        <f t="shared" si="142"/>
        <v/>
      </c>
    </row>
    <row r="3927" spans="1:1">
      <c r="A3927" s="11" t="str">
        <f t="shared" si="142"/>
        <v/>
      </c>
    </row>
    <row r="3928" spans="1:1">
      <c r="A3928" s="11" t="str">
        <f t="shared" si="142"/>
        <v/>
      </c>
    </row>
    <row r="3929" spans="1:1">
      <c r="A3929" s="11" t="str">
        <f t="shared" si="142"/>
        <v/>
      </c>
    </row>
    <row r="3930" spans="1:1">
      <c r="A3930" s="11" t="str">
        <f t="shared" si="142"/>
        <v/>
      </c>
    </row>
    <row r="3931" spans="1:1">
      <c r="A3931" s="11" t="str">
        <f t="shared" si="142"/>
        <v/>
      </c>
    </row>
    <row r="3932" spans="1:1">
      <c r="A3932" s="11" t="str">
        <f t="shared" si="142"/>
        <v/>
      </c>
    </row>
    <row r="3933" spans="1:1">
      <c r="A3933" s="11" t="str">
        <f t="shared" si="142"/>
        <v/>
      </c>
    </row>
    <row r="3934" spans="1:1">
      <c r="A3934" s="11" t="str">
        <f t="shared" si="142"/>
        <v/>
      </c>
    </row>
    <row r="3935" spans="1:1">
      <c r="A3935" s="11" t="str">
        <f t="shared" si="142"/>
        <v/>
      </c>
    </row>
    <row r="3936" spans="1:1">
      <c r="A3936" s="11" t="str">
        <f t="shared" si="142"/>
        <v/>
      </c>
    </row>
    <row r="3937" spans="1:1">
      <c r="A3937" s="11" t="str">
        <f t="shared" si="142"/>
        <v/>
      </c>
    </row>
    <row r="3938" spans="1:1">
      <c r="A3938" s="11" t="str">
        <f t="shared" si="142"/>
        <v/>
      </c>
    </row>
    <row r="3939" spans="1:1">
      <c r="A3939" s="11" t="str">
        <f t="shared" si="142"/>
        <v/>
      </c>
    </row>
    <row r="3940" spans="1:1">
      <c r="A3940" s="11" t="str">
        <f t="shared" si="142"/>
        <v/>
      </c>
    </row>
    <row r="3941" spans="1:1">
      <c r="A3941" s="11" t="str">
        <f t="shared" si="142"/>
        <v/>
      </c>
    </row>
    <row r="3942" spans="1:1">
      <c r="A3942" s="11" t="str">
        <f t="shared" si="142"/>
        <v/>
      </c>
    </row>
    <row r="3943" spans="1:1">
      <c r="A3943" s="11" t="str">
        <f t="shared" si="142"/>
        <v/>
      </c>
    </row>
    <row r="3944" spans="1:1">
      <c r="A3944" s="11" t="str">
        <f t="shared" si="142"/>
        <v/>
      </c>
    </row>
    <row r="3945" spans="1:1">
      <c r="A3945" s="11" t="str">
        <f t="shared" si="142"/>
        <v/>
      </c>
    </row>
    <row r="3946" spans="1:1">
      <c r="A3946" s="11" t="str">
        <f t="shared" si="142"/>
        <v/>
      </c>
    </row>
    <row r="3947" spans="1:1">
      <c r="A3947" s="11" t="str">
        <f t="shared" si="142"/>
        <v/>
      </c>
    </row>
    <row r="3948" spans="1:1">
      <c r="A3948" s="11" t="str">
        <f t="shared" si="142"/>
        <v/>
      </c>
    </row>
    <row r="3949" spans="1:1">
      <c r="A3949" s="11" t="str">
        <f t="shared" si="142"/>
        <v/>
      </c>
    </row>
    <row r="3950" spans="1:1">
      <c r="A3950" s="11" t="str">
        <f t="shared" si="142"/>
        <v/>
      </c>
    </row>
    <row r="3951" spans="1:1">
      <c r="A3951" s="11" t="str">
        <f t="shared" si="142"/>
        <v/>
      </c>
    </row>
    <row r="3952" spans="1:1">
      <c r="A3952" s="11" t="str">
        <f t="shared" si="142"/>
        <v/>
      </c>
    </row>
    <row r="3953" spans="1:1">
      <c r="A3953" s="11" t="str">
        <f t="shared" si="142"/>
        <v/>
      </c>
    </row>
    <row r="3954" spans="1:1">
      <c r="A3954" s="11" t="str">
        <f t="shared" si="142"/>
        <v/>
      </c>
    </row>
    <row r="3955" spans="1:1">
      <c r="A3955" s="11" t="str">
        <f t="shared" si="142"/>
        <v/>
      </c>
    </row>
    <row r="3956" spans="1:1">
      <c r="A3956" s="11" t="str">
        <f t="shared" si="142"/>
        <v/>
      </c>
    </row>
    <row r="3957" spans="1:1">
      <c r="A3957" s="11" t="str">
        <f t="shared" si="142"/>
        <v/>
      </c>
    </row>
    <row r="3958" spans="1:1">
      <c r="A3958" s="11" t="str">
        <f t="shared" si="142"/>
        <v/>
      </c>
    </row>
    <row r="3959" spans="1:1">
      <c r="A3959" s="11" t="str">
        <f t="shared" si="142"/>
        <v/>
      </c>
    </row>
    <row r="3960" spans="1:1">
      <c r="A3960" s="11" t="str">
        <f t="shared" si="142"/>
        <v/>
      </c>
    </row>
    <row r="3961" spans="1:1">
      <c r="A3961" s="11" t="str">
        <f t="shared" si="142"/>
        <v/>
      </c>
    </row>
    <row r="3962" spans="1:1">
      <c r="A3962" s="11" t="str">
        <f t="shared" si="142"/>
        <v/>
      </c>
    </row>
    <row r="3963" spans="1:1">
      <c r="A3963" s="11" t="str">
        <f t="shared" si="142"/>
        <v/>
      </c>
    </row>
    <row r="3964" spans="1:1">
      <c r="A3964" s="11" t="str">
        <f t="shared" si="142"/>
        <v/>
      </c>
    </row>
    <row r="3965" spans="1:1">
      <c r="A3965" s="11" t="str">
        <f t="shared" si="142"/>
        <v/>
      </c>
    </row>
    <row r="3966" spans="1:1">
      <c r="A3966" s="11" t="str">
        <f t="shared" si="142"/>
        <v/>
      </c>
    </row>
    <row r="3967" spans="1:1">
      <c r="A3967" s="11" t="str">
        <f t="shared" si="142"/>
        <v/>
      </c>
    </row>
    <row r="3968" spans="1:1">
      <c r="A3968" s="11" t="str">
        <f t="shared" si="142"/>
        <v/>
      </c>
    </row>
    <row r="3969" spans="1:1">
      <c r="A3969" s="11" t="str">
        <f t="shared" si="142"/>
        <v/>
      </c>
    </row>
    <row r="3970" spans="1:1">
      <c r="A3970" s="11" t="str">
        <f t="shared" si="142"/>
        <v/>
      </c>
    </row>
    <row r="3971" spans="1:1">
      <c r="A3971" s="11" t="str">
        <f t="shared" ref="A3971:A4034" si="143">B3971&amp;D3971</f>
        <v/>
      </c>
    </row>
    <row r="3972" spans="1:1">
      <c r="A3972" s="11" t="str">
        <f t="shared" si="143"/>
        <v/>
      </c>
    </row>
    <row r="3973" spans="1:1">
      <c r="A3973" s="11" t="str">
        <f t="shared" si="143"/>
        <v/>
      </c>
    </row>
    <row r="3974" spans="1:1">
      <c r="A3974" s="11" t="str">
        <f t="shared" si="143"/>
        <v/>
      </c>
    </row>
    <row r="3975" spans="1:1">
      <c r="A3975" s="11" t="str">
        <f t="shared" si="143"/>
        <v/>
      </c>
    </row>
    <row r="3976" spans="1:1">
      <c r="A3976" s="11" t="str">
        <f t="shared" si="143"/>
        <v/>
      </c>
    </row>
    <row r="3977" spans="1:1">
      <c r="A3977" s="11" t="str">
        <f t="shared" si="143"/>
        <v/>
      </c>
    </row>
    <row r="3978" spans="1:1">
      <c r="A3978" s="11" t="str">
        <f t="shared" si="143"/>
        <v/>
      </c>
    </row>
    <row r="3979" spans="1:1">
      <c r="A3979" s="11" t="str">
        <f t="shared" si="143"/>
        <v/>
      </c>
    </row>
    <row r="3980" spans="1:1">
      <c r="A3980" s="11" t="str">
        <f t="shared" si="143"/>
        <v/>
      </c>
    </row>
    <row r="3981" spans="1:1">
      <c r="A3981" s="11" t="str">
        <f t="shared" si="143"/>
        <v/>
      </c>
    </row>
    <row r="3982" spans="1:1">
      <c r="A3982" s="11" t="str">
        <f t="shared" si="143"/>
        <v/>
      </c>
    </row>
    <row r="3983" spans="1:1">
      <c r="A3983" s="11" t="str">
        <f t="shared" si="143"/>
        <v/>
      </c>
    </row>
    <row r="3984" spans="1:1">
      <c r="A3984" s="11" t="str">
        <f t="shared" si="143"/>
        <v/>
      </c>
    </row>
    <row r="3985" spans="1:1">
      <c r="A3985" s="11" t="str">
        <f t="shared" si="143"/>
        <v/>
      </c>
    </row>
    <row r="3986" spans="1:1">
      <c r="A3986" s="11" t="str">
        <f t="shared" si="143"/>
        <v/>
      </c>
    </row>
    <row r="3987" spans="1:1">
      <c r="A3987" s="11" t="str">
        <f t="shared" si="143"/>
        <v/>
      </c>
    </row>
    <row r="3988" spans="1:1">
      <c r="A3988" s="11" t="str">
        <f t="shared" si="143"/>
        <v/>
      </c>
    </row>
    <row r="3989" spans="1:1">
      <c r="A3989" s="11" t="str">
        <f t="shared" si="143"/>
        <v/>
      </c>
    </row>
    <row r="3990" spans="1:1">
      <c r="A3990" s="11" t="str">
        <f t="shared" si="143"/>
        <v/>
      </c>
    </row>
    <row r="3991" spans="1:1">
      <c r="A3991" s="11" t="str">
        <f t="shared" si="143"/>
        <v/>
      </c>
    </row>
    <row r="3992" spans="1:1">
      <c r="A3992" s="11" t="str">
        <f t="shared" si="143"/>
        <v/>
      </c>
    </row>
    <row r="3993" spans="1:1">
      <c r="A3993" s="11" t="str">
        <f t="shared" si="143"/>
        <v/>
      </c>
    </row>
    <row r="3994" spans="1:1">
      <c r="A3994" s="11" t="str">
        <f t="shared" si="143"/>
        <v/>
      </c>
    </row>
    <row r="3995" spans="1:1">
      <c r="A3995" s="11" t="str">
        <f t="shared" si="143"/>
        <v/>
      </c>
    </row>
    <row r="3996" spans="1:1">
      <c r="A3996" s="11" t="str">
        <f t="shared" si="143"/>
        <v/>
      </c>
    </row>
    <row r="3997" spans="1:1">
      <c r="A3997" s="11" t="str">
        <f t="shared" si="143"/>
        <v/>
      </c>
    </row>
    <row r="3998" spans="1:1">
      <c r="A3998" s="11" t="str">
        <f t="shared" si="143"/>
        <v/>
      </c>
    </row>
    <row r="3999" spans="1:1">
      <c r="A3999" s="11" t="str">
        <f t="shared" si="143"/>
        <v/>
      </c>
    </row>
    <row r="4000" spans="1:1">
      <c r="A4000" s="11" t="str">
        <f t="shared" si="143"/>
        <v/>
      </c>
    </row>
    <row r="4001" spans="1:1">
      <c r="A4001" s="11" t="str">
        <f t="shared" si="143"/>
        <v/>
      </c>
    </row>
    <row r="4002" spans="1:1">
      <c r="A4002" s="11" t="str">
        <f t="shared" si="143"/>
        <v/>
      </c>
    </row>
    <row r="4003" spans="1:1">
      <c r="A4003" s="11" t="str">
        <f t="shared" si="143"/>
        <v/>
      </c>
    </row>
    <row r="4004" spans="1:1">
      <c r="A4004" s="11" t="str">
        <f t="shared" si="143"/>
        <v/>
      </c>
    </row>
    <row r="4005" spans="1:1">
      <c r="A4005" s="11" t="str">
        <f t="shared" si="143"/>
        <v/>
      </c>
    </row>
    <row r="4006" spans="1:1">
      <c r="A4006" s="11" t="str">
        <f t="shared" si="143"/>
        <v/>
      </c>
    </row>
    <row r="4007" spans="1:1">
      <c r="A4007" s="11" t="str">
        <f t="shared" si="143"/>
        <v/>
      </c>
    </row>
    <row r="4008" spans="1:1">
      <c r="A4008" s="11" t="str">
        <f t="shared" si="143"/>
        <v/>
      </c>
    </row>
    <row r="4009" spans="1:1">
      <c r="A4009" s="11" t="str">
        <f t="shared" si="143"/>
        <v/>
      </c>
    </row>
    <row r="4010" spans="1:1">
      <c r="A4010" s="11" t="str">
        <f t="shared" si="143"/>
        <v/>
      </c>
    </row>
    <row r="4011" spans="1:1">
      <c r="A4011" s="11" t="str">
        <f t="shared" si="143"/>
        <v/>
      </c>
    </row>
    <row r="4012" spans="1:1">
      <c r="A4012" s="11" t="str">
        <f t="shared" si="143"/>
        <v/>
      </c>
    </row>
    <row r="4013" spans="1:1">
      <c r="A4013" s="11" t="str">
        <f t="shared" si="143"/>
        <v/>
      </c>
    </row>
    <row r="4014" spans="1:1">
      <c r="A4014" s="11" t="str">
        <f t="shared" si="143"/>
        <v/>
      </c>
    </row>
    <row r="4015" spans="1:1">
      <c r="A4015" s="11" t="str">
        <f t="shared" si="143"/>
        <v/>
      </c>
    </row>
    <row r="4016" spans="1:1">
      <c r="A4016" s="11" t="str">
        <f t="shared" si="143"/>
        <v/>
      </c>
    </row>
    <row r="4017" spans="1:1">
      <c r="A4017" s="11" t="str">
        <f t="shared" si="143"/>
        <v/>
      </c>
    </row>
    <row r="4018" spans="1:1">
      <c r="A4018" s="11" t="str">
        <f t="shared" si="143"/>
        <v/>
      </c>
    </row>
    <row r="4019" spans="1:1">
      <c r="A4019" s="11" t="str">
        <f t="shared" si="143"/>
        <v/>
      </c>
    </row>
    <row r="4020" spans="1:1">
      <c r="A4020" s="11" t="str">
        <f t="shared" si="143"/>
        <v/>
      </c>
    </row>
    <row r="4021" spans="1:1">
      <c r="A4021" s="11" t="str">
        <f t="shared" si="143"/>
        <v/>
      </c>
    </row>
    <row r="4022" spans="1:1">
      <c r="A4022" s="11" t="str">
        <f t="shared" si="143"/>
        <v/>
      </c>
    </row>
    <row r="4023" spans="1:1">
      <c r="A4023" s="11" t="str">
        <f t="shared" si="143"/>
        <v/>
      </c>
    </row>
    <row r="4024" spans="1:1">
      <c r="A4024" s="11" t="str">
        <f t="shared" si="143"/>
        <v/>
      </c>
    </row>
    <row r="4025" spans="1:1">
      <c r="A4025" s="11" t="str">
        <f t="shared" si="143"/>
        <v/>
      </c>
    </row>
    <row r="4026" spans="1:1">
      <c r="A4026" s="11" t="str">
        <f t="shared" si="143"/>
        <v/>
      </c>
    </row>
    <row r="4027" spans="1:1">
      <c r="A4027" s="11" t="str">
        <f t="shared" si="143"/>
        <v/>
      </c>
    </row>
    <row r="4028" spans="1:1">
      <c r="A4028" s="11" t="str">
        <f t="shared" si="143"/>
        <v/>
      </c>
    </row>
    <row r="4029" spans="1:1">
      <c r="A4029" s="11" t="str">
        <f t="shared" si="143"/>
        <v/>
      </c>
    </row>
    <row r="4030" spans="1:1">
      <c r="A4030" s="11" t="str">
        <f t="shared" si="143"/>
        <v/>
      </c>
    </row>
    <row r="4031" spans="1:1">
      <c r="A4031" s="11" t="str">
        <f t="shared" si="143"/>
        <v/>
      </c>
    </row>
    <row r="4032" spans="1:1">
      <c r="A4032" s="11" t="str">
        <f t="shared" si="143"/>
        <v/>
      </c>
    </row>
    <row r="4033" spans="1:1">
      <c r="A4033" s="11" t="str">
        <f t="shared" si="143"/>
        <v/>
      </c>
    </row>
    <row r="4034" spans="1:1">
      <c r="A4034" s="11" t="str">
        <f t="shared" si="143"/>
        <v/>
      </c>
    </row>
    <row r="4035" spans="1:1">
      <c r="A4035" s="11" t="str">
        <f t="shared" ref="A4035:A4098" si="144">B4035&amp;D4035</f>
        <v/>
      </c>
    </row>
    <row r="4036" spans="1:1">
      <c r="A4036" s="11" t="str">
        <f t="shared" si="144"/>
        <v/>
      </c>
    </row>
    <row r="4037" spans="1:1">
      <c r="A4037" s="11" t="str">
        <f t="shared" si="144"/>
        <v/>
      </c>
    </row>
    <row r="4038" spans="1:1">
      <c r="A4038" s="11" t="str">
        <f t="shared" si="144"/>
        <v/>
      </c>
    </row>
    <row r="4039" spans="1:1">
      <c r="A4039" s="11" t="str">
        <f t="shared" si="144"/>
        <v/>
      </c>
    </row>
    <row r="4040" spans="1:1">
      <c r="A4040" s="11" t="str">
        <f t="shared" si="144"/>
        <v/>
      </c>
    </row>
    <row r="4041" spans="1:1">
      <c r="A4041" s="11" t="str">
        <f t="shared" si="144"/>
        <v/>
      </c>
    </row>
    <row r="4042" spans="1:1">
      <c r="A4042" s="11" t="str">
        <f t="shared" si="144"/>
        <v/>
      </c>
    </row>
    <row r="4043" spans="1:1">
      <c r="A4043" s="11" t="str">
        <f t="shared" si="144"/>
        <v/>
      </c>
    </row>
    <row r="4044" spans="1:1">
      <c r="A4044" s="11" t="str">
        <f t="shared" si="144"/>
        <v/>
      </c>
    </row>
    <row r="4045" spans="1:1">
      <c r="A4045" s="11" t="str">
        <f t="shared" si="144"/>
        <v/>
      </c>
    </row>
    <row r="4046" spans="1:1">
      <c r="A4046" s="11" t="str">
        <f t="shared" si="144"/>
        <v/>
      </c>
    </row>
    <row r="4047" spans="1:1">
      <c r="A4047" s="11" t="str">
        <f t="shared" si="144"/>
        <v/>
      </c>
    </row>
    <row r="4048" spans="1:1">
      <c r="A4048" s="11" t="str">
        <f t="shared" si="144"/>
        <v/>
      </c>
    </row>
    <row r="4049" spans="1:1">
      <c r="A4049" s="11" t="str">
        <f t="shared" si="144"/>
        <v/>
      </c>
    </row>
    <row r="4050" spans="1:1">
      <c r="A4050" s="11" t="str">
        <f t="shared" si="144"/>
        <v/>
      </c>
    </row>
    <row r="4051" spans="1:1">
      <c r="A4051" s="11" t="str">
        <f t="shared" si="144"/>
        <v/>
      </c>
    </row>
    <row r="4052" spans="1:1">
      <c r="A4052" s="11" t="str">
        <f t="shared" si="144"/>
        <v/>
      </c>
    </row>
    <row r="4053" spans="1:1">
      <c r="A4053" s="11" t="str">
        <f t="shared" si="144"/>
        <v/>
      </c>
    </row>
    <row r="4054" spans="1:1">
      <c r="A4054" s="11" t="str">
        <f t="shared" si="144"/>
        <v/>
      </c>
    </row>
    <row r="4055" spans="1:1">
      <c r="A4055" s="11" t="str">
        <f t="shared" si="144"/>
        <v/>
      </c>
    </row>
    <row r="4056" spans="1:1">
      <c r="A4056" s="11" t="str">
        <f t="shared" si="144"/>
        <v/>
      </c>
    </row>
    <row r="4057" spans="1:1">
      <c r="A4057" s="11" t="str">
        <f t="shared" si="144"/>
        <v/>
      </c>
    </row>
    <row r="4058" spans="1:1">
      <c r="A4058" s="11" t="str">
        <f t="shared" si="144"/>
        <v/>
      </c>
    </row>
    <row r="4059" spans="1:1">
      <c r="A4059" s="11" t="str">
        <f t="shared" si="144"/>
        <v/>
      </c>
    </row>
    <row r="4060" spans="1:1">
      <c r="A4060" s="11" t="str">
        <f t="shared" si="144"/>
        <v/>
      </c>
    </row>
    <row r="4061" spans="1:1">
      <c r="A4061" s="11" t="str">
        <f t="shared" si="144"/>
        <v/>
      </c>
    </row>
    <row r="4062" spans="1:1">
      <c r="A4062" s="11" t="str">
        <f t="shared" si="144"/>
        <v/>
      </c>
    </row>
    <row r="4063" spans="1:1">
      <c r="A4063" s="11" t="str">
        <f t="shared" si="144"/>
        <v/>
      </c>
    </row>
    <row r="4064" spans="1:1">
      <c r="A4064" s="11" t="str">
        <f t="shared" si="144"/>
        <v/>
      </c>
    </row>
    <row r="4065" spans="1:1">
      <c r="A4065" s="11" t="str">
        <f t="shared" si="144"/>
        <v/>
      </c>
    </row>
    <row r="4066" spans="1:1">
      <c r="A4066" s="11" t="str">
        <f t="shared" si="144"/>
        <v/>
      </c>
    </row>
    <row r="4067" spans="1:1">
      <c r="A4067" s="11" t="str">
        <f t="shared" si="144"/>
        <v/>
      </c>
    </row>
    <row r="4068" spans="1:1">
      <c r="A4068" s="11" t="str">
        <f t="shared" si="144"/>
        <v/>
      </c>
    </row>
    <row r="4069" spans="1:1">
      <c r="A4069" s="11" t="str">
        <f t="shared" si="144"/>
        <v/>
      </c>
    </row>
    <row r="4070" spans="1:1">
      <c r="A4070" s="11" t="str">
        <f t="shared" si="144"/>
        <v/>
      </c>
    </row>
    <row r="4071" spans="1:1">
      <c r="A4071" s="11" t="str">
        <f t="shared" si="144"/>
        <v/>
      </c>
    </row>
    <row r="4072" spans="1:1">
      <c r="A4072" s="11" t="str">
        <f t="shared" si="144"/>
        <v/>
      </c>
    </row>
    <row r="4073" spans="1:1">
      <c r="A4073" s="11" t="str">
        <f t="shared" si="144"/>
        <v/>
      </c>
    </row>
    <row r="4074" spans="1:1">
      <c r="A4074" s="11" t="str">
        <f t="shared" si="144"/>
        <v/>
      </c>
    </row>
    <row r="4075" spans="1:1">
      <c r="A4075" s="11" t="str">
        <f t="shared" si="144"/>
        <v/>
      </c>
    </row>
    <row r="4076" spans="1:1">
      <c r="A4076" s="11" t="str">
        <f t="shared" si="144"/>
        <v/>
      </c>
    </row>
    <row r="4077" spans="1:1">
      <c r="A4077" s="11" t="str">
        <f t="shared" si="144"/>
        <v/>
      </c>
    </row>
    <row r="4078" spans="1:1">
      <c r="A4078" s="11" t="str">
        <f t="shared" si="144"/>
        <v/>
      </c>
    </row>
    <row r="4079" spans="1:1">
      <c r="A4079" s="11" t="str">
        <f t="shared" si="144"/>
        <v/>
      </c>
    </row>
    <row r="4080" spans="1:1">
      <c r="A4080" s="11" t="str">
        <f t="shared" si="144"/>
        <v/>
      </c>
    </row>
    <row r="4081" spans="1:1">
      <c r="A4081" s="11" t="str">
        <f t="shared" si="144"/>
        <v/>
      </c>
    </row>
    <row r="4082" spans="1:1">
      <c r="A4082" s="11" t="str">
        <f t="shared" si="144"/>
        <v/>
      </c>
    </row>
    <row r="4083" spans="1:1">
      <c r="A4083" s="11" t="str">
        <f t="shared" si="144"/>
        <v/>
      </c>
    </row>
    <row r="4084" spans="1:1">
      <c r="A4084" s="11" t="str">
        <f t="shared" si="144"/>
        <v/>
      </c>
    </row>
    <row r="4085" spans="1:1">
      <c r="A4085" s="11" t="str">
        <f t="shared" si="144"/>
        <v/>
      </c>
    </row>
    <row r="4086" spans="1:1">
      <c r="A4086" s="11" t="str">
        <f t="shared" si="144"/>
        <v/>
      </c>
    </row>
    <row r="4087" spans="1:1">
      <c r="A4087" s="11" t="str">
        <f t="shared" si="144"/>
        <v/>
      </c>
    </row>
    <row r="4088" spans="1:1">
      <c r="A4088" s="11" t="str">
        <f t="shared" si="144"/>
        <v/>
      </c>
    </row>
    <row r="4089" spans="1:1">
      <c r="A4089" s="11" t="str">
        <f t="shared" si="144"/>
        <v/>
      </c>
    </row>
    <row r="4090" spans="1:1">
      <c r="A4090" s="11" t="str">
        <f t="shared" si="144"/>
        <v/>
      </c>
    </row>
    <row r="4091" spans="1:1">
      <c r="A4091" s="11" t="str">
        <f t="shared" si="144"/>
        <v/>
      </c>
    </row>
    <row r="4092" spans="1:1">
      <c r="A4092" s="11" t="str">
        <f t="shared" si="144"/>
        <v/>
      </c>
    </row>
    <row r="4093" spans="1:1">
      <c r="A4093" s="11" t="str">
        <f t="shared" si="144"/>
        <v/>
      </c>
    </row>
    <row r="4094" spans="1:1">
      <c r="A4094" s="11" t="str">
        <f t="shared" si="144"/>
        <v/>
      </c>
    </row>
    <row r="4095" spans="1:1">
      <c r="A4095" s="11" t="str">
        <f t="shared" si="144"/>
        <v/>
      </c>
    </row>
    <row r="4096" spans="1:1">
      <c r="A4096" s="11" t="str">
        <f t="shared" si="144"/>
        <v/>
      </c>
    </row>
    <row r="4097" spans="1:1">
      <c r="A4097" s="11" t="str">
        <f t="shared" si="144"/>
        <v/>
      </c>
    </row>
    <row r="4098" spans="1:1">
      <c r="A4098" s="11" t="str">
        <f t="shared" si="144"/>
        <v/>
      </c>
    </row>
    <row r="4099" spans="1:1">
      <c r="A4099" s="11" t="str">
        <f t="shared" ref="A4099:A4162" si="145">B4099&amp;D4099</f>
        <v/>
      </c>
    </row>
    <row r="4100" spans="1:1">
      <c r="A4100" s="11" t="str">
        <f t="shared" si="145"/>
        <v/>
      </c>
    </row>
    <row r="4101" spans="1:1">
      <c r="A4101" s="11" t="str">
        <f t="shared" si="145"/>
        <v/>
      </c>
    </row>
    <row r="4102" spans="1:1">
      <c r="A4102" s="11" t="str">
        <f t="shared" si="145"/>
        <v/>
      </c>
    </row>
    <row r="4103" spans="1:1">
      <c r="A4103" s="11" t="str">
        <f t="shared" si="145"/>
        <v/>
      </c>
    </row>
    <row r="4104" spans="1:1">
      <c r="A4104" s="11" t="str">
        <f t="shared" si="145"/>
        <v/>
      </c>
    </row>
    <row r="4105" spans="1:1">
      <c r="A4105" s="11" t="str">
        <f t="shared" si="145"/>
        <v/>
      </c>
    </row>
    <row r="4106" spans="1:1">
      <c r="A4106" s="11" t="str">
        <f t="shared" si="145"/>
        <v/>
      </c>
    </row>
    <row r="4107" spans="1:1">
      <c r="A4107" s="11" t="str">
        <f t="shared" si="145"/>
        <v/>
      </c>
    </row>
    <row r="4108" spans="1:1">
      <c r="A4108" s="11" t="str">
        <f t="shared" si="145"/>
        <v/>
      </c>
    </row>
    <row r="4109" spans="1:1">
      <c r="A4109" s="11" t="str">
        <f t="shared" si="145"/>
        <v/>
      </c>
    </row>
    <row r="4110" spans="1:1">
      <c r="A4110" s="11" t="str">
        <f t="shared" si="145"/>
        <v/>
      </c>
    </row>
    <row r="4111" spans="1:1">
      <c r="A4111" s="11" t="str">
        <f t="shared" si="145"/>
        <v/>
      </c>
    </row>
    <row r="4112" spans="1:1">
      <c r="A4112" s="11" t="str">
        <f t="shared" si="145"/>
        <v/>
      </c>
    </row>
    <row r="4113" spans="1:1">
      <c r="A4113" s="11" t="str">
        <f t="shared" si="145"/>
        <v/>
      </c>
    </row>
    <row r="4114" spans="1:1">
      <c r="A4114" s="11" t="str">
        <f t="shared" si="145"/>
        <v/>
      </c>
    </row>
    <row r="4115" spans="1:1">
      <c r="A4115" s="11" t="str">
        <f t="shared" si="145"/>
        <v/>
      </c>
    </row>
    <row r="4116" spans="1:1">
      <c r="A4116" s="11" t="str">
        <f t="shared" si="145"/>
        <v/>
      </c>
    </row>
    <row r="4117" spans="1:1">
      <c r="A4117" s="11" t="str">
        <f t="shared" si="145"/>
        <v/>
      </c>
    </row>
    <row r="4118" spans="1:1">
      <c r="A4118" s="11" t="str">
        <f t="shared" si="145"/>
        <v/>
      </c>
    </row>
    <row r="4119" spans="1:1">
      <c r="A4119" s="11" t="str">
        <f t="shared" si="145"/>
        <v/>
      </c>
    </row>
    <row r="4120" spans="1:1">
      <c r="A4120" s="11" t="str">
        <f t="shared" si="145"/>
        <v/>
      </c>
    </row>
    <row r="4121" spans="1:1">
      <c r="A4121" s="11" t="str">
        <f t="shared" si="145"/>
        <v/>
      </c>
    </row>
    <row r="4122" spans="1:1">
      <c r="A4122" s="11" t="str">
        <f t="shared" si="145"/>
        <v/>
      </c>
    </row>
    <row r="4123" spans="1:1">
      <c r="A4123" s="11" t="str">
        <f t="shared" si="145"/>
        <v/>
      </c>
    </row>
    <row r="4124" spans="1:1">
      <c r="A4124" s="11" t="str">
        <f t="shared" si="145"/>
        <v/>
      </c>
    </row>
    <row r="4125" spans="1:1">
      <c r="A4125" s="11" t="str">
        <f t="shared" si="145"/>
        <v/>
      </c>
    </row>
    <row r="4126" spans="1:1">
      <c r="A4126" s="11" t="str">
        <f t="shared" si="145"/>
        <v/>
      </c>
    </row>
    <row r="4127" spans="1:1">
      <c r="A4127" s="11" t="str">
        <f t="shared" si="145"/>
        <v/>
      </c>
    </row>
    <row r="4128" spans="1:1">
      <c r="A4128" s="11" t="str">
        <f t="shared" si="145"/>
        <v/>
      </c>
    </row>
    <row r="4129" spans="1:1">
      <c r="A4129" s="11" t="str">
        <f t="shared" si="145"/>
        <v/>
      </c>
    </row>
    <row r="4130" spans="1:1">
      <c r="A4130" s="11" t="str">
        <f t="shared" si="145"/>
        <v/>
      </c>
    </row>
    <row r="4131" spans="1:1">
      <c r="A4131" s="11" t="str">
        <f t="shared" si="145"/>
        <v/>
      </c>
    </row>
    <row r="4132" spans="1:1">
      <c r="A4132" s="11" t="str">
        <f t="shared" si="145"/>
        <v/>
      </c>
    </row>
    <row r="4133" spans="1:1">
      <c r="A4133" s="11" t="str">
        <f t="shared" si="145"/>
        <v/>
      </c>
    </row>
    <row r="4134" spans="1:1">
      <c r="A4134" s="11" t="str">
        <f t="shared" si="145"/>
        <v/>
      </c>
    </row>
    <row r="4135" spans="1:1">
      <c r="A4135" s="11" t="str">
        <f t="shared" si="145"/>
        <v/>
      </c>
    </row>
    <row r="4136" spans="1:1">
      <c r="A4136" s="11" t="str">
        <f t="shared" si="145"/>
        <v/>
      </c>
    </row>
    <row r="4137" spans="1:1">
      <c r="A4137" s="11" t="str">
        <f t="shared" si="145"/>
        <v/>
      </c>
    </row>
    <row r="4138" spans="1:1">
      <c r="A4138" s="11" t="str">
        <f t="shared" si="145"/>
        <v/>
      </c>
    </row>
    <row r="4139" spans="1:1">
      <c r="A4139" s="11" t="str">
        <f t="shared" si="145"/>
        <v/>
      </c>
    </row>
    <row r="4140" spans="1:1">
      <c r="A4140" s="11" t="str">
        <f t="shared" si="145"/>
        <v/>
      </c>
    </row>
    <row r="4141" spans="1:1">
      <c r="A4141" s="11" t="str">
        <f t="shared" si="145"/>
        <v/>
      </c>
    </row>
    <row r="4142" spans="1:1">
      <c r="A4142" s="11" t="str">
        <f t="shared" si="145"/>
        <v/>
      </c>
    </row>
    <row r="4143" spans="1:1">
      <c r="A4143" s="11" t="str">
        <f t="shared" si="145"/>
        <v/>
      </c>
    </row>
    <row r="4144" spans="1:1">
      <c r="A4144" s="11" t="str">
        <f t="shared" si="145"/>
        <v/>
      </c>
    </row>
    <row r="4145" spans="1:1">
      <c r="A4145" s="11" t="str">
        <f t="shared" si="145"/>
        <v/>
      </c>
    </row>
    <row r="4146" spans="1:1">
      <c r="A4146" s="11" t="str">
        <f t="shared" si="145"/>
        <v/>
      </c>
    </row>
    <row r="4147" spans="1:1">
      <c r="A4147" s="11" t="str">
        <f t="shared" si="145"/>
        <v/>
      </c>
    </row>
    <row r="4148" spans="1:1">
      <c r="A4148" s="11" t="str">
        <f t="shared" si="145"/>
        <v/>
      </c>
    </row>
    <row r="4149" spans="1:1">
      <c r="A4149" s="11" t="str">
        <f t="shared" si="145"/>
        <v/>
      </c>
    </row>
    <row r="4150" spans="1:1">
      <c r="A4150" s="11" t="str">
        <f t="shared" si="145"/>
        <v/>
      </c>
    </row>
    <row r="4151" spans="1:1">
      <c r="A4151" s="11" t="str">
        <f t="shared" si="145"/>
        <v/>
      </c>
    </row>
    <row r="4152" spans="1:1">
      <c r="A4152" s="11" t="str">
        <f t="shared" si="145"/>
        <v/>
      </c>
    </row>
    <row r="4153" spans="1:1">
      <c r="A4153" s="11" t="str">
        <f t="shared" si="145"/>
        <v/>
      </c>
    </row>
    <row r="4154" spans="1:1">
      <c r="A4154" s="11" t="str">
        <f t="shared" si="145"/>
        <v/>
      </c>
    </row>
    <row r="4155" spans="1:1">
      <c r="A4155" s="11" t="str">
        <f t="shared" si="145"/>
        <v/>
      </c>
    </row>
    <row r="4156" spans="1:1">
      <c r="A4156" s="11" t="str">
        <f t="shared" si="145"/>
        <v/>
      </c>
    </row>
    <row r="4157" spans="1:1">
      <c r="A4157" s="11" t="str">
        <f t="shared" si="145"/>
        <v/>
      </c>
    </row>
    <row r="4158" spans="1:1">
      <c r="A4158" s="11" t="str">
        <f t="shared" si="145"/>
        <v/>
      </c>
    </row>
    <row r="4159" spans="1:1">
      <c r="A4159" s="11" t="str">
        <f t="shared" si="145"/>
        <v/>
      </c>
    </row>
    <row r="4160" spans="1:1">
      <c r="A4160" s="11" t="str">
        <f t="shared" si="145"/>
        <v/>
      </c>
    </row>
    <row r="4161" spans="1:1">
      <c r="A4161" s="11" t="str">
        <f t="shared" si="145"/>
        <v/>
      </c>
    </row>
    <row r="4162" spans="1:1">
      <c r="A4162" s="11" t="str">
        <f t="shared" si="145"/>
        <v/>
      </c>
    </row>
    <row r="4163" spans="1:1">
      <c r="A4163" s="11" t="str">
        <f t="shared" ref="A4163:A4226" si="146">B4163&amp;D4163</f>
        <v/>
      </c>
    </row>
    <row r="4164" spans="1:1">
      <c r="A4164" s="11" t="str">
        <f t="shared" si="146"/>
        <v/>
      </c>
    </row>
    <row r="4165" spans="1:1">
      <c r="A4165" s="11" t="str">
        <f t="shared" si="146"/>
        <v/>
      </c>
    </row>
    <row r="4166" spans="1:1">
      <c r="A4166" s="11" t="str">
        <f t="shared" si="146"/>
        <v/>
      </c>
    </row>
    <row r="4167" spans="1:1">
      <c r="A4167" s="11" t="str">
        <f t="shared" si="146"/>
        <v/>
      </c>
    </row>
    <row r="4168" spans="1:1">
      <c r="A4168" s="11" t="str">
        <f t="shared" si="146"/>
        <v/>
      </c>
    </row>
    <row r="4169" spans="1:1">
      <c r="A4169" s="11" t="str">
        <f t="shared" si="146"/>
        <v/>
      </c>
    </row>
    <row r="4170" spans="1:1">
      <c r="A4170" s="11" t="str">
        <f t="shared" si="146"/>
        <v/>
      </c>
    </row>
    <row r="4171" spans="1:1">
      <c r="A4171" s="11" t="str">
        <f t="shared" si="146"/>
        <v/>
      </c>
    </row>
    <row r="4172" spans="1:1">
      <c r="A4172" s="11" t="str">
        <f t="shared" si="146"/>
        <v/>
      </c>
    </row>
    <row r="4173" spans="1:1">
      <c r="A4173" s="11" t="str">
        <f t="shared" si="146"/>
        <v/>
      </c>
    </row>
    <row r="4174" spans="1:1">
      <c r="A4174" s="11" t="str">
        <f t="shared" si="146"/>
        <v/>
      </c>
    </row>
    <row r="4175" spans="1:1">
      <c r="A4175" s="11" t="str">
        <f t="shared" si="146"/>
        <v/>
      </c>
    </row>
    <row r="4176" spans="1:1">
      <c r="A4176" s="11" t="str">
        <f t="shared" si="146"/>
        <v/>
      </c>
    </row>
    <row r="4177" spans="1:1">
      <c r="A4177" s="11" t="str">
        <f t="shared" si="146"/>
        <v/>
      </c>
    </row>
    <row r="4178" spans="1:1">
      <c r="A4178" s="11" t="str">
        <f t="shared" si="146"/>
        <v/>
      </c>
    </row>
    <row r="4179" spans="1:1">
      <c r="A4179" s="11" t="str">
        <f t="shared" si="146"/>
        <v/>
      </c>
    </row>
    <row r="4180" spans="1:1">
      <c r="A4180" s="11" t="str">
        <f t="shared" si="146"/>
        <v/>
      </c>
    </row>
    <row r="4181" spans="1:1">
      <c r="A4181" s="11" t="str">
        <f t="shared" si="146"/>
        <v/>
      </c>
    </row>
    <row r="4182" spans="1:1">
      <c r="A4182" s="11" t="str">
        <f t="shared" si="146"/>
        <v/>
      </c>
    </row>
    <row r="4183" spans="1:1">
      <c r="A4183" s="11" t="str">
        <f t="shared" si="146"/>
        <v/>
      </c>
    </row>
    <row r="4184" spans="1:1">
      <c r="A4184" s="11" t="str">
        <f t="shared" si="146"/>
        <v/>
      </c>
    </row>
    <row r="4185" spans="1:1">
      <c r="A4185" s="11" t="str">
        <f t="shared" si="146"/>
        <v/>
      </c>
    </row>
    <row r="4186" spans="1:1">
      <c r="A4186" s="11" t="str">
        <f t="shared" si="146"/>
        <v/>
      </c>
    </row>
    <row r="4187" spans="1:1">
      <c r="A4187" s="11" t="str">
        <f t="shared" si="146"/>
        <v/>
      </c>
    </row>
    <row r="4188" spans="1:1">
      <c r="A4188" s="11" t="str">
        <f t="shared" si="146"/>
        <v/>
      </c>
    </row>
    <row r="4189" spans="1:1">
      <c r="A4189" s="11" t="str">
        <f t="shared" si="146"/>
        <v/>
      </c>
    </row>
    <row r="4190" spans="1:1">
      <c r="A4190" s="11" t="str">
        <f t="shared" si="146"/>
        <v/>
      </c>
    </row>
    <row r="4191" spans="1:1">
      <c r="A4191" s="11" t="str">
        <f t="shared" si="146"/>
        <v/>
      </c>
    </row>
    <row r="4192" spans="1:1">
      <c r="A4192" s="11" t="str">
        <f t="shared" si="146"/>
        <v/>
      </c>
    </row>
    <row r="4193" spans="1:1">
      <c r="A4193" s="11" t="str">
        <f t="shared" si="146"/>
        <v/>
      </c>
    </row>
    <row r="4194" spans="1:1">
      <c r="A4194" s="11" t="str">
        <f t="shared" si="146"/>
        <v/>
      </c>
    </row>
    <row r="4195" spans="1:1">
      <c r="A4195" s="11" t="str">
        <f t="shared" si="146"/>
        <v/>
      </c>
    </row>
    <row r="4196" spans="1:1">
      <c r="A4196" s="11" t="str">
        <f t="shared" si="146"/>
        <v/>
      </c>
    </row>
    <row r="4197" spans="1:1">
      <c r="A4197" s="11" t="str">
        <f t="shared" si="146"/>
        <v/>
      </c>
    </row>
    <row r="4198" spans="1:1">
      <c r="A4198" s="11" t="str">
        <f t="shared" si="146"/>
        <v/>
      </c>
    </row>
    <row r="4199" spans="1:1">
      <c r="A4199" s="11" t="str">
        <f t="shared" si="146"/>
        <v/>
      </c>
    </row>
    <row r="4200" spans="1:1">
      <c r="A4200" s="11" t="str">
        <f t="shared" si="146"/>
        <v/>
      </c>
    </row>
    <row r="4201" spans="1:1">
      <c r="A4201" s="11" t="str">
        <f t="shared" si="146"/>
        <v/>
      </c>
    </row>
    <row r="4202" spans="1:1">
      <c r="A4202" s="11" t="str">
        <f t="shared" si="146"/>
        <v/>
      </c>
    </row>
    <row r="4203" spans="1:1">
      <c r="A4203" s="11" t="str">
        <f t="shared" si="146"/>
        <v/>
      </c>
    </row>
    <row r="4204" spans="1:1">
      <c r="A4204" s="11" t="str">
        <f t="shared" si="146"/>
        <v/>
      </c>
    </row>
    <row r="4205" spans="1:1">
      <c r="A4205" s="11" t="str">
        <f t="shared" si="146"/>
        <v/>
      </c>
    </row>
    <row r="4206" spans="1:1">
      <c r="A4206" s="11" t="str">
        <f t="shared" si="146"/>
        <v/>
      </c>
    </row>
    <row r="4207" spans="1:1">
      <c r="A4207" s="11" t="str">
        <f t="shared" si="146"/>
        <v/>
      </c>
    </row>
    <row r="4208" spans="1:1">
      <c r="A4208" s="11" t="str">
        <f t="shared" si="146"/>
        <v/>
      </c>
    </row>
    <row r="4209" spans="1:1">
      <c r="A4209" s="11" t="str">
        <f t="shared" si="146"/>
        <v/>
      </c>
    </row>
    <row r="4210" spans="1:1">
      <c r="A4210" s="11" t="str">
        <f t="shared" si="146"/>
        <v/>
      </c>
    </row>
    <row r="4211" spans="1:1">
      <c r="A4211" s="11" t="str">
        <f t="shared" si="146"/>
        <v/>
      </c>
    </row>
    <row r="4212" spans="1:1">
      <c r="A4212" s="11" t="str">
        <f t="shared" si="146"/>
        <v/>
      </c>
    </row>
    <row r="4213" spans="1:1">
      <c r="A4213" s="11" t="str">
        <f t="shared" si="146"/>
        <v/>
      </c>
    </row>
    <row r="4214" spans="1:1">
      <c r="A4214" s="11" t="str">
        <f t="shared" si="146"/>
        <v/>
      </c>
    </row>
    <row r="4215" spans="1:1">
      <c r="A4215" s="11" t="str">
        <f t="shared" si="146"/>
        <v/>
      </c>
    </row>
    <row r="4216" spans="1:1">
      <c r="A4216" s="11" t="str">
        <f t="shared" si="146"/>
        <v/>
      </c>
    </row>
    <row r="4217" spans="1:1">
      <c r="A4217" s="11" t="str">
        <f t="shared" si="146"/>
        <v/>
      </c>
    </row>
    <row r="4218" spans="1:1">
      <c r="A4218" s="11" t="str">
        <f t="shared" si="146"/>
        <v/>
      </c>
    </row>
    <row r="4219" spans="1:1">
      <c r="A4219" s="11" t="str">
        <f t="shared" si="146"/>
        <v/>
      </c>
    </row>
    <row r="4220" spans="1:1">
      <c r="A4220" s="11" t="str">
        <f t="shared" si="146"/>
        <v/>
      </c>
    </row>
    <row r="4221" spans="1:1">
      <c r="A4221" s="11" t="str">
        <f t="shared" si="146"/>
        <v/>
      </c>
    </row>
    <row r="4222" spans="1:1">
      <c r="A4222" s="11" t="str">
        <f t="shared" si="146"/>
        <v/>
      </c>
    </row>
    <row r="4223" spans="1:1">
      <c r="A4223" s="11" t="str">
        <f t="shared" si="146"/>
        <v/>
      </c>
    </row>
    <row r="4224" spans="1:1">
      <c r="A4224" s="11" t="str">
        <f t="shared" si="146"/>
        <v/>
      </c>
    </row>
    <row r="4225" spans="1:1">
      <c r="A4225" s="11" t="str">
        <f t="shared" si="146"/>
        <v/>
      </c>
    </row>
    <row r="4226" spans="1:1">
      <c r="A4226" s="11" t="str">
        <f t="shared" si="146"/>
        <v/>
      </c>
    </row>
    <row r="4227" spans="1:1">
      <c r="A4227" s="11" t="str">
        <f t="shared" ref="A4227:A4290" si="147">B4227&amp;D4227</f>
        <v/>
      </c>
    </row>
    <row r="4228" spans="1:1">
      <c r="A4228" s="11" t="str">
        <f t="shared" si="147"/>
        <v/>
      </c>
    </row>
    <row r="4229" spans="1:1">
      <c r="A4229" s="11" t="str">
        <f t="shared" si="147"/>
        <v/>
      </c>
    </row>
    <row r="4230" spans="1:1">
      <c r="A4230" s="11" t="str">
        <f t="shared" si="147"/>
        <v/>
      </c>
    </row>
    <row r="4231" spans="1:1">
      <c r="A4231" s="11" t="str">
        <f t="shared" si="147"/>
        <v/>
      </c>
    </row>
    <row r="4232" spans="1:1">
      <c r="A4232" s="11" t="str">
        <f t="shared" si="147"/>
        <v/>
      </c>
    </row>
    <row r="4233" spans="1:1">
      <c r="A4233" s="11" t="str">
        <f t="shared" si="147"/>
        <v/>
      </c>
    </row>
    <row r="4234" spans="1:1">
      <c r="A4234" s="11" t="str">
        <f t="shared" si="147"/>
        <v/>
      </c>
    </row>
    <row r="4235" spans="1:1">
      <c r="A4235" s="11" t="str">
        <f t="shared" si="147"/>
        <v/>
      </c>
    </row>
    <row r="4236" spans="1:1">
      <c r="A4236" s="11" t="str">
        <f t="shared" si="147"/>
        <v/>
      </c>
    </row>
    <row r="4237" spans="1:1">
      <c r="A4237" s="11" t="str">
        <f t="shared" si="147"/>
        <v/>
      </c>
    </row>
    <row r="4238" spans="1:1">
      <c r="A4238" s="11" t="str">
        <f t="shared" si="147"/>
        <v/>
      </c>
    </row>
    <row r="4239" spans="1:1">
      <c r="A4239" s="11" t="str">
        <f t="shared" si="147"/>
        <v/>
      </c>
    </row>
    <row r="4240" spans="1:1">
      <c r="A4240" s="11" t="str">
        <f t="shared" si="147"/>
        <v/>
      </c>
    </row>
    <row r="4241" spans="1:1">
      <c r="A4241" s="11" t="str">
        <f t="shared" si="147"/>
        <v/>
      </c>
    </row>
    <row r="4242" spans="1:1">
      <c r="A4242" s="11" t="str">
        <f t="shared" si="147"/>
        <v/>
      </c>
    </row>
    <row r="4243" spans="1:1">
      <c r="A4243" s="11" t="str">
        <f t="shared" si="147"/>
        <v/>
      </c>
    </row>
    <row r="4244" spans="1:1">
      <c r="A4244" s="11" t="str">
        <f t="shared" si="147"/>
        <v/>
      </c>
    </row>
    <row r="4245" spans="1:1">
      <c r="A4245" s="11" t="str">
        <f t="shared" si="147"/>
        <v/>
      </c>
    </row>
    <row r="4246" spans="1:1">
      <c r="A4246" s="11" t="str">
        <f t="shared" si="147"/>
        <v/>
      </c>
    </row>
    <row r="4247" spans="1:1">
      <c r="A4247" s="11" t="str">
        <f t="shared" si="147"/>
        <v/>
      </c>
    </row>
    <row r="4248" spans="1:1">
      <c r="A4248" s="11" t="str">
        <f t="shared" si="147"/>
        <v/>
      </c>
    </row>
    <row r="4249" spans="1:1">
      <c r="A4249" s="11" t="str">
        <f t="shared" si="147"/>
        <v/>
      </c>
    </row>
    <row r="4250" spans="1:1">
      <c r="A4250" s="11" t="str">
        <f t="shared" si="147"/>
        <v/>
      </c>
    </row>
    <row r="4251" spans="1:1">
      <c r="A4251" s="11" t="str">
        <f t="shared" si="147"/>
        <v/>
      </c>
    </row>
    <row r="4252" spans="1:1">
      <c r="A4252" s="11" t="str">
        <f t="shared" si="147"/>
        <v/>
      </c>
    </row>
    <row r="4253" spans="1:1">
      <c r="A4253" s="11" t="str">
        <f t="shared" si="147"/>
        <v/>
      </c>
    </row>
    <row r="4254" spans="1:1">
      <c r="A4254" s="11" t="str">
        <f t="shared" si="147"/>
        <v/>
      </c>
    </row>
    <row r="4255" spans="1:1">
      <c r="A4255" s="11" t="str">
        <f t="shared" si="147"/>
        <v/>
      </c>
    </row>
    <row r="4256" spans="1:1">
      <c r="A4256" s="11" t="str">
        <f t="shared" si="147"/>
        <v/>
      </c>
    </row>
    <row r="4257" spans="1:1">
      <c r="A4257" s="11" t="str">
        <f t="shared" si="147"/>
        <v/>
      </c>
    </row>
    <row r="4258" spans="1:1">
      <c r="A4258" s="11" t="str">
        <f t="shared" si="147"/>
        <v/>
      </c>
    </row>
    <row r="4259" spans="1:1">
      <c r="A4259" s="11" t="str">
        <f t="shared" si="147"/>
        <v/>
      </c>
    </row>
    <row r="4260" spans="1:1">
      <c r="A4260" s="11" t="str">
        <f t="shared" si="147"/>
        <v/>
      </c>
    </row>
    <row r="4261" spans="1:1">
      <c r="A4261" s="11" t="str">
        <f t="shared" si="147"/>
        <v/>
      </c>
    </row>
    <row r="4262" spans="1:1">
      <c r="A4262" s="11" t="str">
        <f t="shared" si="147"/>
        <v/>
      </c>
    </row>
    <row r="4263" spans="1:1">
      <c r="A4263" s="11" t="str">
        <f t="shared" si="147"/>
        <v/>
      </c>
    </row>
    <row r="4264" spans="1:1">
      <c r="A4264" s="11" t="str">
        <f t="shared" si="147"/>
        <v/>
      </c>
    </row>
    <row r="4265" spans="1:1">
      <c r="A4265" s="11" t="str">
        <f t="shared" si="147"/>
        <v/>
      </c>
    </row>
    <row r="4266" spans="1:1">
      <c r="A4266" s="11" t="str">
        <f t="shared" si="147"/>
        <v/>
      </c>
    </row>
    <row r="4267" spans="1:1">
      <c r="A4267" s="11" t="str">
        <f t="shared" si="147"/>
        <v/>
      </c>
    </row>
    <row r="4268" spans="1:1">
      <c r="A4268" s="11" t="str">
        <f t="shared" si="147"/>
        <v/>
      </c>
    </row>
    <row r="4269" spans="1:1">
      <c r="A4269" s="11" t="str">
        <f t="shared" si="147"/>
        <v/>
      </c>
    </row>
    <row r="4270" spans="1:1">
      <c r="A4270" s="11" t="str">
        <f t="shared" si="147"/>
        <v/>
      </c>
    </row>
    <row r="4271" spans="1:1">
      <c r="A4271" s="11" t="str">
        <f t="shared" si="147"/>
        <v/>
      </c>
    </row>
    <row r="4272" spans="1:1">
      <c r="A4272" s="11" t="str">
        <f t="shared" si="147"/>
        <v/>
      </c>
    </row>
    <row r="4273" spans="1:1">
      <c r="A4273" s="11" t="str">
        <f t="shared" si="147"/>
        <v/>
      </c>
    </row>
    <row r="4274" spans="1:1">
      <c r="A4274" s="11" t="str">
        <f t="shared" si="147"/>
        <v/>
      </c>
    </row>
    <row r="4275" spans="1:1">
      <c r="A4275" s="11" t="str">
        <f t="shared" si="147"/>
        <v/>
      </c>
    </row>
    <row r="4276" spans="1:1">
      <c r="A4276" s="11" t="str">
        <f t="shared" si="147"/>
        <v/>
      </c>
    </row>
    <row r="4277" spans="1:1">
      <c r="A4277" s="11" t="str">
        <f t="shared" si="147"/>
        <v/>
      </c>
    </row>
    <row r="4278" spans="1:1">
      <c r="A4278" s="11" t="str">
        <f t="shared" si="147"/>
        <v/>
      </c>
    </row>
    <row r="4279" spans="1:1">
      <c r="A4279" s="11" t="str">
        <f t="shared" si="147"/>
        <v/>
      </c>
    </row>
    <row r="4280" spans="1:1">
      <c r="A4280" s="11" t="str">
        <f t="shared" si="147"/>
        <v/>
      </c>
    </row>
    <row r="4281" spans="1:1">
      <c r="A4281" s="11" t="str">
        <f t="shared" si="147"/>
        <v/>
      </c>
    </row>
    <row r="4282" spans="1:1">
      <c r="A4282" s="11" t="str">
        <f t="shared" si="147"/>
        <v/>
      </c>
    </row>
    <row r="4283" spans="1:1">
      <c r="A4283" s="11" t="str">
        <f t="shared" si="147"/>
        <v/>
      </c>
    </row>
    <row r="4284" spans="1:1">
      <c r="A4284" s="11" t="str">
        <f t="shared" si="147"/>
        <v/>
      </c>
    </row>
    <row r="4285" spans="1:1">
      <c r="A4285" s="11" t="str">
        <f t="shared" si="147"/>
        <v/>
      </c>
    </row>
    <row r="4286" spans="1:1">
      <c r="A4286" s="11" t="str">
        <f t="shared" si="147"/>
        <v/>
      </c>
    </row>
    <row r="4287" spans="1:1">
      <c r="A4287" s="11" t="str">
        <f t="shared" si="147"/>
        <v/>
      </c>
    </row>
    <row r="4288" spans="1:1">
      <c r="A4288" s="11" t="str">
        <f t="shared" si="147"/>
        <v/>
      </c>
    </row>
    <row r="4289" spans="1:1">
      <c r="A4289" s="11" t="str">
        <f t="shared" si="147"/>
        <v/>
      </c>
    </row>
    <row r="4290" spans="1:1">
      <c r="A4290" s="11" t="str">
        <f t="shared" si="147"/>
        <v/>
      </c>
    </row>
    <row r="4291" spans="1:1">
      <c r="A4291" s="11" t="str">
        <f t="shared" ref="A4291:A4354" si="148">B4291&amp;D4291</f>
        <v/>
      </c>
    </row>
    <row r="4292" spans="1:1">
      <c r="A4292" s="11" t="str">
        <f t="shared" si="148"/>
        <v/>
      </c>
    </row>
    <row r="4293" spans="1:1">
      <c r="A4293" s="11" t="str">
        <f t="shared" si="148"/>
        <v/>
      </c>
    </row>
    <row r="4294" spans="1:1">
      <c r="A4294" s="11" t="str">
        <f t="shared" si="148"/>
        <v/>
      </c>
    </row>
    <row r="4295" spans="1:1">
      <c r="A4295" s="11" t="str">
        <f t="shared" si="148"/>
        <v/>
      </c>
    </row>
    <row r="4296" spans="1:1">
      <c r="A4296" s="11" t="str">
        <f t="shared" si="148"/>
        <v/>
      </c>
    </row>
    <row r="4297" spans="1:1">
      <c r="A4297" s="11" t="str">
        <f t="shared" si="148"/>
        <v/>
      </c>
    </row>
    <row r="4298" spans="1:1">
      <c r="A4298" s="11" t="str">
        <f t="shared" si="148"/>
        <v/>
      </c>
    </row>
    <row r="4299" spans="1:1">
      <c r="A4299" s="11" t="str">
        <f t="shared" si="148"/>
        <v/>
      </c>
    </row>
    <row r="4300" spans="1:1">
      <c r="A4300" s="11" t="str">
        <f t="shared" si="148"/>
        <v/>
      </c>
    </row>
    <row r="4301" spans="1:1">
      <c r="A4301" s="11" t="str">
        <f t="shared" si="148"/>
        <v/>
      </c>
    </row>
    <row r="4302" spans="1:1">
      <c r="A4302" s="11" t="str">
        <f t="shared" si="148"/>
        <v/>
      </c>
    </row>
    <row r="4303" spans="1:1">
      <c r="A4303" s="11" t="str">
        <f t="shared" si="148"/>
        <v/>
      </c>
    </row>
    <row r="4304" spans="1:1">
      <c r="A4304" s="11" t="str">
        <f t="shared" si="148"/>
        <v/>
      </c>
    </row>
    <row r="4305" spans="1:1">
      <c r="A4305" s="11" t="str">
        <f t="shared" si="148"/>
        <v/>
      </c>
    </row>
    <row r="4306" spans="1:1">
      <c r="A4306" s="11" t="str">
        <f t="shared" si="148"/>
        <v/>
      </c>
    </row>
    <row r="4307" spans="1:1">
      <c r="A4307" s="11" t="str">
        <f t="shared" si="148"/>
        <v/>
      </c>
    </row>
    <row r="4308" spans="1:1">
      <c r="A4308" s="11" t="str">
        <f t="shared" si="148"/>
        <v/>
      </c>
    </row>
    <row r="4309" spans="1:1">
      <c r="A4309" s="11" t="str">
        <f t="shared" si="148"/>
        <v/>
      </c>
    </row>
    <row r="4310" spans="1:1">
      <c r="A4310" s="11" t="str">
        <f t="shared" si="148"/>
        <v/>
      </c>
    </row>
    <row r="4311" spans="1:1">
      <c r="A4311" s="11" t="str">
        <f t="shared" si="148"/>
        <v/>
      </c>
    </row>
    <row r="4312" spans="1:1">
      <c r="A4312" s="11" t="str">
        <f t="shared" si="148"/>
        <v/>
      </c>
    </row>
    <row r="4313" spans="1:1">
      <c r="A4313" s="11" t="str">
        <f t="shared" si="148"/>
        <v/>
      </c>
    </row>
    <row r="4314" spans="1:1">
      <c r="A4314" s="11" t="str">
        <f t="shared" si="148"/>
        <v/>
      </c>
    </row>
    <row r="4315" spans="1:1">
      <c r="A4315" s="11" t="str">
        <f t="shared" si="148"/>
        <v/>
      </c>
    </row>
    <row r="4316" spans="1:1">
      <c r="A4316" s="11" t="str">
        <f t="shared" si="148"/>
        <v/>
      </c>
    </row>
    <row r="4317" spans="1:1">
      <c r="A4317" s="11" t="str">
        <f t="shared" si="148"/>
        <v/>
      </c>
    </row>
    <row r="4318" spans="1:1">
      <c r="A4318" s="11" t="str">
        <f t="shared" si="148"/>
        <v/>
      </c>
    </row>
    <row r="4319" spans="1:1">
      <c r="A4319" s="11" t="str">
        <f t="shared" si="148"/>
        <v/>
      </c>
    </row>
    <row r="4320" spans="1:1">
      <c r="A4320" s="11" t="str">
        <f t="shared" si="148"/>
        <v/>
      </c>
    </row>
    <row r="4321" spans="1:1">
      <c r="A4321" s="11" t="str">
        <f t="shared" si="148"/>
        <v/>
      </c>
    </row>
    <row r="4322" spans="1:1">
      <c r="A4322" s="11" t="str">
        <f t="shared" si="148"/>
        <v/>
      </c>
    </row>
    <row r="4323" spans="1:1">
      <c r="A4323" s="11" t="str">
        <f t="shared" si="148"/>
        <v/>
      </c>
    </row>
    <row r="4324" spans="1:1">
      <c r="A4324" s="11" t="str">
        <f t="shared" si="148"/>
        <v/>
      </c>
    </row>
    <row r="4325" spans="1:1">
      <c r="A4325" s="11" t="str">
        <f t="shared" si="148"/>
        <v/>
      </c>
    </row>
    <row r="4326" spans="1:1">
      <c r="A4326" s="11" t="str">
        <f t="shared" si="148"/>
        <v/>
      </c>
    </row>
    <row r="4327" spans="1:1">
      <c r="A4327" s="11" t="str">
        <f t="shared" si="148"/>
        <v/>
      </c>
    </row>
    <row r="4328" spans="1:1">
      <c r="A4328" s="11" t="str">
        <f t="shared" si="148"/>
        <v/>
      </c>
    </row>
    <row r="4329" spans="1:1">
      <c r="A4329" s="11" t="str">
        <f t="shared" si="148"/>
        <v/>
      </c>
    </row>
    <row r="4330" spans="1:1">
      <c r="A4330" s="11" t="str">
        <f t="shared" si="148"/>
        <v/>
      </c>
    </row>
    <row r="4331" spans="1:1">
      <c r="A4331" s="11" t="str">
        <f t="shared" si="148"/>
        <v/>
      </c>
    </row>
    <row r="4332" spans="1:1">
      <c r="A4332" s="11" t="str">
        <f t="shared" si="148"/>
        <v/>
      </c>
    </row>
    <row r="4333" spans="1:1">
      <c r="A4333" s="11" t="str">
        <f t="shared" si="148"/>
        <v/>
      </c>
    </row>
    <row r="4334" spans="1:1">
      <c r="A4334" s="11" t="str">
        <f t="shared" si="148"/>
        <v/>
      </c>
    </row>
    <row r="4335" spans="1:1">
      <c r="A4335" s="11" t="str">
        <f t="shared" si="148"/>
        <v/>
      </c>
    </row>
    <row r="4336" spans="1:1">
      <c r="A4336" s="11" t="str">
        <f t="shared" si="148"/>
        <v/>
      </c>
    </row>
    <row r="4337" spans="1:1">
      <c r="A4337" s="11" t="str">
        <f t="shared" si="148"/>
        <v/>
      </c>
    </row>
    <row r="4338" spans="1:1">
      <c r="A4338" s="11" t="str">
        <f t="shared" si="148"/>
        <v/>
      </c>
    </row>
    <row r="4339" spans="1:1">
      <c r="A4339" s="11" t="str">
        <f t="shared" si="148"/>
        <v/>
      </c>
    </row>
    <row r="4340" spans="1:1">
      <c r="A4340" s="11" t="str">
        <f t="shared" si="148"/>
        <v/>
      </c>
    </row>
    <row r="4341" spans="1:1">
      <c r="A4341" s="11" t="str">
        <f t="shared" si="148"/>
        <v/>
      </c>
    </row>
    <row r="4342" spans="1:1">
      <c r="A4342" s="11" t="str">
        <f t="shared" si="148"/>
        <v/>
      </c>
    </row>
    <row r="4343" spans="1:1">
      <c r="A4343" s="11" t="str">
        <f t="shared" si="148"/>
        <v/>
      </c>
    </row>
    <row r="4344" spans="1:1">
      <c r="A4344" s="11" t="str">
        <f t="shared" si="148"/>
        <v/>
      </c>
    </row>
    <row r="4345" spans="1:1">
      <c r="A4345" s="11" t="str">
        <f t="shared" si="148"/>
        <v/>
      </c>
    </row>
    <row r="4346" spans="1:1">
      <c r="A4346" s="11" t="str">
        <f t="shared" si="148"/>
        <v/>
      </c>
    </row>
    <row r="4347" spans="1:1">
      <c r="A4347" s="11" t="str">
        <f t="shared" si="148"/>
        <v/>
      </c>
    </row>
    <row r="4348" spans="1:1">
      <c r="A4348" s="11" t="str">
        <f t="shared" si="148"/>
        <v/>
      </c>
    </row>
    <row r="4349" spans="1:1">
      <c r="A4349" s="11" t="str">
        <f t="shared" si="148"/>
        <v/>
      </c>
    </row>
    <row r="4350" spans="1:1">
      <c r="A4350" s="11" t="str">
        <f t="shared" si="148"/>
        <v/>
      </c>
    </row>
    <row r="4351" spans="1:1">
      <c r="A4351" s="11" t="str">
        <f t="shared" si="148"/>
        <v/>
      </c>
    </row>
    <row r="4352" spans="1:1">
      <c r="A4352" s="11" t="str">
        <f t="shared" si="148"/>
        <v/>
      </c>
    </row>
    <row r="4353" spans="1:1">
      <c r="A4353" s="11" t="str">
        <f t="shared" si="148"/>
        <v/>
      </c>
    </row>
    <row r="4354" spans="1:1">
      <c r="A4354" s="11" t="str">
        <f t="shared" si="148"/>
        <v/>
      </c>
    </row>
    <row r="4355" spans="1:1">
      <c r="A4355" s="11" t="str">
        <f t="shared" ref="A4355:A4418" si="149">B4355&amp;D4355</f>
        <v/>
      </c>
    </row>
    <row r="4356" spans="1:1">
      <c r="A4356" s="11" t="str">
        <f t="shared" si="149"/>
        <v/>
      </c>
    </row>
    <row r="4357" spans="1:1">
      <c r="A4357" s="11" t="str">
        <f t="shared" si="149"/>
        <v/>
      </c>
    </row>
    <row r="4358" spans="1:1">
      <c r="A4358" s="11" t="str">
        <f t="shared" si="149"/>
        <v/>
      </c>
    </row>
    <row r="4359" spans="1:1">
      <c r="A4359" s="11" t="str">
        <f t="shared" si="149"/>
        <v/>
      </c>
    </row>
    <row r="4360" spans="1:1">
      <c r="A4360" s="11" t="str">
        <f t="shared" si="149"/>
        <v/>
      </c>
    </row>
    <row r="4361" spans="1:1">
      <c r="A4361" s="11" t="str">
        <f t="shared" si="149"/>
        <v/>
      </c>
    </row>
    <row r="4362" spans="1:1">
      <c r="A4362" s="11" t="str">
        <f t="shared" si="149"/>
        <v/>
      </c>
    </row>
    <row r="4363" spans="1:1">
      <c r="A4363" s="11" t="str">
        <f t="shared" si="149"/>
        <v/>
      </c>
    </row>
    <row r="4364" spans="1:1">
      <c r="A4364" s="11" t="str">
        <f t="shared" si="149"/>
        <v/>
      </c>
    </row>
    <row r="4365" spans="1:1">
      <c r="A4365" s="11" t="str">
        <f t="shared" si="149"/>
        <v/>
      </c>
    </row>
    <row r="4366" spans="1:1">
      <c r="A4366" s="11" t="str">
        <f t="shared" si="149"/>
        <v/>
      </c>
    </row>
    <row r="4367" spans="1:1">
      <c r="A4367" s="11" t="str">
        <f t="shared" si="149"/>
        <v/>
      </c>
    </row>
    <row r="4368" spans="1:1">
      <c r="A4368" s="11" t="str">
        <f t="shared" si="149"/>
        <v/>
      </c>
    </row>
    <row r="4369" spans="1:1">
      <c r="A4369" s="11" t="str">
        <f t="shared" si="149"/>
        <v/>
      </c>
    </row>
    <row r="4370" spans="1:1">
      <c r="A4370" s="11" t="str">
        <f t="shared" si="149"/>
        <v/>
      </c>
    </row>
    <row r="4371" spans="1:1">
      <c r="A4371" s="11" t="str">
        <f t="shared" si="149"/>
        <v/>
      </c>
    </row>
    <row r="4372" spans="1:1">
      <c r="A4372" s="11" t="str">
        <f t="shared" si="149"/>
        <v/>
      </c>
    </row>
    <row r="4373" spans="1:1">
      <c r="A4373" s="11" t="str">
        <f t="shared" si="149"/>
        <v/>
      </c>
    </row>
    <row r="4374" spans="1:1">
      <c r="A4374" s="11" t="str">
        <f t="shared" si="149"/>
        <v/>
      </c>
    </row>
    <row r="4375" spans="1:1">
      <c r="A4375" s="11" t="str">
        <f t="shared" si="149"/>
        <v/>
      </c>
    </row>
    <row r="4376" spans="1:1">
      <c r="A4376" s="11" t="str">
        <f t="shared" si="149"/>
        <v/>
      </c>
    </row>
    <row r="4377" spans="1:1">
      <c r="A4377" s="11" t="str">
        <f t="shared" si="149"/>
        <v/>
      </c>
    </row>
    <row r="4378" spans="1:1">
      <c r="A4378" s="11" t="str">
        <f t="shared" si="149"/>
        <v/>
      </c>
    </row>
    <row r="4379" spans="1:1">
      <c r="A4379" s="11" t="str">
        <f t="shared" si="149"/>
        <v/>
      </c>
    </row>
    <row r="4380" spans="1:1">
      <c r="A4380" s="11" t="str">
        <f t="shared" si="149"/>
        <v/>
      </c>
    </row>
    <row r="4381" spans="1:1">
      <c r="A4381" s="11" t="str">
        <f t="shared" si="149"/>
        <v/>
      </c>
    </row>
    <row r="4382" spans="1:1">
      <c r="A4382" s="11" t="str">
        <f t="shared" si="149"/>
        <v/>
      </c>
    </row>
    <row r="4383" spans="1:1">
      <c r="A4383" s="11" t="str">
        <f t="shared" si="149"/>
        <v/>
      </c>
    </row>
    <row r="4384" spans="1:1">
      <c r="A4384" s="11" t="str">
        <f t="shared" si="149"/>
        <v/>
      </c>
    </row>
    <row r="4385" spans="1:1">
      <c r="A4385" s="11" t="str">
        <f t="shared" si="149"/>
        <v/>
      </c>
    </row>
    <row r="4386" spans="1:1">
      <c r="A4386" s="11" t="str">
        <f t="shared" si="149"/>
        <v/>
      </c>
    </row>
    <row r="4387" spans="1:1">
      <c r="A4387" s="11" t="str">
        <f t="shared" si="149"/>
        <v/>
      </c>
    </row>
    <row r="4388" spans="1:1">
      <c r="A4388" s="11" t="str">
        <f t="shared" si="149"/>
        <v/>
      </c>
    </row>
    <row r="4389" spans="1:1">
      <c r="A4389" s="11" t="str">
        <f t="shared" si="149"/>
        <v/>
      </c>
    </row>
    <row r="4390" spans="1:1">
      <c r="A4390" s="11" t="str">
        <f t="shared" si="149"/>
        <v/>
      </c>
    </row>
    <row r="4391" spans="1:1">
      <c r="A4391" s="11" t="str">
        <f t="shared" si="149"/>
        <v/>
      </c>
    </row>
    <row r="4392" spans="1:1">
      <c r="A4392" s="11" t="str">
        <f t="shared" si="149"/>
        <v/>
      </c>
    </row>
    <row r="4393" spans="1:1">
      <c r="A4393" s="11" t="str">
        <f t="shared" si="149"/>
        <v/>
      </c>
    </row>
    <row r="4394" spans="1:1">
      <c r="A4394" s="11" t="str">
        <f t="shared" si="149"/>
        <v/>
      </c>
    </row>
    <row r="4395" spans="1:1">
      <c r="A4395" s="11" t="str">
        <f t="shared" si="149"/>
        <v/>
      </c>
    </row>
    <row r="4396" spans="1:1">
      <c r="A4396" s="11" t="str">
        <f t="shared" si="149"/>
        <v/>
      </c>
    </row>
    <row r="4397" spans="1:1">
      <c r="A4397" s="11" t="str">
        <f t="shared" si="149"/>
        <v/>
      </c>
    </row>
    <row r="4398" spans="1:1">
      <c r="A4398" s="11" t="str">
        <f t="shared" si="149"/>
        <v/>
      </c>
    </row>
    <row r="4399" spans="1:1">
      <c r="A4399" s="11" t="str">
        <f t="shared" si="149"/>
        <v/>
      </c>
    </row>
    <row r="4400" spans="1:1">
      <c r="A4400" s="11" t="str">
        <f t="shared" si="149"/>
        <v/>
      </c>
    </row>
    <row r="4401" spans="1:1">
      <c r="A4401" s="11" t="str">
        <f t="shared" si="149"/>
        <v/>
      </c>
    </row>
    <row r="4402" spans="1:1">
      <c r="A4402" s="11" t="str">
        <f t="shared" si="149"/>
        <v/>
      </c>
    </row>
    <row r="4403" spans="1:1">
      <c r="A4403" s="11" t="str">
        <f t="shared" si="149"/>
        <v/>
      </c>
    </row>
    <row r="4404" spans="1:1">
      <c r="A4404" s="11" t="str">
        <f t="shared" si="149"/>
        <v/>
      </c>
    </row>
    <row r="4405" spans="1:1">
      <c r="A4405" s="11" t="str">
        <f t="shared" si="149"/>
        <v/>
      </c>
    </row>
    <row r="4406" spans="1:1">
      <c r="A4406" s="11" t="str">
        <f t="shared" si="149"/>
        <v/>
      </c>
    </row>
    <row r="4407" spans="1:1">
      <c r="A4407" s="11" t="str">
        <f t="shared" si="149"/>
        <v/>
      </c>
    </row>
    <row r="4408" spans="1:1">
      <c r="A4408" s="11" t="str">
        <f t="shared" si="149"/>
        <v/>
      </c>
    </row>
    <row r="4409" spans="1:1">
      <c r="A4409" s="11" t="str">
        <f t="shared" si="149"/>
        <v/>
      </c>
    </row>
    <row r="4410" spans="1:1">
      <c r="A4410" s="11" t="str">
        <f t="shared" si="149"/>
        <v/>
      </c>
    </row>
    <row r="4411" spans="1:1">
      <c r="A4411" s="11" t="str">
        <f t="shared" si="149"/>
        <v/>
      </c>
    </row>
    <row r="4412" spans="1:1">
      <c r="A4412" s="11" t="str">
        <f t="shared" si="149"/>
        <v/>
      </c>
    </row>
    <row r="4413" spans="1:1">
      <c r="A4413" s="11" t="str">
        <f t="shared" si="149"/>
        <v/>
      </c>
    </row>
    <row r="4414" spans="1:1">
      <c r="A4414" s="11" t="str">
        <f t="shared" si="149"/>
        <v/>
      </c>
    </row>
    <row r="4415" spans="1:1">
      <c r="A4415" s="11" t="str">
        <f t="shared" si="149"/>
        <v/>
      </c>
    </row>
    <row r="4416" spans="1:1">
      <c r="A4416" s="11" t="str">
        <f t="shared" si="149"/>
        <v/>
      </c>
    </row>
    <row r="4417" spans="1:1">
      <c r="A4417" s="11" t="str">
        <f t="shared" si="149"/>
        <v/>
      </c>
    </row>
    <row r="4418" spans="1:1">
      <c r="A4418" s="11" t="str">
        <f t="shared" si="149"/>
        <v/>
      </c>
    </row>
    <row r="4419" spans="1:1">
      <c r="A4419" s="11" t="str">
        <f t="shared" ref="A4419:A4482" si="150">B4419&amp;D4419</f>
        <v/>
      </c>
    </row>
    <row r="4420" spans="1:1">
      <c r="A4420" s="11" t="str">
        <f t="shared" si="150"/>
        <v/>
      </c>
    </row>
    <row r="4421" spans="1:1">
      <c r="A4421" s="11" t="str">
        <f t="shared" si="150"/>
        <v/>
      </c>
    </row>
    <row r="4422" spans="1:1">
      <c r="A4422" s="11" t="str">
        <f t="shared" si="150"/>
        <v/>
      </c>
    </row>
    <row r="4423" spans="1:1">
      <c r="A4423" s="11" t="str">
        <f t="shared" si="150"/>
        <v/>
      </c>
    </row>
    <row r="4424" spans="1:1">
      <c r="A4424" s="11" t="str">
        <f t="shared" si="150"/>
        <v/>
      </c>
    </row>
    <row r="4425" spans="1:1">
      <c r="A4425" s="11" t="str">
        <f t="shared" si="150"/>
        <v/>
      </c>
    </row>
    <row r="4426" spans="1:1">
      <c r="A4426" s="11" t="str">
        <f t="shared" si="150"/>
        <v/>
      </c>
    </row>
    <row r="4427" spans="1:1">
      <c r="A4427" s="11" t="str">
        <f t="shared" si="150"/>
        <v/>
      </c>
    </row>
    <row r="4428" spans="1:1">
      <c r="A4428" s="11" t="str">
        <f t="shared" si="150"/>
        <v/>
      </c>
    </row>
    <row r="4429" spans="1:1">
      <c r="A4429" s="11" t="str">
        <f t="shared" si="150"/>
        <v/>
      </c>
    </row>
    <row r="4430" spans="1:1">
      <c r="A4430" s="11" t="str">
        <f t="shared" si="150"/>
        <v/>
      </c>
    </row>
    <row r="4431" spans="1:1">
      <c r="A4431" s="11" t="str">
        <f t="shared" si="150"/>
        <v/>
      </c>
    </row>
    <row r="4432" spans="1:1">
      <c r="A4432" s="11" t="str">
        <f t="shared" si="150"/>
        <v/>
      </c>
    </row>
    <row r="4433" spans="1:1">
      <c r="A4433" s="11" t="str">
        <f t="shared" si="150"/>
        <v/>
      </c>
    </row>
    <row r="4434" spans="1:1">
      <c r="A4434" s="11" t="str">
        <f t="shared" si="150"/>
        <v/>
      </c>
    </row>
    <row r="4435" spans="1:1">
      <c r="A4435" s="11" t="str">
        <f t="shared" si="150"/>
        <v/>
      </c>
    </row>
    <row r="4436" spans="1:1">
      <c r="A4436" s="11" t="str">
        <f t="shared" si="150"/>
        <v/>
      </c>
    </row>
    <row r="4437" spans="1:1">
      <c r="A4437" s="11" t="str">
        <f t="shared" si="150"/>
        <v/>
      </c>
    </row>
    <row r="4438" spans="1:1">
      <c r="A4438" s="11" t="str">
        <f t="shared" si="150"/>
        <v/>
      </c>
    </row>
    <row r="4439" spans="1:1">
      <c r="A4439" s="11" t="str">
        <f t="shared" si="150"/>
        <v/>
      </c>
    </row>
    <row r="4440" spans="1:1">
      <c r="A4440" s="11" t="str">
        <f t="shared" si="150"/>
        <v/>
      </c>
    </row>
    <row r="4441" spans="1:1">
      <c r="A4441" s="11" t="str">
        <f t="shared" si="150"/>
        <v/>
      </c>
    </row>
    <row r="4442" spans="1:1">
      <c r="A4442" s="11" t="str">
        <f t="shared" si="150"/>
        <v/>
      </c>
    </row>
    <row r="4443" spans="1:1">
      <c r="A4443" s="11" t="str">
        <f t="shared" si="150"/>
        <v/>
      </c>
    </row>
    <row r="4444" spans="1:1">
      <c r="A4444" s="11" t="str">
        <f t="shared" si="150"/>
        <v/>
      </c>
    </row>
    <row r="4445" spans="1:1">
      <c r="A4445" s="11" t="str">
        <f t="shared" si="150"/>
        <v/>
      </c>
    </row>
    <row r="4446" spans="1:1">
      <c r="A4446" s="11" t="str">
        <f t="shared" si="150"/>
        <v/>
      </c>
    </row>
    <row r="4447" spans="1:1">
      <c r="A4447" s="11" t="str">
        <f t="shared" si="150"/>
        <v/>
      </c>
    </row>
    <row r="4448" spans="1:1">
      <c r="A4448" s="11" t="str">
        <f t="shared" si="150"/>
        <v/>
      </c>
    </row>
    <row r="4449" spans="1:1">
      <c r="A4449" s="11" t="str">
        <f t="shared" si="150"/>
        <v/>
      </c>
    </row>
    <row r="4450" spans="1:1">
      <c r="A4450" s="11" t="str">
        <f t="shared" si="150"/>
        <v/>
      </c>
    </row>
    <row r="4451" spans="1:1">
      <c r="A4451" s="11" t="str">
        <f t="shared" si="150"/>
        <v/>
      </c>
    </row>
    <row r="4452" spans="1:1">
      <c r="A4452" s="11" t="str">
        <f t="shared" si="150"/>
        <v/>
      </c>
    </row>
    <row r="4453" spans="1:1">
      <c r="A4453" s="11" t="str">
        <f t="shared" si="150"/>
        <v/>
      </c>
    </row>
    <row r="4454" spans="1:1">
      <c r="A4454" s="11" t="str">
        <f t="shared" si="150"/>
        <v/>
      </c>
    </row>
    <row r="4455" spans="1:1">
      <c r="A4455" s="11" t="str">
        <f t="shared" si="150"/>
        <v/>
      </c>
    </row>
    <row r="4456" spans="1:1">
      <c r="A4456" s="11" t="str">
        <f t="shared" si="150"/>
        <v/>
      </c>
    </row>
    <row r="4457" spans="1:1">
      <c r="A4457" s="11" t="str">
        <f t="shared" si="150"/>
        <v/>
      </c>
    </row>
    <row r="4458" spans="1:1">
      <c r="A4458" s="11" t="str">
        <f t="shared" si="150"/>
        <v/>
      </c>
    </row>
    <row r="4459" spans="1:1">
      <c r="A4459" s="11" t="str">
        <f t="shared" si="150"/>
        <v/>
      </c>
    </row>
    <row r="4460" spans="1:1">
      <c r="A4460" s="11" t="str">
        <f t="shared" si="150"/>
        <v/>
      </c>
    </row>
    <row r="4461" spans="1:1">
      <c r="A4461" s="11" t="str">
        <f t="shared" si="150"/>
        <v/>
      </c>
    </row>
    <row r="4462" spans="1:1">
      <c r="A4462" s="11" t="str">
        <f t="shared" si="150"/>
        <v/>
      </c>
    </row>
    <row r="4463" spans="1:1">
      <c r="A4463" s="11" t="str">
        <f t="shared" si="150"/>
        <v/>
      </c>
    </row>
    <row r="4464" spans="1:1">
      <c r="A4464" s="11" t="str">
        <f t="shared" si="150"/>
        <v/>
      </c>
    </row>
    <row r="4465" spans="1:1">
      <c r="A4465" s="11" t="str">
        <f t="shared" si="150"/>
        <v/>
      </c>
    </row>
    <row r="4466" spans="1:1">
      <c r="A4466" s="11" t="str">
        <f t="shared" si="150"/>
        <v/>
      </c>
    </row>
    <row r="4467" spans="1:1">
      <c r="A4467" s="11" t="str">
        <f t="shared" si="150"/>
        <v/>
      </c>
    </row>
    <row r="4468" spans="1:1">
      <c r="A4468" s="11" t="str">
        <f t="shared" si="150"/>
        <v/>
      </c>
    </row>
    <row r="4469" spans="1:1">
      <c r="A4469" s="11" t="str">
        <f t="shared" si="150"/>
        <v/>
      </c>
    </row>
    <row r="4470" spans="1:1">
      <c r="A4470" s="11" t="str">
        <f t="shared" si="150"/>
        <v/>
      </c>
    </row>
    <row r="4471" spans="1:1">
      <c r="A4471" s="11" t="str">
        <f t="shared" si="150"/>
        <v/>
      </c>
    </row>
    <row r="4472" spans="1:1">
      <c r="A4472" s="11" t="str">
        <f t="shared" si="150"/>
        <v/>
      </c>
    </row>
    <row r="4473" spans="1:1">
      <c r="A4473" s="11" t="str">
        <f t="shared" si="150"/>
        <v/>
      </c>
    </row>
    <row r="4474" spans="1:1">
      <c r="A4474" s="11" t="str">
        <f t="shared" si="150"/>
        <v/>
      </c>
    </row>
    <row r="4475" spans="1:1">
      <c r="A4475" s="11" t="str">
        <f t="shared" si="150"/>
        <v/>
      </c>
    </row>
    <row r="4476" spans="1:1">
      <c r="A4476" s="11" t="str">
        <f t="shared" si="150"/>
        <v/>
      </c>
    </row>
    <row r="4477" spans="1:1">
      <c r="A4477" s="11" t="str">
        <f t="shared" si="150"/>
        <v/>
      </c>
    </row>
    <row r="4478" spans="1:1">
      <c r="A4478" s="11" t="str">
        <f t="shared" si="150"/>
        <v/>
      </c>
    </row>
    <row r="4479" spans="1:1">
      <c r="A4479" s="11" t="str">
        <f t="shared" si="150"/>
        <v/>
      </c>
    </row>
    <row r="4480" spans="1:1">
      <c r="A4480" s="11" t="str">
        <f t="shared" si="150"/>
        <v/>
      </c>
    </row>
    <row r="4481" spans="1:1">
      <c r="A4481" s="11" t="str">
        <f t="shared" si="150"/>
        <v/>
      </c>
    </row>
    <row r="4482" spans="1:1">
      <c r="A4482" s="11" t="str">
        <f t="shared" si="150"/>
        <v/>
      </c>
    </row>
    <row r="4483" spans="1:1">
      <c r="A4483" s="11" t="str">
        <f t="shared" ref="A4483:A4546" si="151">B4483&amp;D4483</f>
        <v/>
      </c>
    </row>
    <row r="4484" spans="1:1">
      <c r="A4484" s="11" t="str">
        <f t="shared" si="151"/>
        <v/>
      </c>
    </row>
    <row r="4485" spans="1:1">
      <c r="A4485" s="11" t="str">
        <f t="shared" si="151"/>
        <v/>
      </c>
    </row>
    <row r="4486" spans="1:1">
      <c r="A4486" s="11" t="str">
        <f t="shared" si="151"/>
        <v/>
      </c>
    </row>
    <row r="4487" spans="1:1">
      <c r="A4487" s="11" t="str">
        <f t="shared" si="151"/>
        <v/>
      </c>
    </row>
    <row r="4488" spans="1:1">
      <c r="A4488" s="11" t="str">
        <f t="shared" si="151"/>
        <v/>
      </c>
    </row>
    <row r="4489" spans="1:1">
      <c r="A4489" s="11" t="str">
        <f t="shared" si="151"/>
        <v/>
      </c>
    </row>
    <row r="4490" spans="1:1">
      <c r="A4490" s="11" t="str">
        <f t="shared" si="151"/>
        <v/>
      </c>
    </row>
    <row r="4491" spans="1:1">
      <c r="A4491" s="11" t="str">
        <f t="shared" si="151"/>
        <v/>
      </c>
    </row>
    <row r="4492" spans="1:1">
      <c r="A4492" s="11" t="str">
        <f t="shared" si="151"/>
        <v/>
      </c>
    </row>
    <row r="4493" spans="1:1">
      <c r="A4493" s="11" t="str">
        <f t="shared" si="151"/>
        <v/>
      </c>
    </row>
    <row r="4494" spans="1:1">
      <c r="A4494" s="11" t="str">
        <f t="shared" si="151"/>
        <v/>
      </c>
    </row>
    <row r="4495" spans="1:1">
      <c r="A4495" s="11" t="str">
        <f t="shared" si="151"/>
        <v/>
      </c>
    </row>
    <row r="4496" spans="1:1">
      <c r="A4496" s="11" t="str">
        <f t="shared" si="151"/>
        <v/>
      </c>
    </row>
    <row r="4497" spans="1:1">
      <c r="A4497" s="11" t="str">
        <f t="shared" si="151"/>
        <v/>
      </c>
    </row>
    <row r="4498" spans="1:1">
      <c r="A4498" s="11" t="str">
        <f t="shared" si="151"/>
        <v/>
      </c>
    </row>
    <row r="4499" spans="1:1">
      <c r="A4499" s="11" t="str">
        <f t="shared" si="151"/>
        <v/>
      </c>
    </row>
    <row r="4500" spans="1:1">
      <c r="A4500" s="11" t="str">
        <f t="shared" si="151"/>
        <v/>
      </c>
    </row>
    <row r="4501" spans="1:1">
      <c r="A4501" s="11" t="str">
        <f t="shared" si="151"/>
        <v/>
      </c>
    </row>
    <row r="4502" spans="1:1">
      <c r="A4502" s="11" t="str">
        <f t="shared" si="151"/>
        <v/>
      </c>
    </row>
    <row r="4503" spans="1:1">
      <c r="A4503" s="11" t="str">
        <f t="shared" si="151"/>
        <v/>
      </c>
    </row>
    <row r="4504" spans="1:1">
      <c r="A4504" s="11" t="str">
        <f t="shared" si="151"/>
        <v/>
      </c>
    </row>
    <row r="4505" spans="1:1">
      <c r="A4505" s="11" t="str">
        <f t="shared" si="151"/>
        <v/>
      </c>
    </row>
    <row r="4506" spans="1:1">
      <c r="A4506" s="11" t="str">
        <f t="shared" si="151"/>
        <v/>
      </c>
    </row>
    <row r="4507" spans="1:1">
      <c r="A4507" s="11" t="str">
        <f t="shared" si="151"/>
        <v/>
      </c>
    </row>
    <row r="4508" spans="1:1">
      <c r="A4508" s="11" t="str">
        <f t="shared" si="151"/>
        <v/>
      </c>
    </row>
    <row r="4509" spans="1:1">
      <c r="A4509" s="11" t="str">
        <f t="shared" si="151"/>
        <v/>
      </c>
    </row>
    <row r="4510" spans="1:1">
      <c r="A4510" s="11" t="str">
        <f t="shared" si="151"/>
        <v/>
      </c>
    </row>
    <row r="4511" spans="1:1">
      <c r="A4511" s="11" t="str">
        <f t="shared" si="151"/>
        <v/>
      </c>
    </row>
    <row r="4512" spans="1:1">
      <c r="A4512" s="11" t="str">
        <f t="shared" si="151"/>
        <v/>
      </c>
    </row>
    <row r="4513" spans="1:1">
      <c r="A4513" s="11" t="str">
        <f t="shared" si="151"/>
        <v/>
      </c>
    </row>
    <row r="4514" spans="1:1">
      <c r="A4514" s="11" t="str">
        <f t="shared" si="151"/>
        <v/>
      </c>
    </row>
    <row r="4515" spans="1:1">
      <c r="A4515" s="11" t="str">
        <f t="shared" si="151"/>
        <v/>
      </c>
    </row>
    <row r="4516" spans="1:1">
      <c r="A4516" s="11" t="str">
        <f t="shared" si="151"/>
        <v/>
      </c>
    </row>
    <row r="4517" spans="1:1">
      <c r="A4517" s="11" t="str">
        <f t="shared" si="151"/>
        <v/>
      </c>
    </row>
    <row r="4518" spans="1:1">
      <c r="A4518" s="11" t="str">
        <f t="shared" si="151"/>
        <v/>
      </c>
    </row>
    <row r="4519" spans="1:1">
      <c r="A4519" s="11" t="str">
        <f t="shared" si="151"/>
        <v/>
      </c>
    </row>
    <row r="4520" spans="1:1">
      <c r="A4520" s="11" t="str">
        <f t="shared" si="151"/>
        <v/>
      </c>
    </row>
    <row r="4521" spans="1:1">
      <c r="A4521" s="11" t="str">
        <f t="shared" si="151"/>
        <v/>
      </c>
    </row>
    <row r="4522" spans="1:1">
      <c r="A4522" s="11" t="str">
        <f t="shared" si="151"/>
        <v/>
      </c>
    </row>
    <row r="4523" spans="1:1">
      <c r="A4523" s="11" t="str">
        <f t="shared" si="151"/>
        <v/>
      </c>
    </row>
    <row r="4524" spans="1:1">
      <c r="A4524" s="11" t="str">
        <f t="shared" si="151"/>
        <v/>
      </c>
    </row>
    <row r="4525" spans="1:1">
      <c r="A4525" s="11" t="str">
        <f t="shared" si="151"/>
        <v/>
      </c>
    </row>
    <row r="4526" spans="1:1">
      <c r="A4526" s="11" t="str">
        <f t="shared" si="151"/>
        <v/>
      </c>
    </row>
    <row r="4527" spans="1:1">
      <c r="A4527" s="11" t="str">
        <f t="shared" si="151"/>
        <v/>
      </c>
    </row>
    <row r="4528" spans="1:1">
      <c r="A4528" s="11" t="str">
        <f t="shared" si="151"/>
        <v/>
      </c>
    </row>
    <row r="4529" spans="1:1">
      <c r="A4529" s="11" t="str">
        <f t="shared" si="151"/>
        <v/>
      </c>
    </row>
    <row r="4530" spans="1:1">
      <c r="A4530" s="11" t="str">
        <f t="shared" si="151"/>
        <v/>
      </c>
    </row>
    <row r="4531" spans="1:1">
      <c r="A4531" s="11" t="str">
        <f t="shared" si="151"/>
        <v/>
      </c>
    </row>
    <row r="4532" spans="1:1">
      <c r="A4532" s="11" t="str">
        <f t="shared" si="151"/>
        <v/>
      </c>
    </row>
    <row r="4533" spans="1:1">
      <c r="A4533" s="11" t="str">
        <f t="shared" si="151"/>
        <v/>
      </c>
    </row>
    <row r="4534" spans="1:1">
      <c r="A4534" s="11" t="str">
        <f t="shared" si="151"/>
        <v/>
      </c>
    </row>
    <row r="4535" spans="1:1">
      <c r="A4535" s="11" t="str">
        <f t="shared" si="151"/>
        <v/>
      </c>
    </row>
    <row r="4536" spans="1:1">
      <c r="A4536" s="11" t="str">
        <f t="shared" si="151"/>
        <v/>
      </c>
    </row>
    <row r="4537" spans="1:1">
      <c r="A4537" s="11" t="str">
        <f t="shared" si="151"/>
        <v/>
      </c>
    </row>
    <row r="4538" spans="1:1">
      <c r="A4538" s="11" t="str">
        <f t="shared" si="151"/>
        <v/>
      </c>
    </row>
    <row r="4539" spans="1:1">
      <c r="A4539" s="11" t="str">
        <f t="shared" si="151"/>
        <v/>
      </c>
    </row>
    <row r="4540" spans="1:1">
      <c r="A4540" s="11" t="str">
        <f t="shared" si="151"/>
        <v/>
      </c>
    </row>
    <row r="4541" spans="1:1">
      <c r="A4541" s="11" t="str">
        <f t="shared" si="151"/>
        <v/>
      </c>
    </row>
    <row r="4542" spans="1:1">
      <c r="A4542" s="11" t="str">
        <f t="shared" si="151"/>
        <v/>
      </c>
    </row>
    <row r="4543" spans="1:1">
      <c r="A4543" s="11" t="str">
        <f t="shared" si="151"/>
        <v/>
      </c>
    </row>
    <row r="4544" spans="1:1">
      <c r="A4544" s="11" t="str">
        <f t="shared" si="151"/>
        <v/>
      </c>
    </row>
    <row r="4545" spans="1:1">
      <c r="A4545" s="11" t="str">
        <f t="shared" si="151"/>
        <v/>
      </c>
    </row>
    <row r="4546" spans="1:1">
      <c r="A4546" s="11" t="str">
        <f t="shared" si="151"/>
        <v/>
      </c>
    </row>
    <row r="4547" spans="1:1">
      <c r="A4547" s="11" t="str">
        <f t="shared" ref="A4547:A4610" si="152">B4547&amp;D4547</f>
        <v/>
      </c>
    </row>
    <row r="4548" spans="1:1">
      <c r="A4548" s="11" t="str">
        <f t="shared" si="152"/>
        <v/>
      </c>
    </row>
    <row r="4549" spans="1:1">
      <c r="A4549" s="11" t="str">
        <f t="shared" si="152"/>
        <v/>
      </c>
    </row>
    <row r="4550" spans="1:1">
      <c r="A4550" s="11" t="str">
        <f t="shared" si="152"/>
        <v/>
      </c>
    </row>
    <row r="4551" spans="1:1">
      <c r="A4551" s="11" t="str">
        <f t="shared" si="152"/>
        <v/>
      </c>
    </row>
    <row r="4552" spans="1:1">
      <c r="A4552" s="11" t="str">
        <f t="shared" si="152"/>
        <v/>
      </c>
    </row>
    <row r="4553" spans="1:1">
      <c r="A4553" s="11" t="str">
        <f t="shared" si="152"/>
        <v/>
      </c>
    </row>
    <row r="4554" spans="1:1">
      <c r="A4554" s="11" t="str">
        <f t="shared" si="152"/>
        <v/>
      </c>
    </row>
    <row r="4555" spans="1:1">
      <c r="A4555" s="11" t="str">
        <f t="shared" si="152"/>
        <v/>
      </c>
    </row>
    <row r="4556" spans="1:1">
      <c r="A4556" s="11" t="str">
        <f t="shared" si="152"/>
        <v/>
      </c>
    </row>
    <row r="4557" spans="1:1">
      <c r="A4557" s="11" t="str">
        <f t="shared" si="152"/>
        <v/>
      </c>
    </row>
    <row r="4558" spans="1:1">
      <c r="A4558" s="11" t="str">
        <f t="shared" si="152"/>
        <v/>
      </c>
    </row>
    <row r="4559" spans="1:1">
      <c r="A4559" s="11" t="str">
        <f t="shared" si="152"/>
        <v/>
      </c>
    </row>
    <row r="4560" spans="1:1">
      <c r="A4560" s="11" t="str">
        <f t="shared" si="152"/>
        <v/>
      </c>
    </row>
    <row r="4561" spans="1:1">
      <c r="A4561" s="11" t="str">
        <f t="shared" si="152"/>
        <v/>
      </c>
    </row>
    <row r="4562" spans="1:1">
      <c r="A4562" s="11" t="str">
        <f t="shared" si="152"/>
        <v/>
      </c>
    </row>
    <row r="4563" spans="1:1">
      <c r="A4563" s="11" t="str">
        <f t="shared" si="152"/>
        <v/>
      </c>
    </row>
    <row r="4564" spans="1:1">
      <c r="A4564" s="11" t="str">
        <f t="shared" si="152"/>
        <v/>
      </c>
    </row>
    <row r="4565" spans="1:1">
      <c r="A4565" s="11" t="str">
        <f t="shared" si="152"/>
        <v/>
      </c>
    </row>
    <row r="4566" spans="1:1">
      <c r="A4566" s="11" t="str">
        <f t="shared" si="152"/>
        <v/>
      </c>
    </row>
    <row r="4567" spans="1:1">
      <c r="A4567" s="11" t="str">
        <f t="shared" si="152"/>
        <v/>
      </c>
    </row>
    <row r="4568" spans="1:1">
      <c r="A4568" s="11" t="str">
        <f t="shared" si="152"/>
        <v/>
      </c>
    </row>
    <row r="4569" spans="1:1">
      <c r="A4569" s="11" t="str">
        <f t="shared" si="152"/>
        <v/>
      </c>
    </row>
    <row r="4570" spans="1:1">
      <c r="A4570" s="11" t="str">
        <f t="shared" si="152"/>
        <v/>
      </c>
    </row>
    <row r="4571" spans="1:1">
      <c r="A4571" s="11" t="str">
        <f t="shared" si="152"/>
        <v/>
      </c>
    </row>
    <row r="4572" spans="1:1">
      <c r="A4572" s="11" t="str">
        <f t="shared" si="152"/>
        <v/>
      </c>
    </row>
    <row r="4573" spans="1:1">
      <c r="A4573" s="11" t="str">
        <f t="shared" si="152"/>
        <v/>
      </c>
    </row>
    <row r="4574" spans="1:1">
      <c r="A4574" s="11" t="str">
        <f t="shared" si="152"/>
        <v/>
      </c>
    </row>
    <row r="4575" spans="1:1">
      <c r="A4575" s="11" t="str">
        <f t="shared" si="152"/>
        <v/>
      </c>
    </row>
    <row r="4576" spans="1:1">
      <c r="A4576" s="11" t="str">
        <f t="shared" si="152"/>
        <v/>
      </c>
    </row>
    <row r="4577" spans="1:1">
      <c r="A4577" s="11" t="str">
        <f t="shared" si="152"/>
        <v/>
      </c>
    </row>
    <row r="4578" spans="1:1">
      <c r="A4578" s="11" t="str">
        <f t="shared" si="152"/>
        <v/>
      </c>
    </row>
    <row r="4579" spans="1:1">
      <c r="A4579" s="11" t="str">
        <f t="shared" si="152"/>
        <v/>
      </c>
    </row>
    <row r="4580" spans="1:1">
      <c r="A4580" s="11" t="str">
        <f t="shared" si="152"/>
        <v/>
      </c>
    </row>
    <row r="4581" spans="1:1">
      <c r="A4581" s="11" t="str">
        <f t="shared" si="152"/>
        <v/>
      </c>
    </row>
    <row r="4582" spans="1:1">
      <c r="A4582" s="11" t="str">
        <f t="shared" si="152"/>
        <v/>
      </c>
    </row>
    <row r="4583" spans="1:1">
      <c r="A4583" s="11" t="str">
        <f t="shared" si="152"/>
        <v/>
      </c>
    </row>
    <row r="4584" spans="1:1">
      <c r="A4584" s="11" t="str">
        <f t="shared" si="152"/>
        <v/>
      </c>
    </row>
    <row r="4585" spans="1:1">
      <c r="A4585" s="11" t="str">
        <f t="shared" si="152"/>
        <v/>
      </c>
    </row>
    <row r="4586" spans="1:1">
      <c r="A4586" s="11" t="str">
        <f t="shared" si="152"/>
        <v/>
      </c>
    </row>
    <row r="4587" spans="1:1">
      <c r="A4587" s="11" t="str">
        <f t="shared" si="152"/>
        <v/>
      </c>
    </row>
    <row r="4588" spans="1:1">
      <c r="A4588" s="11" t="str">
        <f t="shared" si="152"/>
        <v/>
      </c>
    </row>
    <row r="4589" spans="1:1">
      <c r="A4589" s="11" t="str">
        <f t="shared" si="152"/>
        <v/>
      </c>
    </row>
    <row r="4590" spans="1:1">
      <c r="A4590" s="11" t="str">
        <f t="shared" si="152"/>
        <v/>
      </c>
    </row>
    <row r="4591" spans="1:1">
      <c r="A4591" s="11" t="str">
        <f t="shared" si="152"/>
        <v/>
      </c>
    </row>
    <row r="4592" spans="1:1">
      <c r="A4592" s="11" t="str">
        <f t="shared" si="152"/>
        <v/>
      </c>
    </row>
    <row r="4593" spans="1:1">
      <c r="A4593" s="11" t="str">
        <f t="shared" si="152"/>
        <v/>
      </c>
    </row>
    <row r="4594" spans="1:1">
      <c r="A4594" s="11" t="str">
        <f t="shared" si="152"/>
        <v/>
      </c>
    </row>
    <row r="4595" spans="1:1">
      <c r="A4595" s="11" t="str">
        <f t="shared" si="152"/>
        <v/>
      </c>
    </row>
    <row r="4596" spans="1:1">
      <c r="A4596" s="11" t="str">
        <f t="shared" si="152"/>
        <v/>
      </c>
    </row>
    <row r="4597" spans="1:1">
      <c r="A4597" s="11" t="str">
        <f t="shared" si="152"/>
        <v/>
      </c>
    </row>
    <row r="4598" spans="1:1">
      <c r="A4598" s="11" t="str">
        <f t="shared" si="152"/>
        <v/>
      </c>
    </row>
    <row r="4599" spans="1:1">
      <c r="A4599" s="11" t="str">
        <f t="shared" si="152"/>
        <v/>
      </c>
    </row>
    <row r="4600" spans="1:1">
      <c r="A4600" s="11" t="str">
        <f t="shared" si="152"/>
        <v/>
      </c>
    </row>
    <row r="4601" spans="1:1">
      <c r="A4601" s="11" t="str">
        <f t="shared" si="152"/>
        <v/>
      </c>
    </row>
    <row r="4602" spans="1:1">
      <c r="A4602" s="11" t="str">
        <f t="shared" si="152"/>
        <v/>
      </c>
    </row>
    <row r="4603" spans="1:1">
      <c r="A4603" s="11" t="str">
        <f t="shared" si="152"/>
        <v/>
      </c>
    </row>
    <row r="4604" spans="1:1">
      <c r="A4604" s="11" t="str">
        <f t="shared" si="152"/>
        <v/>
      </c>
    </row>
    <row r="4605" spans="1:1">
      <c r="A4605" s="11" t="str">
        <f t="shared" si="152"/>
        <v/>
      </c>
    </row>
    <row r="4606" spans="1:1">
      <c r="A4606" s="11" t="str">
        <f t="shared" si="152"/>
        <v/>
      </c>
    </row>
    <row r="4607" spans="1:1">
      <c r="A4607" s="11" t="str">
        <f t="shared" si="152"/>
        <v/>
      </c>
    </row>
    <row r="4608" spans="1:1">
      <c r="A4608" s="11" t="str">
        <f t="shared" si="152"/>
        <v/>
      </c>
    </row>
    <row r="4609" spans="1:1">
      <c r="A4609" s="11" t="str">
        <f t="shared" si="152"/>
        <v/>
      </c>
    </row>
    <row r="4610" spans="1:1">
      <c r="A4610" s="11" t="str">
        <f t="shared" si="152"/>
        <v/>
      </c>
    </row>
    <row r="4611" spans="1:1">
      <c r="A4611" s="11" t="str">
        <f t="shared" ref="A4611:A4674" si="153">B4611&amp;D4611</f>
        <v/>
      </c>
    </row>
    <row r="4612" spans="1:1">
      <c r="A4612" s="11" t="str">
        <f t="shared" si="153"/>
        <v/>
      </c>
    </row>
    <row r="4613" spans="1:1">
      <c r="A4613" s="11" t="str">
        <f t="shared" si="153"/>
        <v/>
      </c>
    </row>
    <row r="4614" spans="1:1">
      <c r="A4614" s="11" t="str">
        <f t="shared" si="153"/>
        <v/>
      </c>
    </row>
    <row r="4615" spans="1:1">
      <c r="A4615" s="11" t="str">
        <f t="shared" si="153"/>
        <v/>
      </c>
    </row>
    <row r="4616" spans="1:1">
      <c r="A4616" s="11" t="str">
        <f t="shared" si="153"/>
        <v/>
      </c>
    </row>
    <row r="4617" spans="1:1">
      <c r="A4617" s="11" t="str">
        <f t="shared" si="153"/>
        <v/>
      </c>
    </row>
    <row r="4618" spans="1:1">
      <c r="A4618" s="11" t="str">
        <f t="shared" si="153"/>
        <v/>
      </c>
    </row>
    <row r="4619" spans="1:1">
      <c r="A4619" s="11" t="str">
        <f t="shared" si="153"/>
        <v/>
      </c>
    </row>
    <row r="4620" spans="1:1">
      <c r="A4620" s="11" t="str">
        <f t="shared" si="153"/>
        <v/>
      </c>
    </row>
    <row r="4621" spans="1:1">
      <c r="A4621" s="11" t="str">
        <f t="shared" si="153"/>
        <v/>
      </c>
    </row>
    <row r="4622" spans="1:1">
      <c r="A4622" s="11" t="str">
        <f t="shared" si="153"/>
        <v/>
      </c>
    </row>
    <row r="4623" spans="1:1">
      <c r="A4623" s="11" t="str">
        <f t="shared" si="153"/>
        <v/>
      </c>
    </row>
    <row r="4624" spans="1:1">
      <c r="A4624" s="11" t="str">
        <f t="shared" si="153"/>
        <v/>
      </c>
    </row>
    <row r="4625" spans="1:1">
      <c r="A4625" s="11" t="str">
        <f t="shared" si="153"/>
        <v/>
      </c>
    </row>
    <row r="4626" spans="1:1">
      <c r="A4626" s="11" t="str">
        <f t="shared" si="153"/>
        <v/>
      </c>
    </row>
    <row r="4627" spans="1:1">
      <c r="A4627" s="11" t="str">
        <f t="shared" si="153"/>
        <v/>
      </c>
    </row>
    <row r="4628" spans="1:1">
      <c r="A4628" s="11" t="str">
        <f t="shared" si="153"/>
        <v/>
      </c>
    </row>
    <row r="4629" spans="1:1">
      <c r="A4629" s="11" t="str">
        <f t="shared" si="153"/>
        <v/>
      </c>
    </row>
    <row r="4630" spans="1:1">
      <c r="A4630" s="11" t="str">
        <f t="shared" si="153"/>
        <v/>
      </c>
    </row>
    <row r="4631" spans="1:1">
      <c r="A4631" s="11" t="str">
        <f t="shared" si="153"/>
        <v/>
      </c>
    </row>
    <row r="4632" spans="1:1">
      <c r="A4632" s="11" t="str">
        <f t="shared" si="153"/>
        <v/>
      </c>
    </row>
    <row r="4633" spans="1:1">
      <c r="A4633" s="11" t="str">
        <f t="shared" si="153"/>
        <v/>
      </c>
    </row>
    <row r="4634" spans="1:1">
      <c r="A4634" s="11" t="str">
        <f t="shared" si="153"/>
        <v/>
      </c>
    </row>
    <row r="4635" spans="1:1">
      <c r="A4635" s="11" t="str">
        <f t="shared" si="153"/>
        <v/>
      </c>
    </row>
    <row r="4636" spans="1:1">
      <c r="A4636" s="11" t="str">
        <f t="shared" si="153"/>
        <v/>
      </c>
    </row>
    <row r="4637" spans="1:1">
      <c r="A4637" s="11" t="str">
        <f t="shared" si="153"/>
        <v/>
      </c>
    </row>
    <row r="4638" spans="1:1">
      <c r="A4638" s="11" t="str">
        <f t="shared" si="153"/>
        <v/>
      </c>
    </row>
    <row r="4639" spans="1:1">
      <c r="A4639" s="11" t="str">
        <f t="shared" si="153"/>
        <v/>
      </c>
    </row>
    <row r="4640" spans="1:1">
      <c r="A4640" s="11" t="str">
        <f t="shared" si="153"/>
        <v/>
      </c>
    </row>
    <row r="4641" spans="1:1">
      <c r="A4641" s="11" t="str">
        <f t="shared" si="153"/>
        <v/>
      </c>
    </row>
    <row r="4642" spans="1:1">
      <c r="A4642" s="11" t="str">
        <f t="shared" si="153"/>
        <v/>
      </c>
    </row>
    <row r="4643" spans="1:1">
      <c r="A4643" s="11" t="str">
        <f t="shared" si="153"/>
        <v/>
      </c>
    </row>
    <row r="4644" spans="1:1">
      <c r="A4644" s="11" t="str">
        <f t="shared" si="153"/>
        <v/>
      </c>
    </row>
    <row r="4645" spans="1:1">
      <c r="A4645" s="11" t="str">
        <f t="shared" si="153"/>
        <v/>
      </c>
    </row>
    <row r="4646" spans="1:1">
      <c r="A4646" s="11" t="str">
        <f t="shared" si="153"/>
        <v/>
      </c>
    </row>
    <row r="4647" spans="1:1">
      <c r="A4647" s="11" t="str">
        <f t="shared" si="153"/>
        <v/>
      </c>
    </row>
    <row r="4648" spans="1:1">
      <c r="A4648" s="11" t="str">
        <f t="shared" si="153"/>
        <v/>
      </c>
    </row>
    <row r="4649" spans="1:1">
      <c r="A4649" s="11" t="str">
        <f t="shared" si="153"/>
        <v/>
      </c>
    </row>
    <row r="4650" spans="1:1">
      <c r="A4650" s="11" t="str">
        <f t="shared" si="153"/>
        <v/>
      </c>
    </row>
    <row r="4651" spans="1:1">
      <c r="A4651" s="11" t="str">
        <f t="shared" si="153"/>
        <v/>
      </c>
    </row>
    <row r="4652" spans="1:1">
      <c r="A4652" s="11" t="str">
        <f t="shared" si="153"/>
        <v/>
      </c>
    </row>
    <row r="4653" spans="1:1">
      <c r="A4653" s="11" t="str">
        <f t="shared" si="153"/>
        <v/>
      </c>
    </row>
    <row r="4654" spans="1:1">
      <c r="A4654" s="11" t="str">
        <f t="shared" si="153"/>
        <v/>
      </c>
    </row>
    <row r="4655" spans="1:1">
      <c r="A4655" s="11" t="str">
        <f t="shared" si="153"/>
        <v/>
      </c>
    </row>
    <row r="4656" spans="1:1">
      <c r="A4656" s="11" t="str">
        <f t="shared" si="153"/>
        <v/>
      </c>
    </row>
    <row r="4657" spans="1:1">
      <c r="A4657" s="11" t="str">
        <f t="shared" si="153"/>
        <v/>
      </c>
    </row>
    <row r="4658" spans="1:1">
      <c r="A4658" s="11" t="str">
        <f t="shared" si="153"/>
        <v/>
      </c>
    </row>
    <row r="4659" spans="1:1">
      <c r="A4659" s="11" t="str">
        <f t="shared" si="153"/>
        <v/>
      </c>
    </row>
    <row r="4660" spans="1:1">
      <c r="A4660" s="11" t="str">
        <f t="shared" si="153"/>
        <v/>
      </c>
    </row>
    <row r="4661" spans="1:1">
      <c r="A4661" s="11" t="str">
        <f t="shared" si="153"/>
        <v/>
      </c>
    </row>
    <row r="4662" spans="1:1">
      <c r="A4662" s="11" t="str">
        <f t="shared" si="153"/>
        <v/>
      </c>
    </row>
    <row r="4663" spans="1:1">
      <c r="A4663" s="11" t="str">
        <f t="shared" si="153"/>
        <v/>
      </c>
    </row>
    <row r="4664" spans="1:1">
      <c r="A4664" s="11" t="str">
        <f t="shared" si="153"/>
        <v/>
      </c>
    </row>
    <row r="4665" spans="1:1">
      <c r="A4665" s="11" t="str">
        <f t="shared" si="153"/>
        <v/>
      </c>
    </row>
    <row r="4666" spans="1:1">
      <c r="A4666" s="11" t="str">
        <f t="shared" si="153"/>
        <v/>
      </c>
    </row>
    <row r="4667" spans="1:1">
      <c r="A4667" s="11" t="str">
        <f t="shared" si="153"/>
        <v/>
      </c>
    </row>
    <row r="4668" spans="1:1">
      <c r="A4668" s="11" t="str">
        <f t="shared" si="153"/>
        <v/>
      </c>
    </row>
    <row r="4669" spans="1:1">
      <c r="A4669" s="11" t="str">
        <f t="shared" si="153"/>
        <v/>
      </c>
    </row>
    <row r="4670" spans="1:1">
      <c r="A4670" s="11" t="str">
        <f t="shared" si="153"/>
        <v/>
      </c>
    </row>
    <row r="4671" spans="1:1">
      <c r="A4671" s="11" t="str">
        <f t="shared" si="153"/>
        <v/>
      </c>
    </row>
    <row r="4672" spans="1:1">
      <c r="A4672" s="11" t="str">
        <f t="shared" si="153"/>
        <v/>
      </c>
    </row>
    <row r="4673" spans="1:1">
      <c r="A4673" s="11" t="str">
        <f t="shared" si="153"/>
        <v/>
      </c>
    </row>
    <row r="4674" spans="1:1">
      <c r="A4674" s="11" t="str">
        <f t="shared" si="153"/>
        <v/>
      </c>
    </row>
    <row r="4675" spans="1:1">
      <c r="A4675" s="11" t="str">
        <f t="shared" ref="A4675:A4738" si="154">B4675&amp;D4675</f>
        <v/>
      </c>
    </row>
    <row r="4676" spans="1:1">
      <c r="A4676" s="11" t="str">
        <f t="shared" si="154"/>
        <v/>
      </c>
    </row>
    <row r="4677" spans="1:1">
      <c r="A4677" s="11" t="str">
        <f t="shared" si="154"/>
        <v/>
      </c>
    </row>
    <row r="4678" spans="1:1">
      <c r="A4678" s="11" t="str">
        <f t="shared" si="154"/>
        <v/>
      </c>
    </row>
    <row r="4679" spans="1:1">
      <c r="A4679" s="11" t="str">
        <f t="shared" si="154"/>
        <v/>
      </c>
    </row>
    <row r="4680" spans="1:1">
      <c r="A4680" s="11" t="str">
        <f t="shared" si="154"/>
        <v/>
      </c>
    </row>
    <row r="4681" spans="1:1">
      <c r="A4681" s="11" t="str">
        <f t="shared" si="154"/>
        <v/>
      </c>
    </row>
    <row r="4682" spans="1:1">
      <c r="A4682" s="11" t="str">
        <f t="shared" si="154"/>
        <v/>
      </c>
    </row>
    <row r="4683" spans="1:1">
      <c r="A4683" s="11" t="str">
        <f t="shared" si="154"/>
        <v/>
      </c>
    </row>
    <row r="4684" spans="1:1">
      <c r="A4684" s="11" t="str">
        <f t="shared" si="154"/>
        <v/>
      </c>
    </row>
    <row r="4685" spans="1:1">
      <c r="A4685" s="11" t="str">
        <f t="shared" si="154"/>
        <v/>
      </c>
    </row>
    <row r="4686" spans="1:1">
      <c r="A4686" s="11" t="str">
        <f t="shared" si="154"/>
        <v/>
      </c>
    </row>
    <row r="4687" spans="1:1">
      <c r="A4687" s="11" t="str">
        <f t="shared" si="154"/>
        <v/>
      </c>
    </row>
    <row r="4688" spans="1:1">
      <c r="A4688" s="11" t="str">
        <f t="shared" si="154"/>
        <v/>
      </c>
    </row>
    <row r="4689" spans="1:1">
      <c r="A4689" s="11" t="str">
        <f t="shared" si="154"/>
        <v/>
      </c>
    </row>
    <row r="4690" spans="1:1">
      <c r="A4690" s="11" t="str">
        <f t="shared" si="154"/>
        <v/>
      </c>
    </row>
    <row r="4691" spans="1:1">
      <c r="A4691" s="11" t="str">
        <f t="shared" si="154"/>
        <v/>
      </c>
    </row>
    <row r="4692" spans="1:1">
      <c r="A4692" s="11" t="str">
        <f t="shared" si="154"/>
        <v/>
      </c>
    </row>
    <row r="4693" spans="1:1">
      <c r="A4693" s="11" t="str">
        <f t="shared" si="154"/>
        <v/>
      </c>
    </row>
    <row r="4694" spans="1:1">
      <c r="A4694" s="11" t="str">
        <f t="shared" si="154"/>
        <v/>
      </c>
    </row>
    <row r="4695" spans="1:1">
      <c r="A4695" s="11" t="str">
        <f t="shared" si="154"/>
        <v/>
      </c>
    </row>
    <row r="4696" spans="1:1">
      <c r="A4696" s="11" t="str">
        <f t="shared" si="154"/>
        <v/>
      </c>
    </row>
    <row r="4697" spans="1:1">
      <c r="A4697" s="11" t="str">
        <f t="shared" si="154"/>
        <v/>
      </c>
    </row>
    <row r="4698" spans="1:1">
      <c r="A4698" s="11" t="str">
        <f t="shared" si="154"/>
        <v/>
      </c>
    </row>
    <row r="4699" spans="1:1">
      <c r="A4699" s="11" t="str">
        <f t="shared" si="154"/>
        <v/>
      </c>
    </row>
    <row r="4700" spans="1:1">
      <c r="A4700" s="11" t="str">
        <f t="shared" si="154"/>
        <v/>
      </c>
    </row>
    <row r="4701" spans="1:1">
      <c r="A4701" s="11" t="str">
        <f t="shared" si="154"/>
        <v/>
      </c>
    </row>
    <row r="4702" spans="1:1">
      <c r="A4702" s="11" t="str">
        <f t="shared" si="154"/>
        <v/>
      </c>
    </row>
    <row r="4703" spans="1:1">
      <c r="A4703" s="11" t="str">
        <f t="shared" si="154"/>
        <v/>
      </c>
    </row>
    <row r="4704" spans="1:1">
      <c r="A4704" s="11" t="str">
        <f t="shared" si="154"/>
        <v/>
      </c>
    </row>
    <row r="4705" spans="1:1">
      <c r="A4705" s="11" t="str">
        <f t="shared" si="154"/>
        <v/>
      </c>
    </row>
    <row r="4706" spans="1:1">
      <c r="A4706" s="11" t="str">
        <f t="shared" si="154"/>
        <v/>
      </c>
    </row>
    <row r="4707" spans="1:1">
      <c r="A4707" s="11" t="str">
        <f t="shared" si="154"/>
        <v/>
      </c>
    </row>
    <row r="4708" spans="1:1">
      <c r="A4708" s="11" t="str">
        <f t="shared" si="154"/>
        <v/>
      </c>
    </row>
    <row r="4709" spans="1:1">
      <c r="A4709" s="11" t="str">
        <f t="shared" si="154"/>
        <v/>
      </c>
    </row>
    <row r="4710" spans="1:1">
      <c r="A4710" s="11" t="str">
        <f t="shared" si="154"/>
        <v/>
      </c>
    </row>
    <row r="4711" spans="1:1">
      <c r="A4711" s="11" t="str">
        <f t="shared" si="154"/>
        <v/>
      </c>
    </row>
    <row r="4712" spans="1:1">
      <c r="A4712" s="11" t="str">
        <f t="shared" si="154"/>
        <v/>
      </c>
    </row>
    <row r="4713" spans="1:1">
      <c r="A4713" s="11" t="str">
        <f t="shared" si="154"/>
        <v/>
      </c>
    </row>
    <row r="4714" spans="1:1">
      <c r="A4714" s="11" t="str">
        <f t="shared" si="154"/>
        <v/>
      </c>
    </row>
    <row r="4715" spans="1:1">
      <c r="A4715" s="11" t="str">
        <f t="shared" si="154"/>
        <v/>
      </c>
    </row>
    <row r="4716" spans="1:1">
      <c r="A4716" s="11" t="str">
        <f t="shared" si="154"/>
        <v/>
      </c>
    </row>
    <row r="4717" spans="1:1">
      <c r="A4717" s="11" t="str">
        <f t="shared" si="154"/>
        <v/>
      </c>
    </row>
    <row r="4718" spans="1:1">
      <c r="A4718" s="11" t="str">
        <f t="shared" si="154"/>
        <v/>
      </c>
    </row>
    <row r="4719" spans="1:1">
      <c r="A4719" s="11" t="str">
        <f t="shared" si="154"/>
        <v/>
      </c>
    </row>
    <row r="4720" spans="1:1">
      <c r="A4720" s="11" t="str">
        <f t="shared" si="154"/>
        <v/>
      </c>
    </row>
    <row r="4721" spans="1:1">
      <c r="A4721" s="11" t="str">
        <f t="shared" si="154"/>
        <v/>
      </c>
    </row>
    <row r="4722" spans="1:1">
      <c r="A4722" s="11" t="str">
        <f t="shared" si="154"/>
        <v/>
      </c>
    </row>
    <row r="4723" spans="1:1">
      <c r="A4723" s="11" t="str">
        <f t="shared" si="154"/>
        <v/>
      </c>
    </row>
    <row r="4724" spans="1:1">
      <c r="A4724" s="11" t="str">
        <f t="shared" si="154"/>
        <v/>
      </c>
    </row>
    <row r="4725" spans="1:1">
      <c r="A4725" s="11" t="str">
        <f t="shared" si="154"/>
        <v/>
      </c>
    </row>
    <row r="4726" spans="1:1">
      <c r="A4726" s="11" t="str">
        <f t="shared" si="154"/>
        <v/>
      </c>
    </row>
    <row r="4727" spans="1:1">
      <c r="A4727" s="11" t="str">
        <f t="shared" si="154"/>
        <v/>
      </c>
    </row>
    <row r="4728" spans="1:1">
      <c r="A4728" s="11" t="str">
        <f t="shared" si="154"/>
        <v/>
      </c>
    </row>
    <row r="4729" spans="1:1">
      <c r="A4729" s="11" t="str">
        <f t="shared" si="154"/>
        <v/>
      </c>
    </row>
    <row r="4730" spans="1:1">
      <c r="A4730" s="11" t="str">
        <f t="shared" si="154"/>
        <v/>
      </c>
    </row>
    <row r="4731" spans="1:1">
      <c r="A4731" s="11" t="str">
        <f t="shared" si="154"/>
        <v/>
      </c>
    </row>
    <row r="4732" spans="1:1">
      <c r="A4732" s="11" t="str">
        <f t="shared" si="154"/>
        <v/>
      </c>
    </row>
    <row r="4733" spans="1:1">
      <c r="A4733" s="11" t="str">
        <f t="shared" si="154"/>
        <v/>
      </c>
    </row>
    <row r="4734" spans="1:1">
      <c r="A4734" s="11" t="str">
        <f t="shared" si="154"/>
        <v/>
      </c>
    </row>
    <row r="4735" spans="1:1">
      <c r="A4735" s="11" t="str">
        <f t="shared" si="154"/>
        <v/>
      </c>
    </row>
    <row r="4736" spans="1:1">
      <c r="A4736" s="11" t="str">
        <f t="shared" si="154"/>
        <v/>
      </c>
    </row>
    <row r="4737" spans="1:1">
      <c r="A4737" s="11" t="str">
        <f t="shared" si="154"/>
        <v/>
      </c>
    </row>
    <row r="4738" spans="1:1">
      <c r="A4738" s="11" t="str">
        <f t="shared" si="154"/>
        <v/>
      </c>
    </row>
    <row r="4739" spans="1:1">
      <c r="A4739" s="11" t="str">
        <f t="shared" ref="A4739:A4802" si="155">B4739&amp;D4739</f>
        <v/>
      </c>
    </row>
    <row r="4740" spans="1:1">
      <c r="A4740" s="11" t="str">
        <f t="shared" si="155"/>
        <v/>
      </c>
    </row>
    <row r="4741" spans="1:1">
      <c r="A4741" s="11" t="str">
        <f t="shared" si="155"/>
        <v/>
      </c>
    </row>
    <row r="4742" spans="1:1">
      <c r="A4742" s="11" t="str">
        <f t="shared" si="155"/>
        <v/>
      </c>
    </row>
    <row r="4743" spans="1:1">
      <c r="A4743" s="11" t="str">
        <f t="shared" si="155"/>
        <v/>
      </c>
    </row>
    <row r="4744" spans="1:1">
      <c r="A4744" s="11" t="str">
        <f t="shared" si="155"/>
        <v/>
      </c>
    </row>
    <row r="4745" spans="1:1">
      <c r="A4745" s="11" t="str">
        <f t="shared" si="155"/>
        <v/>
      </c>
    </row>
    <row r="4746" spans="1:1">
      <c r="A4746" s="11" t="str">
        <f t="shared" si="155"/>
        <v/>
      </c>
    </row>
    <row r="4747" spans="1:1">
      <c r="A4747" s="11" t="str">
        <f t="shared" si="155"/>
        <v/>
      </c>
    </row>
    <row r="4748" spans="1:1">
      <c r="A4748" s="11" t="str">
        <f t="shared" si="155"/>
        <v/>
      </c>
    </row>
    <row r="4749" spans="1:1">
      <c r="A4749" s="11" t="str">
        <f t="shared" si="155"/>
        <v/>
      </c>
    </row>
    <row r="4750" spans="1:1">
      <c r="A4750" s="11" t="str">
        <f t="shared" si="155"/>
        <v/>
      </c>
    </row>
    <row r="4751" spans="1:1">
      <c r="A4751" s="11" t="str">
        <f t="shared" si="155"/>
        <v/>
      </c>
    </row>
    <row r="4752" spans="1:1">
      <c r="A4752" s="11" t="str">
        <f t="shared" si="155"/>
        <v/>
      </c>
    </row>
    <row r="4753" spans="1:1">
      <c r="A4753" s="11" t="str">
        <f t="shared" si="155"/>
        <v/>
      </c>
    </row>
    <row r="4754" spans="1:1">
      <c r="A4754" s="11" t="str">
        <f t="shared" si="155"/>
        <v/>
      </c>
    </row>
    <row r="4755" spans="1:1">
      <c r="A4755" s="11" t="str">
        <f t="shared" si="155"/>
        <v/>
      </c>
    </row>
    <row r="4756" spans="1:1">
      <c r="A4756" s="11" t="str">
        <f t="shared" si="155"/>
        <v/>
      </c>
    </row>
    <row r="4757" spans="1:1">
      <c r="A4757" s="11" t="str">
        <f t="shared" si="155"/>
        <v/>
      </c>
    </row>
    <row r="4758" spans="1:1">
      <c r="A4758" s="11" t="str">
        <f t="shared" si="155"/>
        <v/>
      </c>
    </row>
    <row r="4759" spans="1:1">
      <c r="A4759" s="11" t="str">
        <f t="shared" si="155"/>
        <v/>
      </c>
    </row>
    <row r="4760" spans="1:1">
      <c r="A4760" s="11" t="str">
        <f t="shared" si="155"/>
        <v/>
      </c>
    </row>
    <row r="4761" spans="1:1">
      <c r="A4761" s="11" t="str">
        <f t="shared" si="155"/>
        <v/>
      </c>
    </row>
    <row r="4762" spans="1:1">
      <c r="A4762" s="11" t="str">
        <f t="shared" si="155"/>
        <v/>
      </c>
    </row>
    <row r="4763" spans="1:1">
      <c r="A4763" s="11" t="str">
        <f t="shared" si="155"/>
        <v/>
      </c>
    </row>
    <row r="4764" spans="1:1">
      <c r="A4764" s="11" t="str">
        <f t="shared" si="155"/>
        <v/>
      </c>
    </row>
    <row r="4765" spans="1:1">
      <c r="A4765" s="11" t="str">
        <f t="shared" si="155"/>
        <v/>
      </c>
    </row>
    <row r="4766" spans="1:1">
      <c r="A4766" s="11" t="str">
        <f t="shared" si="155"/>
        <v/>
      </c>
    </row>
    <row r="4767" spans="1:1">
      <c r="A4767" s="11" t="str">
        <f t="shared" si="155"/>
        <v/>
      </c>
    </row>
    <row r="4768" spans="1:1">
      <c r="A4768" s="11" t="str">
        <f t="shared" si="155"/>
        <v/>
      </c>
    </row>
    <row r="4769" spans="1:1">
      <c r="A4769" s="11" t="str">
        <f t="shared" si="155"/>
        <v/>
      </c>
    </row>
    <row r="4770" spans="1:1">
      <c r="A4770" s="11" t="str">
        <f t="shared" si="155"/>
        <v/>
      </c>
    </row>
    <row r="4771" spans="1:1">
      <c r="A4771" s="11" t="str">
        <f t="shared" si="155"/>
        <v/>
      </c>
    </row>
    <row r="4772" spans="1:1">
      <c r="A4772" s="11" t="str">
        <f t="shared" si="155"/>
        <v/>
      </c>
    </row>
    <row r="4773" spans="1:1">
      <c r="A4773" s="11" t="str">
        <f t="shared" si="155"/>
        <v/>
      </c>
    </row>
    <row r="4774" spans="1:1">
      <c r="A4774" s="11" t="str">
        <f t="shared" si="155"/>
        <v/>
      </c>
    </row>
    <row r="4775" spans="1:1">
      <c r="A4775" s="11" t="str">
        <f t="shared" si="155"/>
        <v/>
      </c>
    </row>
    <row r="4776" spans="1:1">
      <c r="A4776" s="11" t="str">
        <f t="shared" si="155"/>
        <v/>
      </c>
    </row>
    <row r="4777" spans="1:1">
      <c r="A4777" s="11" t="str">
        <f t="shared" si="155"/>
        <v/>
      </c>
    </row>
    <row r="4778" spans="1:1">
      <c r="A4778" s="11" t="str">
        <f t="shared" si="155"/>
        <v/>
      </c>
    </row>
    <row r="4779" spans="1:1">
      <c r="A4779" s="11" t="str">
        <f t="shared" si="155"/>
        <v/>
      </c>
    </row>
    <row r="4780" spans="1:1">
      <c r="A4780" s="11" t="str">
        <f t="shared" si="155"/>
        <v/>
      </c>
    </row>
    <row r="4781" spans="1:1">
      <c r="A4781" s="11" t="str">
        <f t="shared" si="155"/>
        <v/>
      </c>
    </row>
    <row r="4782" spans="1:1">
      <c r="A4782" s="11" t="str">
        <f t="shared" si="155"/>
        <v/>
      </c>
    </row>
    <row r="4783" spans="1:1">
      <c r="A4783" s="11" t="str">
        <f t="shared" si="155"/>
        <v/>
      </c>
    </row>
    <row r="4784" spans="1:1">
      <c r="A4784" s="11" t="str">
        <f t="shared" si="155"/>
        <v/>
      </c>
    </row>
    <row r="4785" spans="1:1">
      <c r="A4785" s="11" t="str">
        <f t="shared" si="155"/>
        <v/>
      </c>
    </row>
    <row r="4786" spans="1:1">
      <c r="A4786" s="11" t="str">
        <f t="shared" si="155"/>
        <v/>
      </c>
    </row>
    <row r="4787" spans="1:1">
      <c r="A4787" s="11" t="str">
        <f t="shared" si="155"/>
        <v/>
      </c>
    </row>
    <row r="4788" spans="1:1">
      <c r="A4788" s="11" t="str">
        <f t="shared" si="155"/>
        <v/>
      </c>
    </row>
    <row r="4789" spans="1:1">
      <c r="A4789" s="11" t="str">
        <f t="shared" si="155"/>
        <v/>
      </c>
    </row>
    <row r="4790" spans="1:1">
      <c r="A4790" s="11" t="str">
        <f t="shared" si="155"/>
        <v/>
      </c>
    </row>
    <row r="4791" spans="1:1">
      <c r="A4791" s="11" t="str">
        <f t="shared" si="155"/>
        <v/>
      </c>
    </row>
    <row r="4792" spans="1:1">
      <c r="A4792" s="11" t="str">
        <f t="shared" si="155"/>
        <v/>
      </c>
    </row>
    <row r="4793" spans="1:1">
      <c r="A4793" s="11" t="str">
        <f t="shared" si="155"/>
        <v/>
      </c>
    </row>
    <row r="4794" spans="1:1">
      <c r="A4794" s="11" t="str">
        <f t="shared" si="155"/>
        <v/>
      </c>
    </row>
    <row r="4795" spans="1:1">
      <c r="A4795" s="11" t="str">
        <f t="shared" si="155"/>
        <v/>
      </c>
    </row>
    <row r="4796" spans="1:1">
      <c r="A4796" s="11" t="str">
        <f t="shared" si="155"/>
        <v/>
      </c>
    </row>
    <row r="4797" spans="1:1">
      <c r="A4797" s="11" t="str">
        <f t="shared" si="155"/>
        <v/>
      </c>
    </row>
    <row r="4798" spans="1:1">
      <c r="A4798" s="11" t="str">
        <f t="shared" si="155"/>
        <v/>
      </c>
    </row>
    <row r="4799" spans="1:1">
      <c r="A4799" s="11" t="str">
        <f t="shared" si="155"/>
        <v/>
      </c>
    </row>
    <row r="4800" spans="1:1">
      <c r="A4800" s="11" t="str">
        <f t="shared" si="155"/>
        <v/>
      </c>
    </row>
    <row r="4801" spans="1:1">
      <c r="A4801" s="11" t="str">
        <f t="shared" si="155"/>
        <v/>
      </c>
    </row>
    <row r="4802" spans="1:1">
      <c r="A4802" s="11" t="str">
        <f t="shared" si="155"/>
        <v/>
      </c>
    </row>
    <row r="4803" spans="1:1">
      <c r="A4803" s="11" t="str">
        <f t="shared" ref="A4803:A4866" si="156">B4803&amp;D4803</f>
        <v/>
      </c>
    </row>
    <row r="4804" spans="1:1">
      <c r="A4804" s="11" t="str">
        <f t="shared" si="156"/>
        <v/>
      </c>
    </row>
    <row r="4805" spans="1:1">
      <c r="A4805" s="11" t="str">
        <f t="shared" si="156"/>
        <v/>
      </c>
    </row>
    <row r="4806" spans="1:1">
      <c r="A4806" s="11" t="str">
        <f t="shared" si="156"/>
        <v/>
      </c>
    </row>
    <row r="4807" spans="1:1">
      <c r="A4807" s="11" t="str">
        <f t="shared" si="156"/>
        <v/>
      </c>
    </row>
    <row r="4808" spans="1:1">
      <c r="A4808" s="11" t="str">
        <f t="shared" si="156"/>
        <v/>
      </c>
    </row>
    <row r="4809" spans="1:1">
      <c r="A4809" s="11" t="str">
        <f t="shared" si="156"/>
        <v/>
      </c>
    </row>
    <row r="4810" spans="1:1">
      <c r="A4810" s="11" t="str">
        <f t="shared" si="156"/>
        <v/>
      </c>
    </row>
    <row r="4811" spans="1:1">
      <c r="A4811" s="11" t="str">
        <f t="shared" si="156"/>
        <v/>
      </c>
    </row>
    <row r="4812" spans="1:1">
      <c r="A4812" s="11" t="str">
        <f t="shared" si="156"/>
        <v/>
      </c>
    </row>
    <row r="4813" spans="1:1">
      <c r="A4813" s="11" t="str">
        <f t="shared" si="156"/>
        <v/>
      </c>
    </row>
    <row r="4814" spans="1:1">
      <c r="A4814" s="11" t="str">
        <f t="shared" si="156"/>
        <v/>
      </c>
    </row>
    <row r="4815" spans="1:1">
      <c r="A4815" s="11" t="str">
        <f t="shared" si="156"/>
        <v/>
      </c>
    </row>
    <row r="4816" spans="1:1">
      <c r="A4816" s="11" t="str">
        <f t="shared" si="156"/>
        <v/>
      </c>
    </row>
    <row r="4817" spans="1:1">
      <c r="A4817" s="11" t="str">
        <f t="shared" si="156"/>
        <v/>
      </c>
    </row>
    <row r="4818" spans="1:1">
      <c r="A4818" s="11" t="str">
        <f t="shared" si="156"/>
        <v/>
      </c>
    </row>
    <row r="4819" spans="1:1">
      <c r="A4819" s="11" t="str">
        <f t="shared" si="156"/>
        <v/>
      </c>
    </row>
    <row r="4820" spans="1:1">
      <c r="A4820" s="11" t="str">
        <f t="shared" si="156"/>
        <v/>
      </c>
    </row>
    <row r="4821" spans="1:1">
      <c r="A4821" s="11" t="str">
        <f t="shared" si="156"/>
        <v/>
      </c>
    </row>
    <row r="4822" spans="1:1">
      <c r="A4822" s="11" t="str">
        <f t="shared" si="156"/>
        <v/>
      </c>
    </row>
    <row r="4823" spans="1:1">
      <c r="A4823" s="11" t="str">
        <f t="shared" si="156"/>
        <v/>
      </c>
    </row>
    <row r="4824" spans="1:1">
      <c r="A4824" s="11" t="str">
        <f t="shared" si="156"/>
        <v/>
      </c>
    </row>
    <row r="4825" spans="1:1">
      <c r="A4825" s="11" t="str">
        <f t="shared" si="156"/>
        <v/>
      </c>
    </row>
    <row r="4826" spans="1:1">
      <c r="A4826" s="11" t="str">
        <f t="shared" si="156"/>
        <v/>
      </c>
    </row>
    <row r="4827" spans="1:1">
      <c r="A4827" s="11" t="str">
        <f t="shared" si="156"/>
        <v/>
      </c>
    </row>
    <row r="4828" spans="1:1">
      <c r="A4828" s="11" t="str">
        <f t="shared" si="156"/>
        <v/>
      </c>
    </row>
    <row r="4829" spans="1:1">
      <c r="A4829" s="11" t="str">
        <f t="shared" si="156"/>
        <v/>
      </c>
    </row>
    <row r="4830" spans="1:1">
      <c r="A4830" s="11" t="str">
        <f t="shared" si="156"/>
        <v/>
      </c>
    </row>
    <row r="4831" spans="1:1">
      <c r="A4831" s="11" t="str">
        <f t="shared" si="156"/>
        <v/>
      </c>
    </row>
    <row r="4832" spans="1:1">
      <c r="A4832" s="11" t="str">
        <f t="shared" si="156"/>
        <v/>
      </c>
    </row>
    <row r="4833" spans="1:1">
      <c r="A4833" s="11" t="str">
        <f t="shared" si="156"/>
        <v/>
      </c>
    </row>
    <row r="4834" spans="1:1">
      <c r="A4834" s="11" t="str">
        <f t="shared" si="156"/>
        <v/>
      </c>
    </row>
    <row r="4835" spans="1:1">
      <c r="A4835" s="11" t="str">
        <f t="shared" si="156"/>
        <v/>
      </c>
    </row>
    <row r="4836" spans="1:1">
      <c r="A4836" s="11" t="str">
        <f t="shared" si="156"/>
        <v/>
      </c>
    </row>
    <row r="4837" spans="1:1">
      <c r="A4837" s="11" t="str">
        <f t="shared" si="156"/>
        <v/>
      </c>
    </row>
    <row r="4838" spans="1:1">
      <c r="A4838" s="11" t="str">
        <f t="shared" si="156"/>
        <v/>
      </c>
    </row>
    <row r="4839" spans="1:1">
      <c r="A4839" s="11" t="str">
        <f t="shared" si="156"/>
        <v/>
      </c>
    </row>
    <row r="4840" spans="1:1">
      <c r="A4840" s="11" t="str">
        <f t="shared" si="156"/>
        <v/>
      </c>
    </row>
    <row r="4841" spans="1:1">
      <c r="A4841" s="11" t="str">
        <f t="shared" si="156"/>
        <v/>
      </c>
    </row>
    <row r="4842" spans="1:1">
      <c r="A4842" s="11" t="str">
        <f t="shared" si="156"/>
        <v/>
      </c>
    </row>
    <row r="4843" spans="1:1">
      <c r="A4843" s="11" t="str">
        <f t="shared" si="156"/>
        <v/>
      </c>
    </row>
    <row r="4844" spans="1:1">
      <c r="A4844" s="11" t="str">
        <f t="shared" si="156"/>
        <v/>
      </c>
    </row>
    <row r="4845" spans="1:1">
      <c r="A4845" s="11" t="str">
        <f t="shared" si="156"/>
        <v/>
      </c>
    </row>
    <row r="4846" spans="1:1">
      <c r="A4846" s="11" t="str">
        <f t="shared" si="156"/>
        <v/>
      </c>
    </row>
    <row r="4847" spans="1:1">
      <c r="A4847" s="11" t="str">
        <f t="shared" si="156"/>
        <v/>
      </c>
    </row>
    <row r="4848" spans="1:1">
      <c r="A4848" s="11" t="str">
        <f t="shared" si="156"/>
        <v/>
      </c>
    </row>
    <row r="4849" spans="1:1">
      <c r="A4849" s="11" t="str">
        <f t="shared" si="156"/>
        <v/>
      </c>
    </row>
    <row r="4850" spans="1:1">
      <c r="A4850" s="11" t="str">
        <f t="shared" si="156"/>
        <v/>
      </c>
    </row>
    <row r="4851" spans="1:1">
      <c r="A4851" s="11" t="str">
        <f t="shared" si="156"/>
        <v/>
      </c>
    </row>
    <row r="4852" spans="1:1">
      <c r="A4852" s="11" t="str">
        <f t="shared" si="156"/>
        <v/>
      </c>
    </row>
    <row r="4853" spans="1:1">
      <c r="A4853" s="11" t="str">
        <f t="shared" si="156"/>
        <v/>
      </c>
    </row>
    <row r="4854" spans="1:1">
      <c r="A4854" s="11" t="str">
        <f t="shared" si="156"/>
        <v/>
      </c>
    </row>
    <row r="4855" spans="1:1">
      <c r="A4855" s="11" t="str">
        <f t="shared" si="156"/>
        <v/>
      </c>
    </row>
    <row r="4856" spans="1:1">
      <c r="A4856" s="11" t="str">
        <f t="shared" si="156"/>
        <v/>
      </c>
    </row>
    <row r="4857" spans="1:1">
      <c r="A4857" s="11" t="str">
        <f t="shared" si="156"/>
        <v/>
      </c>
    </row>
    <row r="4858" spans="1:1">
      <c r="A4858" s="11" t="str">
        <f t="shared" si="156"/>
        <v/>
      </c>
    </row>
    <row r="4859" spans="1:1">
      <c r="A4859" s="11" t="str">
        <f t="shared" si="156"/>
        <v/>
      </c>
    </row>
    <row r="4860" spans="1:1">
      <c r="A4860" s="11" t="str">
        <f t="shared" si="156"/>
        <v/>
      </c>
    </row>
    <row r="4861" spans="1:1">
      <c r="A4861" s="11" t="str">
        <f t="shared" si="156"/>
        <v/>
      </c>
    </row>
    <row r="4862" spans="1:1">
      <c r="A4862" s="11" t="str">
        <f t="shared" si="156"/>
        <v/>
      </c>
    </row>
    <row r="4863" spans="1:1">
      <c r="A4863" s="11" t="str">
        <f t="shared" si="156"/>
        <v/>
      </c>
    </row>
    <row r="4864" spans="1:1">
      <c r="A4864" s="11" t="str">
        <f t="shared" si="156"/>
        <v/>
      </c>
    </row>
    <row r="4865" spans="1:1">
      <c r="A4865" s="11" t="str">
        <f t="shared" si="156"/>
        <v/>
      </c>
    </row>
    <row r="4866" spans="1:1">
      <c r="A4866" s="11" t="str">
        <f t="shared" si="156"/>
        <v/>
      </c>
    </row>
    <row r="4867" spans="1:1">
      <c r="A4867" s="11" t="str">
        <f t="shared" ref="A4867:A4930" si="157">B4867&amp;D4867</f>
        <v/>
      </c>
    </row>
    <row r="4868" spans="1:1">
      <c r="A4868" s="11" t="str">
        <f t="shared" si="157"/>
        <v/>
      </c>
    </row>
    <row r="4869" spans="1:1">
      <c r="A4869" s="11" t="str">
        <f t="shared" si="157"/>
        <v/>
      </c>
    </row>
    <row r="4870" spans="1:1">
      <c r="A4870" s="11" t="str">
        <f t="shared" si="157"/>
        <v/>
      </c>
    </row>
    <row r="4871" spans="1:1">
      <c r="A4871" s="11" t="str">
        <f t="shared" si="157"/>
        <v/>
      </c>
    </row>
    <row r="4872" spans="1:1">
      <c r="A4872" s="11" t="str">
        <f t="shared" si="157"/>
        <v/>
      </c>
    </row>
    <row r="4873" spans="1:1">
      <c r="A4873" s="11" t="str">
        <f t="shared" si="157"/>
        <v/>
      </c>
    </row>
    <row r="4874" spans="1:1">
      <c r="A4874" s="11" t="str">
        <f t="shared" si="157"/>
        <v/>
      </c>
    </row>
    <row r="4875" spans="1:1">
      <c r="A4875" s="11" t="str">
        <f t="shared" si="157"/>
        <v/>
      </c>
    </row>
    <row r="4876" spans="1:1">
      <c r="A4876" s="11" t="str">
        <f t="shared" si="157"/>
        <v/>
      </c>
    </row>
    <row r="4877" spans="1:1">
      <c r="A4877" s="11" t="str">
        <f t="shared" si="157"/>
        <v/>
      </c>
    </row>
    <row r="4878" spans="1:1">
      <c r="A4878" s="11" t="str">
        <f t="shared" si="157"/>
        <v/>
      </c>
    </row>
    <row r="4879" spans="1:1">
      <c r="A4879" s="11" t="str">
        <f t="shared" si="157"/>
        <v/>
      </c>
    </row>
    <row r="4880" spans="1:1">
      <c r="A4880" s="11" t="str">
        <f t="shared" si="157"/>
        <v/>
      </c>
    </row>
    <row r="4881" spans="1:1">
      <c r="A4881" s="11" t="str">
        <f t="shared" si="157"/>
        <v/>
      </c>
    </row>
    <row r="4882" spans="1:1">
      <c r="A4882" s="11" t="str">
        <f t="shared" si="157"/>
        <v/>
      </c>
    </row>
    <row r="4883" spans="1:1">
      <c r="A4883" s="11" t="str">
        <f t="shared" si="157"/>
        <v/>
      </c>
    </row>
    <row r="4884" spans="1:1">
      <c r="A4884" s="11" t="str">
        <f t="shared" si="157"/>
        <v/>
      </c>
    </row>
    <row r="4885" spans="1:1">
      <c r="A4885" s="11" t="str">
        <f t="shared" si="157"/>
        <v/>
      </c>
    </row>
    <row r="4886" spans="1:1">
      <c r="A4886" s="11" t="str">
        <f t="shared" si="157"/>
        <v/>
      </c>
    </row>
    <row r="4887" spans="1:1">
      <c r="A4887" s="11" t="str">
        <f t="shared" si="157"/>
        <v/>
      </c>
    </row>
    <row r="4888" spans="1:1">
      <c r="A4888" s="11" t="str">
        <f t="shared" si="157"/>
        <v/>
      </c>
    </row>
    <row r="4889" spans="1:1">
      <c r="A4889" s="11" t="str">
        <f t="shared" si="157"/>
        <v/>
      </c>
    </row>
    <row r="4890" spans="1:1">
      <c r="A4890" s="11" t="str">
        <f t="shared" si="157"/>
        <v/>
      </c>
    </row>
    <row r="4891" spans="1:1">
      <c r="A4891" s="11" t="str">
        <f t="shared" si="157"/>
        <v/>
      </c>
    </row>
    <row r="4892" spans="1:1">
      <c r="A4892" s="11" t="str">
        <f t="shared" si="157"/>
        <v/>
      </c>
    </row>
    <row r="4893" spans="1:1">
      <c r="A4893" s="11" t="str">
        <f t="shared" si="157"/>
        <v/>
      </c>
    </row>
    <row r="4894" spans="1:1">
      <c r="A4894" s="11" t="str">
        <f t="shared" si="157"/>
        <v/>
      </c>
    </row>
    <row r="4895" spans="1:1">
      <c r="A4895" s="11" t="str">
        <f t="shared" si="157"/>
        <v/>
      </c>
    </row>
    <row r="4896" spans="1:1">
      <c r="A4896" s="11" t="str">
        <f t="shared" si="157"/>
        <v/>
      </c>
    </row>
    <row r="4897" spans="1:1">
      <c r="A4897" s="11" t="str">
        <f t="shared" si="157"/>
        <v/>
      </c>
    </row>
    <row r="4898" spans="1:1">
      <c r="A4898" s="11" t="str">
        <f t="shared" si="157"/>
        <v/>
      </c>
    </row>
    <row r="4899" spans="1:1">
      <c r="A4899" s="11" t="str">
        <f t="shared" si="157"/>
        <v/>
      </c>
    </row>
    <row r="4900" spans="1:1">
      <c r="A4900" s="11" t="str">
        <f t="shared" si="157"/>
        <v/>
      </c>
    </row>
    <row r="4901" spans="1:1">
      <c r="A4901" s="11" t="str">
        <f t="shared" si="157"/>
        <v/>
      </c>
    </row>
    <row r="4902" spans="1:1">
      <c r="A4902" s="11" t="str">
        <f t="shared" si="157"/>
        <v/>
      </c>
    </row>
    <row r="4903" spans="1:1">
      <c r="A4903" s="11" t="str">
        <f t="shared" si="157"/>
        <v/>
      </c>
    </row>
    <row r="4904" spans="1:1">
      <c r="A4904" s="11" t="str">
        <f t="shared" si="157"/>
        <v/>
      </c>
    </row>
    <row r="4905" spans="1:1">
      <c r="A4905" s="11" t="str">
        <f t="shared" si="157"/>
        <v/>
      </c>
    </row>
    <row r="4906" spans="1:1">
      <c r="A4906" s="11" t="str">
        <f t="shared" si="157"/>
        <v/>
      </c>
    </row>
    <row r="4907" spans="1:1">
      <c r="A4907" s="11" t="str">
        <f t="shared" si="157"/>
        <v/>
      </c>
    </row>
    <row r="4908" spans="1:1">
      <c r="A4908" s="11" t="str">
        <f t="shared" si="157"/>
        <v/>
      </c>
    </row>
    <row r="4909" spans="1:1">
      <c r="A4909" s="11" t="str">
        <f t="shared" si="157"/>
        <v/>
      </c>
    </row>
    <row r="4910" spans="1:1">
      <c r="A4910" s="11" t="str">
        <f t="shared" si="157"/>
        <v/>
      </c>
    </row>
    <row r="4911" spans="1:1">
      <c r="A4911" s="11" t="str">
        <f t="shared" si="157"/>
        <v/>
      </c>
    </row>
    <row r="4912" spans="1:1">
      <c r="A4912" s="11" t="str">
        <f t="shared" si="157"/>
        <v/>
      </c>
    </row>
    <row r="4913" spans="1:1">
      <c r="A4913" s="11" t="str">
        <f t="shared" si="157"/>
        <v/>
      </c>
    </row>
    <row r="4914" spans="1:1">
      <c r="A4914" s="11" t="str">
        <f t="shared" si="157"/>
        <v/>
      </c>
    </row>
    <row r="4915" spans="1:1">
      <c r="A4915" s="11" t="str">
        <f t="shared" si="157"/>
        <v/>
      </c>
    </row>
    <row r="4916" spans="1:1">
      <c r="A4916" s="11" t="str">
        <f t="shared" si="157"/>
        <v/>
      </c>
    </row>
    <row r="4917" spans="1:1">
      <c r="A4917" s="11" t="str">
        <f t="shared" si="157"/>
        <v/>
      </c>
    </row>
    <row r="4918" spans="1:1">
      <c r="A4918" s="11" t="str">
        <f t="shared" si="157"/>
        <v/>
      </c>
    </row>
    <row r="4919" spans="1:1">
      <c r="A4919" s="11" t="str">
        <f t="shared" si="157"/>
        <v/>
      </c>
    </row>
    <row r="4920" spans="1:1">
      <c r="A4920" s="11" t="str">
        <f t="shared" si="157"/>
        <v/>
      </c>
    </row>
    <row r="4921" spans="1:1">
      <c r="A4921" s="11" t="str">
        <f t="shared" si="157"/>
        <v/>
      </c>
    </row>
    <row r="4922" spans="1:1">
      <c r="A4922" s="11" t="str">
        <f t="shared" si="157"/>
        <v/>
      </c>
    </row>
    <row r="4923" spans="1:1">
      <c r="A4923" s="11" t="str">
        <f t="shared" si="157"/>
        <v/>
      </c>
    </row>
    <row r="4924" spans="1:1">
      <c r="A4924" s="11" t="str">
        <f t="shared" si="157"/>
        <v/>
      </c>
    </row>
    <row r="4925" spans="1:1">
      <c r="A4925" s="11" t="str">
        <f t="shared" si="157"/>
        <v/>
      </c>
    </row>
    <row r="4926" spans="1:1">
      <c r="A4926" s="11" t="str">
        <f t="shared" si="157"/>
        <v/>
      </c>
    </row>
    <row r="4927" spans="1:1">
      <c r="A4927" s="11" t="str">
        <f t="shared" si="157"/>
        <v/>
      </c>
    </row>
    <row r="4928" spans="1:1">
      <c r="A4928" s="11" t="str">
        <f t="shared" si="157"/>
        <v/>
      </c>
    </row>
    <row r="4929" spans="1:1">
      <c r="A4929" s="11" t="str">
        <f t="shared" si="157"/>
        <v/>
      </c>
    </row>
    <row r="4930" spans="1:1">
      <c r="A4930" s="11" t="str">
        <f t="shared" si="157"/>
        <v/>
      </c>
    </row>
    <row r="4931" spans="1:1">
      <c r="A4931" s="11" t="str">
        <f t="shared" ref="A4931:A4994" si="158">B4931&amp;D4931</f>
        <v/>
      </c>
    </row>
    <row r="4932" spans="1:1">
      <c r="A4932" s="11" t="str">
        <f t="shared" si="158"/>
        <v/>
      </c>
    </row>
    <row r="4933" spans="1:1">
      <c r="A4933" s="11" t="str">
        <f t="shared" si="158"/>
        <v/>
      </c>
    </row>
    <row r="4934" spans="1:1">
      <c r="A4934" s="11" t="str">
        <f t="shared" si="158"/>
        <v/>
      </c>
    </row>
    <row r="4935" spans="1:1">
      <c r="A4935" s="11" t="str">
        <f t="shared" si="158"/>
        <v/>
      </c>
    </row>
    <row r="4936" spans="1:1">
      <c r="A4936" s="11" t="str">
        <f t="shared" si="158"/>
        <v/>
      </c>
    </row>
    <row r="4937" spans="1:1">
      <c r="A4937" s="11" t="str">
        <f t="shared" si="158"/>
        <v/>
      </c>
    </row>
    <row r="4938" spans="1:1">
      <c r="A4938" s="11" t="str">
        <f t="shared" si="158"/>
        <v/>
      </c>
    </row>
    <row r="4939" spans="1:1">
      <c r="A4939" s="11" t="str">
        <f t="shared" si="158"/>
        <v/>
      </c>
    </row>
    <row r="4940" spans="1:1">
      <c r="A4940" s="11" t="str">
        <f t="shared" si="158"/>
        <v/>
      </c>
    </row>
    <row r="4941" spans="1:1">
      <c r="A4941" s="11" t="str">
        <f t="shared" si="158"/>
        <v/>
      </c>
    </row>
    <row r="4942" spans="1:1">
      <c r="A4942" s="11" t="str">
        <f t="shared" si="158"/>
        <v/>
      </c>
    </row>
    <row r="4943" spans="1:1">
      <c r="A4943" s="11" t="str">
        <f t="shared" si="158"/>
        <v/>
      </c>
    </row>
    <row r="4944" spans="1:1">
      <c r="A4944" s="11" t="str">
        <f t="shared" si="158"/>
        <v/>
      </c>
    </row>
    <row r="4945" spans="1:1">
      <c r="A4945" s="11" t="str">
        <f t="shared" si="158"/>
        <v/>
      </c>
    </row>
    <row r="4946" spans="1:1">
      <c r="A4946" s="11" t="str">
        <f t="shared" si="158"/>
        <v/>
      </c>
    </row>
    <row r="4947" spans="1:1">
      <c r="A4947" s="11" t="str">
        <f t="shared" si="158"/>
        <v/>
      </c>
    </row>
    <row r="4948" spans="1:1">
      <c r="A4948" s="11" t="str">
        <f t="shared" si="158"/>
        <v/>
      </c>
    </row>
    <row r="4949" spans="1:1">
      <c r="A4949" s="11" t="str">
        <f t="shared" si="158"/>
        <v/>
      </c>
    </row>
    <row r="4950" spans="1:1">
      <c r="A4950" s="11" t="str">
        <f t="shared" si="158"/>
        <v/>
      </c>
    </row>
    <row r="4951" spans="1:1">
      <c r="A4951" s="11" t="str">
        <f t="shared" si="158"/>
        <v/>
      </c>
    </row>
    <row r="4952" spans="1:1">
      <c r="A4952" s="11" t="str">
        <f t="shared" si="158"/>
        <v/>
      </c>
    </row>
    <row r="4953" spans="1:1">
      <c r="A4953" s="11" t="str">
        <f t="shared" si="158"/>
        <v/>
      </c>
    </row>
    <row r="4954" spans="1:1">
      <c r="A4954" s="11" t="str">
        <f t="shared" si="158"/>
        <v/>
      </c>
    </row>
    <row r="4955" spans="1:1">
      <c r="A4955" s="11" t="str">
        <f t="shared" si="158"/>
        <v/>
      </c>
    </row>
    <row r="4956" spans="1:1">
      <c r="A4956" s="11" t="str">
        <f t="shared" si="158"/>
        <v/>
      </c>
    </row>
    <row r="4957" spans="1:1">
      <c r="A4957" s="11" t="str">
        <f t="shared" si="158"/>
        <v/>
      </c>
    </row>
    <row r="4958" spans="1:1">
      <c r="A4958" s="11" t="str">
        <f t="shared" si="158"/>
        <v/>
      </c>
    </row>
    <row r="4959" spans="1:1">
      <c r="A4959" s="11" t="str">
        <f t="shared" si="158"/>
        <v/>
      </c>
    </row>
    <row r="4960" spans="1:1">
      <c r="A4960" s="11" t="str">
        <f t="shared" si="158"/>
        <v/>
      </c>
    </row>
    <row r="4961" spans="1:1">
      <c r="A4961" s="11" t="str">
        <f t="shared" si="158"/>
        <v/>
      </c>
    </row>
    <row r="4962" spans="1:1">
      <c r="A4962" s="11" t="str">
        <f t="shared" si="158"/>
        <v/>
      </c>
    </row>
    <row r="4963" spans="1:1">
      <c r="A4963" s="11" t="str">
        <f t="shared" si="158"/>
        <v/>
      </c>
    </row>
    <row r="4964" spans="1:1">
      <c r="A4964" s="11" t="str">
        <f t="shared" si="158"/>
        <v/>
      </c>
    </row>
    <row r="4965" spans="1:1">
      <c r="A4965" s="11" t="str">
        <f t="shared" si="158"/>
        <v/>
      </c>
    </row>
    <row r="4966" spans="1:1">
      <c r="A4966" s="11" t="str">
        <f t="shared" si="158"/>
        <v/>
      </c>
    </row>
    <row r="4967" spans="1:1">
      <c r="A4967" s="11" t="str">
        <f t="shared" si="158"/>
        <v/>
      </c>
    </row>
    <row r="4968" spans="1:1">
      <c r="A4968" s="11" t="str">
        <f t="shared" si="158"/>
        <v/>
      </c>
    </row>
    <row r="4969" spans="1:1">
      <c r="A4969" s="11" t="str">
        <f t="shared" si="158"/>
        <v/>
      </c>
    </row>
    <row r="4970" spans="1:1">
      <c r="A4970" s="11" t="str">
        <f t="shared" si="158"/>
        <v/>
      </c>
    </row>
    <row r="4971" spans="1:1">
      <c r="A4971" s="11" t="str">
        <f t="shared" si="158"/>
        <v/>
      </c>
    </row>
    <row r="4972" spans="1:1">
      <c r="A4972" s="11" t="str">
        <f t="shared" si="158"/>
        <v/>
      </c>
    </row>
    <row r="4973" spans="1:1">
      <c r="A4973" s="11" t="str">
        <f t="shared" si="158"/>
        <v/>
      </c>
    </row>
    <row r="4974" spans="1:1">
      <c r="A4974" s="11" t="str">
        <f t="shared" si="158"/>
        <v/>
      </c>
    </row>
    <row r="4975" spans="1:1">
      <c r="A4975" s="11" t="str">
        <f t="shared" si="158"/>
        <v/>
      </c>
    </row>
    <row r="4976" spans="1:1">
      <c r="A4976" s="11" t="str">
        <f t="shared" si="158"/>
        <v/>
      </c>
    </row>
    <row r="4977" spans="1:1">
      <c r="A4977" s="11" t="str">
        <f t="shared" si="158"/>
        <v/>
      </c>
    </row>
    <row r="4978" spans="1:1">
      <c r="A4978" s="11" t="str">
        <f t="shared" si="158"/>
        <v/>
      </c>
    </row>
    <row r="4979" spans="1:1">
      <c r="A4979" s="11" t="str">
        <f t="shared" si="158"/>
        <v/>
      </c>
    </row>
    <row r="4980" spans="1:1">
      <c r="A4980" s="11" t="str">
        <f t="shared" si="158"/>
        <v/>
      </c>
    </row>
    <row r="4981" spans="1:1">
      <c r="A4981" s="11" t="str">
        <f t="shared" si="158"/>
        <v/>
      </c>
    </row>
    <row r="4982" spans="1:1">
      <c r="A4982" s="11" t="str">
        <f t="shared" si="158"/>
        <v/>
      </c>
    </row>
    <row r="4983" spans="1:1">
      <c r="A4983" s="11" t="str">
        <f t="shared" si="158"/>
        <v/>
      </c>
    </row>
    <row r="4984" spans="1:1">
      <c r="A4984" s="11" t="str">
        <f t="shared" si="158"/>
        <v/>
      </c>
    </row>
    <row r="4985" spans="1:1">
      <c r="A4985" s="11" t="str">
        <f t="shared" si="158"/>
        <v/>
      </c>
    </row>
    <row r="4986" spans="1:1">
      <c r="A4986" s="11" t="str">
        <f t="shared" si="158"/>
        <v/>
      </c>
    </row>
    <row r="4987" spans="1:1">
      <c r="A4987" s="11" t="str">
        <f t="shared" si="158"/>
        <v/>
      </c>
    </row>
    <row r="4988" spans="1:1">
      <c r="A4988" s="11" t="str">
        <f t="shared" si="158"/>
        <v/>
      </c>
    </row>
    <row r="4989" spans="1:1">
      <c r="A4989" s="11" t="str">
        <f t="shared" si="158"/>
        <v/>
      </c>
    </row>
    <row r="4990" spans="1:1">
      <c r="A4990" s="11" t="str">
        <f t="shared" si="158"/>
        <v/>
      </c>
    </row>
    <row r="4991" spans="1:1">
      <c r="A4991" s="11" t="str">
        <f t="shared" si="158"/>
        <v/>
      </c>
    </row>
    <row r="4992" spans="1:1">
      <c r="A4992" s="11" t="str">
        <f t="shared" si="158"/>
        <v/>
      </c>
    </row>
    <row r="4993" spans="1:1">
      <c r="A4993" s="11" t="str">
        <f t="shared" si="158"/>
        <v/>
      </c>
    </row>
    <row r="4994" spans="1:1">
      <c r="A4994" s="11" t="str">
        <f t="shared" si="158"/>
        <v/>
      </c>
    </row>
    <row r="4995" spans="1:1">
      <c r="A4995" s="11" t="str">
        <f t="shared" ref="A4995:A5058" si="159">B4995&amp;D4995</f>
        <v/>
      </c>
    </row>
    <row r="4996" spans="1:1">
      <c r="A4996" s="11" t="str">
        <f t="shared" si="159"/>
        <v/>
      </c>
    </row>
    <row r="4997" spans="1:1">
      <c r="A4997" s="11" t="str">
        <f t="shared" si="159"/>
        <v/>
      </c>
    </row>
    <row r="4998" spans="1:1">
      <c r="A4998" s="11" t="str">
        <f t="shared" si="159"/>
        <v/>
      </c>
    </row>
    <row r="4999" spans="1:1">
      <c r="A4999" s="11" t="str">
        <f t="shared" si="159"/>
        <v/>
      </c>
    </row>
    <row r="5000" spans="1:1">
      <c r="A5000" s="11" t="str">
        <f t="shared" si="159"/>
        <v/>
      </c>
    </row>
    <row r="5001" spans="1:1">
      <c r="A5001" s="11" t="str">
        <f t="shared" si="159"/>
        <v/>
      </c>
    </row>
    <row r="5002" spans="1:1">
      <c r="A5002" s="11" t="str">
        <f t="shared" si="159"/>
        <v/>
      </c>
    </row>
    <row r="5003" spans="1:1">
      <c r="A5003" s="11" t="str">
        <f t="shared" si="159"/>
        <v/>
      </c>
    </row>
    <row r="5004" spans="1:1">
      <c r="A5004" s="11" t="str">
        <f t="shared" si="159"/>
        <v/>
      </c>
    </row>
    <row r="5005" spans="1:1">
      <c r="A5005" s="11" t="str">
        <f t="shared" si="159"/>
        <v/>
      </c>
    </row>
    <row r="5006" spans="1:1">
      <c r="A5006" s="11" t="str">
        <f t="shared" si="159"/>
        <v/>
      </c>
    </row>
    <row r="5007" spans="1:1">
      <c r="A5007" s="11" t="str">
        <f t="shared" si="159"/>
        <v/>
      </c>
    </row>
    <row r="5008" spans="1:1">
      <c r="A5008" s="11" t="str">
        <f t="shared" si="159"/>
        <v/>
      </c>
    </row>
    <row r="5009" spans="1:1">
      <c r="A5009" s="11" t="str">
        <f t="shared" si="159"/>
        <v/>
      </c>
    </row>
    <row r="5010" spans="1:1">
      <c r="A5010" s="11" t="str">
        <f t="shared" si="159"/>
        <v/>
      </c>
    </row>
    <row r="5011" spans="1:1">
      <c r="A5011" s="11" t="str">
        <f t="shared" si="159"/>
        <v/>
      </c>
    </row>
    <row r="5012" spans="1:1">
      <c r="A5012" s="11" t="str">
        <f t="shared" si="159"/>
        <v/>
      </c>
    </row>
    <row r="5013" spans="1:1">
      <c r="A5013" s="11" t="str">
        <f t="shared" si="159"/>
        <v/>
      </c>
    </row>
    <row r="5014" spans="1:1">
      <c r="A5014" s="11" t="str">
        <f t="shared" si="159"/>
        <v/>
      </c>
    </row>
    <row r="5015" spans="1:1">
      <c r="A5015" s="11" t="str">
        <f t="shared" si="159"/>
        <v/>
      </c>
    </row>
    <row r="5016" spans="1:1">
      <c r="A5016" s="11" t="str">
        <f t="shared" si="159"/>
        <v/>
      </c>
    </row>
    <row r="5017" spans="1:1">
      <c r="A5017" s="11" t="str">
        <f t="shared" si="159"/>
        <v/>
      </c>
    </row>
    <row r="5018" spans="1:1">
      <c r="A5018" s="11" t="str">
        <f t="shared" si="159"/>
        <v/>
      </c>
    </row>
    <row r="5019" spans="1:1">
      <c r="A5019" s="11" t="str">
        <f t="shared" si="159"/>
        <v/>
      </c>
    </row>
    <row r="5020" spans="1:1">
      <c r="A5020" s="11" t="str">
        <f t="shared" si="159"/>
        <v/>
      </c>
    </row>
    <row r="5021" spans="1:1">
      <c r="A5021" s="11" t="str">
        <f t="shared" si="159"/>
        <v/>
      </c>
    </row>
    <row r="5022" spans="1:1">
      <c r="A5022" s="11" t="str">
        <f t="shared" si="159"/>
        <v/>
      </c>
    </row>
    <row r="5023" spans="1:1">
      <c r="A5023" s="11" t="str">
        <f t="shared" si="159"/>
        <v/>
      </c>
    </row>
    <row r="5024" spans="1:1">
      <c r="A5024" s="11" t="str">
        <f t="shared" si="159"/>
        <v/>
      </c>
    </row>
    <row r="5025" spans="1:1">
      <c r="A5025" s="11" t="str">
        <f t="shared" si="159"/>
        <v/>
      </c>
    </row>
    <row r="5026" spans="1:1">
      <c r="A5026" s="11" t="str">
        <f t="shared" si="159"/>
        <v/>
      </c>
    </row>
    <row r="5027" spans="1:1">
      <c r="A5027" s="11" t="str">
        <f t="shared" si="159"/>
        <v/>
      </c>
    </row>
    <row r="5028" spans="1:1">
      <c r="A5028" s="11" t="str">
        <f t="shared" si="159"/>
        <v/>
      </c>
    </row>
    <row r="5029" spans="1:1">
      <c r="A5029" s="11" t="str">
        <f t="shared" si="159"/>
        <v/>
      </c>
    </row>
    <row r="5030" spans="1:1">
      <c r="A5030" s="11" t="str">
        <f t="shared" si="159"/>
        <v/>
      </c>
    </row>
    <row r="5031" spans="1:1">
      <c r="A5031" s="11" t="str">
        <f t="shared" si="159"/>
        <v/>
      </c>
    </row>
    <row r="5032" spans="1:1">
      <c r="A5032" s="11" t="str">
        <f t="shared" si="159"/>
        <v/>
      </c>
    </row>
    <row r="5033" spans="1:1">
      <c r="A5033" s="11" t="str">
        <f t="shared" si="159"/>
        <v/>
      </c>
    </row>
    <row r="5034" spans="1:1">
      <c r="A5034" s="11" t="str">
        <f t="shared" si="159"/>
        <v/>
      </c>
    </row>
    <row r="5035" spans="1:1">
      <c r="A5035" s="11" t="str">
        <f t="shared" si="159"/>
        <v/>
      </c>
    </row>
    <row r="5036" spans="1:1">
      <c r="A5036" s="11" t="str">
        <f t="shared" si="159"/>
        <v/>
      </c>
    </row>
    <row r="5037" spans="1:1">
      <c r="A5037" s="11" t="str">
        <f t="shared" si="159"/>
        <v/>
      </c>
    </row>
    <row r="5038" spans="1:1">
      <c r="A5038" s="11" t="str">
        <f t="shared" si="159"/>
        <v/>
      </c>
    </row>
    <row r="5039" spans="1:1">
      <c r="A5039" s="11" t="str">
        <f t="shared" si="159"/>
        <v/>
      </c>
    </row>
    <row r="5040" spans="1:1">
      <c r="A5040" s="11" t="str">
        <f t="shared" si="159"/>
        <v/>
      </c>
    </row>
    <row r="5041" spans="1:1">
      <c r="A5041" s="11" t="str">
        <f t="shared" si="159"/>
        <v/>
      </c>
    </row>
    <row r="5042" spans="1:1">
      <c r="A5042" s="11" t="str">
        <f t="shared" si="159"/>
        <v/>
      </c>
    </row>
    <row r="5043" spans="1:1">
      <c r="A5043" s="11" t="str">
        <f t="shared" si="159"/>
        <v/>
      </c>
    </row>
    <row r="5044" spans="1:1">
      <c r="A5044" s="11" t="str">
        <f t="shared" si="159"/>
        <v/>
      </c>
    </row>
    <row r="5045" spans="1:1">
      <c r="A5045" s="11" t="str">
        <f t="shared" si="159"/>
        <v/>
      </c>
    </row>
    <row r="5046" spans="1:1">
      <c r="A5046" s="11" t="str">
        <f t="shared" si="159"/>
        <v/>
      </c>
    </row>
    <row r="5047" spans="1:1">
      <c r="A5047" s="11" t="str">
        <f t="shared" si="159"/>
        <v/>
      </c>
    </row>
    <row r="5048" spans="1:1">
      <c r="A5048" s="11" t="str">
        <f t="shared" si="159"/>
        <v/>
      </c>
    </row>
    <row r="5049" spans="1:1">
      <c r="A5049" s="11" t="str">
        <f t="shared" si="159"/>
        <v/>
      </c>
    </row>
    <row r="5050" spans="1:1">
      <c r="A5050" s="11" t="str">
        <f t="shared" si="159"/>
        <v/>
      </c>
    </row>
    <row r="5051" spans="1:1">
      <c r="A5051" s="11" t="str">
        <f t="shared" si="159"/>
        <v/>
      </c>
    </row>
    <row r="5052" spans="1:1">
      <c r="A5052" s="11" t="str">
        <f t="shared" si="159"/>
        <v/>
      </c>
    </row>
    <row r="5053" spans="1:1">
      <c r="A5053" s="11" t="str">
        <f t="shared" si="159"/>
        <v/>
      </c>
    </row>
    <row r="5054" spans="1:1">
      <c r="A5054" s="11" t="str">
        <f t="shared" si="159"/>
        <v/>
      </c>
    </row>
    <row r="5055" spans="1:1">
      <c r="A5055" s="11" t="str">
        <f t="shared" si="159"/>
        <v/>
      </c>
    </row>
    <row r="5056" spans="1:1">
      <c r="A5056" s="11" t="str">
        <f t="shared" si="159"/>
        <v/>
      </c>
    </row>
    <row r="5057" spans="1:1">
      <c r="A5057" s="11" t="str">
        <f t="shared" si="159"/>
        <v/>
      </c>
    </row>
    <row r="5058" spans="1:1">
      <c r="A5058" s="11" t="str">
        <f t="shared" si="159"/>
        <v/>
      </c>
    </row>
    <row r="5059" spans="1:1">
      <c r="A5059" s="11" t="str">
        <f t="shared" ref="A5059:A5122" si="160">B5059&amp;D5059</f>
        <v/>
      </c>
    </row>
    <row r="5060" spans="1:1">
      <c r="A5060" s="11" t="str">
        <f t="shared" si="160"/>
        <v/>
      </c>
    </row>
    <row r="5061" spans="1:1">
      <c r="A5061" s="11" t="str">
        <f t="shared" si="160"/>
        <v/>
      </c>
    </row>
    <row r="5062" spans="1:1">
      <c r="A5062" s="11" t="str">
        <f t="shared" si="160"/>
        <v/>
      </c>
    </row>
    <row r="5063" spans="1:1">
      <c r="A5063" s="11" t="str">
        <f t="shared" si="160"/>
        <v/>
      </c>
    </row>
    <row r="5064" spans="1:1">
      <c r="A5064" s="11" t="str">
        <f t="shared" si="160"/>
        <v/>
      </c>
    </row>
    <row r="5065" spans="1:1">
      <c r="A5065" s="11" t="str">
        <f t="shared" si="160"/>
        <v/>
      </c>
    </row>
    <row r="5066" spans="1:1">
      <c r="A5066" s="11" t="str">
        <f t="shared" si="160"/>
        <v/>
      </c>
    </row>
    <row r="5067" spans="1:1">
      <c r="A5067" s="11" t="str">
        <f t="shared" si="160"/>
        <v/>
      </c>
    </row>
    <row r="5068" spans="1:1">
      <c r="A5068" s="11" t="str">
        <f t="shared" si="160"/>
        <v/>
      </c>
    </row>
    <row r="5069" spans="1:1">
      <c r="A5069" s="11" t="str">
        <f t="shared" si="160"/>
        <v/>
      </c>
    </row>
    <row r="5070" spans="1:1">
      <c r="A5070" s="11" t="str">
        <f t="shared" si="160"/>
        <v/>
      </c>
    </row>
    <row r="5071" spans="1:1">
      <c r="A5071" s="11" t="str">
        <f t="shared" si="160"/>
        <v/>
      </c>
    </row>
    <row r="5072" spans="1:1">
      <c r="A5072" s="11" t="str">
        <f t="shared" si="160"/>
        <v/>
      </c>
    </row>
    <row r="5073" spans="1:1">
      <c r="A5073" s="11" t="str">
        <f t="shared" si="160"/>
        <v/>
      </c>
    </row>
    <row r="5074" spans="1:1">
      <c r="A5074" s="11" t="str">
        <f t="shared" si="160"/>
        <v/>
      </c>
    </row>
    <row r="5075" spans="1:1">
      <c r="A5075" s="11" t="str">
        <f t="shared" si="160"/>
        <v/>
      </c>
    </row>
    <row r="5076" spans="1:1">
      <c r="A5076" s="11" t="str">
        <f t="shared" si="160"/>
        <v/>
      </c>
    </row>
    <row r="5077" spans="1:1">
      <c r="A5077" s="11" t="str">
        <f t="shared" si="160"/>
        <v/>
      </c>
    </row>
    <row r="5078" spans="1:1">
      <c r="A5078" s="11" t="str">
        <f t="shared" si="160"/>
        <v/>
      </c>
    </row>
    <row r="5079" spans="1:1">
      <c r="A5079" s="11" t="str">
        <f t="shared" si="160"/>
        <v/>
      </c>
    </row>
    <row r="5080" spans="1:1">
      <c r="A5080" s="11" t="str">
        <f t="shared" si="160"/>
        <v/>
      </c>
    </row>
    <row r="5081" spans="1:1">
      <c r="A5081" s="11" t="str">
        <f t="shared" si="160"/>
        <v/>
      </c>
    </row>
    <row r="5082" spans="1:1">
      <c r="A5082" s="11" t="str">
        <f t="shared" si="160"/>
        <v/>
      </c>
    </row>
    <row r="5083" spans="1:1">
      <c r="A5083" s="11" t="str">
        <f t="shared" si="160"/>
        <v/>
      </c>
    </row>
    <row r="5084" spans="1:1">
      <c r="A5084" s="11" t="str">
        <f t="shared" si="160"/>
        <v/>
      </c>
    </row>
    <row r="5085" spans="1:1">
      <c r="A5085" s="11" t="str">
        <f t="shared" si="160"/>
        <v/>
      </c>
    </row>
    <row r="5086" spans="1:1">
      <c r="A5086" s="11" t="str">
        <f t="shared" si="160"/>
        <v/>
      </c>
    </row>
    <row r="5087" spans="1:1">
      <c r="A5087" s="11" t="str">
        <f t="shared" si="160"/>
        <v/>
      </c>
    </row>
    <row r="5088" spans="1:1">
      <c r="A5088" s="11" t="str">
        <f t="shared" si="160"/>
        <v/>
      </c>
    </row>
    <row r="5089" spans="1:1">
      <c r="A5089" s="11" t="str">
        <f t="shared" si="160"/>
        <v/>
      </c>
    </row>
    <row r="5090" spans="1:1">
      <c r="A5090" s="11" t="str">
        <f t="shared" si="160"/>
        <v/>
      </c>
    </row>
    <row r="5091" spans="1:1">
      <c r="A5091" s="11" t="str">
        <f t="shared" si="160"/>
        <v/>
      </c>
    </row>
    <row r="5092" spans="1:1">
      <c r="A5092" s="11" t="str">
        <f t="shared" si="160"/>
        <v/>
      </c>
    </row>
    <row r="5093" spans="1:1">
      <c r="A5093" s="11" t="str">
        <f t="shared" si="160"/>
        <v/>
      </c>
    </row>
    <row r="5094" spans="1:1">
      <c r="A5094" s="11" t="str">
        <f t="shared" si="160"/>
        <v/>
      </c>
    </row>
    <row r="5095" spans="1:1">
      <c r="A5095" s="11" t="str">
        <f t="shared" si="160"/>
        <v/>
      </c>
    </row>
    <row r="5096" spans="1:1">
      <c r="A5096" s="11" t="str">
        <f t="shared" si="160"/>
        <v/>
      </c>
    </row>
    <row r="5097" spans="1:1">
      <c r="A5097" s="11" t="str">
        <f t="shared" si="160"/>
        <v/>
      </c>
    </row>
    <row r="5098" spans="1:1">
      <c r="A5098" s="11" t="str">
        <f t="shared" si="160"/>
        <v/>
      </c>
    </row>
    <row r="5099" spans="1:1">
      <c r="A5099" s="11" t="str">
        <f t="shared" si="160"/>
        <v/>
      </c>
    </row>
    <row r="5100" spans="1:1">
      <c r="A5100" s="11" t="str">
        <f t="shared" si="160"/>
        <v/>
      </c>
    </row>
    <row r="5101" spans="1:1">
      <c r="A5101" s="11" t="str">
        <f t="shared" si="160"/>
        <v/>
      </c>
    </row>
    <row r="5102" spans="1:1">
      <c r="A5102" s="11" t="str">
        <f t="shared" si="160"/>
        <v/>
      </c>
    </row>
    <row r="5103" spans="1:1">
      <c r="A5103" s="11" t="str">
        <f t="shared" si="160"/>
        <v/>
      </c>
    </row>
    <row r="5104" spans="1:1">
      <c r="A5104" s="11" t="str">
        <f t="shared" si="160"/>
        <v/>
      </c>
    </row>
    <row r="5105" spans="1:1">
      <c r="A5105" s="11" t="str">
        <f t="shared" si="160"/>
        <v/>
      </c>
    </row>
    <row r="5106" spans="1:1">
      <c r="A5106" s="11" t="str">
        <f t="shared" si="160"/>
        <v/>
      </c>
    </row>
    <row r="5107" spans="1:1">
      <c r="A5107" s="11" t="str">
        <f t="shared" si="160"/>
        <v/>
      </c>
    </row>
    <row r="5108" spans="1:1">
      <c r="A5108" s="11" t="str">
        <f t="shared" si="160"/>
        <v/>
      </c>
    </row>
    <row r="5109" spans="1:1">
      <c r="A5109" s="11" t="str">
        <f t="shared" si="160"/>
        <v/>
      </c>
    </row>
    <row r="5110" spans="1:1">
      <c r="A5110" s="11" t="str">
        <f t="shared" si="160"/>
        <v/>
      </c>
    </row>
    <row r="5111" spans="1:1">
      <c r="A5111" s="11" t="str">
        <f t="shared" si="160"/>
        <v/>
      </c>
    </row>
    <row r="5112" spans="1:1">
      <c r="A5112" s="11" t="str">
        <f t="shared" si="160"/>
        <v/>
      </c>
    </row>
    <row r="5113" spans="1:1">
      <c r="A5113" s="11" t="str">
        <f t="shared" si="160"/>
        <v/>
      </c>
    </row>
    <row r="5114" spans="1:1">
      <c r="A5114" s="11" t="str">
        <f t="shared" si="160"/>
        <v/>
      </c>
    </row>
    <row r="5115" spans="1:1">
      <c r="A5115" s="11" t="str">
        <f t="shared" si="160"/>
        <v/>
      </c>
    </row>
    <row r="5116" spans="1:1">
      <c r="A5116" s="11" t="str">
        <f t="shared" si="160"/>
        <v/>
      </c>
    </row>
    <row r="5117" spans="1:1">
      <c r="A5117" s="11" t="str">
        <f t="shared" si="160"/>
        <v/>
      </c>
    </row>
    <row r="5118" spans="1:1">
      <c r="A5118" s="11" t="str">
        <f t="shared" si="160"/>
        <v/>
      </c>
    </row>
    <row r="5119" spans="1:1">
      <c r="A5119" s="11" t="str">
        <f t="shared" si="160"/>
        <v/>
      </c>
    </row>
    <row r="5120" spans="1:1">
      <c r="A5120" s="11" t="str">
        <f t="shared" si="160"/>
        <v/>
      </c>
    </row>
    <row r="5121" spans="1:1">
      <c r="A5121" s="11" t="str">
        <f t="shared" si="160"/>
        <v/>
      </c>
    </row>
    <row r="5122" spans="1:1">
      <c r="A5122" s="11" t="str">
        <f t="shared" si="160"/>
        <v/>
      </c>
    </row>
    <row r="5123" spans="1:1">
      <c r="A5123" s="11" t="str">
        <f t="shared" ref="A5123:A5186" si="161">B5123&amp;D5123</f>
        <v/>
      </c>
    </row>
    <row r="5124" spans="1:1">
      <c r="A5124" s="11" t="str">
        <f t="shared" si="161"/>
        <v/>
      </c>
    </row>
    <row r="5125" spans="1:1">
      <c r="A5125" s="11" t="str">
        <f t="shared" si="161"/>
        <v/>
      </c>
    </row>
    <row r="5126" spans="1:1">
      <c r="A5126" s="11" t="str">
        <f t="shared" si="161"/>
        <v/>
      </c>
    </row>
    <row r="5127" spans="1:1">
      <c r="A5127" s="11" t="str">
        <f t="shared" si="161"/>
        <v/>
      </c>
    </row>
    <row r="5128" spans="1:1">
      <c r="A5128" s="11" t="str">
        <f t="shared" si="161"/>
        <v/>
      </c>
    </row>
    <row r="5129" spans="1:1">
      <c r="A5129" s="11" t="str">
        <f t="shared" si="161"/>
        <v/>
      </c>
    </row>
    <row r="5130" spans="1:1">
      <c r="A5130" s="11" t="str">
        <f t="shared" si="161"/>
        <v/>
      </c>
    </row>
    <row r="5131" spans="1:1">
      <c r="A5131" s="11" t="str">
        <f t="shared" si="161"/>
        <v/>
      </c>
    </row>
    <row r="5132" spans="1:1">
      <c r="A5132" s="11" t="str">
        <f t="shared" si="161"/>
        <v/>
      </c>
    </row>
    <row r="5133" spans="1:1">
      <c r="A5133" s="11" t="str">
        <f t="shared" si="161"/>
        <v/>
      </c>
    </row>
    <row r="5134" spans="1:1">
      <c r="A5134" s="11" t="str">
        <f t="shared" si="161"/>
        <v/>
      </c>
    </row>
    <row r="5135" spans="1:1">
      <c r="A5135" s="11" t="str">
        <f t="shared" si="161"/>
        <v/>
      </c>
    </row>
    <row r="5136" spans="1:1">
      <c r="A5136" s="11" t="str">
        <f t="shared" si="161"/>
        <v/>
      </c>
    </row>
    <row r="5137" spans="1:1">
      <c r="A5137" s="11" t="str">
        <f t="shared" si="161"/>
        <v/>
      </c>
    </row>
    <row r="5138" spans="1:1">
      <c r="A5138" s="11" t="str">
        <f t="shared" si="161"/>
        <v/>
      </c>
    </row>
    <row r="5139" spans="1:1">
      <c r="A5139" s="11" t="str">
        <f t="shared" si="161"/>
        <v/>
      </c>
    </row>
    <row r="5140" spans="1:1">
      <c r="A5140" s="11" t="str">
        <f t="shared" si="161"/>
        <v/>
      </c>
    </row>
    <row r="5141" spans="1:1">
      <c r="A5141" s="11" t="str">
        <f t="shared" si="161"/>
        <v/>
      </c>
    </row>
    <row r="5142" spans="1:1">
      <c r="A5142" s="11" t="str">
        <f t="shared" si="161"/>
        <v/>
      </c>
    </row>
    <row r="5143" spans="1:1">
      <c r="A5143" s="11" t="str">
        <f t="shared" si="161"/>
        <v/>
      </c>
    </row>
    <row r="5144" spans="1:1">
      <c r="A5144" s="11" t="str">
        <f t="shared" si="161"/>
        <v/>
      </c>
    </row>
    <row r="5145" spans="1:1">
      <c r="A5145" s="11" t="str">
        <f t="shared" si="161"/>
        <v/>
      </c>
    </row>
    <row r="5146" spans="1:1">
      <c r="A5146" s="11" t="str">
        <f t="shared" si="161"/>
        <v/>
      </c>
    </row>
    <row r="5147" spans="1:1">
      <c r="A5147" s="11" t="str">
        <f t="shared" si="161"/>
        <v/>
      </c>
    </row>
    <row r="5148" spans="1:1">
      <c r="A5148" s="11" t="str">
        <f t="shared" si="161"/>
        <v/>
      </c>
    </row>
    <row r="5149" spans="1:1">
      <c r="A5149" s="11" t="str">
        <f t="shared" si="161"/>
        <v/>
      </c>
    </row>
    <row r="5150" spans="1:1">
      <c r="A5150" s="11" t="str">
        <f t="shared" si="161"/>
        <v/>
      </c>
    </row>
    <row r="5151" spans="1:1">
      <c r="A5151" s="11" t="str">
        <f t="shared" si="161"/>
        <v/>
      </c>
    </row>
    <row r="5152" spans="1:1">
      <c r="A5152" s="11" t="str">
        <f t="shared" si="161"/>
        <v/>
      </c>
    </row>
    <row r="5153" spans="1:1">
      <c r="A5153" s="11" t="str">
        <f t="shared" si="161"/>
        <v/>
      </c>
    </row>
    <row r="5154" spans="1:1">
      <c r="A5154" s="11" t="str">
        <f t="shared" si="161"/>
        <v/>
      </c>
    </row>
    <row r="5155" spans="1:1">
      <c r="A5155" s="11" t="str">
        <f t="shared" si="161"/>
        <v/>
      </c>
    </row>
    <row r="5156" spans="1:1">
      <c r="A5156" s="11" t="str">
        <f t="shared" si="161"/>
        <v/>
      </c>
    </row>
    <row r="5157" spans="1:1">
      <c r="A5157" s="11" t="str">
        <f t="shared" si="161"/>
        <v/>
      </c>
    </row>
    <row r="5158" spans="1:1">
      <c r="A5158" s="11" t="str">
        <f t="shared" si="161"/>
        <v/>
      </c>
    </row>
    <row r="5159" spans="1:1">
      <c r="A5159" s="11" t="str">
        <f t="shared" si="161"/>
        <v/>
      </c>
    </row>
    <row r="5160" spans="1:1">
      <c r="A5160" s="11" t="str">
        <f t="shared" si="161"/>
        <v/>
      </c>
    </row>
    <row r="5161" spans="1:1">
      <c r="A5161" s="11" t="str">
        <f t="shared" si="161"/>
        <v/>
      </c>
    </row>
    <row r="5162" spans="1:1">
      <c r="A5162" s="11" t="str">
        <f t="shared" si="161"/>
        <v/>
      </c>
    </row>
    <row r="5163" spans="1:1">
      <c r="A5163" s="11" t="str">
        <f t="shared" si="161"/>
        <v/>
      </c>
    </row>
    <row r="5164" spans="1:1">
      <c r="A5164" s="11" t="str">
        <f t="shared" si="161"/>
        <v/>
      </c>
    </row>
    <row r="5165" spans="1:1">
      <c r="A5165" s="11" t="str">
        <f t="shared" si="161"/>
        <v/>
      </c>
    </row>
    <row r="5166" spans="1:1">
      <c r="A5166" s="11" t="str">
        <f t="shared" si="161"/>
        <v/>
      </c>
    </row>
    <row r="5167" spans="1:1">
      <c r="A5167" s="11" t="str">
        <f t="shared" si="161"/>
        <v/>
      </c>
    </row>
    <row r="5168" spans="1:1">
      <c r="A5168" s="11" t="str">
        <f t="shared" si="161"/>
        <v/>
      </c>
    </row>
    <row r="5169" spans="1:1">
      <c r="A5169" s="11" t="str">
        <f t="shared" si="161"/>
        <v/>
      </c>
    </row>
    <row r="5170" spans="1:1">
      <c r="A5170" s="11" t="str">
        <f t="shared" si="161"/>
        <v/>
      </c>
    </row>
    <row r="5171" spans="1:1">
      <c r="A5171" s="11" t="str">
        <f t="shared" si="161"/>
        <v/>
      </c>
    </row>
    <row r="5172" spans="1:1">
      <c r="A5172" s="11" t="str">
        <f t="shared" si="161"/>
        <v/>
      </c>
    </row>
    <row r="5173" spans="1:1">
      <c r="A5173" s="11" t="str">
        <f t="shared" si="161"/>
        <v/>
      </c>
    </row>
    <row r="5174" spans="1:1">
      <c r="A5174" s="11" t="str">
        <f t="shared" si="161"/>
        <v/>
      </c>
    </row>
    <row r="5175" spans="1:1">
      <c r="A5175" s="11" t="str">
        <f t="shared" si="161"/>
        <v/>
      </c>
    </row>
    <row r="5176" spans="1:1">
      <c r="A5176" s="11" t="str">
        <f t="shared" si="161"/>
        <v/>
      </c>
    </row>
    <row r="5177" spans="1:1">
      <c r="A5177" s="11" t="str">
        <f t="shared" si="161"/>
        <v/>
      </c>
    </row>
    <row r="5178" spans="1:1">
      <c r="A5178" s="11" t="str">
        <f t="shared" si="161"/>
        <v/>
      </c>
    </row>
    <row r="5179" spans="1:1">
      <c r="A5179" s="11" t="str">
        <f t="shared" si="161"/>
        <v/>
      </c>
    </row>
    <row r="5180" spans="1:1">
      <c r="A5180" s="11" t="str">
        <f t="shared" si="161"/>
        <v/>
      </c>
    </row>
    <row r="5181" spans="1:1">
      <c r="A5181" s="11" t="str">
        <f t="shared" si="161"/>
        <v/>
      </c>
    </row>
    <row r="5182" spans="1:1">
      <c r="A5182" s="11" t="str">
        <f t="shared" si="161"/>
        <v/>
      </c>
    </row>
    <row r="5183" spans="1:1">
      <c r="A5183" s="11" t="str">
        <f t="shared" si="161"/>
        <v/>
      </c>
    </row>
    <row r="5184" spans="1:1">
      <c r="A5184" s="11" t="str">
        <f t="shared" si="161"/>
        <v/>
      </c>
    </row>
    <row r="5185" spans="1:1">
      <c r="A5185" s="11" t="str">
        <f t="shared" si="161"/>
        <v/>
      </c>
    </row>
    <row r="5186" spans="1:1">
      <c r="A5186" s="11" t="str">
        <f t="shared" si="161"/>
        <v/>
      </c>
    </row>
    <row r="5187" spans="1:1">
      <c r="A5187" s="11" t="str">
        <f t="shared" ref="A5187:A5250" si="162">B5187&amp;D5187</f>
        <v/>
      </c>
    </row>
    <row r="5188" spans="1:1">
      <c r="A5188" s="11" t="str">
        <f t="shared" si="162"/>
        <v/>
      </c>
    </row>
    <row r="5189" spans="1:1">
      <c r="A5189" s="11" t="str">
        <f t="shared" si="162"/>
        <v/>
      </c>
    </row>
    <row r="5190" spans="1:1">
      <c r="A5190" s="11" t="str">
        <f t="shared" si="162"/>
        <v/>
      </c>
    </row>
    <row r="5191" spans="1:1">
      <c r="A5191" s="11" t="str">
        <f t="shared" si="162"/>
        <v/>
      </c>
    </row>
    <row r="5192" spans="1:1">
      <c r="A5192" s="11" t="str">
        <f t="shared" si="162"/>
        <v/>
      </c>
    </row>
    <row r="5193" spans="1:1">
      <c r="A5193" s="11" t="str">
        <f t="shared" si="162"/>
        <v/>
      </c>
    </row>
    <row r="5194" spans="1:1">
      <c r="A5194" s="11" t="str">
        <f t="shared" si="162"/>
        <v/>
      </c>
    </row>
    <row r="5195" spans="1:1">
      <c r="A5195" s="11" t="str">
        <f t="shared" si="162"/>
        <v/>
      </c>
    </row>
    <row r="5196" spans="1:1">
      <c r="A5196" s="11" t="str">
        <f t="shared" si="162"/>
        <v/>
      </c>
    </row>
    <row r="5197" spans="1:1">
      <c r="A5197" s="11" t="str">
        <f t="shared" si="162"/>
        <v/>
      </c>
    </row>
    <row r="5198" spans="1:1">
      <c r="A5198" s="11" t="str">
        <f t="shared" si="162"/>
        <v/>
      </c>
    </row>
    <row r="5199" spans="1:1">
      <c r="A5199" s="11" t="str">
        <f t="shared" si="162"/>
        <v/>
      </c>
    </row>
    <row r="5200" spans="1:1">
      <c r="A5200" s="11" t="str">
        <f t="shared" si="162"/>
        <v/>
      </c>
    </row>
    <row r="5201" spans="1:1">
      <c r="A5201" s="11" t="str">
        <f t="shared" si="162"/>
        <v/>
      </c>
    </row>
    <row r="5202" spans="1:1">
      <c r="A5202" s="11" t="str">
        <f t="shared" si="162"/>
        <v/>
      </c>
    </row>
    <row r="5203" spans="1:1">
      <c r="A5203" s="11" t="str">
        <f t="shared" si="162"/>
        <v/>
      </c>
    </row>
    <row r="5204" spans="1:1">
      <c r="A5204" s="11" t="str">
        <f t="shared" si="162"/>
        <v/>
      </c>
    </row>
    <row r="5205" spans="1:1">
      <c r="A5205" s="11" t="str">
        <f t="shared" si="162"/>
        <v/>
      </c>
    </row>
    <row r="5206" spans="1:1">
      <c r="A5206" s="11" t="str">
        <f t="shared" si="162"/>
        <v/>
      </c>
    </row>
    <row r="5207" spans="1:1">
      <c r="A5207" s="11" t="str">
        <f t="shared" si="162"/>
        <v/>
      </c>
    </row>
    <row r="5208" spans="1:1">
      <c r="A5208" s="11" t="str">
        <f t="shared" si="162"/>
        <v/>
      </c>
    </row>
    <row r="5209" spans="1:1">
      <c r="A5209" s="11" t="str">
        <f t="shared" si="162"/>
        <v/>
      </c>
    </row>
    <row r="5210" spans="1:1">
      <c r="A5210" s="11" t="str">
        <f t="shared" si="162"/>
        <v/>
      </c>
    </row>
    <row r="5211" spans="1:1">
      <c r="A5211" s="11" t="str">
        <f t="shared" si="162"/>
        <v/>
      </c>
    </row>
    <row r="5212" spans="1:1">
      <c r="A5212" s="11" t="str">
        <f t="shared" si="162"/>
        <v/>
      </c>
    </row>
    <row r="5213" spans="1:1">
      <c r="A5213" s="11" t="str">
        <f t="shared" si="162"/>
        <v/>
      </c>
    </row>
    <row r="5214" spans="1:1">
      <c r="A5214" s="11" t="str">
        <f t="shared" si="162"/>
        <v/>
      </c>
    </row>
    <row r="5215" spans="1:1">
      <c r="A5215" s="11" t="str">
        <f t="shared" si="162"/>
        <v/>
      </c>
    </row>
    <row r="5216" spans="1:1">
      <c r="A5216" s="11" t="str">
        <f t="shared" si="162"/>
        <v/>
      </c>
    </row>
    <row r="5217" spans="1:1">
      <c r="A5217" s="11" t="str">
        <f t="shared" si="162"/>
        <v/>
      </c>
    </row>
    <row r="5218" spans="1:1">
      <c r="A5218" s="11" t="str">
        <f t="shared" si="162"/>
        <v/>
      </c>
    </row>
    <row r="5219" spans="1:1">
      <c r="A5219" s="11" t="str">
        <f t="shared" si="162"/>
        <v/>
      </c>
    </row>
    <row r="5220" spans="1:1">
      <c r="A5220" s="11" t="str">
        <f t="shared" si="162"/>
        <v/>
      </c>
    </row>
    <row r="5221" spans="1:1">
      <c r="A5221" s="11" t="str">
        <f t="shared" si="162"/>
        <v/>
      </c>
    </row>
    <row r="5222" spans="1:1">
      <c r="A5222" s="11" t="str">
        <f t="shared" si="162"/>
        <v/>
      </c>
    </row>
    <row r="5223" spans="1:1">
      <c r="A5223" s="11" t="str">
        <f t="shared" si="162"/>
        <v/>
      </c>
    </row>
    <row r="5224" spans="1:1">
      <c r="A5224" s="11" t="str">
        <f t="shared" si="162"/>
        <v/>
      </c>
    </row>
    <row r="5225" spans="1:1">
      <c r="A5225" s="11" t="str">
        <f t="shared" si="162"/>
        <v/>
      </c>
    </row>
    <row r="5226" spans="1:1">
      <c r="A5226" s="11" t="str">
        <f t="shared" si="162"/>
        <v/>
      </c>
    </row>
    <row r="5227" spans="1:1">
      <c r="A5227" s="11" t="str">
        <f t="shared" si="162"/>
        <v/>
      </c>
    </row>
    <row r="5228" spans="1:1">
      <c r="A5228" s="11" t="str">
        <f t="shared" si="162"/>
        <v/>
      </c>
    </row>
    <row r="5229" spans="1:1">
      <c r="A5229" s="11" t="str">
        <f t="shared" si="162"/>
        <v/>
      </c>
    </row>
    <row r="5230" spans="1:1">
      <c r="A5230" s="11" t="str">
        <f t="shared" si="162"/>
        <v/>
      </c>
    </row>
    <row r="5231" spans="1:1">
      <c r="A5231" s="11" t="str">
        <f t="shared" si="162"/>
        <v/>
      </c>
    </row>
    <row r="5232" spans="1:1">
      <c r="A5232" s="11" t="str">
        <f t="shared" si="162"/>
        <v/>
      </c>
    </row>
    <row r="5233" spans="1:1">
      <c r="A5233" s="11" t="str">
        <f t="shared" si="162"/>
        <v/>
      </c>
    </row>
    <row r="5234" spans="1:1">
      <c r="A5234" s="11" t="str">
        <f t="shared" si="162"/>
        <v/>
      </c>
    </row>
    <row r="5235" spans="1:1">
      <c r="A5235" s="11" t="str">
        <f t="shared" si="162"/>
        <v/>
      </c>
    </row>
    <row r="5236" spans="1:1">
      <c r="A5236" s="11" t="str">
        <f t="shared" si="162"/>
        <v/>
      </c>
    </row>
    <row r="5237" spans="1:1">
      <c r="A5237" s="11" t="str">
        <f t="shared" si="162"/>
        <v/>
      </c>
    </row>
    <row r="5238" spans="1:1">
      <c r="A5238" s="11" t="str">
        <f t="shared" si="162"/>
        <v/>
      </c>
    </row>
    <row r="5239" spans="1:1">
      <c r="A5239" s="11" t="str">
        <f t="shared" si="162"/>
        <v/>
      </c>
    </row>
    <row r="5240" spans="1:1">
      <c r="A5240" s="11" t="str">
        <f t="shared" si="162"/>
        <v/>
      </c>
    </row>
    <row r="5241" spans="1:1">
      <c r="A5241" s="11" t="str">
        <f t="shared" si="162"/>
        <v/>
      </c>
    </row>
    <row r="5242" spans="1:1">
      <c r="A5242" s="11" t="str">
        <f t="shared" si="162"/>
        <v/>
      </c>
    </row>
    <row r="5243" spans="1:1">
      <c r="A5243" s="11" t="str">
        <f t="shared" si="162"/>
        <v/>
      </c>
    </row>
    <row r="5244" spans="1:1">
      <c r="A5244" s="11" t="str">
        <f t="shared" si="162"/>
        <v/>
      </c>
    </row>
    <row r="5245" spans="1:1">
      <c r="A5245" s="11" t="str">
        <f t="shared" si="162"/>
        <v/>
      </c>
    </row>
    <row r="5246" spans="1:1">
      <c r="A5246" s="11" t="str">
        <f t="shared" si="162"/>
        <v/>
      </c>
    </row>
    <row r="5247" spans="1:1">
      <c r="A5247" s="11" t="str">
        <f t="shared" si="162"/>
        <v/>
      </c>
    </row>
    <row r="5248" spans="1:1">
      <c r="A5248" s="11" t="str">
        <f t="shared" si="162"/>
        <v/>
      </c>
    </row>
    <row r="5249" spans="1:1">
      <c r="A5249" s="11" t="str">
        <f t="shared" si="162"/>
        <v/>
      </c>
    </row>
    <row r="5250" spans="1:1">
      <c r="A5250" s="11" t="str">
        <f t="shared" si="162"/>
        <v/>
      </c>
    </row>
    <row r="5251" spans="1:1">
      <c r="A5251" s="11" t="str">
        <f t="shared" ref="A5251:A5314" si="163">B5251&amp;D5251</f>
        <v/>
      </c>
    </row>
    <row r="5252" spans="1:1">
      <c r="A5252" s="11" t="str">
        <f t="shared" si="163"/>
        <v/>
      </c>
    </row>
    <row r="5253" spans="1:1">
      <c r="A5253" s="11" t="str">
        <f t="shared" si="163"/>
        <v/>
      </c>
    </row>
    <row r="5254" spans="1:1">
      <c r="A5254" s="11" t="str">
        <f t="shared" si="163"/>
        <v/>
      </c>
    </row>
    <row r="5255" spans="1:1">
      <c r="A5255" s="11" t="str">
        <f t="shared" si="163"/>
        <v/>
      </c>
    </row>
    <row r="5256" spans="1:1">
      <c r="A5256" s="11" t="str">
        <f t="shared" si="163"/>
        <v/>
      </c>
    </row>
    <row r="5257" spans="1:1">
      <c r="A5257" s="11" t="str">
        <f t="shared" si="163"/>
        <v/>
      </c>
    </row>
    <row r="5258" spans="1:1">
      <c r="A5258" s="11" t="str">
        <f t="shared" si="163"/>
        <v/>
      </c>
    </row>
    <row r="5259" spans="1:1">
      <c r="A5259" s="11" t="str">
        <f t="shared" si="163"/>
        <v/>
      </c>
    </row>
    <row r="5260" spans="1:1">
      <c r="A5260" s="11" t="str">
        <f t="shared" si="163"/>
        <v/>
      </c>
    </row>
    <row r="5261" spans="1:1">
      <c r="A5261" s="11" t="str">
        <f t="shared" si="163"/>
        <v/>
      </c>
    </row>
    <row r="5262" spans="1:1">
      <c r="A5262" s="11" t="str">
        <f t="shared" si="163"/>
        <v/>
      </c>
    </row>
    <row r="5263" spans="1:1">
      <c r="A5263" s="11" t="str">
        <f t="shared" si="163"/>
        <v/>
      </c>
    </row>
    <row r="5264" spans="1:1">
      <c r="A5264" s="11" t="str">
        <f t="shared" si="163"/>
        <v/>
      </c>
    </row>
    <row r="5265" spans="1:1">
      <c r="A5265" s="11" t="str">
        <f t="shared" si="163"/>
        <v/>
      </c>
    </row>
    <row r="5266" spans="1:1">
      <c r="A5266" s="11" t="str">
        <f t="shared" si="163"/>
        <v/>
      </c>
    </row>
    <row r="5267" spans="1:1">
      <c r="A5267" s="11" t="str">
        <f t="shared" si="163"/>
        <v/>
      </c>
    </row>
    <row r="5268" spans="1:1">
      <c r="A5268" s="11" t="str">
        <f t="shared" si="163"/>
        <v/>
      </c>
    </row>
    <row r="5269" spans="1:1">
      <c r="A5269" s="11" t="str">
        <f t="shared" si="163"/>
        <v/>
      </c>
    </row>
    <row r="5270" spans="1:1">
      <c r="A5270" s="11" t="str">
        <f t="shared" si="163"/>
        <v/>
      </c>
    </row>
    <row r="5271" spans="1:1">
      <c r="A5271" s="11" t="str">
        <f t="shared" si="163"/>
        <v/>
      </c>
    </row>
    <row r="5272" spans="1:1">
      <c r="A5272" s="11" t="str">
        <f t="shared" si="163"/>
        <v/>
      </c>
    </row>
    <row r="5273" spans="1:1">
      <c r="A5273" s="11" t="str">
        <f t="shared" si="163"/>
        <v/>
      </c>
    </row>
    <row r="5274" spans="1:1">
      <c r="A5274" s="11" t="str">
        <f t="shared" si="163"/>
        <v/>
      </c>
    </row>
    <row r="5275" spans="1:1">
      <c r="A5275" s="11" t="str">
        <f t="shared" si="163"/>
        <v/>
      </c>
    </row>
    <row r="5276" spans="1:1">
      <c r="A5276" s="11" t="str">
        <f t="shared" si="163"/>
        <v/>
      </c>
    </row>
    <row r="5277" spans="1:1">
      <c r="A5277" s="11" t="str">
        <f t="shared" si="163"/>
        <v/>
      </c>
    </row>
    <row r="5278" spans="1:1">
      <c r="A5278" s="11" t="str">
        <f t="shared" si="163"/>
        <v/>
      </c>
    </row>
    <row r="5279" spans="1:1">
      <c r="A5279" s="11" t="str">
        <f t="shared" si="163"/>
        <v/>
      </c>
    </row>
    <row r="5280" spans="1:1">
      <c r="A5280" s="11" t="str">
        <f t="shared" si="163"/>
        <v/>
      </c>
    </row>
    <row r="5281" spans="1:1">
      <c r="A5281" s="11" t="str">
        <f t="shared" si="163"/>
        <v/>
      </c>
    </row>
    <row r="5282" spans="1:1">
      <c r="A5282" s="11" t="str">
        <f t="shared" si="163"/>
        <v/>
      </c>
    </row>
    <row r="5283" spans="1:1">
      <c r="A5283" s="11" t="str">
        <f t="shared" si="163"/>
        <v/>
      </c>
    </row>
    <row r="5284" spans="1:1">
      <c r="A5284" s="11" t="str">
        <f t="shared" si="163"/>
        <v/>
      </c>
    </row>
    <row r="5285" spans="1:1">
      <c r="A5285" s="11" t="str">
        <f t="shared" si="163"/>
        <v/>
      </c>
    </row>
    <row r="5286" spans="1:1">
      <c r="A5286" s="11" t="str">
        <f t="shared" si="163"/>
        <v/>
      </c>
    </row>
    <row r="5287" spans="1:1">
      <c r="A5287" s="11" t="str">
        <f t="shared" si="163"/>
        <v/>
      </c>
    </row>
    <row r="5288" spans="1:1">
      <c r="A5288" s="11" t="str">
        <f t="shared" si="163"/>
        <v/>
      </c>
    </row>
    <row r="5289" spans="1:1">
      <c r="A5289" s="11" t="str">
        <f t="shared" si="163"/>
        <v/>
      </c>
    </row>
    <row r="5290" spans="1:1">
      <c r="A5290" s="11" t="str">
        <f t="shared" si="163"/>
        <v/>
      </c>
    </row>
    <row r="5291" spans="1:1">
      <c r="A5291" s="11" t="str">
        <f t="shared" si="163"/>
        <v/>
      </c>
    </row>
    <row r="5292" spans="1:1">
      <c r="A5292" s="11" t="str">
        <f t="shared" si="163"/>
        <v/>
      </c>
    </row>
    <row r="5293" spans="1:1">
      <c r="A5293" s="11" t="str">
        <f t="shared" si="163"/>
        <v/>
      </c>
    </row>
    <row r="5294" spans="1:1">
      <c r="A5294" s="11" t="str">
        <f t="shared" si="163"/>
        <v/>
      </c>
    </row>
    <row r="5295" spans="1:1">
      <c r="A5295" s="11" t="str">
        <f t="shared" si="163"/>
        <v/>
      </c>
    </row>
    <row r="5296" spans="1:1">
      <c r="A5296" s="11" t="str">
        <f t="shared" si="163"/>
        <v/>
      </c>
    </row>
    <row r="5297" spans="1:1">
      <c r="A5297" s="11" t="str">
        <f t="shared" si="163"/>
        <v/>
      </c>
    </row>
    <row r="5298" spans="1:1">
      <c r="A5298" s="11" t="str">
        <f t="shared" si="163"/>
        <v/>
      </c>
    </row>
    <row r="5299" spans="1:1">
      <c r="A5299" s="11" t="str">
        <f t="shared" si="163"/>
        <v/>
      </c>
    </row>
    <row r="5300" spans="1:1">
      <c r="A5300" s="11" t="str">
        <f t="shared" si="163"/>
        <v/>
      </c>
    </row>
    <row r="5301" spans="1:1">
      <c r="A5301" s="11" t="str">
        <f t="shared" si="163"/>
        <v/>
      </c>
    </row>
    <row r="5302" spans="1:1">
      <c r="A5302" s="11" t="str">
        <f t="shared" si="163"/>
        <v/>
      </c>
    </row>
    <row r="5303" spans="1:1">
      <c r="A5303" s="11" t="str">
        <f t="shared" si="163"/>
        <v/>
      </c>
    </row>
    <row r="5304" spans="1:1">
      <c r="A5304" s="11" t="str">
        <f t="shared" si="163"/>
        <v/>
      </c>
    </row>
    <row r="5305" spans="1:1">
      <c r="A5305" s="11" t="str">
        <f t="shared" si="163"/>
        <v/>
      </c>
    </row>
    <row r="5306" spans="1:1">
      <c r="A5306" s="11" t="str">
        <f t="shared" si="163"/>
        <v/>
      </c>
    </row>
    <row r="5307" spans="1:1">
      <c r="A5307" s="11" t="str">
        <f t="shared" si="163"/>
        <v/>
      </c>
    </row>
    <row r="5308" spans="1:1">
      <c r="A5308" s="11" t="str">
        <f t="shared" si="163"/>
        <v/>
      </c>
    </row>
    <row r="5309" spans="1:1">
      <c r="A5309" s="11" t="str">
        <f t="shared" si="163"/>
        <v/>
      </c>
    </row>
    <row r="5310" spans="1:1">
      <c r="A5310" s="11" t="str">
        <f t="shared" si="163"/>
        <v/>
      </c>
    </row>
    <row r="5311" spans="1:1">
      <c r="A5311" s="11" t="str">
        <f t="shared" si="163"/>
        <v/>
      </c>
    </row>
    <row r="5312" spans="1:1">
      <c r="A5312" s="11" t="str">
        <f t="shared" si="163"/>
        <v/>
      </c>
    </row>
    <row r="5313" spans="1:1">
      <c r="A5313" s="11" t="str">
        <f t="shared" si="163"/>
        <v/>
      </c>
    </row>
    <row r="5314" spans="1:1">
      <c r="A5314" s="11" t="str">
        <f t="shared" si="163"/>
        <v/>
      </c>
    </row>
    <row r="5315" spans="1:1">
      <c r="A5315" s="11" t="str">
        <f t="shared" ref="A5315:A5378" si="164">B5315&amp;D5315</f>
        <v/>
      </c>
    </row>
    <row r="5316" spans="1:1">
      <c r="A5316" s="11" t="str">
        <f t="shared" si="164"/>
        <v/>
      </c>
    </row>
    <row r="5317" spans="1:1">
      <c r="A5317" s="11" t="str">
        <f t="shared" si="164"/>
        <v/>
      </c>
    </row>
    <row r="5318" spans="1:1">
      <c r="A5318" s="11" t="str">
        <f t="shared" si="164"/>
        <v/>
      </c>
    </row>
    <row r="5319" spans="1:1">
      <c r="A5319" s="11" t="str">
        <f t="shared" si="164"/>
        <v/>
      </c>
    </row>
    <row r="5320" spans="1:1">
      <c r="A5320" s="11" t="str">
        <f t="shared" si="164"/>
        <v/>
      </c>
    </row>
    <row r="5321" spans="1:1">
      <c r="A5321" s="11" t="str">
        <f t="shared" si="164"/>
        <v/>
      </c>
    </row>
    <row r="5322" spans="1:1">
      <c r="A5322" s="11" t="str">
        <f t="shared" si="164"/>
        <v/>
      </c>
    </row>
    <row r="5323" spans="1:1">
      <c r="A5323" s="11" t="str">
        <f t="shared" si="164"/>
        <v/>
      </c>
    </row>
    <row r="5324" spans="1:1">
      <c r="A5324" s="11" t="str">
        <f t="shared" si="164"/>
        <v/>
      </c>
    </row>
    <row r="5325" spans="1:1">
      <c r="A5325" s="11" t="str">
        <f t="shared" si="164"/>
        <v/>
      </c>
    </row>
    <row r="5326" spans="1:1">
      <c r="A5326" s="11" t="str">
        <f t="shared" si="164"/>
        <v/>
      </c>
    </row>
    <row r="5327" spans="1:1">
      <c r="A5327" s="11" t="str">
        <f t="shared" si="164"/>
        <v/>
      </c>
    </row>
    <row r="5328" spans="1:1">
      <c r="A5328" s="11" t="str">
        <f t="shared" si="164"/>
        <v/>
      </c>
    </row>
    <row r="5329" spans="1:1">
      <c r="A5329" s="11" t="str">
        <f t="shared" si="164"/>
        <v/>
      </c>
    </row>
    <row r="5330" spans="1:1">
      <c r="A5330" s="11" t="str">
        <f t="shared" si="164"/>
        <v/>
      </c>
    </row>
    <row r="5331" spans="1:1">
      <c r="A5331" s="11" t="str">
        <f t="shared" si="164"/>
        <v/>
      </c>
    </row>
    <row r="5332" spans="1:1">
      <c r="A5332" s="11" t="str">
        <f t="shared" si="164"/>
        <v/>
      </c>
    </row>
    <row r="5333" spans="1:1">
      <c r="A5333" s="11" t="str">
        <f t="shared" si="164"/>
        <v/>
      </c>
    </row>
    <row r="5334" spans="1:1">
      <c r="A5334" s="11" t="str">
        <f t="shared" si="164"/>
        <v/>
      </c>
    </row>
    <row r="5335" spans="1:1">
      <c r="A5335" s="11" t="str">
        <f t="shared" si="164"/>
        <v/>
      </c>
    </row>
    <row r="5336" spans="1:1">
      <c r="A5336" s="11" t="str">
        <f t="shared" si="164"/>
        <v/>
      </c>
    </row>
    <row r="5337" spans="1:1">
      <c r="A5337" s="11" t="str">
        <f t="shared" si="164"/>
        <v/>
      </c>
    </row>
    <row r="5338" spans="1:1">
      <c r="A5338" s="11" t="str">
        <f t="shared" si="164"/>
        <v/>
      </c>
    </row>
    <row r="5339" spans="1:1">
      <c r="A5339" s="11" t="str">
        <f t="shared" si="164"/>
        <v/>
      </c>
    </row>
    <row r="5340" spans="1:1">
      <c r="A5340" s="11" t="str">
        <f t="shared" si="164"/>
        <v/>
      </c>
    </row>
    <row r="5341" spans="1:1">
      <c r="A5341" s="11" t="str">
        <f t="shared" si="164"/>
        <v/>
      </c>
    </row>
    <row r="5342" spans="1:1">
      <c r="A5342" s="11" t="str">
        <f t="shared" si="164"/>
        <v/>
      </c>
    </row>
    <row r="5343" spans="1:1">
      <c r="A5343" s="11" t="str">
        <f t="shared" si="164"/>
        <v/>
      </c>
    </row>
    <row r="5344" spans="1:1">
      <c r="A5344" s="11" t="str">
        <f t="shared" si="164"/>
        <v/>
      </c>
    </row>
    <row r="5345" spans="1:1">
      <c r="A5345" s="11" t="str">
        <f t="shared" si="164"/>
        <v/>
      </c>
    </row>
    <row r="5346" spans="1:1">
      <c r="A5346" s="11" t="str">
        <f t="shared" si="164"/>
        <v/>
      </c>
    </row>
    <row r="5347" spans="1:1">
      <c r="A5347" s="11" t="str">
        <f t="shared" si="164"/>
        <v/>
      </c>
    </row>
    <row r="5348" spans="1:1">
      <c r="A5348" s="11" t="str">
        <f t="shared" si="164"/>
        <v/>
      </c>
    </row>
    <row r="5349" spans="1:1">
      <c r="A5349" s="11" t="str">
        <f t="shared" si="164"/>
        <v/>
      </c>
    </row>
    <row r="5350" spans="1:1">
      <c r="A5350" s="11" t="str">
        <f t="shared" si="164"/>
        <v/>
      </c>
    </row>
    <row r="5351" spans="1:1">
      <c r="A5351" s="11" t="str">
        <f t="shared" si="164"/>
        <v/>
      </c>
    </row>
    <row r="5352" spans="1:1">
      <c r="A5352" s="11" t="str">
        <f t="shared" si="164"/>
        <v/>
      </c>
    </row>
    <row r="5353" spans="1:1">
      <c r="A5353" s="11" t="str">
        <f t="shared" si="164"/>
        <v/>
      </c>
    </row>
    <row r="5354" spans="1:1">
      <c r="A5354" s="11" t="str">
        <f t="shared" si="164"/>
        <v/>
      </c>
    </row>
    <row r="5355" spans="1:1">
      <c r="A5355" s="11" t="str">
        <f t="shared" si="164"/>
        <v/>
      </c>
    </row>
    <row r="5356" spans="1:1">
      <c r="A5356" s="11" t="str">
        <f t="shared" si="164"/>
        <v/>
      </c>
    </row>
    <row r="5357" spans="1:1">
      <c r="A5357" s="11" t="str">
        <f t="shared" si="164"/>
        <v/>
      </c>
    </row>
    <row r="5358" spans="1:1">
      <c r="A5358" s="11" t="str">
        <f t="shared" si="164"/>
        <v/>
      </c>
    </row>
    <row r="5359" spans="1:1">
      <c r="A5359" s="11" t="str">
        <f t="shared" si="164"/>
        <v/>
      </c>
    </row>
    <row r="5360" spans="1:1">
      <c r="A5360" s="11" t="str">
        <f t="shared" si="164"/>
        <v/>
      </c>
    </row>
    <row r="5361" spans="1:1">
      <c r="A5361" s="11" t="str">
        <f t="shared" si="164"/>
        <v/>
      </c>
    </row>
    <row r="5362" spans="1:1">
      <c r="A5362" s="11" t="str">
        <f t="shared" si="164"/>
        <v/>
      </c>
    </row>
    <row r="5363" spans="1:1">
      <c r="A5363" s="11" t="str">
        <f t="shared" si="164"/>
        <v/>
      </c>
    </row>
    <row r="5364" spans="1:1">
      <c r="A5364" s="11" t="str">
        <f t="shared" si="164"/>
        <v/>
      </c>
    </row>
    <row r="5365" spans="1:1">
      <c r="A5365" s="11" t="str">
        <f t="shared" si="164"/>
        <v/>
      </c>
    </row>
    <row r="5366" spans="1:1">
      <c r="A5366" s="11" t="str">
        <f t="shared" si="164"/>
        <v/>
      </c>
    </row>
    <row r="5367" spans="1:1">
      <c r="A5367" s="11" t="str">
        <f t="shared" si="164"/>
        <v/>
      </c>
    </row>
    <row r="5368" spans="1:1">
      <c r="A5368" s="11" t="str">
        <f t="shared" si="164"/>
        <v/>
      </c>
    </row>
    <row r="5369" spans="1:1">
      <c r="A5369" s="11" t="str">
        <f t="shared" si="164"/>
        <v/>
      </c>
    </row>
    <row r="5370" spans="1:1">
      <c r="A5370" s="11" t="str">
        <f t="shared" si="164"/>
        <v/>
      </c>
    </row>
    <row r="5371" spans="1:1">
      <c r="A5371" s="11" t="str">
        <f t="shared" si="164"/>
        <v/>
      </c>
    </row>
    <row r="5372" spans="1:1">
      <c r="A5372" s="11" t="str">
        <f t="shared" si="164"/>
        <v/>
      </c>
    </row>
    <row r="5373" spans="1:1">
      <c r="A5373" s="11" t="str">
        <f t="shared" si="164"/>
        <v/>
      </c>
    </row>
    <row r="5374" spans="1:1">
      <c r="A5374" s="11" t="str">
        <f t="shared" si="164"/>
        <v/>
      </c>
    </row>
    <row r="5375" spans="1:1">
      <c r="A5375" s="11" t="str">
        <f t="shared" si="164"/>
        <v/>
      </c>
    </row>
    <row r="5376" spans="1:1">
      <c r="A5376" s="11" t="str">
        <f t="shared" si="164"/>
        <v/>
      </c>
    </row>
    <row r="5377" spans="1:1">
      <c r="A5377" s="11" t="str">
        <f t="shared" si="164"/>
        <v/>
      </c>
    </row>
    <row r="5378" spans="1:1">
      <c r="A5378" s="11" t="str">
        <f t="shared" si="164"/>
        <v/>
      </c>
    </row>
    <row r="5379" spans="1:1">
      <c r="A5379" s="11" t="str">
        <f t="shared" ref="A5379:A5442" si="165">B5379&amp;D5379</f>
        <v/>
      </c>
    </row>
    <row r="5380" spans="1:1">
      <c r="A5380" s="11" t="str">
        <f t="shared" si="165"/>
        <v/>
      </c>
    </row>
    <row r="5381" spans="1:1">
      <c r="A5381" s="11" t="str">
        <f t="shared" si="165"/>
        <v/>
      </c>
    </row>
    <row r="5382" spans="1:1">
      <c r="A5382" s="11" t="str">
        <f t="shared" si="165"/>
        <v/>
      </c>
    </row>
    <row r="5383" spans="1:1">
      <c r="A5383" s="11" t="str">
        <f t="shared" si="165"/>
        <v/>
      </c>
    </row>
    <row r="5384" spans="1:1">
      <c r="A5384" s="11" t="str">
        <f t="shared" si="165"/>
        <v/>
      </c>
    </row>
    <row r="5385" spans="1:1">
      <c r="A5385" s="11" t="str">
        <f t="shared" si="165"/>
        <v/>
      </c>
    </row>
    <row r="5386" spans="1:1">
      <c r="A5386" s="11" t="str">
        <f t="shared" si="165"/>
        <v/>
      </c>
    </row>
    <row r="5387" spans="1:1">
      <c r="A5387" s="11" t="str">
        <f t="shared" si="165"/>
        <v/>
      </c>
    </row>
    <row r="5388" spans="1:1">
      <c r="A5388" s="11" t="str">
        <f t="shared" si="165"/>
        <v/>
      </c>
    </row>
    <row r="5389" spans="1:1">
      <c r="A5389" s="11" t="str">
        <f t="shared" si="165"/>
        <v/>
      </c>
    </row>
    <row r="5390" spans="1:1">
      <c r="A5390" s="11" t="str">
        <f t="shared" si="165"/>
        <v/>
      </c>
    </row>
    <row r="5391" spans="1:1">
      <c r="A5391" s="11" t="str">
        <f t="shared" si="165"/>
        <v/>
      </c>
    </row>
    <row r="5392" spans="1:1">
      <c r="A5392" s="11" t="str">
        <f t="shared" si="165"/>
        <v/>
      </c>
    </row>
    <row r="5393" spans="1:1">
      <c r="A5393" s="11" t="str">
        <f t="shared" si="165"/>
        <v/>
      </c>
    </row>
    <row r="5394" spans="1:1">
      <c r="A5394" s="11" t="str">
        <f t="shared" si="165"/>
        <v/>
      </c>
    </row>
    <row r="5395" spans="1:1">
      <c r="A5395" s="11" t="str">
        <f t="shared" si="165"/>
        <v/>
      </c>
    </row>
    <row r="5396" spans="1:1">
      <c r="A5396" s="11" t="str">
        <f t="shared" si="165"/>
        <v/>
      </c>
    </row>
    <row r="5397" spans="1:1">
      <c r="A5397" s="11" t="str">
        <f t="shared" si="165"/>
        <v/>
      </c>
    </row>
    <row r="5398" spans="1:1">
      <c r="A5398" s="11" t="str">
        <f t="shared" si="165"/>
        <v/>
      </c>
    </row>
    <row r="5399" spans="1:1">
      <c r="A5399" s="11" t="str">
        <f t="shared" si="165"/>
        <v/>
      </c>
    </row>
    <row r="5400" spans="1:1">
      <c r="A5400" s="11" t="str">
        <f t="shared" si="165"/>
        <v/>
      </c>
    </row>
    <row r="5401" spans="1:1">
      <c r="A5401" s="11" t="str">
        <f t="shared" si="165"/>
        <v/>
      </c>
    </row>
    <row r="5402" spans="1:1">
      <c r="A5402" s="11" t="str">
        <f t="shared" si="165"/>
        <v/>
      </c>
    </row>
    <row r="5403" spans="1:1">
      <c r="A5403" s="11" t="str">
        <f t="shared" si="165"/>
        <v/>
      </c>
    </row>
    <row r="5404" spans="1:1">
      <c r="A5404" s="11" t="str">
        <f t="shared" si="165"/>
        <v/>
      </c>
    </row>
    <row r="5405" spans="1:1">
      <c r="A5405" s="11" t="str">
        <f t="shared" si="165"/>
        <v/>
      </c>
    </row>
    <row r="5406" spans="1:1">
      <c r="A5406" s="11" t="str">
        <f t="shared" si="165"/>
        <v/>
      </c>
    </row>
    <row r="5407" spans="1:1">
      <c r="A5407" s="11" t="str">
        <f t="shared" si="165"/>
        <v/>
      </c>
    </row>
    <row r="5408" spans="1:1">
      <c r="A5408" s="11" t="str">
        <f t="shared" si="165"/>
        <v/>
      </c>
    </row>
    <row r="5409" spans="1:1">
      <c r="A5409" s="11" t="str">
        <f t="shared" si="165"/>
        <v/>
      </c>
    </row>
    <row r="5410" spans="1:1">
      <c r="A5410" s="11" t="str">
        <f t="shared" si="165"/>
        <v/>
      </c>
    </row>
    <row r="5411" spans="1:1">
      <c r="A5411" s="11" t="str">
        <f t="shared" si="165"/>
        <v/>
      </c>
    </row>
    <row r="5412" spans="1:1">
      <c r="A5412" s="11" t="str">
        <f t="shared" si="165"/>
        <v/>
      </c>
    </row>
    <row r="5413" spans="1:1">
      <c r="A5413" s="11" t="str">
        <f t="shared" si="165"/>
        <v/>
      </c>
    </row>
    <row r="5414" spans="1:1">
      <c r="A5414" s="11" t="str">
        <f t="shared" si="165"/>
        <v/>
      </c>
    </row>
    <row r="5415" spans="1:1">
      <c r="A5415" s="11" t="str">
        <f t="shared" si="165"/>
        <v/>
      </c>
    </row>
    <row r="5416" spans="1:1">
      <c r="A5416" s="11" t="str">
        <f t="shared" si="165"/>
        <v/>
      </c>
    </row>
    <row r="5417" spans="1:1">
      <c r="A5417" s="11" t="str">
        <f t="shared" si="165"/>
        <v/>
      </c>
    </row>
    <row r="5418" spans="1:1">
      <c r="A5418" s="11" t="str">
        <f t="shared" si="165"/>
        <v/>
      </c>
    </row>
    <row r="5419" spans="1:1">
      <c r="A5419" s="11" t="str">
        <f t="shared" si="165"/>
        <v/>
      </c>
    </row>
    <row r="5420" spans="1:1">
      <c r="A5420" s="11" t="str">
        <f t="shared" si="165"/>
        <v/>
      </c>
    </row>
    <row r="5421" spans="1:1">
      <c r="A5421" s="11" t="str">
        <f t="shared" si="165"/>
        <v/>
      </c>
    </row>
    <row r="5422" spans="1:1">
      <c r="A5422" s="11" t="str">
        <f t="shared" si="165"/>
        <v/>
      </c>
    </row>
    <row r="5423" spans="1:1">
      <c r="A5423" s="11" t="str">
        <f t="shared" si="165"/>
        <v/>
      </c>
    </row>
    <row r="5424" spans="1:1">
      <c r="A5424" s="11" t="str">
        <f t="shared" si="165"/>
        <v/>
      </c>
    </row>
    <row r="5425" spans="1:1">
      <c r="A5425" s="11" t="str">
        <f t="shared" si="165"/>
        <v/>
      </c>
    </row>
    <row r="5426" spans="1:1">
      <c r="A5426" s="11" t="str">
        <f t="shared" si="165"/>
        <v/>
      </c>
    </row>
    <row r="5427" spans="1:1">
      <c r="A5427" s="11" t="str">
        <f t="shared" si="165"/>
        <v/>
      </c>
    </row>
    <row r="5428" spans="1:1">
      <c r="A5428" s="11" t="str">
        <f t="shared" si="165"/>
        <v/>
      </c>
    </row>
    <row r="5429" spans="1:1">
      <c r="A5429" s="11" t="str">
        <f t="shared" si="165"/>
        <v/>
      </c>
    </row>
    <row r="5430" spans="1:1">
      <c r="A5430" s="11" t="str">
        <f t="shared" si="165"/>
        <v/>
      </c>
    </row>
    <row r="5431" spans="1:1">
      <c r="A5431" s="11" t="str">
        <f t="shared" si="165"/>
        <v/>
      </c>
    </row>
    <row r="5432" spans="1:1">
      <c r="A5432" s="11" t="str">
        <f t="shared" si="165"/>
        <v/>
      </c>
    </row>
    <row r="5433" spans="1:1">
      <c r="A5433" s="11" t="str">
        <f t="shared" si="165"/>
        <v/>
      </c>
    </row>
    <row r="5434" spans="1:1">
      <c r="A5434" s="11" t="str">
        <f t="shared" si="165"/>
        <v/>
      </c>
    </row>
    <row r="5435" spans="1:1">
      <c r="A5435" s="11" t="str">
        <f t="shared" si="165"/>
        <v/>
      </c>
    </row>
    <row r="5436" spans="1:1">
      <c r="A5436" s="11" t="str">
        <f t="shared" si="165"/>
        <v/>
      </c>
    </row>
    <row r="5437" spans="1:1">
      <c r="A5437" s="11" t="str">
        <f t="shared" si="165"/>
        <v/>
      </c>
    </row>
    <row r="5438" spans="1:1">
      <c r="A5438" s="11" t="str">
        <f t="shared" si="165"/>
        <v/>
      </c>
    </row>
    <row r="5439" spans="1:1">
      <c r="A5439" s="11" t="str">
        <f t="shared" si="165"/>
        <v/>
      </c>
    </row>
    <row r="5440" spans="1:1">
      <c r="A5440" s="11" t="str">
        <f t="shared" si="165"/>
        <v/>
      </c>
    </row>
    <row r="5441" spans="1:1">
      <c r="A5441" s="11" t="str">
        <f t="shared" si="165"/>
        <v/>
      </c>
    </row>
    <row r="5442" spans="1:1">
      <c r="A5442" s="11" t="str">
        <f t="shared" si="165"/>
        <v/>
      </c>
    </row>
    <row r="5443" spans="1:1">
      <c r="A5443" s="11" t="str">
        <f t="shared" ref="A5443:A5506" si="166">B5443&amp;D5443</f>
        <v/>
      </c>
    </row>
    <row r="5444" spans="1:1">
      <c r="A5444" s="11" t="str">
        <f t="shared" si="166"/>
        <v/>
      </c>
    </row>
    <row r="5445" spans="1:1">
      <c r="A5445" s="11" t="str">
        <f t="shared" si="166"/>
        <v/>
      </c>
    </row>
    <row r="5446" spans="1:1">
      <c r="A5446" s="11" t="str">
        <f t="shared" si="166"/>
        <v/>
      </c>
    </row>
    <row r="5447" spans="1:1">
      <c r="A5447" s="11" t="str">
        <f t="shared" si="166"/>
        <v/>
      </c>
    </row>
    <row r="5448" spans="1:1">
      <c r="A5448" s="11" t="str">
        <f t="shared" si="166"/>
        <v/>
      </c>
    </row>
    <row r="5449" spans="1:1">
      <c r="A5449" s="11" t="str">
        <f t="shared" si="166"/>
        <v/>
      </c>
    </row>
    <row r="5450" spans="1:1">
      <c r="A5450" s="11" t="str">
        <f t="shared" si="166"/>
        <v/>
      </c>
    </row>
    <row r="5451" spans="1:1">
      <c r="A5451" s="11" t="str">
        <f t="shared" si="166"/>
        <v/>
      </c>
    </row>
    <row r="5452" spans="1:1">
      <c r="A5452" s="11" t="str">
        <f t="shared" si="166"/>
        <v/>
      </c>
    </row>
    <row r="5453" spans="1:1">
      <c r="A5453" s="11" t="str">
        <f t="shared" si="166"/>
        <v/>
      </c>
    </row>
    <row r="5454" spans="1:1">
      <c r="A5454" s="11" t="str">
        <f t="shared" si="166"/>
        <v/>
      </c>
    </row>
    <row r="5455" spans="1:1">
      <c r="A5455" s="11" t="str">
        <f t="shared" si="166"/>
        <v/>
      </c>
    </row>
    <row r="5456" spans="1:1">
      <c r="A5456" s="11" t="str">
        <f t="shared" si="166"/>
        <v/>
      </c>
    </row>
    <row r="5457" spans="1:1">
      <c r="A5457" s="11" t="str">
        <f t="shared" si="166"/>
        <v/>
      </c>
    </row>
    <row r="5458" spans="1:1">
      <c r="A5458" s="11" t="str">
        <f t="shared" si="166"/>
        <v/>
      </c>
    </row>
    <row r="5459" spans="1:1">
      <c r="A5459" s="11" t="str">
        <f t="shared" si="166"/>
        <v/>
      </c>
    </row>
    <row r="5460" spans="1:1">
      <c r="A5460" s="11" t="str">
        <f t="shared" si="166"/>
        <v/>
      </c>
    </row>
    <row r="5461" spans="1:1">
      <c r="A5461" s="11" t="str">
        <f t="shared" si="166"/>
        <v/>
      </c>
    </row>
    <row r="5462" spans="1:1">
      <c r="A5462" s="11" t="str">
        <f t="shared" si="166"/>
        <v/>
      </c>
    </row>
    <row r="5463" spans="1:1">
      <c r="A5463" s="11" t="str">
        <f t="shared" si="166"/>
        <v/>
      </c>
    </row>
    <row r="5464" spans="1:1">
      <c r="A5464" s="11" t="str">
        <f t="shared" si="166"/>
        <v/>
      </c>
    </row>
    <row r="5465" spans="1:1">
      <c r="A5465" s="11" t="str">
        <f t="shared" si="166"/>
        <v/>
      </c>
    </row>
    <row r="5466" spans="1:1">
      <c r="A5466" s="11" t="str">
        <f t="shared" si="166"/>
        <v/>
      </c>
    </row>
    <row r="5467" spans="1:1">
      <c r="A5467" s="11" t="str">
        <f t="shared" si="166"/>
        <v/>
      </c>
    </row>
    <row r="5468" spans="1:1">
      <c r="A5468" s="11" t="str">
        <f t="shared" si="166"/>
        <v/>
      </c>
    </row>
    <row r="5469" spans="1:1">
      <c r="A5469" s="11" t="str">
        <f t="shared" si="166"/>
        <v/>
      </c>
    </row>
    <row r="5470" spans="1:1">
      <c r="A5470" s="11" t="str">
        <f t="shared" si="166"/>
        <v/>
      </c>
    </row>
    <row r="5471" spans="1:1">
      <c r="A5471" s="11" t="str">
        <f t="shared" si="166"/>
        <v/>
      </c>
    </row>
    <row r="5472" spans="1:1">
      <c r="A5472" s="11" t="str">
        <f t="shared" si="166"/>
        <v/>
      </c>
    </row>
    <row r="5473" spans="1:1">
      <c r="A5473" s="11" t="str">
        <f t="shared" si="166"/>
        <v/>
      </c>
    </row>
    <row r="5474" spans="1:1">
      <c r="A5474" s="11" t="str">
        <f t="shared" si="166"/>
        <v/>
      </c>
    </row>
    <row r="5475" spans="1:1">
      <c r="A5475" s="11" t="str">
        <f t="shared" si="166"/>
        <v/>
      </c>
    </row>
    <row r="5476" spans="1:1">
      <c r="A5476" s="11" t="str">
        <f t="shared" si="166"/>
        <v/>
      </c>
    </row>
    <row r="5477" spans="1:1">
      <c r="A5477" s="11" t="str">
        <f t="shared" si="166"/>
        <v/>
      </c>
    </row>
    <row r="5478" spans="1:1">
      <c r="A5478" s="11" t="str">
        <f t="shared" si="166"/>
        <v/>
      </c>
    </row>
    <row r="5479" spans="1:1">
      <c r="A5479" s="11" t="str">
        <f t="shared" si="166"/>
        <v/>
      </c>
    </row>
    <row r="5480" spans="1:1">
      <c r="A5480" s="11" t="str">
        <f t="shared" si="166"/>
        <v/>
      </c>
    </row>
    <row r="5481" spans="1:1">
      <c r="A5481" s="11" t="str">
        <f t="shared" si="166"/>
        <v/>
      </c>
    </row>
    <row r="5482" spans="1:1">
      <c r="A5482" s="11" t="str">
        <f t="shared" si="166"/>
        <v/>
      </c>
    </row>
    <row r="5483" spans="1:1">
      <c r="A5483" s="11" t="str">
        <f t="shared" si="166"/>
        <v/>
      </c>
    </row>
    <row r="5484" spans="1:1">
      <c r="A5484" s="11" t="str">
        <f t="shared" si="166"/>
        <v/>
      </c>
    </row>
    <row r="5485" spans="1:1">
      <c r="A5485" s="11" t="str">
        <f t="shared" si="166"/>
        <v/>
      </c>
    </row>
    <row r="5486" spans="1:1">
      <c r="A5486" s="11" t="str">
        <f t="shared" si="166"/>
        <v/>
      </c>
    </row>
    <row r="5487" spans="1:1">
      <c r="A5487" s="11" t="str">
        <f t="shared" si="166"/>
        <v/>
      </c>
    </row>
    <row r="5488" spans="1:1">
      <c r="A5488" s="11" t="str">
        <f t="shared" si="166"/>
        <v/>
      </c>
    </row>
    <row r="5489" spans="1:1">
      <c r="A5489" s="11" t="str">
        <f t="shared" si="166"/>
        <v/>
      </c>
    </row>
    <row r="5490" spans="1:1">
      <c r="A5490" s="11" t="str">
        <f t="shared" si="166"/>
        <v/>
      </c>
    </row>
    <row r="5491" spans="1:1">
      <c r="A5491" s="11" t="str">
        <f t="shared" si="166"/>
        <v/>
      </c>
    </row>
    <row r="5492" spans="1:1">
      <c r="A5492" s="11" t="str">
        <f t="shared" si="166"/>
        <v/>
      </c>
    </row>
    <row r="5493" spans="1:1">
      <c r="A5493" s="11" t="str">
        <f t="shared" si="166"/>
        <v/>
      </c>
    </row>
    <row r="5494" spans="1:1">
      <c r="A5494" s="11" t="str">
        <f t="shared" si="166"/>
        <v/>
      </c>
    </row>
    <row r="5495" spans="1:1">
      <c r="A5495" s="11" t="str">
        <f t="shared" si="166"/>
        <v/>
      </c>
    </row>
    <row r="5496" spans="1:1">
      <c r="A5496" s="11" t="str">
        <f t="shared" si="166"/>
        <v/>
      </c>
    </row>
    <row r="5497" spans="1:1">
      <c r="A5497" s="11" t="str">
        <f t="shared" si="166"/>
        <v/>
      </c>
    </row>
    <row r="5498" spans="1:1">
      <c r="A5498" s="11" t="str">
        <f t="shared" si="166"/>
        <v/>
      </c>
    </row>
    <row r="5499" spans="1:1">
      <c r="A5499" s="11" t="str">
        <f t="shared" si="166"/>
        <v/>
      </c>
    </row>
    <row r="5500" spans="1:1">
      <c r="A5500" s="11" t="str">
        <f t="shared" si="166"/>
        <v/>
      </c>
    </row>
    <row r="5501" spans="1:1">
      <c r="A5501" s="11" t="str">
        <f t="shared" si="166"/>
        <v/>
      </c>
    </row>
    <row r="5502" spans="1:1">
      <c r="A5502" s="11" t="str">
        <f t="shared" si="166"/>
        <v/>
      </c>
    </row>
    <row r="5503" spans="1:1">
      <c r="A5503" s="11" t="str">
        <f t="shared" si="166"/>
        <v/>
      </c>
    </row>
    <row r="5504" spans="1:1">
      <c r="A5504" s="11" t="str">
        <f t="shared" si="166"/>
        <v/>
      </c>
    </row>
    <row r="5505" spans="1:1">
      <c r="A5505" s="11" t="str">
        <f t="shared" si="166"/>
        <v/>
      </c>
    </row>
    <row r="5506" spans="1:1">
      <c r="A5506" s="11" t="str">
        <f t="shared" si="166"/>
        <v/>
      </c>
    </row>
    <row r="5507" spans="1:1">
      <c r="A5507" s="11" t="str">
        <f t="shared" ref="A5507:A5570" si="167">B5507&amp;D5507</f>
        <v/>
      </c>
    </row>
    <row r="5508" spans="1:1">
      <c r="A5508" s="11" t="str">
        <f t="shared" si="167"/>
        <v/>
      </c>
    </row>
    <row r="5509" spans="1:1">
      <c r="A5509" s="11" t="str">
        <f t="shared" si="167"/>
        <v/>
      </c>
    </row>
    <row r="5510" spans="1:1">
      <c r="A5510" s="11" t="str">
        <f t="shared" si="167"/>
        <v/>
      </c>
    </row>
    <row r="5511" spans="1:1">
      <c r="A5511" s="11" t="str">
        <f t="shared" si="167"/>
        <v/>
      </c>
    </row>
    <row r="5512" spans="1:1">
      <c r="A5512" s="11" t="str">
        <f t="shared" si="167"/>
        <v/>
      </c>
    </row>
    <row r="5513" spans="1:1">
      <c r="A5513" s="11" t="str">
        <f t="shared" si="167"/>
        <v/>
      </c>
    </row>
    <row r="5514" spans="1:1">
      <c r="A5514" s="11" t="str">
        <f t="shared" si="167"/>
        <v/>
      </c>
    </row>
    <row r="5515" spans="1:1">
      <c r="A5515" s="11" t="str">
        <f t="shared" si="167"/>
        <v/>
      </c>
    </row>
    <row r="5516" spans="1:1">
      <c r="A5516" s="11" t="str">
        <f t="shared" si="167"/>
        <v/>
      </c>
    </row>
    <row r="5517" spans="1:1">
      <c r="A5517" s="11" t="str">
        <f t="shared" si="167"/>
        <v/>
      </c>
    </row>
    <row r="5518" spans="1:1">
      <c r="A5518" s="11" t="str">
        <f t="shared" si="167"/>
        <v/>
      </c>
    </row>
    <row r="5519" spans="1:1">
      <c r="A5519" s="11" t="str">
        <f t="shared" si="167"/>
        <v/>
      </c>
    </row>
    <row r="5520" spans="1:1">
      <c r="A5520" s="11" t="str">
        <f t="shared" si="167"/>
        <v/>
      </c>
    </row>
    <row r="5521" spans="1:1">
      <c r="A5521" s="11" t="str">
        <f t="shared" si="167"/>
        <v/>
      </c>
    </row>
    <row r="5522" spans="1:1">
      <c r="A5522" s="11" t="str">
        <f t="shared" si="167"/>
        <v/>
      </c>
    </row>
    <row r="5523" spans="1:1">
      <c r="A5523" s="11" t="str">
        <f t="shared" si="167"/>
        <v/>
      </c>
    </row>
    <row r="5524" spans="1:1">
      <c r="A5524" s="11" t="str">
        <f t="shared" si="167"/>
        <v/>
      </c>
    </row>
    <row r="5525" spans="1:1">
      <c r="A5525" s="11" t="str">
        <f t="shared" si="167"/>
        <v/>
      </c>
    </row>
    <row r="5526" spans="1:1">
      <c r="A5526" s="11" t="str">
        <f t="shared" si="167"/>
        <v/>
      </c>
    </row>
    <row r="5527" spans="1:1">
      <c r="A5527" s="11" t="str">
        <f t="shared" si="167"/>
        <v/>
      </c>
    </row>
    <row r="5528" spans="1:1">
      <c r="A5528" s="11" t="str">
        <f t="shared" si="167"/>
        <v/>
      </c>
    </row>
    <row r="5529" spans="1:1">
      <c r="A5529" s="11" t="str">
        <f t="shared" si="167"/>
        <v/>
      </c>
    </row>
    <row r="5530" spans="1:1">
      <c r="A5530" s="11" t="str">
        <f t="shared" si="167"/>
        <v/>
      </c>
    </row>
    <row r="5531" spans="1:1">
      <c r="A5531" s="11" t="str">
        <f t="shared" si="167"/>
        <v/>
      </c>
    </row>
    <row r="5532" spans="1:1">
      <c r="A5532" s="11" t="str">
        <f t="shared" si="167"/>
        <v/>
      </c>
    </row>
    <row r="5533" spans="1:1">
      <c r="A5533" s="11" t="str">
        <f t="shared" si="167"/>
        <v/>
      </c>
    </row>
    <row r="5534" spans="1:1">
      <c r="A5534" s="11" t="str">
        <f t="shared" si="167"/>
        <v/>
      </c>
    </row>
    <row r="5535" spans="1:1">
      <c r="A5535" s="11" t="str">
        <f t="shared" si="167"/>
        <v/>
      </c>
    </row>
    <row r="5536" spans="1:1">
      <c r="A5536" s="11" t="str">
        <f t="shared" si="167"/>
        <v/>
      </c>
    </row>
    <row r="5537" spans="1:1">
      <c r="A5537" s="11" t="str">
        <f t="shared" si="167"/>
        <v/>
      </c>
    </row>
    <row r="5538" spans="1:1">
      <c r="A5538" s="11" t="str">
        <f t="shared" si="167"/>
        <v/>
      </c>
    </row>
    <row r="5539" spans="1:1">
      <c r="A5539" s="11" t="str">
        <f t="shared" si="167"/>
        <v/>
      </c>
    </row>
    <row r="5540" spans="1:1">
      <c r="A5540" s="11" t="str">
        <f t="shared" si="167"/>
        <v/>
      </c>
    </row>
    <row r="5541" spans="1:1">
      <c r="A5541" s="11" t="str">
        <f t="shared" si="167"/>
        <v/>
      </c>
    </row>
    <row r="5542" spans="1:1">
      <c r="A5542" s="11" t="str">
        <f t="shared" si="167"/>
        <v/>
      </c>
    </row>
    <row r="5543" spans="1:1">
      <c r="A5543" s="11" t="str">
        <f t="shared" si="167"/>
        <v/>
      </c>
    </row>
    <row r="5544" spans="1:1">
      <c r="A5544" s="11" t="str">
        <f t="shared" si="167"/>
        <v/>
      </c>
    </row>
    <row r="5545" spans="1:1">
      <c r="A5545" s="11" t="str">
        <f t="shared" si="167"/>
        <v/>
      </c>
    </row>
    <row r="5546" spans="1:1">
      <c r="A5546" s="11" t="str">
        <f t="shared" si="167"/>
        <v/>
      </c>
    </row>
    <row r="5547" spans="1:1">
      <c r="A5547" s="11" t="str">
        <f t="shared" si="167"/>
        <v/>
      </c>
    </row>
    <row r="5548" spans="1:1">
      <c r="A5548" s="11" t="str">
        <f t="shared" si="167"/>
        <v/>
      </c>
    </row>
    <row r="5549" spans="1:1">
      <c r="A5549" s="11" t="str">
        <f t="shared" si="167"/>
        <v/>
      </c>
    </row>
    <row r="5550" spans="1:1">
      <c r="A5550" s="11" t="str">
        <f t="shared" si="167"/>
        <v/>
      </c>
    </row>
    <row r="5551" spans="1:1">
      <c r="A5551" s="11" t="str">
        <f t="shared" si="167"/>
        <v/>
      </c>
    </row>
    <row r="5552" spans="1:1">
      <c r="A5552" s="11" t="str">
        <f t="shared" si="167"/>
        <v/>
      </c>
    </row>
    <row r="5553" spans="1:1">
      <c r="A5553" s="11" t="str">
        <f t="shared" si="167"/>
        <v/>
      </c>
    </row>
    <row r="5554" spans="1:1">
      <c r="A5554" s="11" t="str">
        <f t="shared" si="167"/>
        <v/>
      </c>
    </row>
    <row r="5555" spans="1:1">
      <c r="A5555" s="11" t="str">
        <f t="shared" si="167"/>
        <v/>
      </c>
    </row>
    <row r="5556" spans="1:1">
      <c r="A5556" s="11" t="str">
        <f t="shared" si="167"/>
        <v/>
      </c>
    </row>
    <row r="5557" spans="1:1">
      <c r="A5557" s="11" t="str">
        <f t="shared" si="167"/>
        <v/>
      </c>
    </row>
    <row r="5558" spans="1:1">
      <c r="A5558" s="11" t="str">
        <f t="shared" si="167"/>
        <v/>
      </c>
    </row>
    <row r="5559" spans="1:1">
      <c r="A5559" s="11" t="str">
        <f t="shared" si="167"/>
        <v/>
      </c>
    </row>
    <row r="5560" spans="1:1">
      <c r="A5560" s="11" t="str">
        <f t="shared" si="167"/>
        <v/>
      </c>
    </row>
    <row r="5561" spans="1:1">
      <c r="A5561" s="11" t="str">
        <f t="shared" si="167"/>
        <v/>
      </c>
    </row>
    <row r="5562" spans="1:1">
      <c r="A5562" s="11" t="str">
        <f t="shared" si="167"/>
        <v/>
      </c>
    </row>
    <row r="5563" spans="1:1">
      <c r="A5563" s="11" t="str">
        <f t="shared" si="167"/>
        <v/>
      </c>
    </row>
    <row r="5564" spans="1:1">
      <c r="A5564" s="11" t="str">
        <f t="shared" si="167"/>
        <v/>
      </c>
    </row>
    <row r="5565" spans="1:1">
      <c r="A5565" s="11" t="str">
        <f t="shared" si="167"/>
        <v/>
      </c>
    </row>
    <row r="5566" spans="1:1">
      <c r="A5566" s="11" t="str">
        <f t="shared" si="167"/>
        <v/>
      </c>
    </row>
    <row r="5567" spans="1:1">
      <c r="A5567" s="11" t="str">
        <f t="shared" si="167"/>
        <v/>
      </c>
    </row>
    <row r="5568" spans="1:1">
      <c r="A5568" s="11" t="str">
        <f t="shared" si="167"/>
        <v/>
      </c>
    </row>
    <row r="5569" spans="1:1">
      <c r="A5569" s="11" t="str">
        <f t="shared" si="167"/>
        <v/>
      </c>
    </row>
    <row r="5570" spans="1:1">
      <c r="A5570" s="11" t="str">
        <f t="shared" si="167"/>
        <v/>
      </c>
    </row>
    <row r="5571" spans="1:1">
      <c r="A5571" s="11" t="str">
        <f t="shared" ref="A5571:A5634" si="168">B5571&amp;D5571</f>
        <v/>
      </c>
    </row>
    <row r="5572" spans="1:1">
      <c r="A5572" s="11" t="str">
        <f t="shared" si="168"/>
        <v/>
      </c>
    </row>
    <row r="5573" spans="1:1">
      <c r="A5573" s="11" t="str">
        <f t="shared" si="168"/>
        <v/>
      </c>
    </row>
    <row r="5574" spans="1:1">
      <c r="A5574" s="11" t="str">
        <f t="shared" si="168"/>
        <v/>
      </c>
    </row>
    <row r="5575" spans="1:1">
      <c r="A5575" s="11" t="str">
        <f t="shared" si="168"/>
        <v/>
      </c>
    </row>
    <row r="5576" spans="1:1">
      <c r="A5576" s="11" t="str">
        <f t="shared" si="168"/>
        <v/>
      </c>
    </row>
    <row r="5577" spans="1:1">
      <c r="A5577" s="11" t="str">
        <f t="shared" si="168"/>
        <v/>
      </c>
    </row>
    <row r="5578" spans="1:1">
      <c r="A5578" s="11" t="str">
        <f t="shared" si="168"/>
        <v/>
      </c>
    </row>
    <row r="5579" spans="1:1">
      <c r="A5579" s="11" t="str">
        <f t="shared" si="168"/>
        <v/>
      </c>
    </row>
    <row r="5580" spans="1:1">
      <c r="A5580" s="11" t="str">
        <f t="shared" si="168"/>
        <v/>
      </c>
    </row>
    <row r="5581" spans="1:1">
      <c r="A5581" s="11" t="str">
        <f t="shared" si="168"/>
        <v/>
      </c>
    </row>
    <row r="5582" spans="1:1">
      <c r="A5582" s="11" t="str">
        <f t="shared" si="168"/>
        <v/>
      </c>
    </row>
    <row r="5583" spans="1:1">
      <c r="A5583" s="11" t="str">
        <f t="shared" si="168"/>
        <v/>
      </c>
    </row>
    <row r="5584" spans="1:1">
      <c r="A5584" s="11" t="str">
        <f t="shared" si="168"/>
        <v/>
      </c>
    </row>
    <row r="5585" spans="1:1">
      <c r="A5585" s="11" t="str">
        <f t="shared" si="168"/>
        <v/>
      </c>
    </row>
    <row r="5586" spans="1:1">
      <c r="A5586" s="11" t="str">
        <f t="shared" si="168"/>
        <v/>
      </c>
    </row>
    <row r="5587" spans="1:1">
      <c r="A5587" s="11" t="str">
        <f t="shared" si="168"/>
        <v/>
      </c>
    </row>
    <row r="5588" spans="1:1">
      <c r="A5588" s="11" t="str">
        <f t="shared" si="168"/>
        <v/>
      </c>
    </row>
    <row r="5589" spans="1:1">
      <c r="A5589" s="11" t="str">
        <f t="shared" si="168"/>
        <v/>
      </c>
    </row>
    <row r="5590" spans="1:1">
      <c r="A5590" s="11" t="str">
        <f t="shared" si="168"/>
        <v/>
      </c>
    </row>
    <row r="5591" spans="1:1">
      <c r="A5591" s="11" t="str">
        <f t="shared" si="168"/>
        <v/>
      </c>
    </row>
    <row r="5592" spans="1:1">
      <c r="A5592" s="11" t="str">
        <f t="shared" si="168"/>
        <v/>
      </c>
    </row>
    <row r="5593" spans="1:1">
      <c r="A5593" s="11" t="str">
        <f t="shared" si="168"/>
        <v/>
      </c>
    </row>
    <row r="5594" spans="1:1">
      <c r="A5594" s="11" t="str">
        <f t="shared" si="168"/>
        <v/>
      </c>
    </row>
    <row r="5595" spans="1:1">
      <c r="A5595" s="11" t="str">
        <f t="shared" si="168"/>
        <v/>
      </c>
    </row>
    <row r="5596" spans="1:1">
      <c r="A5596" s="11" t="str">
        <f t="shared" si="168"/>
        <v/>
      </c>
    </row>
    <row r="5597" spans="1:1">
      <c r="A5597" s="11" t="str">
        <f t="shared" si="168"/>
        <v/>
      </c>
    </row>
    <row r="5598" spans="1:1">
      <c r="A5598" s="11" t="str">
        <f t="shared" si="168"/>
        <v/>
      </c>
    </row>
    <row r="5599" spans="1:1">
      <c r="A5599" s="11" t="str">
        <f t="shared" si="168"/>
        <v/>
      </c>
    </row>
    <row r="5600" spans="1:1">
      <c r="A5600" s="11" t="str">
        <f t="shared" si="168"/>
        <v/>
      </c>
    </row>
    <row r="5601" spans="1:1">
      <c r="A5601" s="11" t="str">
        <f t="shared" si="168"/>
        <v/>
      </c>
    </row>
    <row r="5602" spans="1:1">
      <c r="A5602" s="11" t="str">
        <f t="shared" si="168"/>
        <v/>
      </c>
    </row>
    <row r="5603" spans="1:1">
      <c r="A5603" s="11" t="str">
        <f t="shared" si="168"/>
        <v/>
      </c>
    </row>
    <row r="5604" spans="1:1">
      <c r="A5604" s="11" t="str">
        <f t="shared" si="168"/>
        <v/>
      </c>
    </row>
    <row r="5605" spans="1:1">
      <c r="A5605" s="11" t="str">
        <f t="shared" si="168"/>
        <v/>
      </c>
    </row>
    <row r="5606" spans="1:1">
      <c r="A5606" s="11" t="str">
        <f t="shared" si="168"/>
        <v/>
      </c>
    </row>
    <row r="5607" spans="1:1">
      <c r="A5607" s="11" t="str">
        <f t="shared" si="168"/>
        <v/>
      </c>
    </row>
    <row r="5608" spans="1:1">
      <c r="A5608" s="11" t="str">
        <f t="shared" si="168"/>
        <v/>
      </c>
    </row>
    <row r="5609" spans="1:1">
      <c r="A5609" s="11" t="str">
        <f t="shared" si="168"/>
        <v/>
      </c>
    </row>
    <row r="5610" spans="1:1">
      <c r="A5610" s="11" t="str">
        <f t="shared" si="168"/>
        <v/>
      </c>
    </row>
    <row r="5611" spans="1:1">
      <c r="A5611" s="11" t="str">
        <f t="shared" si="168"/>
        <v/>
      </c>
    </row>
    <row r="5612" spans="1:1">
      <c r="A5612" s="11" t="str">
        <f t="shared" si="168"/>
        <v/>
      </c>
    </row>
    <row r="5613" spans="1:1">
      <c r="A5613" s="11" t="str">
        <f t="shared" si="168"/>
        <v/>
      </c>
    </row>
    <row r="5614" spans="1:1">
      <c r="A5614" s="11" t="str">
        <f t="shared" si="168"/>
        <v/>
      </c>
    </row>
    <row r="5615" spans="1:1">
      <c r="A5615" s="11" t="str">
        <f t="shared" si="168"/>
        <v/>
      </c>
    </row>
    <row r="5616" spans="1:1">
      <c r="A5616" s="11" t="str">
        <f t="shared" si="168"/>
        <v/>
      </c>
    </row>
    <row r="5617" spans="1:1">
      <c r="A5617" s="11" t="str">
        <f t="shared" si="168"/>
        <v/>
      </c>
    </row>
    <row r="5618" spans="1:1">
      <c r="A5618" s="11" t="str">
        <f t="shared" si="168"/>
        <v/>
      </c>
    </row>
    <row r="5619" spans="1:1">
      <c r="A5619" s="11" t="str">
        <f t="shared" si="168"/>
        <v/>
      </c>
    </row>
    <row r="5620" spans="1:1">
      <c r="A5620" s="11" t="str">
        <f t="shared" si="168"/>
        <v/>
      </c>
    </row>
    <row r="5621" spans="1:1">
      <c r="A5621" s="11" t="str">
        <f t="shared" si="168"/>
        <v/>
      </c>
    </row>
    <row r="5622" spans="1:1">
      <c r="A5622" s="11" t="str">
        <f t="shared" si="168"/>
        <v/>
      </c>
    </row>
    <row r="5623" spans="1:1">
      <c r="A5623" s="11" t="str">
        <f t="shared" si="168"/>
        <v/>
      </c>
    </row>
    <row r="5624" spans="1:1">
      <c r="A5624" s="11" t="str">
        <f t="shared" si="168"/>
        <v/>
      </c>
    </row>
    <row r="5625" spans="1:1">
      <c r="A5625" s="11" t="str">
        <f t="shared" si="168"/>
        <v/>
      </c>
    </row>
    <row r="5626" spans="1:1">
      <c r="A5626" s="11" t="str">
        <f t="shared" si="168"/>
        <v/>
      </c>
    </row>
    <row r="5627" spans="1:1">
      <c r="A5627" s="11" t="str">
        <f t="shared" si="168"/>
        <v/>
      </c>
    </row>
    <row r="5628" spans="1:1">
      <c r="A5628" s="11" t="str">
        <f t="shared" si="168"/>
        <v/>
      </c>
    </row>
    <row r="5629" spans="1:1">
      <c r="A5629" s="11" t="str">
        <f t="shared" si="168"/>
        <v/>
      </c>
    </row>
    <row r="5630" spans="1:1">
      <c r="A5630" s="11" t="str">
        <f t="shared" si="168"/>
        <v/>
      </c>
    </row>
    <row r="5631" spans="1:1">
      <c r="A5631" s="11" t="str">
        <f t="shared" si="168"/>
        <v/>
      </c>
    </row>
    <row r="5632" spans="1:1">
      <c r="A5632" s="11" t="str">
        <f t="shared" si="168"/>
        <v/>
      </c>
    </row>
    <row r="5633" spans="1:1">
      <c r="A5633" s="11" t="str">
        <f t="shared" si="168"/>
        <v/>
      </c>
    </row>
    <row r="5634" spans="1:1">
      <c r="A5634" s="11" t="str">
        <f t="shared" si="168"/>
        <v/>
      </c>
    </row>
    <row r="5635" spans="1:1">
      <c r="A5635" s="11" t="str">
        <f t="shared" ref="A5635:A5698" si="169">B5635&amp;D5635</f>
        <v/>
      </c>
    </row>
    <row r="5636" spans="1:1">
      <c r="A5636" s="11" t="str">
        <f t="shared" si="169"/>
        <v/>
      </c>
    </row>
    <row r="5637" spans="1:1">
      <c r="A5637" s="11" t="str">
        <f t="shared" si="169"/>
        <v/>
      </c>
    </row>
    <row r="5638" spans="1:1">
      <c r="A5638" s="11" t="str">
        <f t="shared" si="169"/>
        <v/>
      </c>
    </row>
    <row r="5639" spans="1:1">
      <c r="A5639" s="11" t="str">
        <f t="shared" si="169"/>
        <v/>
      </c>
    </row>
    <row r="5640" spans="1:1">
      <c r="A5640" s="11" t="str">
        <f t="shared" si="169"/>
        <v/>
      </c>
    </row>
    <row r="5641" spans="1:1">
      <c r="A5641" s="11" t="str">
        <f t="shared" si="169"/>
        <v/>
      </c>
    </row>
    <row r="5642" spans="1:1">
      <c r="A5642" s="11" t="str">
        <f t="shared" si="169"/>
        <v/>
      </c>
    </row>
    <row r="5643" spans="1:1">
      <c r="A5643" s="11" t="str">
        <f t="shared" si="169"/>
        <v/>
      </c>
    </row>
    <row r="5644" spans="1:1">
      <c r="A5644" s="11" t="str">
        <f t="shared" si="169"/>
        <v/>
      </c>
    </row>
    <row r="5645" spans="1:1">
      <c r="A5645" s="11" t="str">
        <f t="shared" si="169"/>
        <v/>
      </c>
    </row>
    <row r="5646" spans="1:1">
      <c r="A5646" s="11" t="str">
        <f t="shared" si="169"/>
        <v/>
      </c>
    </row>
    <row r="5647" spans="1:1">
      <c r="A5647" s="11" t="str">
        <f t="shared" si="169"/>
        <v/>
      </c>
    </row>
    <row r="5648" spans="1:1">
      <c r="A5648" s="11" t="str">
        <f t="shared" si="169"/>
        <v/>
      </c>
    </row>
    <row r="5649" spans="1:1">
      <c r="A5649" s="11" t="str">
        <f t="shared" si="169"/>
        <v/>
      </c>
    </row>
    <row r="5650" spans="1:1">
      <c r="A5650" s="11" t="str">
        <f t="shared" si="169"/>
        <v/>
      </c>
    </row>
    <row r="5651" spans="1:1">
      <c r="A5651" s="11" t="str">
        <f t="shared" si="169"/>
        <v/>
      </c>
    </row>
    <row r="5652" spans="1:1">
      <c r="A5652" s="11" t="str">
        <f t="shared" si="169"/>
        <v/>
      </c>
    </row>
    <row r="5653" spans="1:1">
      <c r="A5653" s="11" t="str">
        <f t="shared" si="169"/>
        <v/>
      </c>
    </row>
    <row r="5654" spans="1:1">
      <c r="A5654" s="11" t="str">
        <f t="shared" si="169"/>
        <v/>
      </c>
    </row>
    <row r="5655" spans="1:1">
      <c r="A5655" s="11" t="str">
        <f t="shared" si="169"/>
        <v/>
      </c>
    </row>
    <row r="5656" spans="1:1">
      <c r="A5656" s="11" t="str">
        <f t="shared" si="169"/>
        <v/>
      </c>
    </row>
    <row r="5657" spans="1:1">
      <c r="A5657" s="11" t="str">
        <f t="shared" si="169"/>
        <v/>
      </c>
    </row>
    <row r="5658" spans="1:1">
      <c r="A5658" s="11" t="str">
        <f t="shared" si="169"/>
        <v/>
      </c>
    </row>
    <row r="5659" spans="1:1">
      <c r="A5659" s="11" t="str">
        <f t="shared" si="169"/>
        <v/>
      </c>
    </row>
    <row r="5660" spans="1:1">
      <c r="A5660" s="11" t="str">
        <f t="shared" si="169"/>
        <v/>
      </c>
    </row>
    <row r="5661" spans="1:1">
      <c r="A5661" s="11" t="str">
        <f t="shared" si="169"/>
        <v/>
      </c>
    </row>
    <row r="5662" spans="1:1">
      <c r="A5662" s="11" t="str">
        <f t="shared" si="169"/>
        <v/>
      </c>
    </row>
    <row r="5663" spans="1:1">
      <c r="A5663" s="11" t="str">
        <f t="shared" si="169"/>
        <v/>
      </c>
    </row>
    <row r="5664" spans="1:1">
      <c r="A5664" s="11" t="str">
        <f t="shared" si="169"/>
        <v/>
      </c>
    </row>
    <row r="5665" spans="1:1">
      <c r="A5665" s="11" t="str">
        <f t="shared" si="169"/>
        <v/>
      </c>
    </row>
    <row r="5666" spans="1:1">
      <c r="A5666" s="11" t="str">
        <f t="shared" si="169"/>
        <v/>
      </c>
    </row>
    <row r="5667" spans="1:1">
      <c r="A5667" s="11" t="str">
        <f t="shared" si="169"/>
        <v/>
      </c>
    </row>
    <row r="5668" spans="1:1">
      <c r="A5668" s="11" t="str">
        <f t="shared" si="169"/>
        <v/>
      </c>
    </row>
    <row r="5669" spans="1:1">
      <c r="A5669" s="11" t="str">
        <f t="shared" si="169"/>
        <v/>
      </c>
    </row>
    <row r="5670" spans="1:1">
      <c r="A5670" s="11" t="str">
        <f t="shared" si="169"/>
        <v/>
      </c>
    </row>
    <row r="5671" spans="1:1">
      <c r="A5671" s="11" t="str">
        <f t="shared" si="169"/>
        <v/>
      </c>
    </row>
    <row r="5672" spans="1:1">
      <c r="A5672" s="11" t="str">
        <f t="shared" si="169"/>
        <v/>
      </c>
    </row>
    <row r="5673" spans="1:1">
      <c r="A5673" s="11" t="str">
        <f t="shared" si="169"/>
        <v/>
      </c>
    </row>
    <row r="5674" spans="1:1">
      <c r="A5674" s="11" t="str">
        <f t="shared" si="169"/>
        <v/>
      </c>
    </row>
    <row r="5675" spans="1:1">
      <c r="A5675" s="11" t="str">
        <f t="shared" si="169"/>
        <v/>
      </c>
    </row>
    <row r="5676" spans="1:1">
      <c r="A5676" s="11" t="str">
        <f t="shared" si="169"/>
        <v/>
      </c>
    </row>
    <row r="5677" spans="1:1">
      <c r="A5677" s="11" t="str">
        <f t="shared" si="169"/>
        <v/>
      </c>
    </row>
    <row r="5678" spans="1:1">
      <c r="A5678" s="11" t="str">
        <f t="shared" si="169"/>
        <v/>
      </c>
    </row>
    <row r="5679" spans="1:1">
      <c r="A5679" s="11" t="str">
        <f t="shared" si="169"/>
        <v/>
      </c>
    </row>
    <row r="5680" spans="1:1">
      <c r="A5680" s="11" t="str">
        <f t="shared" si="169"/>
        <v/>
      </c>
    </row>
    <row r="5681" spans="1:1">
      <c r="A5681" s="11" t="str">
        <f t="shared" si="169"/>
        <v/>
      </c>
    </row>
    <row r="5682" spans="1:1">
      <c r="A5682" s="11" t="str">
        <f t="shared" si="169"/>
        <v/>
      </c>
    </row>
    <row r="5683" spans="1:1">
      <c r="A5683" s="11" t="str">
        <f t="shared" si="169"/>
        <v/>
      </c>
    </row>
    <row r="5684" spans="1:1">
      <c r="A5684" s="11" t="str">
        <f t="shared" si="169"/>
        <v/>
      </c>
    </row>
    <row r="5685" spans="1:1">
      <c r="A5685" s="11" t="str">
        <f t="shared" si="169"/>
        <v/>
      </c>
    </row>
    <row r="5686" spans="1:1">
      <c r="A5686" s="11" t="str">
        <f t="shared" si="169"/>
        <v/>
      </c>
    </row>
    <row r="5687" spans="1:1">
      <c r="A5687" s="11" t="str">
        <f t="shared" si="169"/>
        <v/>
      </c>
    </row>
    <row r="5688" spans="1:1">
      <c r="A5688" s="11" t="str">
        <f t="shared" si="169"/>
        <v/>
      </c>
    </row>
    <row r="5689" spans="1:1">
      <c r="A5689" s="11" t="str">
        <f t="shared" si="169"/>
        <v/>
      </c>
    </row>
    <row r="5690" spans="1:1">
      <c r="A5690" s="11" t="str">
        <f t="shared" si="169"/>
        <v/>
      </c>
    </row>
    <row r="5691" spans="1:1">
      <c r="A5691" s="11" t="str">
        <f t="shared" si="169"/>
        <v/>
      </c>
    </row>
    <row r="5692" spans="1:1">
      <c r="A5692" s="11" t="str">
        <f t="shared" si="169"/>
        <v/>
      </c>
    </row>
    <row r="5693" spans="1:1">
      <c r="A5693" s="11" t="str">
        <f t="shared" si="169"/>
        <v/>
      </c>
    </row>
    <row r="5694" spans="1:1">
      <c r="A5694" s="11" t="str">
        <f t="shared" si="169"/>
        <v/>
      </c>
    </row>
    <row r="5695" spans="1:1">
      <c r="A5695" s="11" t="str">
        <f t="shared" si="169"/>
        <v/>
      </c>
    </row>
    <row r="5696" spans="1:1">
      <c r="A5696" s="11" t="str">
        <f t="shared" si="169"/>
        <v/>
      </c>
    </row>
    <row r="5697" spans="1:1">
      <c r="A5697" s="11" t="str">
        <f t="shared" si="169"/>
        <v/>
      </c>
    </row>
    <row r="5698" spans="1:1">
      <c r="A5698" s="11" t="str">
        <f t="shared" si="169"/>
        <v/>
      </c>
    </row>
    <row r="5699" spans="1:1">
      <c r="A5699" s="11" t="str">
        <f t="shared" ref="A5699:A5762" si="170">B5699&amp;D5699</f>
        <v/>
      </c>
    </row>
    <row r="5700" spans="1:1">
      <c r="A5700" s="11" t="str">
        <f t="shared" si="170"/>
        <v/>
      </c>
    </row>
    <row r="5701" spans="1:1">
      <c r="A5701" s="11" t="str">
        <f t="shared" si="170"/>
        <v/>
      </c>
    </row>
    <row r="5702" spans="1:1">
      <c r="A5702" s="11" t="str">
        <f t="shared" si="170"/>
        <v/>
      </c>
    </row>
    <row r="5703" spans="1:1">
      <c r="A5703" s="11" t="str">
        <f t="shared" si="170"/>
        <v/>
      </c>
    </row>
    <row r="5704" spans="1:1">
      <c r="A5704" s="11" t="str">
        <f t="shared" si="170"/>
        <v/>
      </c>
    </row>
    <row r="5705" spans="1:1">
      <c r="A5705" s="11" t="str">
        <f t="shared" si="170"/>
        <v/>
      </c>
    </row>
    <row r="5706" spans="1:1">
      <c r="A5706" s="11" t="str">
        <f t="shared" si="170"/>
        <v/>
      </c>
    </row>
    <row r="5707" spans="1:1">
      <c r="A5707" s="11" t="str">
        <f t="shared" si="170"/>
        <v/>
      </c>
    </row>
    <row r="5708" spans="1:1">
      <c r="A5708" s="11" t="str">
        <f t="shared" si="170"/>
        <v/>
      </c>
    </row>
    <row r="5709" spans="1:1">
      <c r="A5709" s="11" t="str">
        <f t="shared" si="170"/>
        <v/>
      </c>
    </row>
    <row r="5710" spans="1:1">
      <c r="A5710" s="11" t="str">
        <f t="shared" si="170"/>
        <v/>
      </c>
    </row>
    <row r="5711" spans="1:1">
      <c r="A5711" s="11" t="str">
        <f t="shared" si="170"/>
        <v/>
      </c>
    </row>
    <row r="5712" spans="1:1">
      <c r="A5712" s="11" t="str">
        <f t="shared" si="170"/>
        <v/>
      </c>
    </row>
    <row r="5713" spans="1:1">
      <c r="A5713" s="11" t="str">
        <f t="shared" si="170"/>
        <v/>
      </c>
    </row>
    <row r="5714" spans="1:1">
      <c r="A5714" s="11" t="str">
        <f t="shared" si="170"/>
        <v/>
      </c>
    </row>
    <row r="5715" spans="1:1">
      <c r="A5715" s="11" t="str">
        <f t="shared" si="170"/>
        <v/>
      </c>
    </row>
    <row r="5716" spans="1:1">
      <c r="A5716" s="11" t="str">
        <f t="shared" si="170"/>
        <v/>
      </c>
    </row>
    <row r="5717" spans="1:1">
      <c r="A5717" s="11" t="str">
        <f t="shared" si="170"/>
        <v/>
      </c>
    </row>
    <row r="5718" spans="1:1">
      <c r="A5718" s="11" t="str">
        <f t="shared" si="170"/>
        <v/>
      </c>
    </row>
    <row r="5719" spans="1:1">
      <c r="A5719" s="11" t="str">
        <f t="shared" si="170"/>
        <v/>
      </c>
    </row>
    <row r="5720" spans="1:1">
      <c r="A5720" s="11" t="str">
        <f t="shared" si="170"/>
        <v/>
      </c>
    </row>
    <row r="5721" spans="1:1">
      <c r="A5721" s="11" t="str">
        <f t="shared" si="170"/>
        <v/>
      </c>
    </row>
    <row r="5722" spans="1:1">
      <c r="A5722" s="11" t="str">
        <f t="shared" si="170"/>
        <v/>
      </c>
    </row>
    <row r="5723" spans="1:1">
      <c r="A5723" s="11" t="str">
        <f t="shared" si="170"/>
        <v/>
      </c>
    </row>
    <row r="5724" spans="1:1">
      <c r="A5724" s="11" t="str">
        <f t="shared" si="170"/>
        <v/>
      </c>
    </row>
    <row r="5725" spans="1:1">
      <c r="A5725" s="11" t="str">
        <f t="shared" si="170"/>
        <v/>
      </c>
    </row>
    <row r="5726" spans="1:1">
      <c r="A5726" s="11" t="str">
        <f t="shared" si="170"/>
        <v/>
      </c>
    </row>
    <row r="5727" spans="1:1">
      <c r="A5727" s="11" t="str">
        <f t="shared" si="170"/>
        <v/>
      </c>
    </row>
    <row r="5728" spans="1:1">
      <c r="A5728" s="11" t="str">
        <f t="shared" si="170"/>
        <v/>
      </c>
    </row>
    <row r="5729" spans="1:1">
      <c r="A5729" s="11" t="str">
        <f t="shared" si="170"/>
        <v/>
      </c>
    </row>
    <row r="5730" spans="1:1">
      <c r="A5730" s="11" t="str">
        <f t="shared" si="170"/>
        <v/>
      </c>
    </row>
    <row r="5731" spans="1:1">
      <c r="A5731" s="11" t="str">
        <f t="shared" si="170"/>
        <v/>
      </c>
    </row>
    <row r="5732" spans="1:1">
      <c r="A5732" s="11" t="str">
        <f t="shared" si="170"/>
        <v/>
      </c>
    </row>
    <row r="5733" spans="1:1">
      <c r="A5733" s="11" t="str">
        <f t="shared" si="170"/>
        <v/>
      </c>
    </row>
    <row r="5734" spans="1:1">
      <c r="A5734" s="11" t="str">
        <f t="shared" si="170"/>
        <v/>
      </c>
    </row>
    <row r="5735" spans="1:1">
      <c r="A5735" s="11" t="str">
        <f t="shared" si="170"/>
        <v/>
      </c>
    </row>
    <row r="5736" spans="1:1">
      <c r="A5736" s="11" t="str">
        <f t="shared" si="170"/>
        <v/>
      </c>
    </row>
    <row r="5737" spans="1:1">
      <c r="A5737" s="11" t="str">
        <f t="shared" si="170"/>
        <v/>
      </c>
    </row>
    <row r="5738" spans="1:1">
      <c r="A5738" s="11" t="str">
        <f t="shared" si="170"/>
        <v/>
      </c>
    </row>
    <row r="5739" spans="1:1">
      <c r="A5739" s="11" t="str">
        <f t="shared" si="170"/>
        <v/>
      </c>
    </row>
    <row r="5740" spans="1:1">
      <c r="A5740" s="11" t="str">
        <f t="shared" si="170"/>
        <v/>
      </c>
    </row>
    <row r="5741" spans="1:1">
      <c r="A5741" s="11" t="str">
        <f t="shared" si="170"/>
        <v/>
      </c>
    </row>
    <row r="5742" spans="1:1">
      <c r="A5742" s="11" t="str">
        <f t="shared" si="170"/>
        <v/>
      </c>
    </row>
    <row r="5743" spans="1:1">
      <c r="A5743" s="11" t="str">
        <f t="shared" si="170"/>
        <v/>
      </c>
    </row>
    <row r="5744" spans="1:1">
      <c r="A5744" s="11" t="str">
        <f t="shared" si="170"/>
        <v/>
      </c>
    </row>
    <row r="5745" spans="1:1">
      <c r="A5745" s="11" t="str">
        <f t="shared" si="170"/>
        <v/>
      </c>
    </row>
    <row r="5746" spans="1:1">
      <c r="A5746" s="11" t="str">
        <f t="shared" si="170"/>
        <v/>
      </c>
    </row>
    <row r="5747" spans="1:1">
      <c r="A5747" s="11" t="str">
        <f t="shared" si="170"/>
        <v/>
      </c>
    </row>
    <row r="5748" spans="1:1">
      <c r="A5748" s="11" t="str">
        <f t="shared" si="170"/>
        <v/>
      </c>
    </row>
    <row r="5749" spans="1:1">
      <c r="A5749" s="11" t="str">
        <f t="shared" si="170"/>
        <v/>
      </c>
    </row>
    <row r="5750" spans="1:1">
      <c r="A5750" s="11" t="str">
        <f t="shared" si="170"/>
        <v/>
      </c>
    </row>
    <row r="5751" spans="1:1">
      <c r="A5751" s="11" t="str">
        <f t="shared" si="170"/>
        <v/>
      </c>
    </row>
    <row r="5752" spans="1:1">
      <c r="A5752" s="11" t="str">
        <f t="shared" si="170"/>
        <v/>
      </c>
    </row>
    <row r="5753" spans="1:1">
      <c r="A5753" s="11" t="str">
        <f t="shared" si="170"/>
        <v/>
      </c>
    </row>
    <row r="5754" spans="1:1">
      <c r="A5754" s="11" t="str">
        <f t="shared" si="170"/>
        <v/>
      </c>
    </row>
    <row r="5755" spans="1:1">
      <c r="A5755" s="11" t="str">
        <f t="shared" si="170"/>
        <v/>
      </c>
    </row>
    <row r="5756" spans="1:1">
      <c r="A5756" s="11" t="str">
        <f t="shared" si="170"/>
        <v/>
      </c>
    </row>
    <row r="5757" spans="1:1">
      <c r="A5757" s="11" t="str">
        <f t="shared" si="170"/>
        <v/>
      </c>
    </row>
    <row r="5758" spans="1:1">
      <c r="A5758" s="11" t="str">
        <f t="shared" si="170"/>
        <v/>
      </c>
    </row>
    <row r="5759" spans="1:1">
      <c r="A5759" s="11" t="str">
        <f t="shared" si="170"/>
        <v/>
      </c>
    </row>
    <row r="5760" spans="1:1">
      <c r="A5760" s="11" t="str">
        <f t="shared" si="170"/>
        <v/>
      </c>
    </row>
    <row r="5761" spans="1:1">
      <c r="A5761" s="11" t="str">
        <f t="shared" si="170"/>
        <v/>
      </c>
    </row>
    <row r="5762" spans="1:1">
      <c r="A5762" s="11" t="str">
        <f t="shared" si="170"/>
        <v/>
      </c>
    </row>
    <row r="5763" spans="1:1">
      <c r="A5763" s="11" t="str">
        <f t="shared" ref="A5763:A5826" si="171">B5763&amp;D5763</f>
        <v/>
      </c>
    </row>
    <row r="5764" spans="1:1">
      <c r="A5764" s="11" t="str">
        <f t="shared" si="171"/>
        <v/>
      </c>
    </row>
    <row r="5765" spans="1:1">
      <c r="A5765" s="11" t="str">
        <f t="shared" si="171"/>
        <v/>
      </c>
    </row>
    <row r="5766" spans="1:1">
      <c r="A5766" s="11" t="str">
        <f t="shared" si="171"/>
        <v/>
      </c>
    </row>
    <row r="5767" spans="1:1">
      <c r="A5767" s="11" t="str">
        <f t="shared" si="171"/>
        <v/>
      </c>
    </row>
    <row r="5768" spans="1:1">
      <c r="A5768" s="11" t="str">
        <f t="shared" si="171"/>
        <v/>
      </c>
    </row>
    <row r="5769" spans="1:1">
      <c r="A5769" s="11" t="str">
        <f t="shared" si="171"/>
        <v/>
      </c>
    </row>
    <row r="5770" spans="1:1">
      <c r="A5770" s="11" t="str">
        <f t="shared" si="171"/>
        <v/>
      </c>
    </row>
    <row r="5771" spans="1:1">
      <c r="A5771" s="11" t="str">
        <f t="shared" si="171"/>
        <v/>
      </c>
    </row>
    <row r="5772" spans="1:1">
      <c r="A5772" s="11" t="str">
        <f t="shared" si="171"/>
        <v/>
      </c>
    </row>
    <row r="5773" spans="1:1">
      <c r="A5773" s="11" t="str">
        <f t="shared" si="171"/>
        <v/>
      </c>
    </row>
    <row r="5774" spans="1:1">
      <c r="A5774" s="11" t="str">
        <f t="shared" si="171"/>
        <v/>
      </c>
    </row>
    <row r="5775" spans="1:1">
      <c r="A5775" s="11" t="str">
        <f t="shared" si="171"/>
        <v/>
      </c>
    </row>
    <row r="5776" spans="1:1">
      <c r="A5776" s="11" t="str">
        <f t="shared" si="171"/>
        <v/>
      </c>
    </row>
    <row r="5777" spans="1:1">
      <c r="A5777" s="11" t="str">
        <f t="shared" si="171"/>
        <v/>
      </c>
    </row>
    <row r="5778" spans="1:1">
      <c r="A5778" s="11" t="str">
        <f t="shared" si="171"/>
        <v/>
      </c>
    </row>
    <row r="5779" spans="1:1">
      <c r="A5779" s="11" t="str">
        <f t="shared" si="171"/>
        <v/>
      </c>
    </row>
    <row r="5780" spans="1:1">
      <c r="A5780" s="11" t="str">
        <f t="shared" si="171"/>
        <v/>
      </c>
    </row>
    <row r="5781" spans="1:1">
      <c r="A5781" s="11" t="str">
        <f t="shared" si="171"/>
        <v/>
      </c>
    </row>
    <row r="5782" spans="1:1">
      <c r="A5782" s="11" t="str">
        <f t="shared" si="171"/>
        <v/>
      </c>
    </row>
    <row r="5783" spans="1:1">
      <c r="A5783" s="11" t="str">
        <f t="shared" si="171"/>
        <v/>
      </c>
    </row>
    <row r="5784" spans="1:1">
      <c r="A5784" s="11" t="str">
        <f t="shared" si="171"/>
        <v/>
      </c>
    </row>
    <row r="5785" spans="1:1">
      <c r="A5785" s="11" t="str">
        <f t="shared" si="171"/>
        <v/>
      </c>
    </row>
    <row r="5786" spans="1:1">
      <c r="A5786" s="11" t="str">
        <f t="shared" si="171"/>
        <v/>
      </c>
    </row>
    <row r="5787" spans="1:1">
      <c r="A5787" s="11" t="str">
        <f t="shared" si="171"/>
        <v/>
      </c>
    </row>
    <row r="5788" spans="1:1">
      <c r="A5788" s="11" t="str">
        <f t="shared" si="171"/>
        <v/>
      </c>
    </row>
    <row r="5789" spans="1:1">
      <c r="A5789" s="11" t="str">
        <f t="shared" si="171"/>
        <v/>
      </c>
    </row>
    <row r="5790" spans="1:1">
      <c r="A5790" s="11" t="str">
        <f t="shared" si="171"/>
        <v/>
      </c>
    </row>
    <row r="5791" spans="1:1">
      <c r="A5791" s="11" t="str">
        <f t="shared" si="171"/>
        <v/>
      </c>
    </row>
    <row r="5792" spans="1:1">
      <c r="A5792" s="11" t="str">
        <f t="shared" si="171"/>
        <v/>
      </c>
    </row>
    <row r="5793" spans="1:1">
      <c r="A5793" s="11" t="str">
        <f t="shared" si="171"/>
        <v/>
      </c>
    </row>
    <row r="5794" spans="1:1">
      <c r="A5794" s="11" t="str">
        <f t="shared" si="171"/>
        <v/>
      </c>
    </row>
    <row r="5795" spans="1:1">
      <c r="A5795" s="11" t="str">
        <f t="shared" si="171"/>
        <v/>
      </c>
    </row>
    <row r="5796" spans="1:1">
      <c r="A5796" s="11" t="str">
        <f t="shared" si="171"/>
        <v/>
      </c>
    </row>
    <row r="5797" spans="1:1">
      <c r="A5797" s="11" t="str">
        <f t="shared" si="171"/>
        <v/>
      </c>
    </row>
    <row r="5798" spans="1:1">
      <c r="A5798" s="11" t="str">
        <f t="shared" si="171"/>
        <v/>
      </c>
    </row>
    <row r="5799" spans="1:1">
      <c r="A5799" s="11" t="str">
        <f t="shared" si="171"/>
        <v/>
      </c>
    </row>
    <row r="5800" spans="1:1">
      <c r="A5800" s="11" t="str">
        <f t="shared" si="171"/>
        <v/>
      </c>
    </row>
    <row r="5801" spans="1:1">
      <c r="A5801" s="11" t="str">
        <f t="shared" si="171"/>
        <v/>
      </c>
    </row>
    <row r="5802" spans="1:1">
      <c r="A5802" s="11" t="str">
        <f t="shared" si="171"/>
        <v/>
      </c>
    </row>
    <row r="5803" spans="1:1">
      <c r="A5803" s="11" t="str">
        <f t="shared" si="171"/>
        <v/>
      </c>
    </row>
    <row r="5804" spans="1:1">
      <c r="A5804" s="11" t="str">
        <f t="shared" si="171"/>
        <v/>
      </c>
    </row>
    <row r="5805" spans="1:1">
      <c r="A5805" s="11" t="str">
        <f t="shared" si="171"/>
        <v/>
      </c>
    </row>
    <row r="5806" spans="1:1">
      <c r="A5806" s="11" t="str">
        <f t="shared" si="171"/>
        <v/>
      </c>
    </row>
    <row r="5807" spans="1:1">
      <c r="A5807" s="11" t="str">
        <f t="shared" si="171"/>
        <v/>
      </c>
    </row>
    <row r="5808" spans="1:1">
      <c r="A5808" s="11" t="str">
        <f t="shared" si="171"/>
        <v/>
      </c>
    </row>
    <row r="5809" spans="1:1">
      <c r="A5809" s="11" t="str">
        <f t="shared" si="171"/>
        <v/>
      </c>
    </row>
    <row r="5810" spans="1:1">
      <c r="A5810" s="11" t="str">
        <f t="shared" si="171"/>
        <v/>
      </c>
    </row>
    <row r="5811" spans="1:1">
      <c r="A5811" s="11" t="str">
        <f t="shared" si="171"/>
        <v/>
      </c>
    </row>
    <row r="5812" spans="1:1">
      <c r="A5812" s="11" t="str">
        <f t="shared" si="171"/>
        <v/>
      </c>
    </row>
    <row r="5813" spans="1:1">
      <c r="A5813" s="11" t="str">
        <f t="shared" si="171"/>
        <v/>
      </c>
    </row>
    <row r="5814" spans="1:1">
      <c r="A5814" s="11" t="str">
        <f t="shared" si="171"/>
        <v/>
      </c>
    </row>
    <row r="5815" spans="1:1">
      <c r="A5815" s="11" t="str">
        <f t="shared" si="171"/>
        <v/>
      </c>
    </row>
    <row r="5816" spans="1:1">
      <c r="A5816" s="11" t="str">
        <f t="shared" si="171"/>
        <v/>
      </c>
    </row>
    <row r="5817" spans="1:1">
      <c r="A5817" s="11" t="str">
        <f t="shared" si="171"/>
        <v/>
      </c>
    </row>
    <row r="5818" spans="1:1">
      <c r="A5818" s="11" t="str">
        <f t="shared" si="171"/>
        <v/>
      </c>
    </row>
    <row r="5819" spans="1:1">
      <c r="A5819" s="11" t="str">
        <f t="shared" si="171"/>
        <v/>
      </c>
    </row>
    <row r="5820" spans="1:1">
      <c r="A5820" s="11" t="str">
        <f t="shared" si="171"/>
        <v/>
      </c>
    </row>
    <row r="5821" spans="1:1">
      <c r="A5821" s="11" t="str">
        <f t="shared" si="171"/>
        <v/>
      </c>
    </row>
    <row r="5822" spans="1:1">
      <c r="A5822" s="11" t="str">
        <f t="shared" si="171"/>
        <v/>
      </c>
    </row>
    <row r="5823" spans="1:1">
      <c r="A5823" s="11" t="str">
        <f t="shared" si="171"/>
        <v/>
      </c>
    </row>
    <row r="5824" spans="1:1">
      <c r="A5824" s="11" t="str">
        <f t="shared" si="171"/>
        <v/>
      </c>
    </row>
    <row r="5825" spans="1:1">
      <c r="A5825" s="11" t="str">
        <f t="shared" si="171"/>
        <v/>
      </c>
    </row>
    <row r="5826" spans="1:1">
      <c r="A5826" s="11" t="str">
        <f t="shared" si="171"/>
        <v/>
      </c>
    </row>
    <row r="5827" spans="1:1">
      <c r="A5827" s="11" t="str">
        <f t="shared" ref="A5827:A5890" si="172">B5827&amp;D5827</f>
        <v/>
      </c>
    </row>
    <row r="5828" spans="1:1">
      <c r="A5828" s="11" t="str">
        <f t="shared" si="172"/>
        <v/>
      </c>
    </row>
    <row r="5829" spans="1:1">
      <c r="A5829" s="11" t="str">
        <f t="shared" si="172"/>
        <v/>
      </c>
    </row>
    <row r="5830" spans="1:1">
      <c r="A5830" s="11" t="str">
        <f t="shared" si="172"/>
        <v/>
      </c>
    </row>
    <row r="5831" spans="1:1">
      <c r="A5831" s="11" t="str">
        <f t="shared" si="172"/>
        <v/>
      </c>
    </row>
    <row r="5832" spans="1:1">
      <c r="A5832" s="11" t="str">
        <f t="shared" si="172"/>
        <v/>
      </c>
    </row>
    <row r="5833" spans="1:1">
      <c r="A5833" s="11" t="str">
        <f t="shared" si="172"/>
        <v/>
      </c>
    </row>
    <row r="5834" spans="1:1">
      <c r="A5834" s="11" t="str">
        <f t="shared" si="172"/>
        <v/>
      </c>
    </row>
    <row r="5835" spans="1:1">
      <c r="A5835" s="11" t="str">
        <f t="shared" si="172"/>
        <v/>
      </c>
    </row>
    <row r="5836" spans="1:1">
      <c r="A5836" s="11" t="str">
        <f t="shared" si="172"/>
        <v/>
      </c>
    </row>
    <row r="5837" spans="1:1">
      <c r="A5837" s="11" t="str">
        <f t="shared" si="172"/>
        <v/>
      </c>
    </row>
    <row r="5838" spans="1:1">
      <c r="A5838" s="11" t="str">
        <f t="shared" si="172"/>
        <v/>
      </c>
    </row>
    <row r="5839" spans="1:1">
      <c r="A5839" s="11" t="str">
        <f t="shared" si="172"/>
        <v/>
      </c>
    </row>
    <row r="5840" spans="1:1">
      <c r="A5840" s="11" t="str">
        <f t="shared" si="172"/>
        <v/>
      </c>
    </row>
    <row r="5841" spans="1:1">
      <c r="A5841" s="11" t="str">
        <f t="shared" si="172"/>
        <v/>
      </c>
    </row>
    <row r="5842" spans="1:1">
      <c r="A5842" s="11" t="str">
        <f t="shared" si="172"/>
        <v/>
      </c>
    </row>
    <row r="5843" spans="1:1">
      <c r="A5843" s="11" t="str">
        <f t="shared" si="172"/>
        <v/>
      </c>
    </row>
    <row r="5844" spans="1:1">
      <c r="A5844" s="11" t="str">
        <f t="shared" si="172"/>
        <v/>
      </c>
    </row>
    <row r="5845" spans="1:1">
      <c r="A5845" s="11" t="str">
        <f t="shared" si="172"/>
        <v/>
      </c>
    </row>
    <row r="5846" spans="1:1">
      <c r="A5846" s="11" t="str">
        <f t="shared" si="172"/>
        <v/>
      </c>
    </row>
    <row r="5847" spans="1:1">
      <c r="A5847" s="11" t="str">
        <f t="shared" si="172"/>
        <v/>
      </c>
    </row>
    <row r="5848" spans="1:1">
      <c r="A5848" s="11" t="str">
        <f t="shared" si="172"/>
        <v/>
      </c>
    </row>
    <row r="5849" spans="1:1">
      <c r="A5849" s="11" t="str">
        <f t="shared" si="172"/>
        <v/>
      </c>
    </row>
    <row r="5850" spans="1:1">
      <c r="A5850" s="11" t="str">
        <f t="shared" si="172"/>
        <v/>
      </c>
    </row>
    <row r="5851" spans="1:1">
      <c r="A5851" s="11" t="str">
        <f t="shared" si="172"/>
        <v/>
      </c>
    </row>
    <row r="5852" spans="1:1">
      <c r="A5852" s="11" t="str">
        <f t="shared" si="172"/>
        <v/>
      </c>
    </row>
    <row r="5853" spans="1:1">
      <c r="A5853" s="11" t="str">
        <f t="shared" si="172"/>
        <v/>
      </c>
    </row>
    <row r="5854" spans="1:1">
      <c r="A5854" s="11" t="str">
        <f t="shared" si="172"/>
        <v/>
      </c>
    </row>
    <row r="5855" spans="1:1">
      <c r="A5855" s="11" t="str">
        <f t="shared" si="172"/>
        <v/>
      </c>
    </row>
    <row r="5856" spans="1:1">
      <c r="A5856" s="11" t="str">
        <f t="shared" si="172"/>
        <v/>
      </c>
    </row>
    <row r="5857" spans="1:1">
      <c r="A5857" s="11" t="str">
        <f t="shared" si="172"/>
        <v/>
      </c>
    </row>
    <row r="5858" spans="1:1">
      <c r="A5858" s="11" t="str">
        <f t="shared" si="172"/>
        <v/>
      </c>
    </row>
    <row r="5859" spans="1:1">
      <c r="A5859" s="11" t="str">
        <f t="shared" si="172"/>
        <v/>
      </c>
    </row>
    <row r="5860" spans="1:1">
      <c r="A5860" s="11" t="str">
        <f t="shared" si="172"/>
        <v/>
      </c>
    </row>
    <row r="5861" spans="1:1">
      <c r="A5861" s="11" t="str">
        <f t="shared" si="172"/>
        <v/>
      </c>
    </row>
    <row r="5862" spans="1:1">
      <c r="A5862" s="11" t="str">
        <f t="shared" si="172"/>
        <v/>
      </c>
    </row>
    <row r="5863" spans="1:1">
      <c r="A5863" s="11" t="str">
        <f t="shared" si="172"/>
        <v/>
      </c>
    </row>
    <row r="5864" spans="1:1">
      <c r="A5864" s="11" t="str">
        <f t="shared" si="172"/>
        <v/>
      </c>
    </row>
    <row r="5865" spans="1:1">
      <c r="A5865" s="11" t="str">
        <f t="shared" si="172"/>
        <v/>
      </c>
    </row>
    <row r="5866" spans="1:1">
      <c r="A5866" s="11" t="str">
        <f t="shared" si="172"/>
        <v/>
      </c>
    </row>
    <row r="5867" spans="1:1">
      <c r="A5867" s="11" t="str">
        <f t="shared" si="172"/>
        <v/>
      </c>
    </row>
    <row r="5868" spans="1:1">
      <c r="A5868" s="11" t="str">
        <f t="shared" si="172"/>
        <v/>
      </c>
    </row>
    <row r="5869" spans="1:1">
      <c r="A5869" s="11" t="str">
        <f t="shared" si="172"/>
        <v/>
      </c>
    </row>
    <row r="5870" spans="1:1">
      <c r="A5870" s="11" t="str">
        <f t="shared" si="172"/>
        <v/>
      </c>
    </row>
    <row r="5871" spans="1:1">
      <c r="A5871" s="11" t="str">
        <f t="shared" si="172"/>
        <v/>
      </c>
    </row>
    <row r="5872" spans="1:1">
      <c r="A5872" s="11" t="str">
        <f t="shared" si="172"/>
        <v/>
      </c>
    </row>
    <row r="5873" spans="1:1">
      <c r="A5873" s="11" t="str">
        <f t="shared" si="172"/>
        <v/>
      </c>
    </row>
    <row r="5874" spans="1:1">
      <c r="A5874" s="11" t="str">
        <f t="shared" si="172"/>
        <v/>
      </c>
    </row>
    <row r="5875" spans="1:1">
      <c r="A5875" s="11" t="str">
        <f t="shared" si="172"/>
        <v/>
      </c>
    </row>
    <row r="5876" spans="1:1">
      <c r="A5876" s="11" t="str">
        <f t="shared" si="172"/>
        <v/>
      </c>
    </row>
    <row r="5877" spans="1:1">
      <c r="A5877" s="11" t="str">
        <f t="shared" si="172"/>
        <v/>
      </c>
    </row>
    <row r="5878" spans="1:1">
      <c r="A5878" s="11" t="str">
        <f t="shared" si="172"/>
        <v/>
      </c>
    </row>
    <row r="5879" spans="1:1">
      <c r="A5879" s="11" t="str">
        <f t="shared" si="172"/>
        <v/>
      </c>
    </row>
    <row r="5880" spans="1:1">
      <c r="A5880" s="11" t="str">
        <f t="shared" si="172"/>
        <v/>
      </c>
    </row>
    <row r="5881" spans="1:1">
      <c r="A5881" s="11" t="str">
        <f t="shared" si="172"/>
        <v/>
      </c>
    </row>
    <row r="5882" spans="1:1">
      <c r="A5882" s="11" t="str">
        <f t="shared" si="172"/>
        <v/>
      </c>
    </row>
    <row r="5883" spans="1:1">
      <c r="A5883" s="11" t="str">
        <f t="shared" si="172"/>
        <v/>
      </c>
    </row>
    <row r="5884" spans="1:1">
      <c r="A5884" s="11" t="str">
        <f t="shared" si="172"/>
        <v/>
      </c>
    </row>
    <row r="5885" spans="1:1">
      <c r="A5885" s="11" t="str">
        <f t="shared" si="172"/>
        <v/>
      </c>
    </row>
    <row r="5886" spans="1:1">
      <c r="A5886" s="11" t="str">
        <f t="shared" si="172"/>
        <v/>
      </c>
    </row>
    <row r="5887" spans="1:1">
      <c r="A5887" s="11" t="str">
        <f t="shared" si="172"/>
        <v/>
      </c>
    </row>
    <row r="5888" spans="1:1">
      <c r="A5888" s="11" t="str">
        <f t="shared" si="172"/>
        <v/>
      </c>
    </row>
    <row r="5889" spans="1:1">
      <c r="A5889" s="11" t="str">
        <f t="shared" si="172"/>
        <v/>
      </c>
    </row>
    <row r="5890" spans="1:1">
      <c r="A5890" s="11" t="str">
        <f t="shared" si="172"/>
        <v/>
      </c>
    </row>
    <row r="5891" spans="1:1">
      <c r="A5891" s="11" t="str">
        <f t="shared" ref="A5891:A5954" si="173">B5891&amp;D5891</f>
        <v/>
      </c>
    </row>
    <row r="5892" spans="1:1">
      <c r="A5892" s="11" t="str">
        <f t="shared" si="173"/>
        <v/>
      </c>
    </row>
    <row r="5893" spans="1:1">
      <c r="A5893" s="11" t="str">
        <f t="shared" si="173"/>
        <v/>
      </c>
    </row>
    <row r="5894" spans="1:1">
      <c r="A5894" s="11" t="str">
        <f t="shared" si="173"/>
        <v/>
      </c>
    </row>
    <row r="5895" spans="1:1">
      <c r="A5895" s="11" t="str">
        <f t="shared" si="173"/>
        <v/>
      </c>
    </row>
    <row r="5896" spans="1:1">
      <c r="A5896" s="11" t="str">
        <f t="shared" si="173"/>
        <v/>
      </c>
    </row>
    <row r="5897" spans="1:1">
      <c r="A5897" s="11" t="str">
        <f t="shared" si="173"/>
        <v/>
      </c>
    </row>
    <row r="5898" spans="1:1">
      <c r="A5898" s="11" t="str">
        <f t="shared" si="173"/>
        <v/>
      </c>
    </row>
    <row r="5899" spans="1:1">
      <c r="A5899" s="11" t="str">
        <f t="shared" si="173"/>
        <v/>
      </c>
    </row>
    <row r="5900" spans="1:1">
      <c r="A5900" s="11" t="str">
        <f t="shared" si="173"/>
        <v/>
      </c>
    </row>
    <row r="5901" spans="1:1">
      <c r="A5901" s="11" t="str">
        <f t="shared" si="173"/>
        <v/>
      </c>
    </row>
    <row r="5902" spans="1:1">
      <c r="A5902" s="11" t="str">
        <f t="shared" si="173"/>
        <v/>
      </c>
    </row>
    <row r="5903" spans="1:1">
      <c r="A5903" s="11" t="str">
        <f t="shared" si="173"/>
        <v/>
      </c>
    </row>
    <row r="5904" spans="1:1">
      <c r="A5904" s="11" t="str">
        <f t="shared" si="173"/>
        <v/>
      </c>
    </row>
    <row r="5905" spans="1:1">
      <c r="A5905" s="11" t="str">
        <f t="shared" si="173"/>
        <v/>
      </c>
    </row>
    <row r="5906" spans="1:1">
      <c r="A5906" s="11" t="str">
        <f t="shared" si="173"/>
        <v/>
      </c>
    </row>
    <row r="5907" spans="1:1">
      <c r="A5907" s="11" t="str">
        <f t="shared" si="173"/>
        <v/>
      </c>
    </row>
    <row r="5908" spans="1:1">
      <c r="A5908" s="11" t="str">
        <f t="shared" si="173"/>
        <v/>
      </c>
    </row>
    <row r="5909" spans="1:1">
      <c r="A5909" s="11" t="str">
        <f t="shared" si="173"/>
        <v/>
      </c>
    </row>
    <row r="5910" spans="1:1">
      <c r="A5910" s="11" t="str">
        <f t="shared" si="173"/>
        <v/>
      </c>
    </row>
    <row r="5911" spans="1:1">
      <c r="A5911" s="11" t="str">
        <f t="shared" si="173"/>
        <v/>
      </c>
    </row>
    <row r="5912" spans="1:1">
      <c r="A5912" s="11" t="str">
        <f t="shared" si="173"/>
        <v/>
      </c>
    </row>
    <row r="5913" spans="1:1">
      <c r="A5913" s="11" t="str">
        <f t="shared" si="173"/>
        <v/>
      </c>
    </row>
    <row r="5914" spans="1:1">
      <c r="A5914" s="11" t="str">
        <f t="shared" si="173"/>
        <v/>
      </c>
    </row>
    <row r="5915" spans="1:1">
      <c r="A5915" s="11" t="str">
        <f t="shared" si="173"/>
        <v/>
      </c>
    </row>
    <row r="5916" spans="1:1">
      <c r="A5916" s="11" t="str">
        <f t="shared" si="173"/>
        <v/>
      </c>
    </row>
    <row r="5917" spans="1:1">
      <c r="A5917" s="11" t="str">
        <f t="shared" si="173"/>
        <v/>
      </c>
    </row>
    <row r="5918" spans="1:1">
      <c r="A5918" s="11" t="str">
        <f t="shared" si="173"/>
        <v/>
      </c>
    </row>
    <row r="5919" spans="1:1">
      <c r="A5919" s="11" t="str">
        <f t="shared" si="173"/>
        <v/>
      </c>
    </row>
    <row r="5920" spans="1:1">
      <c r="A5920" s="11" t="str">
        <f t="shared" si="173"/>
        <v/>
      </c>
    </row>
    <row r="5921" spans="1:1">
      <c r="A5921" s="11" t="str">
        <f t="shared" si="173"/>
        <v/>
      </c>
    </row>
    <row r="5922" spans="1:1">
      <c r="A5922" s="11" t="str">
        <f t="shared" si="173"/>
        <v/>
      </c>
    </row>
    <row r="5923" spans="1:1">
      <c r="A5923" s="11" t="str">
        <f t="shared" si="173"/>
        <v/>
      </c>
    </row>
    <row r="5924" spans="1:1">
      <c r="A5924" s="11" t="str">
        <f t="shared" si="173"/>
        <v/>
      </c>
    </row>
    <row r="5925" spans="1:1">
      <c r="A5925" s="11" t="str">
        <f t="shared" si="173"/>
        <v/>
      </c>
    </row>
    <row r="5926" spans="1:1">
      <c r="A5926" s="11" t="str">
        <f t="shared" si="173"/>
        <v/>
      </c>
    </row>
    <row r="5927" spans="1:1">
      <c r="A5927" s="11" t="str">
        <f t="shared" si="173"/>
        <v/>
      </c>
    </row>
    <row r="5928" spans="1:1">
      <c r="A5928" s="11" t="str">
        <f t="shared" si="173"/>
        <v/>
      </c>
    </row>
    <row r="5929" spans="1:1">
      <c r="A5929" s="11" t="str">
        <f t="shared" si="173"/>
        <v/>
      </c>
    </row>
    <row r="5930" spans="1:1">
      <c r="A5930" s="11" t="str">
        <f t="shared" si="173"/>
        <v/>
      </c>
    </row>
    <row r="5931" spans="1:1">
      <c r="A5931" s="11" t="str">
        <f t="shared" si="173"/>
        <v/>
      </c>
    </row>
    <row r="5932" spans="1:1">
      <c r="A5932" s="11" t="str">
        <f t="shared" si="173"/>
        <v/>
      </c>
    </row>
    <row r="5933" spans="1:1">
      <c r="A5933" s="11" t="str">
        <f t="shared" si="173"/>
        <v/>
      </c>
    </row>
    <row r="5934" spans="1:1">
      <c r="A5934" s="11" t="str">
        <f t="shared" si="173"/>
        <v/>
      </c>
    </row>
    <row r="5935" spans="1:1">
      <c r="A5935" s="11" t="str">
        <f t="shared" si="173"/>
        <v/>
      </c>
    </row>
    <row r="5936" spans="1:1">
      <c r="A5936" s="11" t="str">
        <f t="shared" si="173"/>
        <v/>
      </c>
    </row>
    <row r="5937" spans="1:1">
      <c r="A5937" s="11" t="str">
        <f t="shared" si="173"/>
        <v/>
      </c>
    </row>
    <row r="5938" spans="1:1">
      <c r="A5938" s="11" t="str">
        <f t="shared" si="173"/>
        <v/>
      </c>
    </row>
    <row r="5939" spans="1:1">
      <c r="A5939" s="11" t="str">
        <f t="shared" si="173"/>
        <v/>
      </c>
    </row>
    <row r="5940" spans="1:1">
      <c r="A5940" s="11" t="str">
        <f t="shared" si="173"/>
        <v/>
      </c>
    </row>
    <row r="5941" spans="1:1">
      <c r="A5941" s="11" t="str">
        <f t="shared" si="173"/>
        <v/>
      </c>
    </row>
    <row r="5942" spans="1:1">
      <c r="A5942" s="11" t="str">
        <f t="shared" si="173"/>
        <v/>
      </c>
    </row>
    <row r="5943" spans="1:1">
      <c r="A5943" s="11" t="str">
        <f t="shared" si="173"/>
        <v/>
      </c>
    </row>
    <row r="5944" spans="1:1">
      <c r="A5944" s="11" t="str">
        <f t="shared" si="173"/>
        <v/>
      </c>
    </row>
    <row r="5945" spans="1:1">
      <c r="A5945" s="11" t="str">
        <f t="shared" si="173"/>
        <v/>
      </c>
    </row>
    <row r="5946" spans="1:1">
      <c r="A5946" s="11" t="str">
        <f t="shared" si="173"/>
        <v/>
      </c>
    </row>
    <row r="5947" spans="1:1">
      <c r="A5947" s="11" t="str">
        <f t="shared" si="173"/>
        <v/>
      </c>
    </row>
    <row r="5948" spans="1:1">
      <c r="A5948" s="11" t="str">
        <f t="shared" si="173"/>
        <v/>
      </c>
    </row>
    <row r="5949" spans="1:1">
      <c r="A5949" s="11" t="str">
        <f t="shared" si="173"/>
        <v/>
      </c>
    </row>
    <row r="5950" spans="1:1">
      <c r="A5950" s="11" t="str">
        <f t="shared" si="173"/>
        <v/>
      </c>
    </row>
    <row r="5951" spans="1:1">
      <c r="A5951" s="11" t="str">
        <f t="shared" si="173"/>
        <v/>
      </c>
    </row>
    <row r="5952" spans="1:1">
      <c r="A5952" s="11" t="str">
        <f t="shared" si="173"/>
        <v/>
      </c>
    </row>
    <row r="5953" spans="1:1">
      <c r="A5953" s="11" t="str">
        <f t="shared" si="173"/>
        <v/>
      </c>
    </row>
    <row r="5954" spans="1:1">
      <c r="A5954" s="11" t="str">
        <f t="shared" si="173"/>
        <v/>
      </c>
    </row>
    <row r="5955" spans="1:1">
      <c r="A5955" s="11" t="str">
        <f t="shared" ref="A5955:A6018" si="174">B5955&amp;D5955</f>
        <v/>
      </c>
    </row>
    <row r="5956" spans="1:1">
      <c r="A5956" s="11" t="str">
        <f t="shared" si="174"/>
        <v/>
      </c>
    </row>
    <row r="5957" spans="1:1">
      <c r="A5957" s="11" t="str">
        <f t="shared" si="174"/>
        <v/>
      </c>
    </row>
    <row r="5958" spans="1:1">
      <c r="A5958" s="11" t="str">
        <f t="shared" si="174"/>
        <v/>
      </c>
    </row>
    <row r="5959" spans="1:1">
      <c r="A5959" s="11" t="str">
        <f t="shared" si="174"/>
        <v/>
      </c>
    </row>
    <row r="5960" spans="1:1">
      <c r="A5960" s="11" t="str">
        <f t="shared" si="174"/>
        <v/>
      </c>
    </row>
    <row r="5961" spans="1:1">
      <c r="A5961" s="11" t="str">
        <f t="shared" si="174"/>
        <v/>
      </c>
    </row>
    <row r="5962" spans="1:1">
      <c r="A5962" s="11" t="str">
        <f t="shared" si="174"/>
        <v/>
      </c>
    </row>
    <row r="5963" spans="1:1">
      <c r="A5963" s="11" t="str">
        <f t="shared" si="174"/>
        <v/>
      </c>
    </row>
    <row r="5964" spans="1:1">
      <c r="A5964" s="11" t="str">
        <f t="shared" si="174"/>
        <v/>
      </c>
    </row>
    <row r="5965" spans="1:1">
      <c r="A5965" s="11" t="str">
        <f t="shared" si="174"/>
        <v/>
      </c>
    </row>
    <row r="5966" spans="1:1">
      <c r="A5966" s="11" t="str">
        <f t="shared" si="174"/>
        <v/>
      </c>
    </row>
    <row r="5967" spans="1:1">
      <c r="A5967" s="11" t="str">
        <f t="shared" si="174"/>
        <v/>
      </c>
    </row>
    <row r="5968" spans="1:1">
      <c r="A5968" s="11" t="str">
        <f t="shared" si="174"/>
        <v/>
      </c>
    </row>
    <row r="5969" spans="1:1">
      <c r="A5969" s="11" t="str">
        <f t="shared" si="174"/>
        <v/>
      </c>
    </row>
    <row r="5970" spans="1:1">
      <c r="A5970" s="11" t="str">
        <f t="shared" si="174"/>
        <v/>
      </c>
    </row>
    <row r="5971" spans="1:1">
      <c r="A5971" s="11" t="str">
        <f t="shared" si="174"/>
        <v/>
      </c>
    </row>
    <row r="5972" spans="1:1">
      <c r="A5972" s="11" t="str">
        <f t="shared" si="174"/>
        <v/>
      </c>
    </row>
    <row r="5973" spans="1:1">
      <c r="A5973" s="11" t="str">
        <f t="shared" si="174"/>
        <v/>
      </c>
    </row>
    <row r="5974" spans="1:1">
      <c r="A5974" s="11" t="str">
        <f t="shared" si="174"/>
        <v/>
      </c>
    </row>
    <row r="5975" spans="1:1">
      <c r="A5975" s="11" t="str">
        <f t="shared" si="174"/>
        <v/>
      </c>
    </row>
    <row r="5976" spans="1:1">
      <c r="A5976" s="11" t="str">
        <f t="shared" si="174"/>
        <v/>
      </c>
    </row>
    <row r="5977" spans="1:1">
      <c r="A5977" s="11" t="str">
        <f t="shared" si="174"/>
        <v/>
      </c>
    </row>
    <row r="5978" spans="1:1">
      <c r="A5978" s="11" t="str">
        <f t="shared" si="174"/>
        <v/>
      </c>
    </row>
    <row r="5979" spans="1:1">
      <c r="A5979" s="11" t="str">
        <f t="shared" si="174"/>
        <v/>
      </c>
    </row>
    <row r="5980" spans="1:1">
      <c r="A5980" s="11" t="str">
        <f t="shared" si="174"/>
        <v/>
      </c>
    </row>
    <row r="5981" spans="1:1">
      <c r="A5981" s="11" t="str">
        <f t="shared" si="174"/>
        <v/>
      </c>
    </row>
    <row r="5982" spans="1:1">
      <c r="A5982" s="11" t="str">
        <f t="shared" si="174"/>
        <v/>
      </c>
    </row>
    <row r="5983" spans="1:1">
      <c r="A5983" s="11" t="str">
        <f t="shared" si="174"/>
        <v/>
      </c>
    </row>
    <row r="5984" spans="1:1">
      <c r="A5984" s="11" t="str">
        <f t="shared" si="174"/>
        <v/>
      </c>
    </row>
    <row r="5985" spans="1:1">
      <c r="A5985" s="11" t="str">
        <f t="shared" si="174"/>
        <v/>
      </c>
    </row>
    <row r="5986" spans="1:1">
      <c r="A5986" s="11" t="str">
        <f t="shared" si="174"/>
        <v/>
      </c>
    </row>
    <row r="5987" spans="1:1">
      <c r="A5987" s="11" t="str">
        <f t="shared" si="174"/>
        <v/>
      </c>
    </row>
    <row r="5988" spans="1:1">
      <c r="A5988" s="11" t="str">
        <f t="shared" si="174"/>
        <v/>
      </c>
    </row>
    <row r="5989" spans="1:1">
      <c r="A5989" s="11" t="str">
        <f t="shared" si="174"/>
        <v/>
      </c>
    </row>
    <row r="5990" spans="1:1">
      <c r="A5990" s="11" t="str">
        <f t="shared" si="174"/>
        <v/>
      </c>
    </row>
    <row r="5991" spans="1:1">
      <c r="A5991" s="11" t="str">
        <f t="shared" si="174"/>
        <v/>
      </c>
    </row>
    <row r="5992" spans="1:1">
      <c r="A5992" s="11" t="str">
        <f t="shared" si="174"/>
        <v/>
      </c>
    </row>
    <row r="5993" spans="1:1">
      <c r="A5993" s="11" t="str">
        <f t="shared" si="174"/>
        <v/>
      </c>
    </row>
    <row r="5994" spans="1:1">
      <c r="A5994" s="11" t="str">
        <f t="shared" si="174"/>
        <v/>
      </c>
    </row>
    <row r="5995" spans="1:1">
      <c r="A5995" s="11" t="str">
        <f t="shared" si="174"/>
        <v/>
      </c>
    </row>
    <row r="5996" spans="1:1">
      <c r="A5996" s="11" t="str">
        <f t="shared" si="174"/>
        <v/>
      </c>
    </row>
    <row r="5997" spans="1:1">
      <c r="A5997" s="11" t="str">
        <f t="shared" si="174"/>
        <v/>
      </c>
    </row>
    <row r="5998" spans="1:1">
      <c r="A5998" s="11" t="str">
        <f t="shared" si="174"/>
        <v/>
      </c>
    </row>
    <row r="5999" spans="1:1">
      <c r="A5999" s="11" t="str">
        <f t="shared" si="174"/>
        <v/>
      </c>
    </row>
    <row r="6000" spans="1:1">
      <c r="A6000" s="11" t="str">
        <f t="shared" si="174"/>
        <v/>
      </c>
    </row>
    <row r="6001" spans="1:1">
      <c r="A6001" s="11" t="str">
        <f t="shared" si="174"/>
        <v/>
      </c>
    </row>
    <row r="6002" spans="1:1">
      <c r="A6002" s="11" t="str">
        <f t="shared" si="174"/>
        <v/>
      </c>
    </row>
    <row r="6003" spans="1:1">
      <c r="A6003" s="11" t="str">
        <f t="shared" si="174"/>
        <v/>
      </c>
    </row>
    <row r="6004" spans="1:1">
      <c r="A6004" s="11" t="str">
        <f t="shared" si="174"/>
        <v/>
      </c>
    </row>
    <row r="6005" spans="1:1">
      <c r="A6005" s="11" t="str">
        <f t="shared" si="174"/>
        <v/>
      </c>
    </row>
    <row r="6006" spans="1:1">
      <c r="A6006" s="11" t="str">
        <f t="shared" si="174"/>
        <v/>
      </c>
    </row>
    <row r="6007" spans="1:1">
      <c r="A6007" s="11" t="str">
        <f t="shared" si="174"/>
        <v/>
      </c>
    </row>
    <row r="6008" spans="1:1">
      <c r="A6008" s="11" t="str">
        <f t="shared" si="174"/>
        <v/>
      </c>
    </row>
    <row r="6009" spans="1:1">
      <c r="A6009" s="11" t="str">
        <f t="shared" si="174"/>
        <v/>
      </c>
    </row>
    <row r="6010" spans="1:1">
      <c r="A6010" s="11" t="str">
        <f t="shared" si="174"/>
        <v/>
      </c>
    </row>
    <row r="6011" spans="1:1">
      <c r="A6011" s="11" t="str">
        <f t="shared" si="174"/>
        <v/>
      </c>
    </row>
    <row r="6012" spans="1:1">
      <c r="A6012" s="11" t="str">
        <f t="shared" si="174"/>
        <v/>
      </c>
    </row>
    <row r="6013" spans="1:1">
      <c r="A6013" s="11" t="str">
        <f t="shared" si="174"/>
        <v/>
      </c>
    </row>
    <row r="6014" spans="1:1">
      <c r="A6014" s="11" t="str">
        <f t="shared" si="174"/>
        <v/>
      </c>
    </row>
    <row r="6015" spans="1:1">
      <c r="A6015" s="11" t="str">
        <f t="shared" si="174"/>
        <v/>
      </c>
    </row>
    <row r="6016" spans="1:1">
      <c r="A6016" s="11" t="str">
        <f t="shared" si="174"/>
        <v/>
      </c>
    </row>
    <row r="6017" spans="1:1">
      <c r="A6017" s="11" t="str">
        <f t="shared" si="174"/>
        <v/>
      </c>
    </row>
    <row r="6018" spans="1:1">
      <c r="A6018" s="11" t="str">
        <f t="shared" si="174"/>
        <v/>
      </c>
    </row>
    <row r="6019" spans="1:1">
      <c r="A6019" s="11" t="str">
        <f t="shared" ref="A6019:A6082" si="175">B6019&amp;D6019</f>
        <v/>
      </c>
    </row>
    <row r="6020" spans="1:1">
      <c r="A6020" s="11" t="str">
        <f t="shared" si="175"/>
        <v/>
      </c>
    </row>
    <row r="6021" spans="1:1">
      <c r="A6021" s="11" t="str">
        <f t="shared" si="175"/>
        <v/>
      </c>
    </row>
    <row r="6022" spans="1:1">
      <c r="A6022" s="11" t="str">
        <f t="shared" si="175"/>
        <v/>
      </c>
    </row>
    <row r="6023" spans="1:1">
      <c r="A6023" s="11" t="str">
        <f t="shared" si="175"/>
        <v/>
      </c>
    </row>
    <row r="6024" spans="1:1">
      <c r="A6024" s="11" t="str">
        <f t="shared" si="175"/>
        <v/>
      </c>
    </row>
    <row r="6025" spans="1:1">
      <c r="A6025" s="11" t="str">
        <f t="shared" si="175"/>
        <v/>
      </c>
    </row>
    <row r="6026" spans="1:1">
      <c r="A6026" s="11" t="str">
        <f t="shared" si="175"/>
        <v/>
      </c>
    </row>
    <row r="6027" spans="1:1">
      <c r="A6027" s="11" t="str">
        <f t="shared" si="175"/>
        <v/>
      </c>
    </row>
    <row r="6028" spans="1:1">
      <c r="A6028" s="11" t="str">
        <f t="shared" si="175"/>
        <v/>
      </c>
    </row>
    <row r="6029" spans="1:1">
      <c r="A6029" s="11" t="str">
        <f t="shared" si="175"/>
        <v/>
      </c>
    </row>
    <row r="6030" spans="1:1">
      <c r="A6030" s="11" t="str">
        <f t="shared" si="175"/>
        <v/>
      </c>
    </row>
    <row r="6031" spans="1:1">
      <c r="A6031" s="11" t="str">
        <f t="shared" si="175"/>
        <v/>
      </c>
    </row>
    <row r="6032" spans="1:1">
      <c r="A6032" s="11" t="str">
        <f t="shared" si="175"/>
        <v/>
      </c>
    </row>
    <row r="6033" spans="1:1">
      <c r="A6033" s="11" t="str">
        <f t="shared" si="175"/>
        <v/>
      </c>
    </row>
    <row r="6034" spans="1:1">
      <c r="A6034" s="11" t="str">
        <f t="shared" si="175"/>
        <v/>
      </c>
    </row>
    <row r="6035" spans="1:1">
      <c r="A6035" s="11" t="str">
        <f t="shared" si="175"/>
        <v/>
      </c>
    </row>
    <row r="6036" spans="1:1">
      <c r="A6036" s="11" t="str">
        <f t="shared" si="175"/>
        <v/>
      </c>
    </row>
    <row r="6037" spans="1:1">
      <c r="A6037" s="11" t="str">
        <f t="shared" si="175"/>
        <v/>
      </c>
    </row>
    <row r="6038" spans="1:1">
      <c r="A6038" s="11" t="str">
        <f t="shared" si="175"/>
        <v/>
      </c>
    </row>
    <row r="6039" spans="1:1">
      <c r="A6039" s="11" t="str">
        <f t="shared" si="175"/>
        <v/>
      </c>
    </row>
    <row r="6040" spans="1:1">
      <c r="A6040" s="11" t="str">
        <f t="shared" si="175"/>
        <v/>
      </c>
    </row>
    <row r="6041" spans="1:1">
      <c r="A6041" s="11" t="str">
        <f t="shared" si="175"/>
        <v/>
      </c>
    </row>
    <row r="6042" spans="1:1">
      <c r="A6042" s="11" t="str">
        <f t="shared" si="175"/>
        <v/>
      </c>
    </row>
    <row r="6043" spans="1:1">
      <c r="A6043" s="11" t="str">
        <f t="shared" si="175"/>
        <v/>
      </c>
    </row>
    <row r="6044" spans="1:1">
      <c r="A6044" s="11" t="str">
        <f t="shared" si="175"/>
        <v/>
      </c>
    </row>
    <row r="6045" spans="1:1">
      <c r="A6045" s="11" t="str">
        <f t="shared" si="175"/>
        <v/>
      </c>
    </row>
    <row r="6046" spans="1:1">
      <c r="A6046" s="11" t="str">
        <f t="shared" si="175"/>
        <v/>
      </c>
    </row>
    <row r="6047" spans="1:1">
      <c r="A6047" s="11" t="str">
        <f t="shared" si="175"/>
        <v/>
      </c>
    </row>
    <row r="6048" spans="1:1">
      <c r="A6048" s="11" t="str">
        <f t="shared" si="175"/>
        <v/>
      </c>
    </row>
    <row r="6049" spans="1:1">
      <c r="A6049" s="11" t="str">
        <f t="shared" si="175"/>
        <v/>
      </c>
    </row>
    <row r="6050" spans="1:1">
      <c r="A6050" s="11" t="str">
        <f t="shared" si="175"/>
        <v/>
      </c>
    </row>
    <row r="6051" spans="1:1">
      <c r="A6051" s="11" t="str">
        <f t="shared" si="175"/>
        <v/>
      </c>
    </row>
    <row r="6052" spans="1:1">
      <c r="A6052" s="11" t="str">
        <f t="shared" si="175"/>
        <v/>
      </c>
    </row>
    <row r="6053" spans="1:1">
      <c r="A6053" s="11" t="str">
        <f t="shared" si="175"/>
        <v/>
      </c>
    </row>
    <row r="6054" spans="1:1">
      <c r="A6054" s="11" t="str">
        <f t="shared" si="175"/>
        <v/>
      </c>
    </row>
    <row r="6055" spans="1:1">
      <c r="A6055" s="11" t="str">
        <f t="shared" si="175"/>
        <v/>
      </c>
    </row>
    <row r="6056" spans="1:1">
      <c r="A6056" s="11" t="str">
        <f t="shared" si="175"/>
        <v/>
      </c>
    </row>
    <row r="6057" spans="1:1">
      <c r="A6057" s="11" t="str">
        <f t="shared" si="175"/>
        <v/>
      </c>
    </row>
    <row r="6058" spans="1:1">
      <c r="A6058" s="11" t="str">
        <f t="shared" si="175"/>
        <v/>
      </c>
    </row>
    <row r="6059" spans="1:1">
      <c r="A6059" s="11" t="str">
        <f t="shared" si="175"/>
        <v/>
      </c>
    </row>
    <row r="6060" spans="1:1">
      <c r="A6060" s="11" t="str">
        <f t="shared" si="175"/>
        <v/>
      </c>
    </row>
    <row r="6061" spans="1:1">
      <c r="A6061" s="11" t="str">
        <f t="shared" si="175"/>
        <v/>
      </c>
    </row>
    <row r="6062" spans="1:1">
      <c r="A6062" s="11" t="str">
        <f t="shared" si="175"/>
        <v/>
      </c>
    </row>
    <row r="6063" spans="1:1">
      <c r="A6063" s="11" t="str">
        <f t="shared" si="175"/>
        <v/>
      </c>
    </row>
    <row r="6064" spans="1:1">
      <c r="A6064" s="11" t="str">
        <f t="shared" si="175"/>
        <v/>
      </c>
    </row>
    <row r="6065" spans="1:1">
      <c r="A6065" s="11" t="str">
        <f t="shared" si="175"/>
        <v/>
      </c>
    </row>
    <row r="6066" spans="1:1">
      <c r="A6066" s="11" t="str">
        <f t="shared" si="175"/>
        <v/>
      </c>
    </row>
    <row r="6067" spans="1:1">
      <c r="A6067" s="11" t="str">
        <f t="shared" si="175"/>
        <v/>
      </c>
    </row>
    <row r="6068" spans="1:1">
      <c r="A6068" s="11" t="str">
        <f t="shared" si="175"/>
        <v/>
      </c>
    </row>
    <row r="6069" spans="1:1">
      <c r="A6069" s="11" t="str">
        <f t="shared" si="175"/>
        <v/>
      </c>
    </row>
    <row r="6070" spans="1:1">
      <c r="A6070" s="11" t="str">
        <f t="shared" si="175"/>
        <v/>
      </c>
    </row>
    <row r="6071" spans="1:1">
      <c r="A6071" s="11" t="str">
        <f t="shared" si="175"/>
        <v/>
      </c>
    </row>
    <row r="6072" spans="1:1">
      <c r="A6072" s="11" t="str">
        <f t="shared" si="175"/>
        <v/>
      </c>
    </row>
    <row r="6073" spans="1:1">
      <c r="A6073" s="11" t="str">
        <f t="shared" si="175"/>
        <v/>
      </c>
    </row>
    <row r="6074" spans="1:1">
      <c r="A6074" s="11" t="str">
        <f t="shared" si="175"/>
        <v/>
      </c>
    </row>
    <row r="6075" spans="1:1">
      <c r="A6075" s="11" t="str">
        <f t="shared" si="175"/>
        <v/>
      </c>
    </row>
    <row r="6076" spans="1:1">
      <c r="A6076" s="11" t="str">
        <f t="shared" si="175"/>
        <v/>
      </c>
    </row>
    <row r="6077" spans="1:1">
      <c r="A6077" s="11" t="str">
        <f t="shared" si="175"/>
        <v/>
      </c>
    </row>
    <row r="6078" spans="1:1">
      <c r="A6078" s="11" t="str">
        <f t="shared" si="175"/>
        <v/>
      </c>
    </row>
    <row r="6079" spans="1:1">
      <c r="A6079" s="11" t="str">
        <f t="shared" si="175"/>
        <v/>
      </c>
    </row>
    <row r="6080" spans="1:1">
      <c r="A6080" s="11" t="str">
        <f t="shared" si="175"/>
        <v/>
      </c>
    </row>
    <row r="6081" spans="1:1">
      <c r="A6081" s="11" t="str">
        <f t="shared" si="175"/>
        <v/>
      </c>
    </row>
    <row r="6082" spans="1:1">
      <c r="A6082" s="11" t="str">
        <f t="shared" si="175"/>
        <v/>
      </c>
    </row>
    <row r="6083" spans="1:1">
      <c r="A6083" s="11" t="str">
        <f t="shared" ref="A6083:A6146" si="176">B6083&amp;D6083</f>
        <v/>
      </c>
    </row>
    <row r="6084" spans="1:1">
      <c r="A6084" s="11" t="str">
        <f t="shared" si="176"/>
        <v/>
      </c>
    </row>
    <row r="6085" spans="1:1">
      <c r="A6085" s="11" t="str">
        <f t="shared" si="176"/>
        <v/>
      </c>
    </row>
    <row r="6086" spans="1:1">
      <c r="A6086" s="11" t="str">
        <f t="shared" si="176"/>
        <v/>
      </c>
    </row>
    <row r="6087" spans="1:1">
      <c r="A6087" s="11" t="str">
        <f t="shared" si="176"/>
        <v/>
      </c>
    </row>
    <row r="6088" spans="1:1">
      <c r="A6088" s="11" t="str">
        <f t="shared" si="176"/>
        <v/>
      </c>
    </row>
    <row r="6089" spans="1:1">
      <c r="A6089" s="11" t="str">
        <f t="shared" si="176"/>
        <v/>
      </c>
    </row>
    <row r="6090" spans="1:1">
      <c r="A6090" s="11" t="str">
        <f t="shared" si="176"/>
        <v/>
      </c>
    </row>
    <row r="6091" spans="1:1">
      <c r="A6091" s="11" t="str">
        <f t="shared" si="176"/>
        <v/>
      </c>
    </row>
    <row r="6092" spans="1:1">
      <c r="A6092" s="11" t="str">
        <f t="shared" si="176"/>
        <v/>
      </c>
    </row>
    <row r="6093" spans="1:1">
      <c r="A6093" s="11" t="str">
        <f t="shared" si="176"/>
        <v/>
      </c>
    </row>
    <row r="6094" spans="1:1">
      <c r="A6094" s="11" t="str">
        <f t="shared" si="176"/>
        <v/>
      </c>
    </row>
    <row r="6095" spans="1:1">
      <c r="A6095" s="11" t="str">
        <f t="shared" si="176"/>
        <v/>
      </c>
    </row>
    <row r="6096" spans="1:1">
      <c r="A6096" s="11" t="str">
        <f t="shared" si="176"/>
        <v/>
      </c>
    </row>
    <row r="6097" spans="1:1">
      <c r="A6097" s="11" t="str">
        <f t="shared" si="176"/>
        <v/>
      </c>
    </row>
    <row r="6098" spans="1:1">
      <c r="A6098" s="11" t="str">
        <f t="shared" si="176"/>
        <v/>
      </c>
    </row>
    <row r="6099" spans="1:1">
      <c r="A6099" s="11" t="str">
        <f t="shared" si="176"/>
        <v/>
      </c>
    </row>
    <row r="6100" spans="1:1">
      <c r="A6100" s="11" t="str">
        <f t="shared" si="176"/>
        <v/>
      </c>
    </row>
    <row r="6101" spans="1:1">
      <c r="A6101" s="11" t="str">
        <f t="shared" si="176"/>
        <v/>
      </c>
    </row>
    <row r="6102" spans="1:1">
      <c r="A6102" s="11" t="str">
        <f t="shared" si="176"/>
        <v/>
      </c>
    </row>
    <row r="6103" spans="1:1">
      <c r="A6103" s="11" t="str">
        <f t="shared" si="176"/>
        <v/>
      </c>
    </row>
    <row r="6104" spans="1:1">
      <c r="A6104" s="11" t="str">
        <f t="shared" si="176"/>
        <v/>
      </c>
    </row>
    <row r="6105" spans="1:1">
      <c r="A6105" s="11" t="str">
        <f t="shared" si="176"/>
        <v/>
      </c>
    </row>
    <row r="6106" spans="1:1">
      <c r="A6106" s="11" t="str">
        <f t="shared" si="176"/>
        <v/>
      </c>
    </row>
    <row r="6107" spans="1:1">
      <c r="A6107" s="11" t="str">
        <f t="shared" si="176"/>
        <v/>
      </c>
    </row>
    <row r="6108" spans="1:1">
      <c r="A6108" s="11" t="str">
        <f t="shared" si="176"/>
        <v/>
      </c>
    </row>
    <row r="6109" spans="1:1">
      <c r="A6109" s="11" t="str">
        <f t="shared" si="176"/>
        <v/>
      </c>
    </row>
    <row r="6110" spans="1:1">
      <c r="A6110" s="11" t="str">
        <f t="shared" si="176"/>
        <v/>
      </c>
    </row>
    <row r="6111" spans="1:1">
      <c r="A6111" s="11" t="str">
        <f t="shared" si="176"/>
        <v/>
      </c>
    </row>
    <row r="6112" spans="1:1">
      <c r="A6112" s="11" t="str">
        <f t="shared" si="176"/>
        <v/>
      </c>
    </row>
    <row r="6113" spans="1:1">
      <c r="A6113" s="11" t="str">
        <f t="shared" si="176"/>
        <v/>
      </c>
    </row>
    <row r="6114" spans="1:1">
      <c r="A6114" s="11" t="str">
        <f t="shared" si="176"/>
        <v/>
      </c>
    </row>
    <row r="6115" spans="1:1">
      <c r="A6115" s="11" t="str">
        <f t="shared" si="176"/>
        <v/>
      </c>
    </row>
    <row r="6116" spans="1:1">
      <c r="A6116" s="11" t="str">
        <f t="shared" si="176"/>
        <v/>
      </c>
    </row>
    <row r="6117" spans="1:1">
      <c r="A6117" s="11" t="str">
        <f t="shared" si="176"/>
        <v/>
      </c>
    </row>
    <row r="6118" spans="1:1">
      <c r="A6118" s="11" t="str">
        <f t="shared" si="176"/>
        <v/>
      </c>
    </row>
    <row r="6119" spans="1:1">
      <c r="A6119" s="11" t="str">
        <f t="shared" si="176"/>
        <v/>
      </c>
    </row>
    <row r="6120" spans="1:1">
      <c r="A6120" s="11" t="str">
        <f t="shared" si="176"/>
        <v/>
      </c>
    </row>
    <row r="6121" spans="1:1">
      <c r="A6121" s="11" t="str">
        <f t="shared" si="176"/>
        <v/>
      </c>
    </row>
    <row r="6122" spans="1:1">
      <c r="A6122" s="11" t="str">
        <f t="shared" si="176"/>
        <v/>
      </c>
    </row>
    <row r="6123" spans="1:1">
      <c r="A6123" s="11" t="str">
        <f t="shared" si="176"/>
        <v/>
      </c>
    </row>
    <row r="6124" spans="1:1">
      <c r="A6124" s="11" t="str">
        <f t="shared" si="176"/>
        <v/>
      </c>
    </row>
    <row r="6125" spans="1:1">
      <c r="A6125" s="11" t="str">
        <f t="shared" si="176"/>
        <v/>
      </c>
    </row>
    <row r="6126" spans="1:1">
      <c r="A6126" s="11" t="str">
        <f t="shared" si="176"/>
        <v/>
      </c>
    </row>
    <row r="6127" spans="1:1">
      <c r="A6127" s="11" t="str">
        <f t="shared" si="176"/>
        <v/>
      </c>
    </row>
    <row r="6128" spans="1:1">
      <c r="A6128" s="11" t="str">
        <f t="shared" si="176"/>
        <v/>
      </c>
    </row>
    <row r="6129" spans="1:1">
      <c r="A6129" s="11" t="str">
        <f t="shared" si="176"/>
        <v/>
      </c>
    </row>
    <row r="6130" spans="1:1">
      <c r="A6130" s="11" t="str">
        <f t="shared" si="176"/>
        <v/>
      </c>
    </row>
    <row r="6131" spans="1:1">
      <c r="A6131" s="11" t="str">
        <f t="shared" si="176"/>
        <v/>
      </c>
    </row>
    <row r="6132" spans="1:1">
      <c r="A6132" s="11" t="str">
        <f t="shared" si="176"/>
        <v/>
      </c>
    </row>
    <row r="6133" spans="1:1">
      <c r="A6133" s="11" t="str">
        <f t="shared" si="176"/>
        <v/>
      </c>
    </row>
    <row r="6134" spans="1:1">
      <c r="A6134" s="11" t="str">
        <f t="shared" si="176"/>
        <v/>
      </c>
    </row>
    <row r="6135" spans="1:1">
      <c r="A6135" s="11" t="str">
        <f t="shared" si="176"/>
        <v/>
      </c>
    </row>
    <row r="6136" spans="1:1">
      <c r="A6136" s="11" t="str">
        <f t="shared" si="176"/>
        <v/>
      </c>
    </row>
    <row r="6137" spans="1:1">
      <c r="A6137" s="11" t="str">
        <f t="shared" si="176"/>
        <v/>
      </c>
    </row>
    <row r="6138" spans="1:1">
      <c r="A6138" s="11" t="str">
        <f t="shared" si="176"/>
        <v/>
      </c>
    </row>
    <row r="6139" spans="1:1">
      <c r="A6139" s="11" t="str">
        <f t="shared" si="176"/>
        <v/>
      </c>
    </row>
    <row r="6140" spans="1:1">
      <c r="A6140" s="11" t="str">
        <f t="shared" si="176"/>
        <v/>
      </c>
    </row>
    <row r="6141" spans="1:1">
      <c r="A6141" s="11" t="str">
        <f t="shared" si="176"/>
        <v/>
      </c>
    </row>
    <row r="6142" spans="1:1">
      <c r="A6142" s="11" t="str">
        <f t="shared" si="176"/>
        <v/>
      </c>
    </row>
    <row r="6143" spans="1:1">
      <c r="A6143" s="11" t="str">
        <f t="shared" si="176"/>
        <v/>
      </c>
    </row>
    <row r="6144" spans="1:1">
      <c r="A6144" s="11" t="str">
        <f t="shared" si="176"/>
        <v/>
      </c>
    </row>
    <row r="6145" spans="1:1">
      <c r="A6145" s="11" t="str">
        <f t="shared" si="176"/>
        <v/>
      </c>
    </row>
    <row r="6146" spans="1:1">
      <c r="A6146" s="11" t="str">
        <f t="shared" si="176"/>
        <v/>
      </c>
    </row>
    <row r="6147" spans="1:1">
      <c r="A6147" s="11" t="str">
        <f t="shared" ref="A6147:A6210" si="177">B6147&amp;D6147</f>
        <v/>
      </c>
    </row>
    <row r="6148" spans="1:1">
      <c r="A6148" s="11" t="str">
        <f t="shared" si="177"/>
        <v/>
      </c>
    </row>
    <row r="6149" spans="1:1">
      <c r="A6149" s="11" t="str">
        <f t="shared" si="177"/>
        <v/>
      </c>
    </row>
    <row r="6150" spans="1:1">
      <c r="A6150" s="11" t="str">
        <f t="shared" si="177"/>
        <v/>
      </c>
    </row>
    <row r="6151" spans="1:1">
      <c r="A6151" s="11" t="str">
        <f t="shared" si="177"/>
        <v/>
      </c>
    </row>
    <row r="6152" spans="1:1">
      <c r="A6152" s="11" t="str">
        <f t="shared" si="177"/>
        <v/>
      </c>
    </row>
    <row r="6153" spans="1:1">
      <c r="A6153" s="11" t="str">
        <f t="shared" si="177"/>
        <v/>
      </c>
    </row>
    <row r="6154" spans="1:1">
      <c r="A6154" s="11" t="str">
        <f t="shared" si="177"/>
        <v/>
      </c>
    </row>
    <row r="6155" spans="1:1">
      <c r="A6155" s="11" t="str">
        <f t="shared" si="177"/>
        <v/>
      </c>
    </row>
    <row r="6156" spans="1:1">
      <c r="A6156" s="11" t="str">
        <f t="shared" si="177"/>
        <v/>
      </c>
    </row>
    <row r="6157" spans="1:1">
      <c r="A6157" s="11" t="str">
        <f t="shared" si="177"/>
        <v/>
      </c>
    </row>
    <row r="6158" spans="1:1">
      <c r="A6158" s="11" t="str">
        <f t="shared" si="177"/>
        <v/>
      </c>
    </row>
    <row r="6159" spans="1:1">
      <c r="A6159" s="11" t="str">
        <f t="shared" si="177"/>
        <v/>
      </c>
    </row>
    <row r="6160" spans="1:1">
      <c r="A6160" s="11" t="str">
        <f t="shared" si="177"/>
        <v/>
      </c>
    </row>
    <row r="6161" spans="1:1">
      <c r="A6161" s="11" t="str">
        <f t="shared" si="177"/>
        <v/>
      </c>
    </row>
    <row r="6162" spans="1:1">
      <c r="A6162" s="11" t="str">
        <f t="shared" si="177"/>
        <v/>
      </c>
    </row>
    <row r="6163" spans="1:1">
      <c r="A6163" s="11" t="str">
        <f t="shared" si="177"/>
        <v/>
      </c>
    </row>
    <row r="6164" spans="1:1">
      <c r="A6164" s="11" t="str">
        <f t="shared" si="177"/>
        <v/>
      </c>
    </row>
    <row r="6165" spans="1:1">
      <c r="A6165" s="11" t="str">
        <f t="shared" si="177"/>
        <v/>
      </c>
    </row>
    <row r="6166" spans="1:1">
      <c r="A6166" s="11" t="str">
        <f t="shared" si="177"/>
        <v/>
      </c>
    </row>
    <row r="6167" spans="1:1">
      <c r="A6167" s="11" t="str">
        <f t="shared" si="177"/>
        <v/>
      </c>
    </row>
    <row r="6168" spans="1:1">
      <c r="A6168" s="11" t="str">
        <f t="shared" si="177"/>
        <v/>
      </c>
    </row>
    <row r="6169" spans="1:1">
      <c r="A6169" s="11" t="str">
        <f t="shared" si="177"/>
        <v/>
      </c>
    </row>
    <row r="6170" spans="1:1">
      <c r="A6170" s="11" t="str">
        <f t="shared" si="177"/>
        <v/>
      </c>
    </row>
    <row r="6171" spans="1:1">
      <c r="A6171" s="11" t="str">
        <f t="shared" si="177"/>
        <v/>
      </c>
    </row>
    <row r="6172" spans="1:1">
      <c r="A6172" s="11" t="str">
        <f t="shared" si="177"/>
        <v/>
      </c>
    </row>
    <row r="6173" spans="1:1">
      <c r="A6173" s="11" t="str">
        <f t="shared" si="177"/>
        <v/>
      </c>
    </row>
    <row r="6174" spans="1:1">
      <c r="A6174" s="11" t="str">
        <f t="shared" si="177"/>
        <v/>
      </c>
    </row>
    <row r="6175" spans="1:1">
      <c r="A6175" s="11" t="str">
        <f t="shared" si="177"/>
        <v/>
      </c>
    </row>
    <row r="6176" spans="1:1">
      <c r="A6176" s="11" t="str">
        <f t="shared" si="177"/>
        <v/>
      </c>
    </row>
    <row r="6177" spans="1:1">
      <c r="A6177" s="11" t="str">
        <f t="shared" si="177"/>
        <v/>
      </c>
    </row>
    <row r="6178" spans="1:1">
      <c r="A6178" s="11" t="str">
        <f t="shared" si="177"/>
        <v/>
      </c>
    </row>
    <row r="6179" spans="1:1">
      <c r="A6179" s="11" t="str">
        <f t="shared" si="177"/>
        <v/>
      </c>
    </row>
    <row r="6180" spans="1:1">
      <c r="A6180" s="11" t="str">
        <f t="shared" si="177"/>
        <v/>
      </c>
    </row>
    <row r="6181" spans="1:1">
      <c r="A6181" s="11" t="str">
        <f t="shared" si="177"/>
        <v/>
      </c>
    </row>
    <row r="6182" spans="1:1">
      <c r="A6182" s="11" t="str">
        <f t="shared" si="177"/>
        <v/>
      </c>
    </row>
    <row r="6183" spans="1:1">
      <c r="A6183" s="11" t="str">
        <f t="shared" si="177"/>
        <v/>
      </c>
    </row>
    <row r="6184" spans="1:1">
      <c r="A6184" s="11" t="str">
        <f t="shared" si="177"/>
        <v/>
      </c>
    </row>
    <row r="6185" spans="1:1">
      <c r="A6185" s="11" t="str">
        <f t="shared" si="177"/>
        <v/>
      </c>
    </row>
    <row r="6186" spans="1:1">
      <c r="A6186" s="11" t="str">
        <f t="shared" si="177"/>
        <v/>
      </c>
    </row>
    <row r="6187" spans="1:1">
      <c r="A6187" s="11" t="str">
        <f t="shared" si="177"/>
        <v/>
      </c>
    </row>
    <row r="6188" spans="1:1">
      <c r="A6188" s="11" t="str">
        <f t="shared" si="177"/>
        <v/>
      </c>
    </row>
    <row r="6189" spans="1:1">
      <c r="A6189" s="11" t="str">
        <f t="shared" si="177"/>
        <v/>
      </c>
    </row>
    <row r="6190" spans="1:1">
      <c r="A6190" s="11" t="str">
        <f t="shared" si="177"/>
        <v/>
      </c>
    </row>
    <row r="6191" spans="1:1">
      <c r="A6191" s="11" t="str">
        <f t="shared" si="177"/>
        <v/>
      </c>
    </row>
    <row r="6192" spans="1:1">
      <c r="A6192" s="11" t="str">
        <f t="shared" si="177"/>
        <v/>
      </c>
    </row>
    <row r="6193" spans="1:1">
      <c r="A6193" s="11" t="str">
        <f t="shared" si="177"/>
        <v/>
      </c>
    </row>
    <row r="6194" spans="1:1">
      <c r="A6194" s="11" t="str">
        <f t="shared" si="177"/>
        <v/>
      </c>
    </row>
    <row r="6195" spans="1:1">
      <c r="A6195" s="11" t="str">
        <f t="shared" si="177"/>
        <v/>
      </c>
    </row>
    <row r="6196" spans="1:1">
      <c r="A6196" s="11" t="str">
        <f t="shared" si="177"/>
        <v/>
      </c>
    </row>
    <row r="6197" spans="1:1">
      <c r="A6197" s="11" t="str">
        <f t="shared" si="177"/>
        <v/>
      </c>
    </row>
    <row r="6198" spans="1:1">
      <c r="A6198" s="11" t="str">
        <f t="shared" si="177"/>
        <v/>
      </c>
    </row>
    <row r="6199" spans="1:1">
      <c r="A6199" s="11" t="str">
        <f t="shared" si="177"/>
        <v/>
      </c>
    </row>
    <row r="6200" spans="1:1">
      <c r="A6200" s="11" t="str">
        <f t="shared" si="177"/>
        <v/>
      </c>
    </row>
    <row r="6201" spans="1:1">
      <c r="A6201" s="11" t="str">
        <f t="shared" si="177"/>
        <v/>
      </c>
    </row>
    <row r="6202" spans="1:1">
      <c r="A6202" s="11" t="str">
        <f t="shared" si="177"/>
        <v/>
      </c>
    </row>
    <row r="6203" spans="1:1">
      <c r="A6203" s="11" t="str">
        <f t="shared" si="177"/>
        <v/>
      </c>
    </row>
    <row r="6204" spans="1:1">
      <c r="A6204" s="11" t="str">
        <f t="shared" si="177"/>
        <v/>
      </c>
    </row>
    <row r="6205" spans="1:1">
      <c r="A6205" s="11" t="str">
        <f t="shared" si="177"/>
        <v/>
      </c>
    </row>
    <row r="6206" spans="1:1">
      <c r="A6206" s="11" t="str">
        <f t="shared" si="177"/>
        <v/>
      </c>
    </row>
    <row r="6207" spans="1:1">
      <c r="A6207" s="11" t="str">
        <f t="shared" si="177"/>
        <v/>
      </c>
    </row>
    <row r="6208" spans="1:1">
      <c r="A6208" s="11" t="str">
        <f t="shared" si="177"/>
        <v/>
      </c>
    </row>
    <row r="6209" spans="1:1">
      <c r="A6209" s="11" t="str">
        <f t="shared" si="177"/>
        <v/>
      </c>
    </row>
    <row r="6210" spans="1:1">
      <c r="A6210" s="11" t="str">
        <f t="shared" si="177"/>
        <v/>
      </c>
    </row>
    <row r="6211" spans="1:1">
      <c r="A6211" s="11" t="str">
        <f t="shared" ref="A6211:A6274" si="178">B6211&amp;D6211</f>
        <v/>
      </c>
    </row>
    <row r="6212" spans="1:1">
      <c r="A6212" s="11" t="str">
        <f t="shared" si="178"/>
        <v/>
      </c>
    </row>
    <row r="6213" spans="1:1">
      <c r="A6213" s="11" t="str">
        <f t="shared" si="178"/>
        <v/>
      </c>
    </row>
    <row r="6214" spans="1:1">
      <c r="A6214" s="11" t="str">
        <f t="shared" si="178"/>
        <v/>
      </c>
    </row>
    <row r="6215" spans="1:1">
      <c r="A6215" s="11" t="str">
        <f t="shared" si="178"/>
        <v/>
      </c>
    </row>
    <row r="6216" spans="1:1">
      <c r="A6216" s="11" t="str">
        <f t="shared" si="178"/>
        <v/>
      </c>
    </row>
    <row r="6217" spans="1:1">
      <c r="A6217" s="11" t="str">
        <f t="shared" si="178"/>
        <v/>
      </c>
    </row>
    <row r="6218" spans="1:1">
      <c r="A6218" s="11" t="str">
        <f t="shared" si="178"/>
        <v/>
      </c>
    </row>
    <row r="6219" spans="1:1">
      <c r="A6219" s="11" t="str">
        <f t="shared" si="178"/>
        <v/>
      </c>
    </row>
    <row r="6220" spans="1:1">
      <c r="A6220" s="11" t="str">
        <f t="shared" si="178"/>
        <v/>
      </c>
    </row>
    <row r="6221" spans="1:1">
      <c r="A6221" s="11" t="str">
        <f t="shared" si="178"/>
        <v/>
      </c>
    </row>
    <row r="6222" spans="1:1">
      <c r="A6222" s="11" t="str">
        <f t="shared" si="178"/>
        <v/>
      </c>
    </row>
    <row r="6223" spans="1:1">
      <c r="A6223" s="11" t="str">
        <f t="shared" si="178"/>
        <v/>
      </c>
    </row>
    <row r="6224" spans="1:1">
      <c r="A6224" s="11" t="str">
        <f t="shared" si="178"/>
        <v/>
      </c>
    </row>
    <row r="6225" spans="1:1">
      <c r="A6225" s="11" t="str">
        <f t="shared" si="178"/>
        <v/>
      </c>
    </row>
    <row r="6226" spans="1:1">
      <c r="A6226" s="11" t="str">
        <f t="shared" si="178"/>
        <v/>
      </c>
    </row>
    <row r="6227" spans="1:1">
      <c r="A6227" s="11" t="str">
        <f t="shared" si="178"/>
        <v/>
      </c>
    </row>
    <row r="6228" spans="1:1">
      <c r="A6228" s="11" t="str">
        <f t="shared" si="178"/>
        <v/>
      </c>
    </row>
    <row r="6229" spans="1:1">
      <c r="A6229" s="11" t="str">
        <f t="shared" si="178"/>
        <v/>
      </c>
    </row>
    <row r="6230" spans="1:1">
      <c r="A6230" s="11" t="str">
        <f t="shared" si="178"/>
        <v/>
      </c>
    </row>
    <row r="6231" spans="1:1">
      <c r="A6231" s="11" t="str">
        <f t="shared" si="178"/>
        <v/>
      </c>
    </row>
    <row r="6232" spans="1:1">
      <c r="A6232" s="11" t="str">
        <f t="shared" si="178"/>
        <v/>
      </c>
    </row>
    <row r="6233" spans="1:1">
      <c r="A6233" s="11" t="str">
        <f t="shared" si="178"/>
        <v/>
      </c>
    </row>
    <row r="6234" spans="1:1">
      <c r="A6234" s="11" t="str">
        <f t="shared" si="178"/>
        <v/>
      </c>
    </row>
    <row r="6235" spans="1:1">
      <c r="A6235" s="11" t="str">
        <f t="shared" si="178"/>
        <v/>
      </c>
    </row>
    <row r="6236" spans="1:1">
      <c r="A6236" s="11" t="str">
        <f t="shared" si="178"/>
        <v/>
      </c>
    </row>
    <row r="6237" spans="1:1">
      <c r="A6237" s="11" t="str">
        <f t="shared" si="178"/>
        <v/>
      </c>
    </row>
    <row r="6238" spans="1:1">
      <c r="A6238" s="11" t="str">
        <f t="shared" si="178"/>
        <v/>
      </c>
    </row>
    <row r="6239" spans="1:1">
      <c r="A6239" s="11" t="str">
        <f t="shared" si="178"/>
        <v/>
      </c>
    </row>
    <row r="6240" spans="1:1">
      <c r="A6240" s="11" t="str">
        <f t="shared" si="178"/>
        <v/>
      </c>
    </row>
    <row r="6241" spans="1:1">
      <c r="A6241" s="11" t="str">
        <f t="shared" si="178"/>
        <v/>
      </c>
    </row>
    <row r="6242" spans="1:1">
      <c r="A6242" s="11" t="str">
        <f t="shared" si="178"/>
        <v/>
      </c>
    </row>
    <row r="6243" spans="1:1">
      <c r="A6243" s="11" t="str">
        <f t="shared" si="178"/>
        <v/>
      </c>
    </row>
    <row r="6244" spans="1:1">
      <c r="A6244" s="11" t="str">
        <f t="shared" si="178"/>
        <v/>
      </c>
    </row>
    <row r="6245" spans="1:1">
      <c r="A6245" s="11" t="str">
        <f t="shared" si="178"/>
        <v/>
      </c>
    </row>
    <row r="6246" spans="1:1">
      <c r="A6246" s="11" t="str">
        <f t="shared" si="178"/>
        <v/>
      </c>
    </row>
    <row r="6247" spans="1:1">
      <c r="A6247" s="11" t="str">
        <f t="shared" si="178"/>
        <v/>
      </c>
    </row>
    <row r="6248" spans="1:1">
      <c r="A6248" s="11" t="str">
        <f t="shared" si="178"/>
        <v/>
      </c>
    </row>
    <row r="6249" spans="1:1">
      <c r="A6249" s="11" t="str">
        <f t="shared" si="178"/>
        <v/>
      </c>
    </row>
    <row r="6250" spans="1:1">
      <c r="A6250" s="11" t="str">
        <f t="shared" si="178"/>
        <v/>
      </c>
    </row>
    <row r="6251" spans="1:1">
      <c r="A6251" s="11" t="str">
        <f t="shared" si="178"/>
        <v/>
      </c>
    </row>
    <row r="6252" spans="1:1">
      <c r="A6252" s="11" t="str">
        <f t="shared" si="178"/>
        <v/>
      </c>
    </row>
    <row r="6253" spans="1:1">
      <c r="A6253" s="11" t="str">
        <f t="shared" si="178"/>
        <v/>
      </c>
    </row>
    <row r="6254" spans="1:1">
      <c r="A6254" s="11" t="str">
        <f t="shared" si="178"/>
        <v/>
      </c>
    </row>
    <row r="6255" spans="1:1">
      <c r="A6255" s="11" t="str">
        <f t="shared" si="178"/>
        <v/>
      </c>
    </row>
    <row r="6256" spans="1:1">
      <c r="A6256" s="11" t="str">
        <f t="shared" si="178"/>
        <v/>
      </c>
    </row>
    <row r="6257" spans="1:1">
      <c r="A6257" s="11" t="str">
        <f t="shared" si="178"/>
        <v/>
      </c>
    </row>
    <row r="6258" spans="1:1">
      <c r="A6258" s="11" t="str">
        <f t="shared" si="178"/>
        <v/>
      </c>
    </row>
    <row r="6259" spans="1:1">
      <c r="A6259" s="11" t="str">
        <f t="shared" si="178"/>
        <v/>
      </c>
    </row>
    <row r="6260" spans="1:1">
      <c r="A6260" s="11" t="str">
        <f t="shared" si="178"/>
        <v/>
      </c>
    </row>
    <row r="6261" spans="1:1">
      <c r="A6261" s="11" t="str">
        <f t="shared" si="178"/>
        <v/>
      </c>
    </row>
    <row r="6262" spans="1:1">
      <c r="A6262" s="11" t="str">
        <f t="shared" si="178"/>
        <v/>
      </c>
    </row>
    <row r="6263" spans="1:1">
      <c r="A6263" s="11" t="str">
        <f t="shared" si="178"/>
        <v/>
      </c>
    </row>
    <row r="6264" spans="1:1">
      <c r="A6264" s="11" t="str">
        <f t="shared" si="178"/>
        <v/>
      </c>
    </row>
    <row r="6265" spans="1:1">
      <c r="A6265" s="11" t="str">
        <f t="shared" si="178"/>
        <v/>
      </c>
    </row>
    <row r="6266" spans="1:1">
      <c r="A6266" s="11" t="str">
        <f t="shared" si="178"/>
        <v/>
      </c>
    </row>
    <row r="6267" spans="1:1">
      <c r="A6267" s="11" t="str">
        <f t="shared" si="178"/>
        <v/>
      </c>
    </row>
    <row r="6268" spans="1:1">
      <c r="A6268" s="11" t="str">
        <f t="shared" si="178"/>
        <v/>
      </c>
    </row>
    <row r="6269" spans="1:1">
      <c r="A6269" s="11" t="str">
        <f t="shared" si="178"/>
        <v/>
      </c>
    </row>
    <row r="6270" spans="1:1">
      <c r="A6270" s="11" t="str">
        <f t="shared" si="178"/>
        <v/>
      </c>
    </row>
    <row r="6271" spans="1:1">
      <c r="A6271" s="11" t="str">
        <f t="shared" si="178"/>
        <v/>
      </c>
    </row>
    <row r="6272" spans="1:1">
      <c r="A6272" s="11" t="str">
        <f t="shared" si="178"/>
        <v/>
      </c>
    </row>
    <row r="6273" spans="1:1">
      <c r="A6273" s="11" t="str">
        <f t="shared" si="178"/>
        <v/>
      </c>
    </row>
    <row r="6274" spans="1:1">
      <c r="A6274" s="11" t="str">
        <f t="shared" si="178"/>
        <v/>
      </c>
    </row>
    <row r="6275" spans="1:1">
      <c r="A6275" s="11" t="str">
        <f t="shared" ref="A6275:A6338" si="179">B6275&amp;D6275</f>
        <v/>
      </c>
    </row>
    <row r="6276" spans="1:1">
      <c r="A6276" s="11" t="str">
        <f t="shared" si="179"/>
        <v/>
      </c>
    </row>
    <row r="6277" spans="1:1">
      <c r="A6277" s="11" t="str">
        <f t="shared" si="179"/>
        <v/>
      </c>
    </row>
    <row r="6278" spans="1:1">
      <c r="A6278" s="11" t="str">
        <f t="shared" si="179"/>
        <v/>
      </c>
    </row>
    <row r="6279" spans="1:1">
      <c r="A6279" s="11" t="str">
        <f t="shared" si="179"/>
        <v/>
      </c>
    </row>
    <row r="6280" spans="1:1">
      <c r="A6280" s="11" t="str">
        <f t="shared" si="179"/>
        <v/>
      </c>
    </row>
    <row r="6281" spans="1:1">
      <c r="A6281" s="11" t="str">
        <f t="shared" si="179"/>
        <v/>
      </c>
    </row>
    <row r="6282" spans="1:1">
      <c r="A6282" s="11" t="str">
        <f t="shared" si="179"/>
        <v/>
      </c>
    </row>
    <row r="6283" spans="1:1">
      <c r="A6283" s="11" t="str">
        <f t="shared" si="179"/>
        <v/>
      </c>
    </row>
    <row r="6284" spans="1:1">
      <c r="A6284" s="11" t="str">
        <f t="shared" si="179"/>
        <v/>
      </c>
    </row>
    <row r="6285" spans="1:1">
      <c r="A6285" s="11" t="str">
        <f t="shared" si="179"/>
        <v/>
      </c>
    </row>
    <row r="6286" spans="1:1">
      <c r="A6286" s="11" t="str">
        <f t="shared" si="179"/>
        <v/>
      </c>
    </row>
    <row r="6287" spans="1:1">
      <c r="A6287" s="11" t="str">
        <f t="shared" si="179"/>
        <v/>
      </c>
    </row>
    <row r="6288" spans="1:1">
      <c r="A6288" s="11" t="str">
        <f t="shared" si="179"/>
        <v/>
      </c>
    </row>
    <row r="6289" spans="1:1">
      <c r="A6289" s="11" t="str">
        <f t="shared" si="179"/>
        <v/>
      </c>
    </row>
    <row r="6290" spans="1:1">
      <c r="A6290" s="11" t="str">
        <f t="shared" si="179"/>
        <v/>
      </c>
    </row>
    <row r="6291" spans="1:1">
      <c r="A6291" s="11" t="str">
        <f t="shared" si="179"/>
        <v/>
      </c>
    </row>
    <row r="6292" spans="1:1">
      <c r="A6292" s="11" t="str">
        <f t="shared" si="179"/>
        <v/>
      </c>
    </row>
    <row r="6293" spans="1:1">
      <c r="A6293" s="11" t="str">
        <f t="shared" si="179"/>
        <v/>
      </c>
    </row>
    <row r="6294" spans="1:1">
      <c r="A6294" s="11" t="str">
        <f t="shared" si="179"/>
        <v/>
      </c>
    </row>
    <row r="6295" spans="1:1">
      <c r="A6295" s="11" t="str">
        <f t="shared" si="179"/>
        <v/>
      </c>
    </row>
    <row r="6296" spans="1:1">
      <c r="A6296" s="11" t="str">
        <f t="shared" si="179"/>
        <v/>
      </c>
    </row>
    <row r="6297" spans="1:1">
      <c r="A6297" s="11" t="str">
        <f t="shared" si="179"/>
        <v/>
      </c>
    </row>
    <row r="6298" spans="1:1">
      <c r="A6298" s="11" t="str">
        <f t="shared" si="179"/>
        <v/>
      </c>
    </row>
    <row r="6299" spans="1:1">
      <c r="A6299" s="11" t="str">
        <f t="shared" si="179"/>
        <v/>
      </c>
    </row>
    <row r="6300" spans="1:1">
      <c r="A6300" s="11" t="str">
        <f t="shared" si="179"/>
        <v/>
      </c>
    </row>
    <row r="6301" spans="1:1">
      <c r="A6301" s="11" t="str">
        <f t="shared" si="179"/>
        <v/>
      </c>
    </row>
    <row r="6302" spans="1:1">
      <c r="A6302" s="11" t="str">
        <f t="shared" si="179"/>
        <v/>
      </c>
    </row>
    <row r="6303" spans="1:1">
      <c r="A6303" s="11" t="str">
        <f t="shared" si="179"/>
        <v/>
      </c>
    </row>
    <row r="6304" spans="1:1">
      <c r="A6304" s="11" t="str">
        <f t="shared" si="179"/>
        <v/>
      </c>
    </row>
    <row r="6305" spans="1:1">
      <c r="A6305" s="11" t="str">
        <f t="shared" si="179"/>
        <v/>
      </c>
    </row>
    <row r="6306" spans="1:1">
      <c r="A6306" s="11" t="str">
        <f t="shared" si="179"/>
        <v/>
      </c>
    </row>
    <row r="6307" spans="1:1">
      <c r="A6307" s="11" t="str">
        <f t="shared" si="179"/>
        <v/>
      </c>
    </row>
    <row r="6308" spans="1:1">
      <c r="A6308" s="11" t="str">
        <f t="shared" si="179"/>
        <v/>
      </c>
    </row>
    <row r="6309" spans="1:1">
      <c r="A6309" s="11" t="str">
        <f t="shared" si="179"/>
        <v/>
      </c>
    </row>
    <row r="6310" spans="1:1">
      <c r="A6310" s="11" t="str">
        <f t="shared" si="179"/>
        <v/>
      </c>
    </row>
    <row r="6311" spans="1:1">
      <c r="A6311" s="11" t="str">
        <f t="shared" si="179"/>
        <v/>
      </c>
    </row>
    <row r="6312" spans="1:1">
      <c r="A6312" s="11" t="str">
        <f t="shared" si="179"/>
        <v/>
      </c>
    </row>
    <row r="6313" spans="1:1">
      <c r="A6313" s="11" t="str">
        <f t="shared" si="179"/>
        <v/>
      </c>
    </row>
    <row r="6314" spans="1:1">
      <c r="A6314" s="11" t="str">
        <f t="shared" si="179"/>
        <v/>
      </c>
    </row>
    <row r="6315" spans="1:1">
      <c r="A6315" s="11" t="str">
        <f t="shared" si="179"/>
        <v/>
      </c>
    </row>
    <row r="6316" spans="1:1">
      <c r="A6316" s="11" t="str">
        <f t="shared" si="179"/>
        <v/>
      </c>
    </row>
    <row r="6317" spans="1:1">
      <c r="A6317" s="11" t="str">
        <f t="shared" si="179"/>
        <v/>
      </c>
    </row>
    <row r="6318" spans="1:1">
      <c r="A6318" s="11" t="str">
        <f t="shared" si="179"/>
        <v/>
      </c>
    </row>
    <row r="6319" spans="1:1">
      <c r="A6319" s="11" t="str">
        <f t="shared" si="179"/>
        <v/>
      </c>
    </row>
    <row r="6320" spans="1:1">
      <c r="A6320" s="11" t="str">
        <f t="shared" si="179"/>
        <v/>
      </c>
    </row>
    <row r="6321" spans="1:1">
      <c r="A6321" s="11" t="str">
        <f t="shared" si="179"/>
        <v/>
      </c>
    </row>
    <row r="6322" spans="1:1">
      <c r="A6322" s="11" t="str">
        <f t="shared" si="179"/>
        <v/>
      </c>
    </row>
    <row r="6323" spans="1:1">
      <c r="A6323" s="11" t="str">
        <f t="shared" si="179"/>
        <v/>
      </c>
    </row>
    <row r="6324" spans="1:1">
      <c r="A6324" s="11" t="str">
        <f t="shared" si="179"/>
        <v/>
      </c>
    </row>
    <row r="6325" spans="1:1">
      <c r="A6325" s="11" t="str">
        <f t="shared" si="179"/>
        <v/>
      </c>
    </row>
    <row r="6326" spans="1:1">
      <c r="A6326" s="11" t="str">
        <f t="shared" si="179"/>
        <v/>
      </c>
    </row>
    <row r="6327" spans="1:1">
      <c r="A6327" s="11" t="str">
        <f t="shared" si="179"/>
        <v/>
      </c>
    </row>
    <row r="6328" spans="1:1">
      <c r="A6328" s="11" t="str">
        <f t="shared" si="179"/>
        <v/>
      </c>
    </row>
    <row r="6329" spans="1:1">
      <c r="A6329" s="11" t="str">
        <f t="shared" si="179"/>
        <v/>
      </c>
    </row>
    <row r="6330" spans="1:1">
      <c r="A6330" s="11" t="str">
        <f t="shared" si="179"/>
        <v/>
      </c>
    </row>
    <row r="6331" spans="1:1">
      <c r="A6331" s="11" t="str">
        <f t="shared" si="179"/>
        <v/>
      </c>
    </row>
    <row r="6332" spans="1:1">
      <c r="A6332" s="11" t="str">
        <f t="shared" si="179"/>
        <v/>
      </c>
    </row>
    <row r="6333" spans="1:1">
      <c r="A6333" s="11" t="str">
        <f t="shared" si="179"/>
        <v/>
      </c>
    </row>
    <row r="6334" spans="1:1">
      <c r="A6334" s="11" t="str">
        <f t="shared" si="179"/>
        <v/>
      </c>
    </row>
    <row r="6335" spans="1:1">
      <c r="A6335" s="11" t="str">
        <f t="shared" si="179"/>
        <v/>
      </c>
    </row>
    <row r="6336" spans="1:1">
      <c r="A6336" s="11" t="str">
        <f t="shared" si="179"/>
        <v/>
      </c>
    </row>
    <row r="6337" spans="1:1">
      <c r="A6337" s="11" t="str">
        <f t="shared" si="179"/>
        <v/>
      </c>
    </row>
    <row r="6338" spans="1:1">
      <c r="A6338" s="11" t="str">
        <f t="shared" si="179"/>
        <v/>
      </c>
    </row>
    <row r="6339" spans="1:1">
      <c r="A6339" s="11" t="str">
        <f t="shared" ref="A6339:A6402" si="180">B6339&amp;D6339</f>
        <v/>
      </c>
    </row>
    <row r="6340" spans="1:1">
      <c r="A6340" s="11" t="str">
        <f t="shared" si="180"/>
        <v/>
      </c>
    </row>
    <row r="6341" spans="1:1">
      <c r="A6341" s="11" t="str">
        <f t="shared" si="180"/>
        <v/>
      </c>
    </row>
    <row r="6342" spans="1:1">
      <c r="A6342" s="11" t="str">
        <f t="shared" si="180"/>
        <v/>
      </c>
    </row>
    <row r="6343" spans="1:1">
      <c r="A6343" s="11" t="str">
        <f t="shared" si="180"/>
        <v/>
      </c>
    </row>
    <row r="6344" spans="1:1">
      <c r="A6344" s="11" t="str">
        <f t="shared" si="180"/>
        <v/>
      </c>
    </row>
    <row r="6345" spans="1:1">
      <c r="A6345" s="11" t="str">
        <f t="shared" si="180"/>
        <v/>
      </c>
    </row>
    <row r="6346" spans="1:1">
      <c r="A6346" s="11" t="str">
        <f t="shared" si="180"/>
        <v/>
      </c>
    </row>
    <row r="6347" spans="1:1">
      <c r="A6347" s="11" t="str">
        <f t="shared" si="180"/>
        <v/>
      </c>
    </row>
    <row r="6348" spans="1:1">
      <c r="A6348" s="11" t="str">
        <f t="shared" si="180"/>
        <v/>
      </c>
    </row>
    <row r="6349" spans="1:1">
      <c r="A6349" s="11" t="str">
        <f t="shared" si="180"/>
        <v/>
      </c>
    </row>
    <row r="6350" spans="1:1">
      <c r="A6350" s="11" t="str">
        <f t="shared" si="180"/>
        <v/>
      </c>
    </row>
    <row r="6351" spans="1:1">
      <c r="A6351" s="11" t="str">
        <f t="shared" si="180"/>
        <v/>
      </c>
    </row>
    <row r="6352" spans="1:1">
      <c r="A6352" s="11" t="str">
        <f t="shared" si="180"/>
        <v/>
      </c>
    </row>
    <row r="6353" spans="1:1">
      <c r="A6353" s="11" t="str">
        <f t="shared" si="180"/>
        <v/>
      </c>
    </row>
    <row r="6354" spans="1:1">
      <c r="A6354" s="11" t="str">
        <f t="shared" si="180"/>
        <v/>
      </c>
    </row>
    <row r="6355" spans="1:1">
      <c r="A6355" s="11" t="str">
        <f t="shared" si="180"/>
        <v/>
      </c>
    </row>
    <row r="6356" spans="1:1">
      <c r="A6356" s="11" t="str">
        <f t="shared" si="180"/>
        <v/>
      </c>
    </row>
    <row r="6357" spans="1:1">
      <c r="A6357" s="11" t="str">
        <f t="shared" si="180"/>
        <v/>
      </c>
    </row>
    <row r="6358" spans="1:1">
      <c r="A6358" s="11" t="str">
        <f t="shared" si="180"/>
        <v/>
      </c>
    </row>
    <row r="6359" spans="1:1">
      <c r="A6359" s="11" t="str">
        <f t="shared" si="180"/>
        <v/>
      </c>
    </row>
    <row r="6360" spans="1:1">
      <c r="A6360" s="11" t="str">
        <f t="shared" si="180"/>
        <v/>
      </c>
    </row>
    <row r="6361" spans="1:1">
      <c r="A6361" s="11" t="str">
        <f t="shared" si="180"/>
        <v/>
      </c>
    </row>
    <row r="6362" spans="1:1">
      <c r="A6362" s="11" t="str">
        <f t="shared" si="180"/>
        <v/>
      </c>
    </row>
    <row r="6363" spans="1:1">
      <c r="A6363" s="11" t="str">
        <f t="shared" si="180"/>
        <v/>
      </c>
    </row>
    <row r="6364" spans="1:1">
      <c r="A6364" s="11" t="str">
        <f t="shared" si="180"/>
        <v/>
      </c>
    </row>
    <row r="6365" spans="1:1">
      <c r="A6365" s="11" t="str">
        <f t="shared" si="180"/>
        <v/>
      </c>
    </row>
    <row r="6366" spans="1:1">
      <c r="A6366" s="11" t="str">
        <f t="shared" si="180"/>
        <v/>
      </c>
    </row>
    <row r="6367" spans="1:1">
      <c r="A6367" s="11" t="str">
        <f t="shared" si="180"/>
        <v/>
      </c>
    </row>
    <row r="6368" spans="1:1">
      <c r="A6368" s="11" t="str">
        <f t="shared" si="180"/>
        <v/>
      </c>
    </row>
    <row r="6369" spans="1:1">
      <c r="A6369" s="11" t="str">
        <f t="shared" si="180"/>
        <v/>
      </c>
    </row>
    <row r="6370" spans="1:1">
      <c r="A6370" s="11" t="str">
        <f t="shared" si="180"/>
        <v/>
      </c>
    </row>
    <row r="6371" spans="1:1">
      <c r="A6371" s="11" t="str">
        <f t="shared" si="180"/>
        <v/>
      </c>
    </row>
    <row r="6372" spans="1:1">
      <c r="A6372" s="11" t="str">
        <f t="shared" si="180"/>
        <v/>
      </c>
    </row>
    <row r="6373" spans="1:1">
      <c r="A6373" s="11" t="str">
        <f t="shared" si="180"/>
        <v/>
      </c>
    </row>
    <row r="6374" spans="1:1">
      <c r="A6374" s="11" t="str">
        <f t="shared" si="180"/>
        <v/>
      </c>
    </row>
    <row r="6375" spans="1:1">
      <c r="A6375" s="11" t="str">
        <f t="shared" si="180"/>
        <v/>
      </c>
    </row>
    <row r="6376" spans="1:1">
      <c r="A6376" s="11" t="str">
        <f t="shared" si="180"/>
        <v/>
      </c>
    </row>
    <row r="6377" spans="1:1">
      <c r="A6377" s="11" t="str">
        <f t="shared" si="180"/>
        <v/>
      </c>
    </row>
    <row r="6378" spans="1:1">
      <c r="A6378" s="11" t="str">
        <f t="shared" si="180"/>
        <v/>
      </c>
    </row>
    <row r="6379" spans="1:1">
      <c r="A6379" s="11" t="str">
        <f t="shared" si="180"/>
        <v/>
      </c>
    </row>
    <row r="6380" spans="1:1">
      <c r="A6380" s="11" t="str">
        <f t="shared" si="180"/>
        <v/>
      </c>
    </row>
    <row r="6381" spans="1:1">
      <c r="A6381" s="11" t="str">
        <f t="shared" si="180"/>
        <v/>
      </c>
    </row>
    <row r="6382" spans="1:1">
      <c r="A6382" s="11" t="str">
        <f t="shared" si="180"/>
        <v/>
      </c>
    </row>
    <row r="6383" spans="1:1">
      <c r="A6383" s="11" t="str">
        <f t="shared" si="180"/>
        <v/>
      </c>
    </row>
    <row r="6384" spans="1:1">
      <c r="A6384" s="11" t="str">
        <f t="shared" si="180"/>
        <v/>
      </c>
    </row>
    <row r="6385" spans="1:1">
      <c r="A6385" s="11" t="str">
        <f t="shared" si="180"/>
        <v/>
      </c>
    </row>
    <row r="6386" spans="1:1">
      <c r="A6386" s="11" t="str">
        <f t="shared" si="180"/>
        <v/>
      </c>
    </row>
    <row r="6387" spans="1:1">
      <c r="A6387" s="11" t="str">
        <f t="shared" si="180"/>
        <v/>
      </c>
    </row>
    <row r="6388" spans="1:1">
      <c r="A6388" s="11" t="str">
        <f t="shared" si="180"/>
        <v/>
      </c>
    </row>
    <row r="6389" spans="1:1">
      <c r="A6389" s="11" t="str">
        <f t="shared" si="180"/>
        <v/>
      </c>
    </row>
    <row r="6390" spans="1:1">
      <c r="A6390" s="11" t="str">
        <f t="shared" si="180"/>
        <v/>
      </c>
    </row>
    <row r="6391" spans="1:1">
      <c r="A6391" s="11" t="str">
        <f t="shared" si="180"/>
        <v/>
      </c>
    </row>
    <row r="6392" spans="1:1">
      <c r="A6392" s="11" t="str">
        <f t="shared" si="180"/>
        <v/>
      </c>
    </row>
    <row r="6393" spans="1:1">
      <c r="A6393" s="11" t="str">
        <f t="shared" si="180"/>
        <v/>
      </c>
    </row>
    <row r="6394" spans="1:1">
      <c r="A6394" s="11" t="str">
        <f t="shared" si="180"/>
        <v/>
      </c>
    </row>
    <row r="6395" spans="1:1">
      <c r="A6395" s="11" t="str">
        <f t="shared" si="180"/>
        <v/>
      </c>
    </row>
    <row r="6396" spans="1:1">
      <c r="A6396" s="11" t="str">
        <f t="shared" si="180"/>
        <v/>
      </c>
    </row>
    <row r="6397" spans="1:1">
      <c r="A6397" s="11" t="str">
        <f t="shared" si="180"/>
        <v/>
      </c>
    </row>
    <row r="6398" spans="1:1">
      <c r="A6398" s="11" t="str">
        <f t="shared" si="180"/>
        <v/>
      </c>
    </row>
    <row r="6399" spans="1:1">
      <c r="A6399" s="11" t="str">
        <f t="shared" si="180"/>
        <v/>
      </c>
    </row>
    <row r="6400" spans="1:1">
      <c r="A6400" s="11" t="str">
        <f t="shared" si="180"/>
        <v/>
      </c>
    </row>
    <row r="6401" spans="1:1">
      <c r="A6401" s="11" t="str">
        <f t="shared" si="180"/>
        <v/>
      </c>
    </row>
    <row r="6402" spans="1:1">
      <c r="A6402" s="11" t="str">
        <f t="shared" si="180"/>
        <v/>
      </c>
    </row>
    <row r="6403" spans="1:1">
      <c r="A6403" s="11" t="str">
        <f t="shared" ref="A6403:A6466" si="181">B6403&amp;D6403</f>
        <v/>
      </c>
    </row>
    <row r="6404" spans="1:1">
      <c r="A6404" s="11" t="str">
        <f t="shared" si="181"/>
        <v/>
      </c>
    </row>
    <row r="6405" spans="1:1">
      <c r="A6405" s="11" t="str">
        <f t="shared" si="181"/>
        <v/>
      </c>
    </row>
    <row r="6406" spans="1:1">
      <c r="A6406" s="11" t="str">
        <f t="shared" si="181"/>
        <v/>
      </c>
    </row>
    <row r="6407" spans="1:1">
      <c r="A6407" s="11" t="str">
        <f t="shared" si="181"/>
        <v/>
      </c>
    </row>
    <row r="6408" spans="1:1">
      <c r="A6408" s="11" t="str">
        <f t="shared" si="181"/>
        <v/>
      </c>
    </row>
    <row r="6409" spans="1:1">
      <c r="A6409" s="11" t="str">
        <f t="shared" si="181"/>
        <v/>
      </c>
    </row>
    <row r="6410" spans="1:1">
      <c r="A6410" s="11" t="str">
        <f t="shared" si="181"/>
        <v/>
      </c>
    </row>
    <row r="6411" spans="1:1">
      <c r="A6411" s="11" t="str">
        <f t="shared" si="181"/>
        <v/>
      </c>
    </row>
    <row r="6412" spans="1:1">
      <c r="A6412" s="11" t="str">
        <f t="shared" si="181"/>
        <v/>
      </c>
    </row>
    <row r="6413" spans="1:1">
      <c r="A6413" s="11" t="str">
        <f t="shared" si="181"/>
        <v/>
      </c>
    </row>
    <row r="6414" spans="1:1">
      <c r="A6414" s="11" t="str">
        <f t="shared" si="181"/>
        <v/>
      </c>
    </row>
    <row r="6415" spans="1:1">
      <c r="A6415" s="11" t="str">
        <f t="shared" si="181"/>
        <v/>
      </c>
    </row>
    <row r="6416" spans="1:1">
      <c r="A6416" s="11" t="str">
        <f t="shared" si="181"/>
        <v/>
      </c>
    </row>
    <row r="6417" spans="1:1">
      <c r="A6417" s="11" t="str">
        <f t="shared" si="181"/>
        <v/>
      </c>
    </row>
    <row r="6418" spans="1:1">
      <c r="A6418" s="11" t="str">
        <f t="shared" si="181"/>
        <v/>
      </c>
    </row>
    <row r="6419" spans="1:1">
      <c r="A6419" s="11" t="str">
        <f t="shared" si="181"/>
        <v/>
      </c>
    </row>
    <row r="6420" spans="1:1">
      <c r="A6420" s="11" t="str">
        <f t="shared" si="181"/>
        <v/>
      </c>
    </row>
    <row r="6421" spans="1:1">
      <c r="A6421" s="11" t="str">
        <f t="shared" si="181"/>
        <v/>
      </c>
    </row>
    <row r="6422" spans="1:1">
      <c r="A6422" s="11" t="str">
        <f t="shared" si="181"/>
        <v/>
      </c>
    </row>
    <row r="6423" spans="1:1">
      <c r="A6423" s="11" t="str">
        <f t="shared" si="181"/>
        <v/>
      </c>
    </row>
    <row r="6424" spans="1:1">
      <c r="A6424" s="11" t="str">
        <f t="shared" si="181"/>
        <v/>
      </c>
    </row>
    <row r="6425" spans="1:1">
      <c r="A6425" s="11" t="str">
        <f t="shared" si="181"/>
        <v/>
      </c>
    </row>
    <row r="6426" spans="1:1">
      <c r="A6426" s="11" t="str">
        <f t="shared" si="181"/>
        <v/>
      </c>
    </row>
    <row r="6427" spans="1:1">
      <c r="A6427" s="11" t="str">
        <f t="shared" si="181"/>
        <v/>
      </c>
    </row>
    <row r="6428" spans="1:1">
      <c r="A6428" s="11" t="str">
        <f t="shared" si="181"/>
        <v/>
      </c>
    </row>
    <row r="6429" spans="1:1">
      <c r="A6429" s="11" t="str">
        <f t="shared" si="181"/>
        <v/>
      </c>
    </row>
    <row r="6430" spans="1:1">
      <c r="A6430" s="11" t="str">
        <f t="shared" si="181"/>
        <v/>
      </c>
    </row>
    <row r="6431" spans="1:1">
      <c r="A6431" s="11" t="str">
        <f t="shared" si="181"/>
        <v/>
      </c>
    </row>
    <row r="6432" spans="1:1">
      <c r="A6432" s="11" t="str">
        <f t="shared" si="181"/>
        <v/>
      </c>
    </row>
    <row r="6433" spans="1:1">
      <c r="A6433" s="11" t="str">
        <f t="shared" si="181"/>
        <v/>
      </c>
    </row>
    <row r="6434" spans="1:1">
      <c r="A6434" s="11" t="str">
        <f t="shared" si="181"/>
        <v/>
      </c>
    </row>
    <row r="6435" spans="1:1">
      <c r="A6435" s="11" t="str">
        <f t="shared" si="181"/>
        <v/>
      </c>
    </row>
    <row r="6436" spans="1:1">
      <c r="A6436" s="11" t="str">
        <f t="shared" si="181"/>
        <v/>
      </c>
    </row>
    <row r="6437" spans="1:1">
      <c r="A6437" s="11" t="str">
        <f t="shared" si="181"/>
        <v/>
      </c>
    </row>
    <row r="6438" spans="1:1">
      <c r="A6438" s="11" t="str">
        <f t="shared" si="181"/>
        <v/>
      </c>
    </row>
    <row r="6439" spans="1:1">
      <c r="A6439" s="11" t="str">
        <f t="shared" si="181"/>
        <v/>
      </c>
    </row>
    <row r="6440" spans="1:1">
      <c r="A6440" s="11" t="str">
        <f t="shared" si="181"/>
        <v/>
      </c>
    </row>
    <row r="6441" spans="1:1">
      <c r="A6441" s="11" t="str">
        <f t="shared" si="181"/>
        <v/>
      </c>
    </row>
    <row r="6442" spans="1:1">
      <c r="A6442" s="11" t="str">
        <f t="shared" si="181"/>
        <v/>
      </c>
    </row>
    <row r="6443" spans="1:1">
      <c r="A6443" s="11" t="str">
        <f t="shared" si="181"/>
        <v/>
      </c>
    </row>
    <row r="6444" spans="1:1">
      <c r="A6444" s="11" t="str">
        <f t="shared" si="181"/>
        <v/>
      </c>
    </row>
    <row r="6445" spans="1:1">
      <c r="A6445" s="11" t="str">
        <f t="shared" si="181"/>
        <v/>
      </c>
    </row>
    <row r="6446" spans="1:1">
      <c r="A6446" s="11" t="str">
        <f t="shared" si="181"/>
        <v/>
      </c>
    </row>
    <row r="6447" spans="1:1">
      <c r="A6447" s="11" t="str">
        <f t="shared" si="181"/>
        <v/>
      </c>
    </row>
    <row r="6448" spans="1:1">
      <c r="A6448" s="11" t="str">
        <f t="shared" si="181"/>
        <v/>
      </c>
    </row>
    <row r="6449" spans="1:1">
      <c r="A6449" s="11" t="str">
        <f t="shared" si="181"/>
        <v/>
      </c>
    </row>
    <row r="6450" spans="1:1">
      <c r="A6450" s="11" t="str">
        <f t="shared" si="181"/>
        <v/>
      </c>
    </row>
    <row r="6451" spans="1:1">
      <c r="A6451" s="11" t="str">
        <f t="shared" si="181"/>
        <v/>
      </c>
    </row>
    <row r="6452" spans="1:1">
      <c r="A6452" s="11" t="str">
        <f t="shared" si="181"/>
        <v/>
      </c>
    </row>
    <row r="6453" spans="1:1">
      <c r="A6453" s="11" t="str">
        <f t="shared" si="181"/>
        <v/>
      </c>
    </row>
    <row r="6454" spans="1:1">
      <c r="A6454" s="11" t="str">
        <f t="shared" si="181"/>
        <v/>
      </c>
    </row>
    <row r="6455" spans="1:1">
      <c r="A6455" s="11" t="str">
        <f t="shared" si="181"/>
        <v/>
      </c>
    </row>
    <row r="6456" spans="1:1">
      <c r="A6456" s="11" t="str">
        <f t="shared" si="181"/>
        <v/>
      </c>
    </row>
    <row r="6457" spans="1:1">
      <c r="A6457" s="11" t="str">
        <f t="shared" si="181"/>
        <v/>
      </c>
    </row>
    <row r="6458" spans="1:1">
      <c r="A6458" s="11" t="str">
        <f t="shared" si="181"/>
        <v/>
      </c>
    </row>
    <row r="6459" spans="1:1">
      <c r="A6459" s="11" t="str">
        <f t="shared" si="181"/>
        <v/>
      </c>
    </row>
    <row r="6460" spans="1:1">
      <c r="A6460" s="11" t="str">
        <f t="shared" si="181"/>
        <v/>
      </c>
    </row>
    <row r="6461" spans="1:1">
      <c r="A6461" s="11" t="str">
        <f t="shared" si="181"/>
        <v/>
      </c>
    </row>
    <row r="6462" spans="1:1">
      <c r="A6462" s="11" t="str">
        <f t="shared" si="181"/>
        <v/>
      </c>
    </row>
    <row r="6463" spans="1:1">
      <c r="A6463" s="11" t="str">
        <f t="shared" si="181"/>
        <v/>
      </c>
    </row>
    <row r="6464" spans="1:1">
      <c r="A6464" s="11" t="str">
        <f t="shared" si="181"/>
        <v/>
      </c>
    </row>
    <row r="6465" spans="1:1">
      <c r="A6465" s="11" t="str">
        <f t="shared" si="181"/>
        <v/>
      </c>
    </row>
    <row r="6466" spans="1:1">
      <c r="A6466" s="11" t="str">
        <f t="shared" si="181"/>
        <v/>
      </c>
    </row>
    <row r="6467" spans="1:1">
      <c r="A6467" s="11" t="str">
        <f t="shared" ref="A6467:A6530" si="182">B6467&amp;D6467</f>
        <v/>
      </c>
    </row>
    <row r="6468" spans="1:1">
      <c r="A6468" s="11" t="str">
        <f t="shared" si="182"/>
        <v/>
      </c>
    </row>
    <row r="6469" spans="1:1">
      <c r="A6469" s="11" t="str">
        <f t="shared" si="182"/>
        <v/>
      </c>
    </row>
    <row r="6470" spans="1:1">
      <c r="A6470" s="11" t="str">
        <f t="shared" si="182"/>
        <v/>
      </c>
    </row>
    <row r="6471" spans="1:1">
      <c r="A6471" s="11" t="str">
        <f t="shared" si="182"/>
        <v/>
      </c>
    </row>
    <row r="6472" spans="1:1">
      <c r="A6472" s="11" t="str">
        <f t="shared" si="182"/>
        <v/>
      </c>
    </row>
    <row r="6473" spans="1:1">
      <c r="A6473" s="11" t="str">
        <f t="shared" si="182"/>
        <v/>
      </c>
    </row>
    <row r="6474" spans="1:1">
      <c r="A6474" s="11" t="str">
        <f t="shared" si="182"/>
        <v/>
      </c>
    </row>
    <row r="6475" spans="1:1">
      <c r="A6475" s="11" t="str">
        <f t="shared" si="182"/>
        <v/>
      </c>
    </row>
    <row r="6476" spans="1:1">
      <c r="A6476" s="11" t="str">
        <f t="shared" si="182"/>
        <v/>
      </c>
    </row>
    <row r="6477" spans="1:1">
      <c r="A6477" s="11" t="str">
        <f t="shared" si="182"/>
        <v/>
      </c>
    </row>
    <row r="6478" spans="1:1">
      <c r="A6478" s="11" t="str">
        <f t="shared" si="182"/>
        <v/>
      </c>
    </row>
    <row r="6479" spans="1:1">
      <c r="A6479" s="11" t="str">
        <f t="shared" si="182"/>
        <v/>
      </c>
    </row>
    <row r="6480" spans="1:1">
      <c r="A6480" s="11" t="str">
        <f t="shared" si="182"/>
        <v/>
      </c>
    </row>
    <row r="6481" spans="1:1">
      <c r="A6481" s="11" t="str">
        <f t="shared" si="182"/>
        <v/>
      </c>
    </row>
    <row r="6482" spans="1:1">
      <c r="A6482" s="11" t="str">
        <f t="shared" si="182"/>
        <v/>
      </c>
    </row>
    <row r="6483" spans="1:1">
      <c r="A6483" s="11" t="str">
        <f t="shared" si="182"/>
        <v/>
      </c>
    </row>
    <row r="6484" spans="1:1">
      <c r="A6484" s="11" t="str">
        <f t="shared" si="182"/>
        <v/>
      </c>
    </row>
    <row r="6485" spans="1:1">
      <c r="A6485" s="11" t="str">
        <f t="shared" si="182"/>
        <v/>
      </c>
    </row>
    <row r="6486" spans="1:1">
      <c r="A6486" s="11" t="str">
        <f t="shared" si="182"/>
        <v/>
      </c>
    </row>
    <row r="6487" spans="1:1">
      <c r="A6487" s="11" t="str">
        <f t="shared" si="182"/>
        <v/>
      </c>
    </row>
    <row r="6488" spans="1:1">
      <c r="A6488" s="11" t="str">
        <f t="shared" si="182"/>
        <v/>
      </c>
    </row>
    <row r="6489" spans="1:1">
      <c r="A6489" s="11" t="str">
        <f t="shared" si="182"/>
        <v/>
      </c>
    </row>
    <row r="6490" spans="1:1">
      <c r="A6490" s="11" t="str">
        <f t="shared" si="182"/>
        <v/>
      </c>
    </row>
    <row r="6491" spans="1:1">
      <c r="A6491" s="11" t="str">
        <f t="shared" si="182"/>
        <v/>
      </c>
    </row>
    <row r="6492" spans="1:1">
      <c r="A6492" s="11" t="str">
        <f t="shared" si="182"/>
        <v/>
      </c>
    </row>
    <row r="6493" spans="1:1">
      <c r="A6493" s="11" t="str">
        <f t="shared" si="182"/>
        <v/>
      </c>
    </row>
    <row r="6494" spans="1:1">
      <c r="A6494" s="11" t="str">
        <f t="shared" si="182"/>
        <v/>
      </c>
    </row>
    <row r="6495" spans="1:1">
      <c r="A6495" s="11" t="str">
        <f t="shared" si="182"/>
        <v/>
      </c>
    </row>
    <row r="6496" spans="1:1">
      <c r="A6496" s="11" t="str">
        <f t="shared" si="182"/>
        <v/>
      </c>
    </row>
    <row r="6497" spans="1:1">
      <c r="A6497" s="11" t="str">
        <f t="shared" si="182"/>
        <v/>
      </c>
    </row>
    <row r="6498" spans="1:1">
      <c r="A6498" s="11" t="str">
        <f t="shared" si="182"/>
        <v/>
      </c>
    </row>
    <row r="6499" spans="1:1">
      <c r="A6499" s="11" t="str">
        <f t="shared" si="182"/>
        <v/>
      </c>
    </row>
    <row r="6500" spans="1:1">
      <c r="A6500" s="11" t="str">
        <f t="shared" si="182"/>
        <v/>
      </c>
    </row>
    <row r="6501" spans="1:1">
      <c r="A6501" s="11" t="str">
        <f t="shared" si="182"/>
        <v/>
      </c>
    </row>
    <row r="6502" spans="1:1">
      <c r="A6502" s="11" t="str">
        <f t="shared" si="182"/>
        <v/>
      </c>
    </row>
    <row r="6503" spans="1:1">
      <c r="A6503" s="11" t="str">
        <f t="shared" si="182"/>
        <v/>
      </c>
    </row>
    <row r="6504" spans="1:1">
      <c r="A6504" s="11" t="str">
        <f t="shared" si="182"/>
        <v/>
      </c>
    </row>
    <row r="6505" spans="1:1">
      <c r="A6505" s="11" t="str">
        <f t="shared" si="182"/>
        <v/>
      </c>
    </row>
    <row r="6506" spans="1:1">
      <c r="A6506" s="11" t="str">
        <f t="shared" si="182"/>
        <v/>
      </c>
    </row>
    <row r="6507" spans="1:1">
      <c r="A6507" s="11" t="str">
        <f t="shared" si="182"/>
        <v/>
      </c>
    </row>
    <row r="6508" spans="1:1">
      <c r="A6508" s="11" t="str">
        <f t="shared" si="182"/>
        <v/>
      </c>
    </row>
    <row r="6509" spans="1:1">
      <c r="A6509" s="11" t="str">
        <f t="shared" si="182"/>
        <v/>
      </c>
    </row>
    <row r="6510" spans="1:1">
      <c r="A6510" s="11" t="str">
        <f t="shared" si="182"/>
        <v/>
      </c>
    </row>
    <row r="6511" spans="1:1">
      <c r="A6511" s="11" t="str">
        <f t="shared" si="182"/>
        <v/>
      </c>
    </row>
    <row r="6512" spans="1:1">
      <c r="A6512" s="11" t="str">
        <f t="shared" si="182"/>
        <v/>
      </c>
    </row>
    <row r="6513" spans="1:1">
      <c r="A6513" s="11" t="str">
        <f t="shared" si="182"/>
        <v/>
      </c>
    </row>
    <row r="6514" spans="1:1">
      <c r="A6514" s="11" t="str">
        <f t="shared" si="182"/>
        <v/>
      </c>
    </row>
    <row r="6515" spans="1:1">
      <c r="A6515" s="11" t="str">
        <f t="shared" si="182"/>
        <v/>
      </c>
    </row>
    <row r="6516" spans="1:1">
      <c r="A6516" s="11" t="str">
        <f t="shared" si="182"/>
        <v/>
      </c>
    </row>
    <row r="6517" spans="1:1">
      <c r="A6517" s="11" t="str">
        <f t="shared" si="182"/>
        <v/>
      </c>
    </row>
    <row r="6518" spans="1:1">
      <c r="A6518" s="11" t="str">
        <f t="shared" si="182"/>
        <v/>
      </c>
    </row>
    <row r="6519" spans="1:1">
      <c r="A6519" s="11" t="str">
        <f t="shared" si="182"/>
        <v/>
      </c>
    </row>
    <row r="6520" spans="1:1">
      <c r="A6520" s="11" t="str">
        <f t="shared" si="182"/>
        <v/>
      </c>
    </row>
    <row r="6521" spans="1:1">
      <c r="A6521" s="11" t="str">
        <f t="shared" si="182"/>
        <v/>
      </c>
    </row>
    <row r="6522" spans="1:1">
      <c r="A6522" s="11" t="str">
        <f t="shared" si="182"/>
        <v/>
      </c>
    </row>
    <row r="6523" spans="1:1">
      <c r="A6523" s="11" t="str">
        <f t="shared" si="182"/>
        <v/>
      </c>
    </row>
    <row r="6524" spans="1:1">
      <c r="A6524" s="11" t="str">
        <f t="shared" si="182"/>
        <v/>
      </c>
    </row>
    <row r="6525" spans="1:1">
      <c r="A6525" s="11" t="str">
        <f t="shared" si="182"/>
        <v/>
      </c>
    </row>
    <row r="6526" spans="1:1">
      <c r="A6526" s="11" t="str">
        <f t="shared" si="182"/>
        <v/>
      </c>
    </row>
    <row r="6527" spans="1:1">
      <c r="A6527" s="11" t="str">
        <f t="shared" si="182"/>
        <v/>
      </c>
    </row>
    <row r="6528" spans="1:1">
      <c r="A6528" s="11" t="str">
        <f t="shared" si="182"/>
        <v/>
      </c>
    </row>
    <row r="6529" spans="1:1">
      <c r="A6529" s="11" t="str">
        <f t="shared" si="182"/>
        <v/>
      </c>
    </row>
    <row r="6530" spans="1:1">
      <c r="A6530" s="11" t="str">
        <f t="shared" si="182"/>
        <v/>
      </c>
    </row>
    <row r="6531" spans="1:1">
      <c r="A6531" s="11" t="str">
        <f t="shared" ref="A6531:A6594" si="183">B6531&amp;D6531</f>
        <v/>
      </c>
    </row>
    <row r="6532" spans="1:1">
      <c r="A6532" s="11" t="str">
        <f t="shared" si="183"/>
        <v/>
      </c>
    </row>
    <row r="6533" spans="1:1">
      <c r="A6533" s="11" t="str">
        <f t="shared" si="183"/>
        <v/>
      </c>
    </row>
    <row r="6534" spans="1:1">
      <c r="A6534" s="11" t="str">
        <f t="shared" si="183"/>
        <v/>
      </c>
    </row>
    <row r="6535" spans="1:1">
      <c r="A6535" s="11" t="str">
        <f t="shared" si="183"/>
        <v/>
      </c>
    </row>
    <row r="6536" spans="1:1">
      <c r="A6536" s="11" t="str">
        <f t="shared" si="183"/>
        <v/>
      </c>
    </row>
    <row r="6537" spans="1:1">
      <c r="A6537" s="11" t="str">
        <f t="shared" si="183"/>
        <v/>
      </c>
    </row>
    <row r="6538" spans="1:1">
      <c r="A6538" s="11" t="str">
        <f t="shared" si="183"/>
        <v/>
      </c>
    </row>
    <row r="6539" spans="1:1">
      <c r="A6539" s="11" t="str">
        <f t="shared" si="183"/>
        <v/>
      </c>
    </row>
    <row r="6540" spans="1:1">
      <c r="A6540" s="11" t="str">
        <f t="shared" si="183"/>
        <v/>
      </c>
    </row>
    <row r="6541" spans="1:1">
      <c r="A6541" s="11" t="str">
        <f t="shared" si="183"/>
        <v/>
      </c>
    </row>
    <row r="6542" spans="1:1">
      <c r="A6542" s="11" t="str">
        <f t="shared" si="183"/>
        <v/>
      </c>
    </row>
    <row r="6543" spans="1:1">
      <c r="A6543" s="11" t="str">
        <f t="shared" si="183"/>
        <v/>
      </c>
    </row>
    <row r="6544" spans="1:1">
      <c r="A6544" s="11" t="str">
        <f t="shared" si="183"/>
        <v/>
      </c>
    </row>
    <row r="6545" spans="1:1">
      <c r="A6545" s="11" t="str">
        <f t="shared" si="183"/>
        <v/>
      </c>
    </row>
    <row r="6546" spans="1:1">
      <c r="A6546" s="11" t="str">
        <f t="shared" si="183"/>
        <v/>
      </c>
    </row>
    <row r="6547" spans="1:1">
      <c r="A6547" s="11" t="str">
        <f t="shared" si="183"/>
        <v/>
      </c>
    </row>
    <row r="6548" spans="1:1">
      <c r="A6548" s="11" t="str">
        <f t="shared" si="183"/>
        <v/>
      </c>
    </row>
    <row r="6549" spans="1:1">
      <c r="A6549" s="11" t="str">
        <f t="shared" si="183"/>
        <v/>
      </c>
    </row>
    <row r="6550" spans="1:1">
      <c r="A6550" s="11" t="str">
        <f t="shared" si="183"/>
        <v/>
      </c>
    </row>
    <row r="6551" spans="1:1">
      <c r="A6551" s="11" t="str">
        <f t="shared" si="183"/>
        <v/>
      </c>
    </row>
    <row r="6552" spans="1:1">
      <c r="A6552" s="11" t="str">
        <f t="shared" si="183"/>
        <v/>
      </c>
    </row>
    <row r="6553" spans="1:1">
      <c r="A6553" s="11" t="str">
        <f t="shared" si="183"/>
        <v/>
      </c>
    </row>
    <row r="6554" spans="1:1">
      <c r="A6554" s="11" t="str">
        <f t="shared" si="183"/>
        <v/>
      </c>
    </row>
    <row r="6555" spans="1:1">
      <c r="A6555" s="11" t="str">
        <f t="shared" si="183"/>
        <v/>
      </c>
    </row>
    <row r="6556" spans="1:1">
      <c r="A6556" s="11" t="str">
        <f t="shared" si="183"/>
        <v/>
      </c>
    </row>
    <row r="6557" spans="1:1">
      <c r="A6557" s="11" t="str">
        <f t="shared" si="183"/>
        <v/>
      </c>
    </row>
    <row r="6558" spans="1:1">
      <c r="A6558" s="11" t="str">
        <f t="shared" si="183"/>
        <v/>
      </c>
    </row>
    <row r="6559" spans="1:1">
      <c r="A6559" s="11" t="str">
        <f t="shared" si="183"/>
        <v/>
      </c>
    </row>
    <row r="6560" spans="1:1">
      <c r="A6560" s="11" t="str">
        <f t="shared" si="183"/>
        <v/>
      </c>
    </row>
    <row r="6561" spans="1:1">
      <c r="A6561" s="11" t="str">
        <f t="shared" si="183"/>
        <v/>
      </c>
    </row>
    <row r="6562" spans="1:1">
      <c r="A6562" s="11" t="str">
        <f t="shared" si="183"/>
        <v/>
      </c>
    </row>
    <row r="6563" spans="1:1">
      <c r="A6563" s="11" t="str">
        <f t="shared" si="183"/>
        <v/>
      </c>
    </row>
    <row r="6564" spans="1:1">
      <c r="A6564" s="11" t="str">
        <f t="shared" si="183"/>
        <v/>
      </c>
    </row>
    <row r="6565" spans="1:1">
      <c r="A6565" s="11" t="str">
        <f t="shared" si="183"/>
        <v/>
      </c>
    </row>
    <row r="6566" spans="1:1">
      <c r="A6566" s="11" t="str">
        <f t="shared" si="183"/>
        <v/>
      </c>
    </row>
    <row r="6567" spans="1:1">
      <c r="A6567" s="11" t="str">
        <f t="shared" si="183"/>
        <v/>
      </c>
    </row>
    <row r="6568" spans="1:1">
      <c r="A6568" s="11" t="str">
        <f t="shared" si="183"/>
        <v/>
      </c>
    </row>
    <row r="6569" spans="1:1">
      <c r="A6569" s="11" t="str">
        <f t="shared" si="183"/>
        <v/>
      </c>
    </row>
    <row r="6570" spans="1:1">
      <c r="A6570" s="11" t="str">
        <f t="shared" si="183"/>
        <v/>
      </c>
    </row>
    <row r="6571" spans="1:1">
      <c r="A6571" s="11" t="str">
        <f t="shared" si="183"/>
        <v/>
      </c>
    </row>
    <row r="6572" spans="1:1">
      <c r="A6572" s="11" t="str">
        <f t="shared" si="183"/>
        <v/>
      </c>
    </row>
    <row r="6573" spans="1:1">
      <c r="A6573" s="11" t="str">
        <f t="shared" si="183"/>
        <v/>
      </c>
    </row>
    <row r="6574" spans="1:1">
      <c r="A6574" s="11" t="str">
        <f t="shared" si="183"/>
        <v/>
      </c>
    </row>
    <row r="6575" spans="1:1">
      <c r="A6575" s="11" t="str">
        <f t="shared" si="183"/>
        <v/>
      </c>
    </row>
    <row r="6576" spans="1:1">
      <c r="A6576" s="11" t="str">
        <f t="shared" si="183"/>
        <v/>
      </c>
    </row>
    <row r="6577" spans="1:1">
      <c r="A6577" s="11" t="str">
        <f t="shared" si="183"/>
        <v/>
      </c>
    </row>
    <row r="6578" spans="1:1">
      <c r="A6578" s="11" t="str">
        <f t="shared" si="183"/>
        <v/>
      </c>
    </row>
    <row r="6579" spans="1:1">
      <c r="A6579" s="11" t="str">
        <f t="shared" si="183"/>
        <v/>
      </c>
    </row>
    <row r="6580" spans="1:1">
      <c r="A6580" s="11" t="str">
        <f t="shared" si="183"/>
        <v/>
      </c>
    </row>
    <row r="6581" spans="1:1">
      <c r="A6581" s="11" t="str">
        <f t="shared" si="183"/>
        <v/>
      </c>
    </row>
    <row r="6582" spans="1:1">
      <c r="A6582" s="11" t="str">
        <f t="shared" si="183"/>
        <v/>
      </c>
    </row>
    <row r="6583" spans="1:1">
      <c r="A6583" s="11" t="str">
        <f t="shared" si="183"/>
        <v/>
      </c>
    </row>
    <row r="6584" spans="1:1">
      <c r="A6584" s="11" t="str">
        <f t="shared" si="183"/>
        <v/>
      </c>
    </row>
    <row r="6585" spans="1:1">
      <c r="A6585" s="11" t="str">
        <f t="shared" si="183"/>
        <v/>
      </c>
    </row>
    <row r="6586" spans="1:1">
      <c r="A6586" s="11" t="str">
        <f t="shared" si="183"/>
        <v/>
      </c>
    </row>
    <row r="6587" spans="1:1">
      <c r="A6587" s="11" t="str">
        <f t="shared" si="183"/>
        <v/>
      </c>
    </row>
    <row r="6588" spans="1:1">
      <c r="A6588" s="11" t="str">
        <f t="shared" si="183"/>
        <v/>
      </c>
    </row>
    <row r="6589" spans="1:1">
      <c r="A6589" s="11" t="str">
        <f t="shared" si="183"/>
        <v/>
      </c>
    </row>
    <row r="6590" spans="1:1">
      <c r="A6590" s="11" t="str">
        <f t="shared" si="183"/>
        <v/>
      </c>
    </row>
    <row r="6591" spans="1:1">
      <c r="A6591" s="11" t="str">
        <f t="shared" si="183"/>
        <v/>
      </c>
    </row>
    <row r="6592" spans="1:1">
      <c r="A6592" s="11" t="str">
        <f t="shared" si="183"/>
        <v/>
      </c>
    </row>
    <row r="6593" spans="1:1">
      <c r="A6593" s="11" t="str">
        <f t="shared" si="183"/>
        <v/>
      </c>
    </row>
    <row r="6594" spans="1:1">
      <c r="A6594" s="11" t="str">
        <f t="shared" si="183"/>
        <v/>
      </c>
    </row>
    <row r="6595" spans="1:1">
      <c r="A6595" s="11" t="str">
        <f t="shared" ref="A6595:A6658" si="184">B6595&amp;D6595</f>
        <v/>
      </c>
    </row>
    <row r="6596" spans="1:1">
      <c r="A6596" s="11" t="str">
        <f t="shared" si="184"/>
        <v/>
      </c>
    </row>
    <row r="6597" spans="1:1">
      <c r="A6597" s="11" t="str">
        <f t="shared" si="184"/>
        <v/>
      </c>
    </row>
    <row r="6598" spans="1:1">
      <c r="A6598" s="11" t="str">
        <f t="shared" si="184"/>
        <v/>
      </c>
    </row>
    <row r="6599" spans="1:1">
      <c r="A6599" s="11" t="str">
        <f t="shared" si="184"/>
        <v/>
      </c>
    </row>
    <row r="6600" spans="1:1">
      <c r="A6600" s="11" t="str">
        <f t="shared" si="184"/>
        <v/>
      </c>
    </row>
    <row r="6601" spans="1:1">
      <c r="A6601" s="11" t="str">
        <f t="shared" si="184"/>
        <v/>
      </c>
    </row>
    <row r="6602" spans="1:1">
      <c r="A6602" s="11" t="str">
        <f t="shared" si="184"/>
        <v/>
      </c>
    </row>
    <row r="6603" spans="1:1">
      <c r="A6603" s="11" t="str">
        <f t="shared" si="184"/>
        <v/>
      </c>
    </row>
    <row r="6604" spans="1:1">
      <c r="A6604" s="11" t="str">
        <f t="shared" si="184"/>
        <v/>
      </c>
    </row>
    <row r="6605" spans="1:1">
      <c r="A6605" s="11" t="str">
        <f t="shared" si="184"/>
        <v/>
      </c>
    </row>
    <row r="6606" spans="1:1">
      <c r="A6606" s="11" t="str">
        <f t="shared" si="184"/>
        <v/>
      </c>
    </row>
    <row r="6607" spans="1:1">
      <c r="A6607" s="11" t="str">
        <f t="shared" si="184"/>
        <v/>
      </c>
    </row>
    <row r="6608" spans="1:1">
      <c r="A6608" s="11" t="str">
        <f t="shared" si="184"/>
        <v/>
      </c>
    </row>
    <row r="6609" spans="1:1">
      <c r="A6609" s="11" t="str">
        <f t="shared" si="184"/>
        <v/>
      </c>
    </row>
    <row r="6610" spans="1:1">
      <c r="A6610" s="11" t="str">
        <f t="shared" si="184"/>
        <v/>
      </c>
    </row>
    <row r="6611" spans="1:1">
      <c r="A6611" s="11" t="str">
        <f t="shared" si="184"/>
        <v/>
      </c>
    </row>
    <row r="6612" spans="1:1">
      <c r="A6612" s="11" t="str">
        <f t="shared" si="184"/>
        <v/>
      </c>
    </row>
    <row r="6613" spans="1:1">
      <c r="A6613" s="11" t="str">
        <f t="shared" si="184"/>
        <v/>
      </c>
    </row>
    <row r="6614" spans="1:1">
      <c r="A6614" s="11" t="str">
        <f t="shared" si="184"/>
        <v/>
      </c>
    </row>
    <row r="6615" spans="1:1">
      <c r="A6615" s="11" t="str">
        <f t="shared" si="184"/>
        <v/>
      </c>
    </row>
    <row r="6616" spans="1:1">
      <c r="A6616" s="11" t="str">
        <f t="shared" si="184"/>
        <v/>
      </c>
    </row>
    <row r="6617" spans="1:1">
      <c r="A6617" s="11" t="str">
        <f t="shared" si="184"/>
        <v/>
      </c>
    </row>
    <row r="6618" spans="1:1">
      <c r="A6618" s="11" t="str">
        <f t="shared" si="184"/>
        <v/>
      </c>
    </row>
    <row r="6619" spans="1:1">
      <c r="A6619" s="11" t="str">
        <f t="shared" si="184"/>
        <v/>
      </c>
    </row>
    <row r="6620" spans="1:1">
      <c r="A6620" s="11" t="str">
        <f t="shared" si="184"/>
        <v/>
      </c>
    </row>
    <row r="6621" spans="1:1">
      <c r="A6621" s="11" t="str">
        <f t="shared" si="184"/>
        <v/>
      </c>
    </row>
    <row r="6622" spans="1:1">
      <c r="A6622" s="11" t="str">
        <f t="shared" si="184"/>
        <v/>
      </c>
    </row>
    <row r="6623" spans="1:1">
      <c r="A6623" s="11" t="str">
        <f t="shared" si="184"/>
        <v/>
      </c>
    </row>
    <row r="6624" spans="1:1">
      <c r="A6624" s="11" t="str">
        <f t="shared" si="184"/>
        <v/>
      </c>
    </row>
    <row r="6625" spans="1:1">
      <c r="A6625" s="11" t="str">
        <f t="shared" si="184"/>
        <v/>
      </c>
    </row>
    <row r="6626" spans="1:1">
      <c r="A6626" s="11" t="str">
        <f t="shared" si="184"/>
        <v/>
      </c>
    </row>
    <row r="6627" spans="1:1">
      <c r="A6627" s="11" t="str">
        <f t="shared" si="184"/>
        <v/>
      </c>
    </row>
    <row r="6628" spans="1:1">
      <c r="A6628" s="11" t="str">
        <f t="shared" si="184"/>
        <v/>
      </c>
    </row>
    <row r="6629" spans="1:1">
      <c r="A6629" s="11" t="str">
        <f t="shared" si="184"/>
        <v/>
      </c>
    </row>
    <row r="6630" spans="1:1">
      <c r="A6630" s="11" t="str">
        <f t="shared" si="184"/>
        <v/>
      </c>
    </row>
    <row r="6631" spans="1:1">
      <c r="A6631" s="11" t="str">
        <f t="shared" si="184"/>
        <v/>
      </c>
    </row>
    <row r="6632" spans="1:1">
      <c r="A6632" s="11" t="str">
        <f t="shared" si="184"/>
        <v/>
      </c>
    </row>
    <row r="6633" spans="1:1">
      <c r="A6633" s="11" t="str">
        <f t="shared" si="184"/>
        <v/>
      </c>
    </row>
    <row r="6634" spans="1:1">
      <c r="A6634" s="11" t="str">
        <f t="shared" si="184"/>
        <v/>
      </c>
    </row>
    <row r="6635" spans="1:1">
      <c r="A6635" s="11" t="str">
        <f t="shared" si="184"/>
        <v/>
      </c>
    </row>
    <row r="6636" spans="1:1">
      <c r="A6636" s="11" t="str">
        <f t="shared" si="184"/>
        <v/>
      </c>
    </row>
    <row r="6637" spans="1:1">
      <c r="A6637" s="11" t="str">
        <f t="shared" si="184"/>
        <v/>
      </c>
    </row>
    <row r="6638" spans="1:1">
      <c r="A6638" s="11" t="str">
        <f t="shared" si="184"/>
        <v/>
      </c>
    </row>
    <row r="6639" spans="1:1">
      <c r="A6639" s="11" t="str">
        <f t="shared" si="184"/>
        <v/>
      </c>
    </row>
    <row r="6640" spans="1:1">
      <c r="A6640" s="11" t="str">
        <f t="shared" si="184"/>
        <v/>
      </c>
    </row>
    <row r="6641" spans="1:1">
      <c r="A6641" s="11" t="str">
        <f t="shared" si="184"/>
        <v/>
      </c>
    </row>
    <row r="6642" spans="1:1">
      <c r="A6642" s="11" t="str">
        <f t="shared" si="184"/>
        <v/>
      </c>
    </row>
    <row r="6643" spans="1:1">
      <c r="A6643" s="11" t="str">
        <f t="shared" si="184"/>
        <v/>
      </c>
    </row>
    <row r="6644" spans="1:1">
      <c r="A6644" s="11" t="str">
        <f t="shared" si="184"/>
        <v/>
      </c>
    </row>
    <row r="6645" spans="1:1">
      <c r="A6645" s="11" t="str">
        <f t="shared" si="184"/>
        <v/>
      </c>
    </row>
    <row r="6646" spans="1:1">
      <c r="A6646" s="11" t="str">
        <f t="shared" si="184"/>
        <v/>
      </c>
    </row>
    <row r="6647" spans="1:1">
      <c r="A6647" s="11" t="str">
        <f t="shared" si="184"/>
        <v/>
      </c>
    </row>
    <row r="6648" spans="1:1">
      <c r="A6648" s="11" t="str">
        <f t="shared" si="184"/>
        <v/>
      </c>
    </row>
    <row r="6649" spans="1:1">
      <c r="A6649" s="11" t="str">
        <f t="shared" si="184"/>
        <v/>
      </c>
    </row>
    <row r="6650" spans="1:1">
      <c r="A6650" s="11" t="str">
        <f t="shared" si="184"/>
        <v/>
      </c>
    </row>
    <row r="6651" spans="1:1">
      <c r="A6651" s="11" t="str">
        <f t="shared" si="184"/>
        <v/>
      </c>
    </row>
    <row r="6652" spans="1:1">
      <c r="A6652" s="11" t="str">
        <f t="shared" si="184"/>
        <v/>
      </c>
    </row>
    <row r="6653" spans="1:1">
      <c r="A6653" s="11" t="str">
        <f t="shared" si="184"/>
        <v/>
      </c>
    </row>
    <row r="6654" spans="1:1">
      <c r="A6654" s="11" t="str">
        <f t="shared" si="184"/>
        <v/>
      </c>
    </row>
    <row r="6655" spans="1:1">
      <c r="A6655" s="11" t="str">
        <f t="shared" si="184"/>
        <v/>
      </c>
    </row>
    <row r="6656" spans="1:1">
      <c r="A6656" s="11" t="str">
        <f t="shared" si="184"/>
        <v/>
      </c>
    </row>
    <row r="6657" spans="1:1">
      <c r="A6657" s="11" t="str">
        <f t="shared" si="184"/>
        <v/>
      </c>
    </row>
    <row r="6658" spans="1:1">
      <c r="A6658" s="11" t="str">
        <f t="shared" si="184"/>
        <v/>
      </c>
    </row>
    <row r="6659" spans="1:1">
      <c r="A6659" s="11" t="str">
        <f t="shared" ref="A6659:A6722" si="185">B6659&amp;D6659</f>
        <v/>
      </c>
    </row>
    <row r="6660" spans="1:1">
      <c r="A6660" s="11" t="str">
        <f t="shared" si="185"/>
        <v/>
      </c>
    </row>
    <row r="6661" spans="1:1">
      <c r="A6661" s="11" t="str">
        <f t="shared" si="185"/>
        <v/>
      </c>
    </row>
    <row r="6662" spans="1:1">
      <c r="A6662" s="11" t="str">
        <f t="shared" si="185"/>
        <v/>
      </c>
    </row>
    <row r="6663" spans="1:1">
      <c r="A6663" s="11" t="str">
        <f t="shared" si="185"/>
        <v/>
      </c>
    </row>
    <row r="6664" spans="1:1">
      <c r="A6664" s="11" t="str">
        <f t="shared" si="185"/>
        <v/>
      </c>
    </row>
    <row r="6665" spans="1:1">
      <c r="A6665" s="11" t="str">
        <f t="shared" si="185"/>
        <v/>
      </c>
    </row>
    <row r="6666" spans="1:1">
      <c r="A6666" s="11" t="str">
        <f t="shared" si="185"/>
        <v/>
      </c>
    </row>
    <row r="6667" spans="1:1">
      <c r="A6667" s="11" t="str">
        <f t="shared" si="185"/>
        <v/>
      </c>
    </row>
    <row r="6668" spans="1:1">
      <c r="A6668" s="11" t="str">
        <f t="shared" si="185"/>
        <v/>
      </c>
    </row>
    <row r="6669" spans="1:1">
      <c r="A6669" s="11" t="str">
        <f t="shared" si="185"/>
        <v/>
      </c>
    </row>
    <row r="6670" spans="1:1">
      <c r="A6670" s="11" t="str">
        <f t="shared" si="185"/>
        <v/>
      </c>
    </row>
    <row r="6671" spans="1:1">
      <c r="A6671" s="11" t="str">
        <f t="shared" si="185"/>
        <v/>
      </c>
    </row>
    <row r="6672" spans="1:1">
      <c r="A6672" s="11" t="str">
        <f t="shared" si="185"/>
        <v/>
      </c>
    </row>
    <row r="6673" spans="1:1">
      <c r="A6673" s="11" t="str">
        <f t="shared" si="185"/>
        <v/>
      </c>
    </row>
    <row r="6674" spans="1:1">
      <c r="A6674" s="11" t="str">
        <f t="shared" si="185"/>
        <v/>
      </c>
    </row>
    <row r="6675" spans="1:1">
      <c r="A6675" s="11" t="str">
        <f t="shared" si="185"/>
        <v/>
      </c>
    </row>
    <row r="6676" spans="1:1">
      <c r="A6676" s="11" t="str">
        <f t="shared" si="185"/>
        <v/>
      </c>
    </row>
    <row r="6677" spans="1:1">
      <c r="A6677" s="11" t="str">
        <f t="shared" si="185"/>
        <v/>
      </c>
    </row>
    <row r="6678" spans="1:1">
      <c r="A6678" s="11" t="str">
        <f t="shared" si="185"/>
        <v/>
      </c>
    </row>
    <row r="6679" spans="1:1">
      <c r="A6679" s="11" t="str">
        <f t="shared" si="185"/>
        <v/>
      </c>
    </row>
    <row r="6680" spans="1:1">
      <c r="A6680" s="11" t="str">
        <f t="shared" si="185"/>
        <v/>
      </c>
    </row>
    <row r="6681" spans="1:1">
      <c r="A6681" s="11" t="str">
        <f t="shared" si="185"/>
        <v/>
      </c>
    </row>
    <row r="6682" spans="1:1">
      <c r="A6682" s="11" t="str">
        <f t="shared" si="185"/>
        <v/>
      </c>
    </row>
    <row r="6683" spans="1:1">
      <c r="A6683" s="11" t="str">
        <f t="shared" si="185"/>
        <v/>
      </c>
    </row>
    <row r="6684" spans="1:1">
      <c r="A6684" s="11" t="str">
        <f t="shared" si="185"/>
        <v/>
      </c>
    </row>
    <row r="6685" spans="1:1">
      <c r="A6685" s="11" t="str">
        <f t="shared" si="185"/>
        <v/>
      </c>
    </row>
    <row r="6686" spans="1:1">
      <c r="A6686" s="11" t="str">
        <f t="shared" si="185"/>
        <v/>
      </c>
    </row>
    <row r="6687" spans="1:1">
      <c r="A6687" s="11" t="str">
        <f t="shared" si="185"/>
        <v/>
      </c>
    </row>
    <row r="6688" spans="1:1">
      <c r="A6688" s="11" t="str">
        <f t="shared" si="185"/>
        <v/>
      </c>
    </row>
    <row r="6689" spans="1:1">
      <c r="A6689" s="11" t="str">
        <f t="shared" si="185"/>
        <v/>
      </c>
    </row>
    <row r="6690" spans="1:1">
      <c r="A6690" s="11" t="str">
        <f t="shared" si="185"/>
        <v/>
      </c>
    </row>
    <row r="6691" spans="1:1">
      <c r="A6691" s="11" t="str">
        <f t="shared" si="185"/>
        <v/>
      </c>
    </row>
    <row r="6692" spans="1:1">
      <c r="A6692" s="11" t="str">
        <f t="shared" si="185"/>
        <v/>
      </c>
    </row>
    <row r="6693" spans="1:1">
      <c r="A6693" s="11" t="str">
        <f t="shared" si="185"/>
        <v/>
      </c>
    </row>
    <row r="6694" spans="1:1">
      <c r="A6694" s="11" t="str">
        <f t="shared" si="185"/>
        <v/>
      </c>
    </row>
    <row r="6695" spans="1:1">
      <c r="A6695" s="11" t="str">
        <f t="shared" si="185"/>
        <v/>
      </c>
    </row>
    <row r="6696" spans="1:1">
      <c r="A6696" s="11" t="str">
        <f t="shared" si="185"/>
        <v/>
      </c>
    </row>
    <row r="6697" spans="1:1">
      <c r="A6697" s="11" t="str">
        <f t="shared" si="185"/>
        <v/>
      </c>
    </row>
    <row r="6698" spans="1:1">
      <c r="A6698" s="11" t="str">
        <f t="shared" si="185"/>
        <v/>
      </c>
    </row>
    <row r="6699" spans="1:1">
      <c r="A6699" s="11" t="str">
        <f t="shared" si="185"/>
        <v/>
      </c>
    </row>
    <row r="6700" spans="1:1">
      <c r="A6700" s="11" t="str">
        <f t="shared" si="185"/>
        <v/>
      </c>
    </row>
    <row r="6701" spans="1:1">
      <c r="A6701" s="11" t="str">
        <f t="shared" si="185"/>
        <v/>
      </c>
    </row>
    <row r="6702" spans="1:1">
      <c r="A6702" s="11" t="str">
        <f t="shared" si="185"/>
        <v/>
      </c>
    </row>
    <row r="6703" spans="1:1">
      <c r="A6703" s="11" t="str">
        <f t="shared" si="185"/>
        <v/>
      </c>
    </row>
    <row r="6704" spans="1:1">
      <c r="A6704" s="11" t="str">
        <f t="shared" si="185"/>
        <v/>
      </c>
    </row>
    <row r="6705" spans="1:1">
      <c r="A6705" s="11" t="str">
        <f t="shared" si="185"/>
        <v/>
      </c>
    </row>
    <row r="6706" spans="1:1">
      <c r="A6706" s="11" t="str">
        <f t="shared" si="185"/>
        <v/>
      </c>
    </row>
    <row r="6707" spans="1:1">
      <c r="A6707" s="11" t="str">
        <f t="shared" si="185"/>
        <v/>
      </c>
    </row>
    <row r="6708" spans="1:1">
      <c r="A6708" s="11" t="str">
        <f t="shared" si="185"/>
        <v/>
      </c>
    </row>
    <row r="6709" spans="1:1">
      <c r="A6709" s="11" t="str">
        <f t="shared" si="185"/>
        <v/>
      </c>
    </row>
    <row r="6710" spans="1:1">
      <c r="A6710" s="11" t="str">
        <f t="shared" si="185"/>
        <v/>
      </c>
    </row>
    <row r="6711" spans="1:1">
      <c r="A6711" s="11" t="str">
        <f t="shared" si="185"/>
        <v/>
      </c>
    </row>
    <row r="6712" spans="1:1">
      <c r="A6712" s="11" t="str">
        <f t="shared" si="185"/>
        <v/>
      </c>
    </row>
    <row r="6713" spans="1:1">
      <c r="A6713" s="11" t="str">
        <f t="shared" si="185"/>
        <v/>
      </c>
    </row>
    <row r="6714" spans="1:1">
      <c r="A6714" s="11" t="str">
        <f t="shared" si="185"/>
        <v/>
      </c>
    </row>
    <row r="6715" spans="1:1">
      <c r="A6715" s="11" t="str">
        <f t="shared" si="185"/>
        <v/>
      </c>
    </row>
    <row r="6716" spans="1:1">
      <c r="A6716" s="11" t="str">
        <f t="shared" si="185"/>
        <v/>
      </c>
    </row>
    <row r="6717" spans="1:1">
      <c r="A6717" s="11" t="str">
        <f t="shared" si="185"/>
        <v/>
      </c>
    </row>
    <row r="6718" spans="1:1">
      <c r="A6718" s="11" t="str">
        <f t="shared" si="185"/>
        <v/>
      </c>
    </row>
    <row r="6719" spans="1:1">
      <c r="A6719" s="11" t="str">
        <f t="shared" si="185"/>
        <v/>
      </c>
    </row>
    <row r="6720" spans="1:1">
      <c r="A6720" s="11" t="str">
        <f t="shared" si="185"/>
        <v/>
      </c>
    </row>
    <row r="6721" spans="1:1">
      <c r="A6721" s="11" t="str">
        <f t="shared" si="185"/>
        <v/>
      </c>
    </row>
    <row r="6722" spans="1:1">
      <c r="A6722" s="11" t="str">
        <f t="shared" si="185"/>
        <v/>
      </c>
    </row>
    <row r="6723" spans="1:1">
      <c r="A6723" s="11" t="str">
        <f t="shared" ref="A6723:A6786" si="186">B6723&amp;D6723</f>
        <v/>
      </c>
    </row>
    <row r="6724" spans="1:1">
      <c r="A6724" s="11" t="str">
        <f t="shared" si="186"/>
        <v/>
      </c>
    </row>
    <row r="6725" spans="1:1">
      <c r="A6725" s="11" t="str">
        <f t="shared" si="186"/>
        <v/>
      </c>
    </row>
    <row r="6726" spans="1:1">
      <c r="A6726" s="11" t="str">
        <f t="shared" si="186"/>
        <v/>
      </c>
    </row>
    <row r="6727" spans="1:1">
      <c r="A6727" s="11" t="str">
        <f t="shared" si="186"/>
        <v/>
      </c>
    </row>
    <row r="6728" spans="1:1">
      <c r="A6728" s="11" t="str">
        <f t="shared" si="186"/>
        <v/>
      </c>
    </row>
    <row r="6729" spans="1:1">
      <c r="A6729" s="11" t="str">
        <f t="shared" si="186"/>
        <v/>
      </c>
    </row>
    <row r="6730" spans="1:1">
      <c r="A6730" s="11" t="str">
        <f t="shared" si="186"/>
        <v/>
      </c>
    </row>
    <row r="6731" spans="1:1">
      <c r="A6731" s="11" t="str">
        <f t="shared" si="186"/>
        <v/>
      </c>
    </row>
    <row r="6732" spans="1:1">
      <c r="A6732" s="11" t="str">
        <f t="shared" si="186"/>
        <v/>
      </c>
    </row>
    <row r="6733" spans="1:1">
      <c r="A6733" s="11" t="str">
        <f t="shared" si="186"/>
        <v/>
      </c>
    </row>
    <row r="6734" spans="1:1">
      <c r="A6734" s="11" t="str">
        <f t="shared" si="186"/>
        <v/>
      </c>
    </row>
    <row r="6735" spans="1:1">
      <c r="A6735" s="11" t="str">
        <f t="shared" si="186"/>
        <v/>
      </c>
    </row>
    <row r="6736" spans="1:1">
      <c r="A6736" s="11" t="str">
        <f t="shared" si="186"/>
        <v/>
      </c>
    </row>
    <row r="6737" spans="1:1">
      <c r="A6737" s="11" t="str">
        <f t="shared" si="186"/>
        <v/>
      </c>
    </row>
    <row r="6738" spans="1:1">
      <c r="A6738" s="11" t="str">
        <f t="shared" si="186"/>
        <v/>
      </c>
    </row>
    <row r="6739" spans="1:1">
      <c r="A6739" s="11" t="str">
        <f t="shared" si="186"/>
        <v/>
      </c>
    </row>
    <row r="6740" spans="1:1">
      <c r="A6740" s="11" t="str">
        <f t="shared" si="186"/>
        <v/>
      </c>
    </row>
    <row r="6741" spans="1:1">
      <c r="A6741" s="11" t="str">
        <f t="shared" si="186"/>
        <v/>
      </c>
    </row>
    <row r="6742" spans="1:1">
      <c r="A6742" s="11" t="str">
        <f t="shared" si="186"/>
        <v/>
      </c>
    </row>
    <row r="6743" spans="1:1">
      <c r="A6743" s="11" t="str">
        <f t="shared" si="186"/>
        <v/>
      </c>
    </row>
    <row r="6744" spans="1:1">
      <c r="A6744" s="11" t="str">
        <f t="shared" si="186"/>
        <v/>
      </c>
    </row>
    <row r="6745" spans="1:1">
      <c r="A6745" s="11" t="str">
        <f t="shared" si="186"/>
        <v/>
      </c>
    </row>
    <row r="6746" spans="1:1">
      <c r="A6746" s="11" t="str">
        <f t="shared" si="186"/>
        <v/>
      </c>
    </row>
    <row r="6747" spans="1:1">
      <c r="A6747" s="11" t="str">
        <f t="shared" si="186"/>
        <v/>
      </c>
    </row>
    <row r="6748" spans="1:1">
      <c r="A6748" s="11" t="str">
        <f t="shared" si="186"/>
        <v/>
      </c>
    </row>
    <row r="6749" spans="1:1">
      <c r="A6749" s="11" t="str">
        <f t="shared" si="186"/>
        <v/>
      </c>
    </row>
    <row r="6750" spans="1:1">
      <c r="A6750" s="11" t="str">
        <f t="shared" si="186"/>
        <v/>
      </c>
    </row>
    <row r="6751" spans="1:1">
      <c r="A6751" s="11" t="str">
        <f t="shared" si="186"/>
        <v/>
      </c>
    </row>
    <row r="6752" spans="1:1">
      <c r="A6752" s="11" t="str">
        <f t="shared" si="186"/>
        <v/>
      </c>
    </row>
    <row r="6753" spans="1:1">
      <c r="A6753" s="11" t="str">
        <f t="shared" si="186"/>
        <v/>
      </c>
    </row>
    <row r="6754" spans="1:1">
      <c r="A6754" s="11" t="str">
        <f t="shared" si="186"/>
        <v/>
      </c>
    </row>
    <row r="6755" spans="1:1">
      <c r="A6755" s="11" t="str">
        <f t="shared" si="186"/>
        <v/>
      </c>
    </row>
    <row r="6756" spans="1:1">
      <c r="A6756" s="11" t="str">
        <f t="shared" si="186"/>
        <v/>
      </c>
    </row>
    <row r="6757" spans="1:1">
      <c r="A6757" s="11" t="str">
        <f t="shared" si="186"/>
        <v/>
      </c>
    </row>
    <row r="6758" spans="1:1">
      <c r="A6758" s="11" t="str">
        <f t="shared" si="186"/>
        <v/>
      </c>
    </row>
    <row r="6759" spans="1:1">
      <c r="A6759" s="11" t="str">
        <f t="shared" si="186"/>
        <v/>
      </c>
    </row>
    <row r="6760" spans="1:1">
      <c r="A6760" s="11" t="str">
        <f t="shared" si="186"/>
        <v/>
      </c>
    </row>
    <row r="6761" spans="1:1">
      <c r="A6761" s="11" t="str">
        <f t="shared" si="186"/>
        <v/>
      </c>
    </row>
    <row r="6762" spans="1:1">
      <c r="A6762" s="11" t="str">
        <f t="shared" si="186"/>
        <v/>
      </c>
    </row>
    <row r="6763" spans="1:1">
      <c r="A6763" s="11" t="str">
        <f t="shared" si="186"/>
        <v/>
      </c>
    </row>
    <row r="6764" spans="1:1">
      <c r="A6764" s="11" t="str">
        <f t="shared" si="186"/>
        <v/>
      </c>
    </row>
    <row r="6765" spans="1:1">
      <c r="A6765" s="11" t="str">
        <f t="shared" si="186"/>
        <v/>
      </c>
    </row>
    <row r="6766" spans="1:1">
      <c r="A6766" s="11" t="str">
        <f t="shared" si="186"/>
        <v/>
      </c>
    </row>
    <row r="6767" spans="1:1">
      <c r="A6767" s="11" t="str">
        <f t="shared" si="186"/>
        <v/>
      </c>
    </row>
    <row r="6768" spans="1:1">
      <c r="A6768" s="11" t="str">
        <f t="shared" si="186"/>
        <v/>
      </c>
    </row>
    <row r="6769" spans="1:1">
      <c r="A6769" s="11" t="str">
        <f t="shared" si="186"/>
        <v/>
      </c>
    </row>
    <row r="6770" spans="1:1">
      <c r="A6770" s="11" t="str">
        <f t="shared" si="186"/>
        <v/>
      </c>
    </row>
    <row r="6771" spans="1:1">
      <c r="A6771" s="11" t="str">
        <f t="shared" si="186"/>
        <v/>
      </c>
    </row>
    <row r="6772" spans="1:1">
      <c r="A6772" s="11" t="str">
        <f t="shared" si="186"/>
        <v/>
      </c>
    </row>
    <row r="6773" spans="1:1">
      <c r="A6773" s="11" t="str">
        <f t="shared" si="186"/>
        <v/>
      </c>
    </row>
    <row r="6774" spans="1:1">
      <c r="A6774" s="11" t="str">
        <f t="shared" si="186"/>
        <v/>
      </c>
    </row>
    <row r="6775" spans="1:1">
      <c r="A6775" s="11" t="str">
        <f t="shared" si="186"/>
        <v/>
      </c>
    </row>
    <row r="6776" spans="1:1">
      <c r="A6776" s="11" t="str">
        <f t="shared" si="186"/>
        <v/>
      </c>
    </row>
    <row r="6777" spans="1:1">
      <c r="A6777" s="11" t="str">
        <f t="shared" si="186"/>
        <v/>
      </c>
    </row>
    <row r="6778" spans="1:1">
      <c r="A6778" s="11" t="str">
        <f t="shared" si="186"/>
        <v/>
      </c>
    </row>
    <row r="6779" spans="1:1">
      <c r="A6779" s="11" t="str">
        <f t="shared" si="186"/>
        <v/>
      </c>
    </row>
    <row r="6780" spans="1:1">
      <c r="A6780" s="11" t="str">
        <f t="shared" si="186"/>
        <v/>
      </c>
    </row>
    <row r="6781" spans="1:1">
      <c r="A6781" s="11" t="str">
        <f t="shared" si="186"/>
        <v/>
      </c>
    </row>
    <row r="6782" spans="1:1">
      <c r="A6782" s="11" t="str">
        <f t="shared" si="186"/>
        <v/>
      </c>
    </row>
    <row r="6783" spans="1:1">
      <c r="A6783" s="11" t="str">
        <f t="shared" si="186"/>
        <v/>
      </c>
    </row>
    <row r="6784" spans="1:1">
      <c r="A6784" s="11" t="str">
        <f t="shared" si="186"/>
        <v/>
      </c>
    </row>
    <row r="6785" spans="1:1">
      <c r="A6785" s="11" t="str">
        <f t="shared" si="186"/>
        <v/>
      </c>
    </row>
    <row r="6786" spans="1:1">
      <c r="A6786" s="11" t="str">
        <f t="shared" si="186"/>
        <v/>
      </c>
    </row>
    <row r="6787" spans="1:1">
      <c r="A6787" s="11" t="str">
        <f t="shared" ref="A6787:A6850" si="187">B6787&amp;D6787</f>
        <v/>
      </c>
    </row>
    <row r="6788" spans="1:1">
      <c r="A6788" s="11" t="str">
        <f t="shared" si="187"/>
        <v/>
      </c>
    </row>
    <row r="6789" spans="1:1">
      <c r="A6789" s="11" t="str">
        <f t="shared" si="187"/>
        <v/>
      </c>
    </row>
    <row r="6790" spans="1:1">
      <c r="A6790" s="11" t="str">
        <f t="shared" si="187"/>
        <v/>
      </c>
    </row>
    <row r="6791" spans="1:1">
      <c r="A6791" s="11" t="str">
        <f t="shared" si="187"/>
        <v/>
      </c>
    </row>
    <row r="6792" spans="1:1">
      <c r="A6792" s="11" t="str">
        <f t="shared" si="187"/>
        <v/>
      </c>
    </row>
    <row r="6793" spans="1:1">
      <c r="A6793" s="11" t="str">
        <f t="shared" si="187"/>
        <v/>
      </c>
    </row>
    <row r="6794" spans="1:1">
      <c r="A6794" s="11" t="str">
        <f t="shared" si="187"/>
        <v/>
      </c>
    </row>
    <row r="6795" spans="1:1">
      <c r="A6795" s="11" t="str">
        <f t="shared" si="187"/>
        <v/>
      </c>
    </row>
    <row r="6796" spans="1:1">
      <c r="A6796" s="11" t="str">
        <f t="shared" si="187"/>
        <v/>
      </c>
    </row>
    <row r="6797" spans="1:1">
      <c r="A6797" s="11" t="str">
        <f t="shared" si="187"/>
        <v/>
      </c>
    </row>
    <row r="6798" spans="1:1">
      <c r="A6798" s="11" t="str">
        <f t="shared" si="187"/>
        <v/>
      </c>
    </row>
    <row r="6799" spans="1:1">
      <c r="A6799" s="11" t="str">
        <f t="shared" si="187"/>
        <v/>
      </c>
    </row>
    <row r="6800" spans="1:1">
      <c r="A6800" s="11" t="str">
        <f t="shared" si="187"/>
        <v/>
      </c>
    </row>
    <row r="6801" spans="1:1">
      <c r="A6801" s="11" t="str">
        <f t="shared" si="187"/>
        <v/>
      </c>
    </row>
    <row r="6802" spans="1:1">
      <c r="A6802" s="11" t="str">
        <f t="shared" si="187"/>
        <v/>
      </c>
    </row>
    <row r="6803" spans="1:1">
      <c r="A6803" s="11" t="str">
        <f t="shared" si="187"/>
        <v/>
      </c>
    </row>
    <row r="6804" spans="1:1">
      <c r="A6804" s="11" t="str">
        <f t="shared" si="187"/>
        <v/>
      </c>
    </row>
    <row r="6805" spans="1:1">
      <c r="A6805" s="11" t="str">
        <f t="shared" si="187"/>
        <v/>
      </c>
    </row>
    <row r="6806" spans="1:1">
      <c r="A6806" s="11" t="str">
        <f t="shared" si="187"/>
        <v/>
      </c>
    </row>
    <row r="6807" spans="1:1">
      <c r="A6807" s="11" t="str">
        <f t="shared" si="187"/>
        <v/>
      </c>
    </row>
    <row r="6808" spans="1:1">
      <c r="A6808" s="11" t="str">
        <f t="shared" si="187"/>
        <v/>
      </c>
    </row>
    <row r="6809" spans="1:1">
      <c r="A6809" s="11" t="str">
        <f t="shared" si="187"/>
        <v/>
      </c>
    </row>
    <row r="6810" spans="1:1">
      <c r="A6810" s="11" t="str">
        <f t="shared" si="187"/>
        <v/>
      </c>
    </row>
    <row r="6811" spans="1:1">
      <c r="A6811" s="11" t="str">
        <f t="shared" si="187"/>
        <v/>
      </c>
    </row>
    <row r="6812" spans="1:1">
      <c r="A6812" s="11" t="str">
        <f t="shared" si="187"/>
        <v/>
      </c>
    </row>
    <row r="6813" spans="1:1">
      <c r="A6813" s="11" t="str">
        <f t="shared" si="187"/>
        <v/>
      </c>
    </row>
    <row r="6814" spans="1:1">
      <c r="A6814" s="11" t="str">
        <f t="shared" si="187"/>
        <v/>
      </c>
    </row>
    <row r="6815" spans="1:1">
      <c r="A6815" s="11" t="str">
        <f t="shared" si="187"/>
        <v/>
      </c>
    </row>
    <row r="6816" spans="1:1">
      <c r="A6816" s="11" t="str">
        <f t="shared" si="187"/>
        <v/>
      </c>
    </row>
    <row r="6817" spans="1:1">
      <c r="A6817" s="11" t="str">
        <f t="shared" si="187"/>
        <v/>
      </c>
    </row>
    <row r="6818" spans="1:1">
      <c r="A6818" s="11" t="str">
        <f t="shared" si="187"/>
        <v/>
      </c>
    </row>
    <row r="6819" spans="1:1">
      <c r="A6819" s="11" t="str">
        <f t="shared" si="187"/>
        <v/>
      </c>
    </row>
    <row r="6820" spans="1:1">
      <c r="A6820" s="11" t="str">
        <f t="shared" si="187"/>
        <v/>
      </c>
    </row>
    <row r="6821" spans="1:1">
      <c r="A6821" s="11" t="str">
        <f t="shared" si="187"/>
        <v/>
      </c>
    </row>
    <row r="6822" spans="1:1">
      <c r="A6822" s="11" t="str">
        <f t="shared" si="187"/>
        <v/>
      </c>
    </row>
    <row r="6823" spans="1:1">
      <c r="A6823" s="11" t="str">
        <f t="shared" si="187"/>
        <v/>
      </c>
    </row>
    <row r="6824" spans="1:1">
      <c r="A6824" s="11" t="str">
        <f t="shared" si="187"/>
        <v/>
      </c>
    </row>
    <row r="6825" spans="1:1">
      <c r="A6825" s="11" t="str">
        <f t="shared" si="187"/>
        <v/>
      </c>
    </row>
    <row r="6826" spans="1:1">
      <c r="A6826" s="11" t="str">
        <f t="shared" si="187"/>
        <v/>
      </c>
    </row>
    <row r="6827" spans="1:1">
      <c r="A6827" s="11" t="str">
        <f t="shared" si="187"/>
        <v/>
      </c>
    </row>
    <row r="6828" spans="1:1">
      <c r="A6828" s="11" t="str">
        <f t="shared" si="187"/>
        <v/>
      </c>
    </row>
    <row r="6829" spans="1:1">
      <c r="A6829" s="11" t="str">
        <f t="shared" si="187"/>
        <v/>
      </c>
    </row>
    <row r="6830" spans="1:1">
      <c r="A6830" s="11" t="str">
        <f t="shared" si="187"/>
        <v/>
      </c>
    </row>
    <row r="6831" spans="1:1">
      <c r="A6831" s="11" t="str">
        <f t="shared" si="187"/>
        <v/>
      </c>
    </row>
    <row r="6832" spans="1:1">
      <c r="A6832" s="11" t="str">
        <f t="shared" si="187"/>
        <v/>
      </c>
    </row>
    <row r="6833" spans="1:1">
      <c r="A6833" s="11" t="str">
        <f t="shared" si="187"/>
        <v/>
      </c>
    </row>
    <row r="6834" spans="1:1">
      <c r="A6834" s="11" t="str">
        <f t="shared" si="187"/>
        <v/>
      </c>
    </row>
    <row r="6835" spans="1:1">
      <c r="A6835" s="11" t="str">
        <f t="shared" si="187"/>
        <v/>
      </c>
    </row>
    <row r="6836" spans="1:1">
      <c r="A6836" s="11" t="str">
        <f t="shared" si="187"/>
        <v/>
      </c>
    </row>
    <row r="6837" spans="1:1">
      <c r="A6837" s="11" t="str">
        <f t="shared" si="187"/>
        <v/>
      </c>
    </row>
    <row r="6838" spans="1:1">
      <c r="A6838" s="11" t="str">
        <f t="shared" si="187"/>
        <v/>
      </c>
    </row>
    <row r="6839" spans="1:1">
      <c r="A6839" s="11" t="str">
        <f t="shared" si="187"/>
        <v/>
      </c>
    </row>
    <row r="6840" spans="1:1">
      <c r="A6840" s="11" t="str">
        <f t="shared" si="187"/>
        <v/>
      </c>
    </row>
    <row r="6841" spans="1:1">
      <c r="A6841" s="11" t="str">
        <f t="shared" si="187"/>
        <v/>
      </c>
    </row>
    <row r="6842" spans="1:1">
      <c r="A6842" s="11" t="str">
        <f t="shared" si="187"/>
        <v/>
      </c>
    </row>
    <row r="6843" spans="1:1">
      <c r="A6843" s="11" t="str">
        <f t="shared" si="187"/>
        <v/>
      </c>
    </row>
    <row r="6844" spans="1:1">
      <c r="A6844" s="11" t="str">
        <f t="shared" si="187"/>
        <v/>
      </c>
    </row>
    <row r="6845" spans="1:1">
      <c r="A6845" s="11" t="str">
        <f t="shared" si="187"/>
        <v/>
      </c>
    </row>
    <row r="6846" spans="1:1">
      <c r="A6846" s="11" t="str">
        <f t="shared" si="187"/>
        <v/>
      </c>
    </row>
    <row r="6847" spans="1:1">
      <c r="A6847" s="11" t="str">
        <f t="shared" si="187"/>
        <v/>
      </c>
    </row>
    <row r="6848" spans="1:1">
      <c r="A6848" s="11" t="str">
        <f t="shared" si="187"/>
        <v/>
      </c>
    </row>
    <row r="6849" spans="1:1">
      <c r="A6849" s="11" t="str">
        <f t="shared" si="187"/>
        <v/>
      </c>
    </row>
    <row r="6850" spans="1:1">
      <c r="A6850" s="11" t="str">
        <f t="shared" si="187"/>
        <v/>
      </c>
    </row>
    <row r="6851" spans="1:1">
      <c r="A6851" s="11" t="str">
        <f t="shared" ref="A6851:A6914" si="188">B6851&amp;D6851</f>
        <v/>
      </c>
    </row>
    <row r="6852" spans="1:1">
      <c r="A6852" s="11" t="str">
        <f t="shared" si="188"/>
        <v/>
      </c>
    </row>
    <row r="6853" spans="1:1">
      <c r="A6853" s="11" t="str">
        <f t="shared" si="188"/>
        <v/>
      </c>
    </row>
    <row r="6854" spans="1:1">
      <c r="A6854" s="11" t="str">
        <f t="shared" si="188"/>
        <v/>
      </c>
    </row>
    <row r="6855" spans="1:1">
      <c r="A6855" s="11" t="str">
        <f t="shared" si="188"/>
        <v/>
      </c>
    </row>
    <row r="6856" spans="1:1">
      <c r="A6856" s="11" t="str">
        <f t="shared" si="188"/>
        <v/>
      </c>
    </row>
    <row r="6857" spans="1:1">
      <c r="A6857" s="11" t="str">
        <f t="shared" si="188"/>
        <v/>
      </c>
    </row>
    <row r="6858" spans="1:1">
      <c r="A6858" s="11" t="str">
        <f t="shared" si="188"/>
        <v/>
      </c>
    </row>
    <row r="6859" spans="1:1">
      <c r="A6859" s="11" t="str">
        <f t="shared" si="188"/>
        <v/>
      </c>
    </row>
    <row r="6860" spans="1:1">
      <c r="A6860" s="11" t="str">
        <f t="shared" si="188"/>
        <v/>
      </c>
    </row>
    <row r="6861" spans="1:1">
      <c r="A6861" s="11" t="str">
        <f t="shared" si="188"/>
        <v/>
      </c>
    </row>
    <row r="6862" spans="1:1">
      <c r="A6862" s="11" t="str">
        <f t="shared" si="188"/>
        <v/>
      </c>
    </row>
    <row r="6863" spans="1:1">
      <c r="A6863" s="11" t="str">
        <f t="shared" si="188"/>
        <v/>
      </c>
    </row>
    <row r="6864" spans="1:1">
      <c r="A6864" s="11" t="str">
        <f t="shared" si="188"/>
        <v/>
      </c>
    </row>
    <row r="6865" spans="1:1">
      <c r="A6865" s="11" t="str">
        <f t="shared" si="188"/>
        <v/>
      </c>
    </row>
    <row r="6866" spans="1:1">
      <c r="A6866" s="11" t="str">
        <f t="shared" si="188"/>
        <v/>
      </c>
    </row>
    <row r="6867" spans="1:1">
      <c r="A6867" s="11" t="str">
        <f t="shared" si="188"/>
        <v/>
      </c>
    </row>
    <row r="6868" spans="1:1">
      <c r="A6868" s="11" t="str">
        <f t="shared" si="188"/>
        <v/>
      </c>
    </row>
    <row r="6869" spans="1:1">
      <c r="A6869" s="11" t="str">
        <f t="shared" si="188"/>
        <v/>
      </c>
    </row>
    <row r="6870" spans="1:1">
      <c r="A6870" s="11" t="str">
        <f t="shared" si="188"/>
        <v/>
      </c>
    </row>
    <row r="6871" spans="1:1">
      <c r="A6871" s="11" t="str">
        <f t="shared" si="188"/>
        <v/>
      </c>
    </row>
    <row r="6872" spans="1:1">
      <c r="A6872" s="11" t="str">
        <f t="shared" si="188"/>
        <v/>
      </c>
    </row>
    <row r="6873" spans="1:1">
      <c r="A6873" s="11" t="str">
        <f t="shared" si="188"/>
        <v/>
      </c>
    </row>
    <row r="6874" spans="1:1">
      <c r="A6874" s="11" t="str">
        <f t="shared" si="188"/>
        <v/>
      </c>
    </row>
    <row r="6875" spans="1:1">
      <c r="A6875" s="11" t="str">
        <f t="shared" si="188"/>
        <v/>
      </c>
    </row>
    <row r="6876" spans="1:1">
      <c r="A6876" s="11" t="str">
        <f t="shared" si="188"/>
        <v/>
      </c>
    </row>
    <row r="6877" spans="1:1">
      <c r="A6877" s="11" t="str">
        <f t="shared" si="188"/>
        <v/>
      </c>
    </row>
    <row r="6878" spans="1:1">
      <c r="A6878" s="11" t="str">
        <f t="shared" si="188"/>
        <v/>
      </c>
    </row>
    <row r="6879" spans="1:1">
      <c r="A6879" s="11" t="str">
        <f t="shared" si="188"/>
        <v/>
      </c>
    </row>
    <row r="6880" spans="1:1">
      <c r="A6880" s="11" t="str">
        <f t="shared" si="188"/>
        <v/>
      </c>
    </row>
    <row r="6881" spans="1:1">
      <c r="A6881" s="11" t="str">
        <f t="shared" si="188"/>
        <v/>
      </c>
    </row>
    <row r="6882" spans="1:1">
      <c r="A6882" s="11" t="str">
        <f t="shared" si="188"/>
        <v/>
      </c>
    </row>
    <row r="6883" spans="1:1">
      <c r="A6883" s="11" t="str">
        <f t="shared" si="188"/>
        <v/>
      </c>
    </row>
    <row r="6884" spans="1:1">
      <c r="A6884" s="11" t="str">
        <f t="shared" si="188"/>
        <v/>
      </c>
    </row>
    <row r="6885" spans="1:1">
      <c r="A6885" s="11" t="str">
        <f t="shared" si="188"/>
        <v/>
      </c>
    </row>
    <row r="6886" spans="1:1">
      <c r="A6886" s="11" t="str">
        <f t="shared" si="188"/>
        <v/>
      </c>
    </row>
    <row r="6887" spans="1:1">
      <c r="A6887" s="11" t="str">
        <f t="shared" si="188"/>
        <v/>
      </c>
    </row>
    <row r="6888" spans="1:1">
      <c r="A6888" s="11" t="str">
        <f t="shared" si="188"/>
        <v/>
      </c>
    </row>
    <row r="6889" spans="1:1">
      <c r="A6889" s="11" t="str">
        <f t="shared" si="188"/>
        <v/>
      </c>
    </row>
    <row r="6890" spans="1:1">
      <c r="A6890" s="11" t="str">
        <f t="shared" si="188"/>
        <v/>
      </c>
    </row>
    <row r="6891" spans="1:1">
      <c r="A6891" s="11" t="str">
        <f t="shared" si="188"/>
        <v/>
      </c>
    </row>
    <row r="6892" spans="1:1">
      <c r="A6892" s="11" t="str">
        <f t="shared" si="188"/>
        <v/>
      </c>
    </row>
    <row r="6893" spans="1:1">
      <c r="A6893" s="11" t="str">
        <f t="shared" si="188"/>
        <v/>
      </c>
    </row>
    <row r="6894" spans="1:1">
      <c r="A6894" s="11" t="str">
        <f t="shared" si="188"/>
        <v/>
      </c>
    </row>
    <row r="6895" spans="1:1">
      <c r="A6895" s="11" t="str">
        <f t="shared" si="188"/>
        <v/>
      </c>
    </row>
    <row r="6896" spans="1:1">
      <c r="A6896" s="11" t="str">
        <f t="shared" si="188"/>
        <v/>
      </c>
    </row>
    <row r="6897" spans="1:1">
      <c r="A6897" s="11" t="str">
        <f t="shared" si="188"/>
        <v/>
      </c>
    </row>
    <row r="6898" spans="1:1">
      <c r="A6898" s="11" t="str">
        <f t="shared" si="188"/>
        <v/>
      </c>
    </row>
    <row r="6899" spans="1:1">
      <c r="A6899" s="11" t="str">
        <f t="shared" si="188"/>
        <v/>
      </c>
    </row>
    <row r="6900" spans="1:1">
      <c r="A6900" s="11" t="str">
        <f t="shared" si="188"/>
        <v/>
      </c>
    </row>
    <row r="6901" spans="1:1">
      <c r="A6901" s="11" t="str">
        <f t="shared" si="188"/>
        <v/>
      </c>
    </row>
    <row r="6902" spans="1:1">
      <c r="A6902" s="11" t="str">
        <f t="shared" si="188"/>
        <v/>
      </c>
    </row>
    <row r="6903" spans="1:1">
      <c r="A6903" s="11" t="str">
        <f t="shared" si="188"/>
        <v/>
      </c>
    </row>
    <row r="6904" spans="1:1">
      <c r="A6904" s="11" t="str">
        <f t="shared" si="188"/>
        <v/>
      </c>
    </row>
    <row r="6905" spans="1:1">
      <c r="A6905" s="11" t="str">
        <f t="shared" si="188"/>
        <v/>
      </c>
    </row>
    <row r="6906" spans="1:1">
      <c r="A6906" s="11" t="str">
        <f t="shared" si="188"/>
        <v/>
      </c>
    </row>
    <row r="6907" spans="1:1">
      <c r="A6907" s="11" t="str">
        <f t="shared" si="188"/>
        <v/>
      </c>
    </row>
    <row r="6908" spans="1:1">
      <c r="A6908" s="11" t="str">
        <f t="shared" si="188"/>
        <v/>
      </c>
    </row>
    <row r="6909" spans="1:1">
      <c r="A6909" s="11" t="str">
        <f t="shared" si="188"/>
        <v/>
      </c>
    </row>
    <row r="6910" spans="1:1">
      <c r="A6910" s="11" t="str">
        <f t="shared" si="188"/>
        <v/>
      </c>
    </row>
    <row r="6911" spans="1:1">
      <c r="A6911" s="11" t="str">
        <f t="shared" si="188"/>
        <v/>
      </c>
    </row>
    <row r="6912" spans="1:1">
      <c r="A6912" s="11" t="str">
        <f t="shared" si="188"/>
        <v/>
      </c>
    </row>
    <row r="6913" spans="1:1">
      <c r="A6913" s="11" t="str">
        <f t="shared" si="188"/>
        <v/>
      </c>
    </row>
    <row r="6914" spans="1:1">
      <c r="A6914" s="11" t="str">
        <f t="shared" si="188"/>
        <v/>
      </c>
    </row>
    <row r="6915" spans="1:1">
      <c r="A6915" s="11" t="str">
        <f t="shared" ref="A6915:A6978" si="189">B6915&amp;D6915</f>
        <v/>
      </c>
    </row>
    <row r="6916" spans="1:1">
      <c r="A6916" s="11" t="str">
        <f t="shared" si="189"/>
        <v/>
      </c>
    </row>
    <row r="6917" spans="1:1">
      <c r="A6917" s="11" t="str">
        <f t="shared" si="189"/>
        <v/>
      </c>
    </row>
    <row r="6918" spans="1:1">
      <c r="A6918" s="11" t="str">
        <f t="shared" si="189"/>
        <v/>
      </c>
    </row>
    <row r="6919" spans="1:1">
      <c r="A6919" s="11" t="str">
        <f t="shared" si="189"/>
        <v/>
      </c>
    </row>
    <row r="6920" spans="1:1">
      <c r="A6920" s="11" t="str">
        <f t="shared" si="189"/>
        <v/>
      </c>
    </row>
    <row r="6921" spans="1:1">
      <c r="A6921" s="11" t="str">
        <f t="shared" si="189"/>
        <v/>
      </c>
    </row>
    <row r="6922" spans="1:1">
      <c r="A6922" s="11" t="str">
        <f t="shared" si="189"/>
        <v/>
      </c>
    </row>
    <row r="6923" spans="1:1">
      <c r="A6923" s="11" t="str">
        <f t="shared" si="189"/>
        <v/>
      </c>
    </row>
    <row r="6924" spans="1:1">
      <c r="A6924" s="11" t="str">
        <f t="shared" si="189"/>
        <v/>
      </c>
    </row>
    <row r="6925" spans="1:1">
      <c r="A6925" s="11" t="str">
        <f t="shared" si="189"/>
        <v/>
      </c>
    </row>
    <row r="6926" spans="1:1">
      <c r="A6926" s="11" t="str">
        <f t="shared" si="189"/>
        <v/>
      </c>
    </row>
    <row r="6927" spans="1:1">
      <c r="A6927" s="11" t="str">
        <f t="shared" si="189"/>
        <v/>
      </c>
    </row>
    <row r="6928" spans="1:1">
      <c r="A6928" s="11" t="str">
        <f t="shared" si="189"/>
        <v/>
      </c>
    </row>
    <row r="6929" spans="1:1">
      <c r="A6929" s="11" t="str">
        <f t="shared" si="189"/>
        <v/>
      </c>
    </row>
    <row r="6930" spans="1:1">
      <c r="A6930" s="11" t="str">
        <f t="shared" si="189"/>
        <v/>
      </c>
    </row>
    <row r="6931" spans="1:1">
      <c r="A6931" s="11" t="str">
        <f t="shared" si="189"/>
        <v/>
      </c>
    </row>
    <row r="6932" spans="1:1">
      <c r="A6932" s="11" t="str">
        <f t="shared" si="189"/>
        <v/>
      </c>
    </row>
    <row r="6933" spans="1:1">
      <c r="A6933" s="11" t="str">
        <f t="shared" si="189"/>
        <v/>
      </c>
    </row>
    <row r="6934" spans="1:1">
      <c r="A6934" s="11" t="str">
        <f t="shared" si="189"/>
        <v/>
      </c>
    </row>
    <row r="6935" spans="1:1">
      <c r="A6935" s="11" t="str">
        <f t="shared" si="189"/>
        <v/>
      </c>
    </row>
    <row r="6936" spans="1:1">
      <c r="A6936" s="11" t="str">
        <f t="shared" si="189"/>
        <v/>
      </c>
    </row>
    <row r="6937" spans="1:1">
      <c r="A6937" s="11" t="str">
        <f t="shared" si="189"/>
        <v/>
      </c>
    </row>
    <row r="6938" spans="1:1">
      <c r="A6938" s="11" t="str">
        <f t="shared" si="189"/>
        <v/>
      </c>
    </row>
    <row r="6939" spans="1:1">
      <c r="A6939" s="11" t="str">
        <f t="shared" si="189"/>
        <v/>
      </c>
    </row>
    <row r="6940" spans="1:1">
      <c r="A6940" s="11" t="str">
        <f t="shared" si="189"/>
        <v/>
      </c>
    </row>
    <row r="6941" spans="1:1">
      <c r="A6941" s="11" t="str">
        <f t="shared" si="189"/>
        <v/>
      </c>
    </row>
    <row r="6942" spans="1:1">
      <c r="A6942" s="11" t="str">
        <f t="shared" si="189"/>
        <v/>
      </c>
    </row>
    <row r="6943" spans="1:1">
      <c r="A6943" s="11" t="str">
        <f t="shared" si="189"/>
        <v/>
      </c>
    </row>
    <row r="6944" spans="1:1">
      <c r="A6944" s="11" t="str">
        <f t="shared" si="189"/>
        <v/>
      </c>
    </row>
    <row r="6945" spans="1:1">
      <c r="A6945" s="11" t="str">
        <f t="shared" si="189"/>
        <v/>
      </c>
    </row>
    <row r="6946" spans="1:1">
      <c r="A6946" s="11" t="str">
        <f t="shared" si="189"/>
        <v/>
      </c>
    </row>
    <row r="6947" spans="1:1">
      <c r="A6947" s="11" t="str">
        <f t="shared" si="189"/>
        <v/>
      </c>
    </row>
    <row r="6948" spans="1:1">
      <c r="A6948" s="11" t="str">
        <f t="shared" si="189"/>
        <v/>
      </c>
    </row>
    <row r="6949" spans="1:1">
      <c r="A6949" s="11" t="str">
        <f t="shared" si="189"/>
        <v/>
      </c>
    </row>
    <row r="6950" spans="1:1">
      <c r="A6950" s="11" t="str">
        <f t="shared" si="189"/>
        <v/>
      </c>
    </row>
    <row r="6951" spans="1:1">
      <c r="A6951" s="11" t="str">
        <f t="shared" si="189"/>
        <v/>
      </c>
    </row>
    <row r="6952" spans="1:1">
      <c r="A6952" s="11" t="str">
        <f t="shared" si="189"/>
        <v/>
      </c>
    </row>
    <row r="6953" spans="1:1">
      <c r="A6953" s="11" t="str">
        <f t="shared" si="189"/>
        <v/>
      </c>
    </row>
    <row r="6954" spans="1:1">
      <c r="A6954" s="11" t="str">
        <f t="shared" si="189"/>
        <v/>
      </c>
    </row>
    <row r="6955" spans="1:1">
      <c r="A6955" s="11" t="str">
        <f t="shared" si="189"/>
        <v/>
      </c>
    </row>
    <row r="6956" spans="1:1">
      <c r="A6956" s="11" t="str">
        <f t="shared" si="189"/>
        <v/>
      </c>
    </row>
    <row r="6957" spans="1:1">
      <c r="A6957" s="11" t="str">
        <f t="shared" si="189"/>
        <v/>
      </c>
    </row>
    <row r="6958" spans="1:1">
      <c r="A6958" s="11" t="str">
        <f t="shared" si="189"/>
        <v/>
      </c>
    </row>
    <row r="6959" spans="1:1">
      <c r="A6959" s="11" t="str">
        <f t="shared" si="189"/>
        <v/>
      </c>
    </row>
    <row r="6960" spans="1:1">
      <c r="A6960" s="11" t="str">
        <f t="shared" si="189"/>
        <v/>
      </c>
    </row>
    <row r="6961" spans="1:1">
      <c r="A6961" s="11" t="str">
        <f t="shared" si="189"/>
        <v/>
      </c>
    </row>
    <row r="6962" spans="1:1">
      <c r="A6962" s="11" t="str">
        <f t="shared" si="189"/>
        <v/>
      </c>
    </row>
    <row r="6963" spans="1:1">
      <c r="A6963" s="11" t="str">
        <f t="shared" si="189"/>
        <v/>
      </c>
    </row>
    <row r="6964" spans="1:1">
      <c r="A6964" s="11" t="str">
        <f t="shared" si="189"/>
        <v/>
      </c>
    </row>
    <row r="6965" spans="1:1">
      <c r="A6965" s="11" t="str">
        <f t="shared" si="189"/>
        <v/>
      </c>
    </row>
    <row r="6966" spans="1:1">
      <c r="A6966" s="11" t="str">
        <f t="shared" si="189"/>
        <v/>
      </c>
    </row>
    <row r="6967" spans="1:1">
      <c r="A6967" s="11" t="str">
        <f t="shared" si="189"/>
        <v/>
      </c>
    </row>
    <row r="6968" spans="1:1">
      <c r="A6968" s="11" t="str">
        <f t="shared" si="189"/>
        <v/>
      </c>
    </row>
    <row r="6969" spans="1:1">
      <c r="A6969" s="11" t="str">
        <f t="shared" si="189"/>
        <v/>
      </c>
    </row>
    <row r="6970" spans="1:1">
      <c r="A6970" s="11" t="str">
        <f t="shared" si="189"/>
        <v/>
      </c>
    </row>
    <row r="6971" spans="1:1">
      <c r="A6971" s="11" t="str">
        <f t="shared" si="189"/>
        <v/>
      </c>
    </row>
    <row r="6972" spans="1:1">
      <c r="A6972" s="11" t="str">
        <f t="shared" si="189"/>
        <v/>
      </c>
    </row>
    <row r="6973" spans="1:1">
      <c r="A6973" s="11" t="str">
        <f t="shared" si="189"/>
        <v/>
      </c>
    </row>
    <row r="6974" spans="1:1">
      <c r="A6974" s="11" t="str">
        <f t="shared" si="189"/>
        <v/>
      </c>
    </row>
    <row r="6975" spans="1:1">
      <c r="A6975" s="11" t="str">
        <f t="shared" si="189"/>
        <v/>
      </c>
    </row>
    <row r="6976" spans="1:1">
      <c r="A6976" s="11" t="str">
        <f t="shared" si="189"/>
        <v/>
      </c>
    </row>
    <row r="6977" spans="1:1">
      <c r="A6977" s="11" t="str">
        <f t="shared" si="189"/>
        <v/>
      </c>
    </row>
    <row r="6978" spans="1:1">
      <c r="A6978" s="11" t="str">
        <f t="shared" si="189"/>
        <v/>
      </c>
    </row>
    <row r="6979" spans="1:1">
      <c r="A6979" s="11" t="str">
        <f t="shared" ref="A6979:A7042" si="190">B6979&amp;D6979</f>
        <v/>
      </c>
    </row>
    <row r="6980" spans="1:1">
      <c r="A6980" s="11" t="str">
        <f t="shared" si="190"/>
        <v/>
      </c>
    </row>
    <row r="6981" spans="1:1">
      <c r="A6981" s="11" t="str">
        <f t="shared" si="190"/>
        <v/>
      </c>
    </row>
    <row r="6982" spans="1:1">
      <c r="A6982" s="11" t="str">
        <f t="shared" si="190"/>
        <v/>
      </c>
    </row>
    <row r="6983" spans="1:1">
      <c r="A6983" s="11" t="str">
        <f t="shared" si="190"/>
        <v/>
      </c>
    </row>
    <row r="6984" spans="1:1">
      <c r="A6984" s="11" t="str">
        <f t="shared" si="190"/>
        <v/>
      </c>
    </row>
    <row r="6985" spans="1:1">
      <c r="A6985" s="11" t="str">
        <f t="shared" si="190"/>
        <v/>
      </c>
    </row>
    <row r="6986" spans="1:1">
      <c r="A6986" s="11" t="str">
        <f t="shared" si="190"/>
        <v/>
      </c>
    </row>
    <row r="6987" spans="1:1">
      <c r="A6987" s="11" t="str">
        <f t="shared" si="190"/>
        <v/>
      </c>
    </row>
    <row r="6988" spans="1:1">
      <c r="A6988" s="11" t="str">
        <f t="shared" si="190"/>
        <v/>
      </c>
    </row>
    <row r="6989" spans="1:1">
      <c r="A6989" s="11" t="str">
        <f t="shared" si="190"/>
        <v/>
      </c>
    </row>
    <row r="6990" spans="1:1">
      <c r="A6990" s="11" t="str">
        <f t="shared" si="190"/>
        <v/>
      </c>
    </row>
    <row r="6991" spans="1:1">
      <c r="A6991" s="11" t="str">
        <f t="shared" si="190"/>
        <v/>
      </c>
    </row>
    <row r="6992" spans="1:1">
      <c r="A6992" s="11" t="str">
        <f t="shared" si="190"/>
        <v/>
      </c>
    </row>
    <row r="6993" spans="1:1">
      <c r="A6993" s="11" t="str">
        <f t="shared" si="190"/>
        <v/>
      </c>
    </row>
    <row r="6994" spans="1:1">
      <c r="A6994" s="11" t="str">
        <f t="shared" si="190"/>
        <v/>
      </c>
    </row>
    <row r="6995" spans="1:1">
      <c r="A6995" s="11" t="str">
        <f t="shared" si="190"/>
        <v/>
      </c>
    </row>
    <row r="6996" spans="1:1">
      <c r="A6996" s="11" t="str">
        <f t="shared" si="190"/>
        <v/>
      </c>
    </row>
    <row r="6997" spans="1:1">
      <c r="A6997" s="11" t="str">
        <f t="shared" si="190"/>
        <v/>
      </c>
    </row>
    <row r="6998" spans="1:1">
      <c r="A6998" s="11" t="str">
        <f t="shared" si="190"/>
        <v/>
      </c>
    </row>
    <row r="6999" spans="1:1">
      <c r="A6999" s="11" t="str">
        <f t="shared" si="190"/>
        <v/>
      </c>
    </row>
    <row r="7000" spans="1:1">
      <c r="A7000" s="11" t="str">
        <f t="shared" si="190"/>
        <v/>
      </c>
    </row>
    <row r="7001" spans="1:1">
      <c r="A7001" s="11" t="str">
        <f t="shared" si="190"/>
        <v/>
      </c>
    </row>
    <row r="7002" spans="1:1">
      <c r="A7002" s="11" t="str">
        <f t="shared" si="190"/>
        <v/>
      </c>
    </row>
    <row r="7003" spans="1:1">
      <c r="A7003" s="11" t="str">
        <f t="shared" si="190"/>
        <v/>
      </c>
    </row>
    <row r="7004" spans="1:1">
      <c r="A7004" s="11" t="str">
        <f t="shared" si="190"/>
        <v/>
      </c>
    </row>
    <row r="7005" spans="1:1">
      <c r="A7005" s="11" t="str">
        <f t="shared" si="190"/>
        <v/>
      </c>
    </row>
    <row r="7006" spans="1:1">
      <c r="A7006" s="11" t="str">
        <f t="shared" si="190"/>
        <v/>
      </c>
    </row>
    <row r="7007" spans="1:1">
      <c r="A7007" s="11" t="str">
        <f t="shared" si="190"/>
        <v/>
      </c>
    </row>
    <row r="7008" spans="1:1">
      <c r="A7008" s="11" t="str">
        <f t="shared" si="190"/>
        <v/>
      </c>
    </row>
    <row r="7009" spans="1:1">
      <c r="A7009" s="11" t="str">
        <f t="shared" si="190"/>
        <v/>
      </c>
    </row>
    <row r="7010" spans="1:1">
      <c r="A7010" s="11" t="str">
        <f t="shared" si="190"/>
        <v/>
      </c>
    </row>
    <row r="7011" spans="1:1">
      <c r="A7011" s="11" t="str">
        <f t="shared" si="190"/>
        <v/>
      </c>
    </row>
    <row r="7012" spans="1:1">
      <c r="A7012" s="11" t="str">
        <f t="shared" si="190"/>
        <v/>
      </c>
    </row>
    <row r="7013" spans="1:1">
      <c r="A7013" s="11" t="str">
        <f t="shared" si="190"/>
        <v/>
      </c>
    </row>
    <row r="7014" spans="1:1">
      <c r="A7014" s="11" t="str">
        <f t="shared" si="190"/>
        <v/>
      </c>
    </row>
    <row r="7015" spans="1:1">
      <c r="A7015" s="11" t="str">
        <f t="shared" si="190"/>
        <v/>
      </c>
    </row>
    <row r="7016" spans="1:1">
      <c r="A7016" s="11" t="str">
        <f t="shared" si="190"/>
        <v/>
      </c>
    </row>
    <row r="7017" spans="1:1">
      <c r="A7017" s="11" t="str">
        <f t="shared" si="190"/>
        <v/>
      </c>
    </row>
    <row r="7018" spans="1:1">
      <c r="A7018" s="11" t="str">
        <f t="shared" si="190"/>
        <v/>
      </c>
    </row>
    <row r="7019" spans="1:1">
      <c r="A7019" s="11" t="str">
        <f t="shared" si="190"/>
        <v/>
      </c>
    </row>
    <row r="7020" spans="1:1">
      <c r="A7020" s="11" t="str">
        <f t="shared" si="190"/>
        <v/>
      </c>
    </row>
    <row r="7021" spans="1:1">
      <c r="A7021" s="11" t="str">
        <f t="shared" si="190"/>
        <v/>
      </c>
    </row>
    <row r="7022" spans="1:1">
      <c r="A7022" s="11" t="str">
        <f t="shared" si="190"/>
        <v/>
      </c>
    </row>
    <row r="7023" spans="1:1">
      <c r="A7023" s="11" t="str">
        <f t="shared" si="190"/>
        <v/>
      </c>
    </row>
    <row r="7024" spans="1:1">
      <c r="A7024" s="11" t="str">
        <f t="shared" si="190"/>
        <v/>
      </c>
    </row>
    <row r="7025" spans="1:1">
      <c r="A7025" s="11" t="str">
        <f t="shared" si="190"/>
        <v/>
      </c>
    </row>
    <row r="7026" spans="1:1">
      <c r="A7026" s="11" t="str">
        <f t="shared" si="190"/>
        <v/>
      </c>
    </row>
    <row r="7027" spans="1:1">
      <c r="A7027" s="11" t="str">
        <f t="shared" si="190"/>
        <v/>
      </c>
    </row>
    <row r="7028" spans="1:1">
      <c r="A7028" s="11" t="str">
        <f t="shared" si="190"/>
        <v/>
      </c>
    </row>
    <row r="7029" spans="1:1">
      <c r="A7029" s="11" t="str">
        <f t="shared" si="190"/>
        <v/>
      </c>
    </row>
    <row r="7030" spans="1:1">
      <c r="A7030" s="11" t="str">
        <f t="shared" si="190"/>
        <v/>
      </c>
    </row>
    <row r="7031" spans="1:1">
      <c r="A7031" s="11" t="str">
        <f t="shared" si="190"/>
        <v/>
      </c>
    </row>
    <row r="7032" spans="1:1">
      <c r="A7032" s="11" t="str">
        <f t="shared" si="190"/>
        <v/>
      </c>
    </row>
    <row r="7033" spans="1:1">
      <c r="A7033" s="11" t="str">
        <f t="shared" si="190"/>
        <v/>
      </c>
    </row>
    <row r="7034" spans="1:1">
      <c r="A7034" s="11" t="str">
        <f t="shared" si="190"/>
        <v/>
      </c>
    </row>
    <row r="7035" spans="1:1">
      <c r="A7035" s="11" t="str">
        <f t="shared" si="190"/>
        <v/>
      </c>
    </row>
    <row r="7036" spans="1:1">
      <c r="A7036" s="11" t="str">
        <f t="shared" si="190"/>
        <v/>
      </c>
    </row>
    <row r="7037" spans="1:1">
      <c r="A7037" s="11" t="str">
        <f t="shared" si="190"/>
        <v/>
      </c>
    </row>
    <row r="7038" spans="1:1">
      <c r="A7038" s="11" t="str">
        <f t="shared" si="190"/>
        <v/>
      </c>
    </row>
    <row r="7039" spans="1:1">
      <c r="A7039" s="11" t="str">
        <f t="shared" si="190"/>
        <v/>
      </c>
    </row>
    <row r="7040" spans="1:1">
      <c r="A7040" s="11" t="str">
        <f t="shared" si="190"/>
        <v/>
      </c>
    </row>
    <row r="7041" spans="1:1">
      <c r="A7041" s="11" t="str">
        <f t="shared" si="190"/>
        <v/>
      </c>
    </row>
    <row r="7042" spans="1:1">
      <c r="A7042" s="11" t="str">
        <f t="shared" si="190"/>
        <v/>
      </c>
    </row>
    <row r="7043" spans="1:1">
      <c r="A7043" s="11" t="str">
        <f t="shared" ref="A7043:A7106" si="191">B7043&amp;D7043</f>
        <v/>
      </c>
    </row>
    <row r="7044" spans="1:1">
      <c r="A7044" s="11" t="str">
        <f t="shared" si="191"/>
        <v/>
      </c>
    </row>
    <row r="7045" spans="1:1">
      <c r="A7045" s="11" t="str">
        <f t="shared" si="191"/>
        <v/>
      </c>
    </row>
    <row r="7046" spans="1:1">
      <c r="A7046" s="11" t="str">
        <f t="shared" si="191"/>
        <v/>
      </c>
    </row>
    <row r="7047" spans="1:1">
      <c r="A7047" s="11" t="str">
        <f t="shared" si="191"/>
        <v/>
      </c>
    </row>
    <row r="7048" spans="1:1">
      <c r="A7048" s="11" t="str">
        <f t="shared" si="191"/>
        <v/>
      </c>
    </row>
    <row r="7049" spans="1:1">
      <c r="A7049" s="11" t="str">
        <f t="shared" si="191"/>
        <v/>
      </c>
    </row>
    <row r="7050" spans="1:1">
      <c r="A7050" s="11" t="str">
        <f t="shared" si="191"/>
        <v/>
      </c>
    </row>
    <row r="7051" spans="1:1">
      <c r="A7051" s="11" t="str">
        <f t="shared" si="191"/>
        <v/>
      </c>
    </row>
    <row r="7052" spans="1:1">
      <c r="A7052" s="11" t="str">
        <f t="shared" si="191"/>
        <v/>
      </c>
    </row>
    <row r="7053" spans="1:1">
      <c r="A7053" s="11" t="str">
        <f t="shared" si="191"/>
        <v/>
      </c>
    </row>
    <row r="7054" spans="1:1">
      <c r="A7054" s="11" t="str">
        <f t="shared" si="191"/>
        <v/>
      </c>
    </row>
    <row r="7055" spans="1:1">
      <c r="A7055" s="11" t="str">
        <f t="shared" si="191"/>
        <v/>
      </c>
    </row>
    <row r="7056" spans="1:1">
      <c r="A7056" s="11" t="str">
        <f t="shared" si="191"/>
        <v/>
      </c>
    </row>
    <row r="7057" spans="1:1">
      <c r="A7057" s="11" t="str">
        <f t="shared" si="191"/>
        <v/>
      </c>
    </row>
    <row r="7058" spans="1:1">
      <c r="A7058" s="11" t="str">
        <f t="shared" si="191"/>
        <v/>
      </c>
    </row>
    <row r="7059" spans="1:1">
      <c r="A7059" s="11" t="str">
        <f t="shared" si="191"/>
        <v/>
      </c>
    </row>
    <row r="7060" spans="1:1">
      <c r="A7060" s="11" t="str">
        <f t="shared" si="191"/>
        <v/>
      </c>
    </row>
    <row r="7061" spans="1:1">
      <c r="A7061" s="11" t="str">
        <f t="shared" si="191"/>
        <v/>
      </c>
    </row>
    <row r="7062" spans="1:1">
      <c r="A7062" s="11" t="str">
        <f t="shared" si="191"/>
        <v/>
      </c>
    </row>
    <row r="7063" spans="1:1">
      <c r="A7063" s="11" t="str">
        <f t="shared" si="191"/>
        <v/>
      </c>
    </row>
    <row r="7064" spans="1:1">
      <c r="A7064" s="11" t="str">
        <f t="shared" si="191"/>
        <v/>
      </c>
    </row>
    <row r="7065" spans="1:1">
      <c r="A7065" s="11" t="str">
        <f t="shared" si="191"/>
        <v/>
      </c>
    </row>
    <row r="7066" spans="1:1">
      <c r="A7066" s="11" t="str">
        <f t="shared" si="191"/>
        <v/>
      </c>
    </row>
    <row r="7067" spans="1:1">
      <c r="A7067" s="11" t="str">
        <f t="shared" si="191"/>
        <v/>
      </c>
    </row>
    <row r="7068" spans="1:1">
      <c r="A7068" s="11" t="str">
        <f t="shared" si="191"/>
        <v/>
      </c>
    </row>
    <row r="7069" spans="1:1">
      <c r="A7069" s="11" t="str">
        <f t="shared" si="191"/>
        <v/>
      </c>
    </row>
    <row r="7070" spans="1:1">
      <c r="A7070" s="11" t="str">
        <f t="shared" si="191"/>
        <v/>
      </c>
    </row>
    <row r="7071" spans="1:1">
      <c r="A7071" s="11" t="str">
        <f t="shared" si="191"/>
        <v/>
      </c>
    </row>
    <row r="7072" spans="1:1">
      <c r="A7072" s="11" t="str">
        <f t="shared" si="191"/>
        <v/>
      </c>
    </row>
    <row r="7073" spans="1:1">
      <c r="A7073" s="11" t="str">
        <f t="shared" si="191"/>
        <v/>
      </c>
    </row>
    <row r="7074" spans="1:1">
      <c r="A7074" s="11" t="str">
        <f t="shared" si="191"/>
        <v/>
      </c>
    </row>
    <row r="7075" spans="1:1">
      <c r="A7075" s="11" t="str">
        <f t="shared" si="191"/>
        <v/>
      </c>
    </row>
    <row r="7076" spans="1:1">
      <c r="A7076" s="11" t="str">
        <f t="shared" si="191"/>
        <v/>
      </c>
    </row>
    <row r="7077" spans="1:1">
      <c r="A7077" s="11" t="str">
        <f t="shared" si="191"/>
        <v/>
      </c>
    </row>
    <row r="7078" spans="1:1">
      <c r="A7078" s="11" t="str">
        <f t="shared" si="191"/>
        <v/>
      </c>
    </row>
    <row r="7079" spans="1:1">
      <c r="A7079" s="11" t="str">
        <f t="shared" si="191"/>
        <v/>
      </c>
    </row>
    <row r="7080" spans="1:1">
      <c r="A7080" s="11" t="str">
        <f t="shared" si="191"/>
        <v/>
      </c>
    </row>
    <row r="7081" spans="1:1">
      <c r="A7081" s="11" t="str">
        <f t="shared" si="191"/>
        <v/>
      </c>
    </row>
    <row r="7082" spans="1:1">
      <c r="A7082" s="11" t="str">
        <f t="shared" si="191"/>
        <v/>
      </c>
    </row>
    <row r="7083" spans="1:1">
      <c r="A7083" s="11" t="str">
        <f t="shared" si="191"/>
        <v/>
      </c>
    </row>
    <row r="7084" spans="1:1">
      <c r="A7084" s="11" t="str">
        <f t="shared" si="191"/>
        <v/>
      </c>
    </row>
    <row r="7085" spans="1:1">
      <c r="A7085" s="11" t="str">
        <f t="shared" si="191"/>
        <v/>
      </c>
    </row>
    <row r="7086" spans="1:1">
      <c r="A7086" s="11" t="str">
        <f t="shared" si="191"/>
        <v/>
      </c>
    </row>
    <row r="7087" spans="1:1">
      <c r="A7087" s="11" t="str">
        <f t="shared" si="191"/>
        <v/>
      </c>
    </row>
    <row r="7088" spans="1:1">
      <c r="A7088" s="11" t="str">
        <f t="shared" si="191"/>
        <v/>
      </c>
    </row>
    <row r="7089" spans="1:1">
      <c r="A7089" s="11" t="str">
        <f t="shared" si="191"/>
        <v/>
      </c>
    </row>
    <row r="7090" spans="1:1">
      <c r="A7090" s="11" t="str">
        <f t="shared" si="191"/>
        <v/>
      </c>
    </row>
    <row r="7091" spans="1:1">
      <c r="A7091" s="11" t="str">
        <f t="shared" si="191"/>
        <v/>
      </c>
    </row>
    <row r="7092" spans="1:1">
      <c r="A7092" s="11" t="str">
        <f t="shared" si="191"/>
        <v/>
      </c>
    </row>
    <row r="7093" spans="1:1">
      <c r="A7093" s="11" t="str">
        <f t="shared" si="191"/>
        <v/>
      </c>
    </row>
    <row r="7094" spans="1:1">
      <c r="A7094" s="11" t="str">
        <f t="shared" si="191"/>
        <v/>
      </c>
    </row>
    <row r="7095" spans="1:1">
      <c r="A7095" s="11" t="str">
        <f t="shared" si="191"/>
        <v/>
      </c>
    </row>
    <row r="7096" spans="1:1">
      <c r="A7096" s="11" t="str">
        <f t="shared" si="191"/>
        <v/>
      </c>
    </row>
    <row r="7097" spans="1:1">
      <c r="A7097" s="11" t="str">
        <f t="shared" si="191"/>
        <v/>
      </c>
    </row>
    <row r="7098" spans="1:1">
      <c r="A7098" s="11" t="str">
        <f t="shared" si="191"/>
        <v/>
      </c>
    </row>
    <row r="7099" spans="1:1">
      <c r="A7099" s="11" t="str">
        <f t="shared" si="191"/>
        <v/>
      </c>
    </row>
    <row r="7100" spans="1:1">
      <c r="A7100" s="11" t="str">
        <f t="shared" si="191"/>
        <v/>
      </c>
    </row>
    <row r="7101" spans="1:1">
      <c r="A7101" s="11" t="str">
        <f t="shared" si="191"/>
        <v/>
      </c>
    </row>
    <row r="7102" spans="1:1">
      <c r="A7102" s="11" t="str">
        <f t="shared" si="191"/>
        <v/>
      </c>
    </row>
    <row r="7103" spans="1:1">
      <c r="A7103" s="11" t="str">
        <f t="shared" si="191"/>
        <v/>
      </c>
    </row>
    <row r="7104" spans="1:1">
      <c r="A7104" s="11" t="str">
        <f t="shared" si="191"/>
        <v/>
      </c>
    </row>
    <row r="7105" spans="1:1">
      <c r="A7105" s="11" t="str">
        <f t="shared" si="191"/>
        <v/>
      </c>
    </row>
    <row r="7106" spans="1:1">
      <c r="A7106" s="11" t="str">
        <f t="shared" si="191"/>
        <v/>
      </c>
    </row>
    <row r="7107" spans="1:1">
      <c r="A7107" s="11" t="str">
        <f t="shared" ref="A7107:A7170" si="192">B7107&amp;D7107</f>
        <v/>
      </c>
    </row>
    <row r="7108" spans="1:1">
      <c r="A7108" s="11" t="str">
        <f t="shared" si="192"/>
        <v/>
      </c>
    </row>
    <row r="7109" spans="1:1">
      <c r="A7109" s="11" t="str">
        <f t="shared" si="192"/>
        <v/>
      </c>
    </row>
    <row r="7110" spans="1:1">
      <c r="A7110" s="11" t="str">
        <f t="shared" si="192"/>
        <v/>
      </c>
    </row>
    <row r="7111" spans="1:1">
      <c r="A7111" s="11" t="str">
        <f t="shared" si="192"/>
        <v/>
      </c>
    </row>
    <row r="7112" spans="1:1">
      <c r="A7112" s="11" t="str">
        <f t="shared" si="192"/>
        <v/>
      </c>
    </row>
    <row r="7113" spans="1:1">
      <c r="A7113" s="11" t="str">
        <f t="shared" si="192"/>
        <v/>
      </c>
    </row>
    <row r="7114" spans="1:1">
      <c r="A7114" s="11" t="str">
        <f t="shared" si="192"/>
        <v/>
      </c>
    </row>
    <row r="7115" spans="1:1">
      <c r="A7115" s="11" t="str">
        <f t="shared" si="192"/>
        <v/>
      </c>
    </row>
    <row r="7116" spans="1:1">
      <c r="A7116" s="11" t="str">
        <f t="shared" si="192"/>
        <v/>
      </c>
    </row>
    <row r="7117" spans="1:1">
      <c r="A7117" s="11" t="str">
        <f t="shared" si="192"/>
        <v/>
      </c>
    </row>
    <row r="7118" spans="1:1">
      <c r="A7118" s="11" t="str">
        <f t="shared" si="192"/>
        <v/>
      </c>
    </row>
    <row r="7119" spans="1:1">
      <c r="A7119" s="11" t="str">
        <f t="shared" si="192"/>
        <v/>
      </c>
    </row>
    <row r="7120" spans="1:1">
      <c r="A7120" s="11" t="str">
        <f t="shared" si="192"/>
        <v/>
      </c>
    </row>
    <row r="7121" spans="1:1">
      <c r="A7121" s="11" t="str">
        <f t="shared" si="192"/>
        <v/>
      </c>
    </row>
    <row r="7122" spans="1:1">
      <c r="A7122" s="11" t="str">
        <f t="shared" si="192"/>
        <v/>
      </c>
    </row>
    <row r="7123" spans="1:1">
      <c r="A7123" s="11" t="str">
        <f t="shared" si="192"/>
        <v/>
      </c>
    </row>
    <row r="7124" spans="1:1">
      <c r="A7124" s="11" t="str">
        <f t="shared" si="192"/>
        <v/>
      </c>
    </row>
    <row r="7125" spans="1:1">
      <c r="A7125" s="11" t="str">
        <f t="shared" si="192"/>
        <v/>
      </c>
    </row>
    <row r="7126" spans="1:1">
      <c r="A7126" s="11" t="str">
        <f t="shared" si="192"/>
        <v/>
      </c>
    </row>
    <row r="7127" spans="1:1">
      <c r="A7127" s="11" t="str">
        <f t="shared" si="192"/>
        <v/>
      </c>
    </row>
    <row r="7128" spans="1:1">
      <c r="A7128" s="11" t="str">
        <f t="shared" si="192"/>
        <v/>
      </c>
    </row>
    <row r="7129" spans="1:1">
      <c r="A7129" s="11" t="str">
        <f t="shared" si="192"/>
        <v/>
      </c>
    </row>
    <row r="7130" spans="1:1">
      <c r="A7130" s="11" t="str">
        <f t="shared" si="192"/>
        <v/>
      </c>
    </row>
    <row r="7131" spans="1:1">
      <c r="A7131" s="11" t="str">
        <f t="shared" si="192"/>
        <v/>
      </c>
    </row>
    <row r="7132" spans="1:1">
      <c r="A7132" s="11" t="str">
        <f t="shared" si="192"/>
        <v/>
      </c>
    </row>
    <row r="7133" spans="1:1">
      <c r="A7133" s="11" t="str">
        <f t="shared" si="192"/>
        <v/>
      </c>
    </row>
    <row r="7134" spans="1:1">
      <c r="A7134" s="11" t="str">
        <f t="shared" si="192"/>
        <v/>
      </c>
    </row>
    <row r="7135" spans="1:1">
      <c r="A7135" s="11" t="str">
        <f t="shared" si="192"/>
        <v/>
      </c>
    </row>
    <row r="7136" spans="1:1">
      <c r="A7136" s="11" t="str">
        <f t="shared" si="192"/>
        <v/>
      </c>
    </row>
    <row r="7137" spans="1:1">
      <c r="A7137" s="11" t="str">
        <f t="shared" si="192"/>
        <v/>
      </c>
    </row>
    <row r="7138" spans="1:1">
      <c r="A7138" s="11" t="str">
        <f t="shared" si="192"/>
        <v/>
      </c>
    </row>
    <row r="7139" spans="1:1">
      <c r="A7139" s="11" t="str">
        <f t="shared" si="192"/>
        <v/>
      </c>
    </row>
    <row r="7140" spans="1:1">
      <c r="A7140" s="11" t="str">
        <f t="shared" si="192"/>
        <v/>
      </c>
    </row>
    <row r="7141" spans="1:1">
      <c r="A7141" s="11" t="str">
        <f t="shared" si="192"/>
        <v/>
      </c>
    </row>
    <row r="7142" spans="1:1">
      <c r="A7142" s="11" t="str">
        <f t="shared" si="192"/>
        <v/>
      </c>
    </row>
    <row r="7143" spans="1:1">
      <c r="A7143" s="11" t="str">
        <f t="shared" si="192"/>
        <v/>
      </c>
    </row>
    <row r="7144" spans="1:1">
      <c r="A7144" s="11" t="str">
        <f t="shared" si="192"/>
        <v/>
      </c>
    </row>
    <row r="7145" spans="1:1">
      <c r="A7145" s="11" t="str">
        <f t="shared" si="192"/>
        <v/>
      </c>
    </row>
    <row r="7146" spans="1:1">
      <c r="A7146" s="11" t="str">
        <f t="shared" si="192"/>
        <v/>
      </c>
    </row>
    <row r="7147" spans="1:1">
      <c r="A7147" s="11" t="str">
        <f t="shared" si="192"/>
        <v/>
      </c>
    </row>
    <row r="7148" spans="1:1">
      <c r="A7148" s="11" t="str">
        <f t="shared" si="192"/>
        <v/>
      </c>
    </row>
    <row r="7149" spans="1:1">
      <c r="A7149" s="11" t="str">
        <f t="shared" si="192"/>
        <v/>
      </c>
    </row>
    <row r="7150" spans="1:1">
      <c r="A7150" s="11" t="str">
        <f t="shared" si="192"/>
        <v/>
      </c>
    </row>
    <row r="7151" spans="1:1">
      <c r="A7151" s="11" t="str">
        <f t="shared" si="192"/>
        <v/>
      </c>
    </row>
    <row r="7152" spans="1:1">
      <c r="A7152" s="11" t="str">
        <f t="shared" si="192"/>
        <v/>
      </c>
    </row>
    <row r="7153" spans="1:1">
      <c r="A7153" s="11" t="str">
        <f t="shared" si="192"/>
        <v/>
      </c>
    </row>
    <row r="7154" spans="1:1">
      <c r="A7154" s="11" t="str">
        <f t="shared" si="192"/>
        <v/>
      </c>
    </row>
    <row r="7155" spans="1:1">
      <c r="A7155" s="11" t="str">
        <f t="shared" si="192"/>
        <v/>
      </c>
    </row>
    <row r="7156" spans="1:1">
      <c r="A7156" s="11" t="str">
        <f t="shared" si="192"/>
        <v/>
      </c>
    </row>
    <row r="7157" spans="1:1">
      <c r="A7157" s="11" t="str">
        <f t="shared" si="192"/>
        <v/>
      </c>
    </row>
    <row r="7158" spans="1:1">
      <c r="A7158" s="11" t="str">
        <f t="shared" si="192"/>
        <v/>
      </c>
    </row>
    <row r="7159" spans="1:1">
      <c r="A7159" s="11" t="str">
        <f t="shared" si="192"/>
        <v/>
      </c>
    </row>
    <row r="7160" spans="1:1">
      <c r="A7160" s="11" t="str">
        <f t="shared" si="192"/>
        <v/>
      </c>
    </row>
    <row r="7161" spans="1:1">
      <c r="A7161" s="11" t="str">
        <f t="shared" si="192"/>
        <v/>
      </c>
    </row>
    <row r="7162" spans="1:1">
      <c r="A7162" s="11" t="str">
        <f t="shared" si="192"/>
        <v/>
      </c>
    </row>
    <row r="7163" spans="1:1">
      <c r="A7163" s="11" t="str">
        <f t="shared" si="192"/>
        <v/>
      </c>
    </row>
    <row r="7164" spans="1:1">
      <c r="A7164" s="11" t="str">
        <f t="shared" si="192"/>
        <v/>
      </c>
    </row>
    <row r="7165" spans="1:1">
      <c r="A7165" s="11" t="str">
        <f t="shared" si="192"/>
        <v/>
      </c>
    </row>
    <row r="7166" spans="1:1">
      <c r="A7166" s="11" t="str">
        <f t="shared" si="192"/>
        <v/>
      </c>
    </row>
    <row r="7167" spans="1:1">
      <c r="A7167" s="11" t="str">
        <f t="shared" si="192"/>
        <v/>
      </c>
    </row>
    <row r="7168" spans="1:1">
      <c r="A7168" s="11" t="str">
        <f t="shared" si="192"/>
        <v/>
      </c>
    </row>
    <row r="7169" spans="1:1">
      <c r="A7169" s="11" t="str">
        <f t="shared" si="192"/>
        <v/>
      </c>
    </row>
    <row r="7170" spans="1:1">
      <c r="A7170" s="11" t="str">
        <f t="shared" si="192"/>
        <v/>
      </c>
    </row>
    <row r="7171" spans="1:1">
      <c r="A7171" s="11" t="str">
        <f t="shared" ref="A7171:A7234" si="193">B7171&amp;D7171</f>
        <v/>
      </c>
    </row>
    <row r="7172" spans="1:1">
      <c r="A7172" s="11" t="str">
        <f t="shared" si="193"/>
        <v/>
      </c>
    </row>
    <row r="7173" spans="1:1">
      <c r="A7173" s="11" t="str">
        <f t="shared" si="193"/>
        <v/>
      </c>
    </row>
    <row r="7174" spans="1:1">
      <c r="A7174" s="11" t="str">
        <f t="shared" si="193"/>
        <v/>
      </c>
    </row>
    <row r="7175" spans="1:1">
      <c r="A7175" s="11" t="str">
        <f t="shared" si="193"/>
        <v/>
      </c>
    </row>
    <row r="7176" spans="1:1">
      <c r="A7176" s="11" t="str">
        <f t="shared" si="193"/>
        <v/>
      </c>
    </row>
    <row r="7177" spans="1:1">
      <c r="A7177" s="11" t="str">
        <f t="shared" si="193"/>
        <v/>
      </c>
    </row>
    <row r="7178" spans="1:1">
      <c r="A7178" s="11" t="str">
        <f t="shared" si="193"/>
        <v/>
      </c>
    </row>
    <row r="7179" spans="1:1">
      <c r="A7179" s="11" t="str">
        <f t="shared" si="193"/>
        <v/>
      </c>
    </row>
    <row r="7180" spans="1:1">
      <c r="A7180" s="11" t="str">
        <f t="shared" si="193"/>
        <v/>
      </c>
    </row>
    <row r="7181" spans="1:1">
      <c r="A7181" s="11" t="str">
        <f t="shared" si="193"/>
        <v/>
      </c>
    </row>
    <row r="7182" spans="1:1">
      <c r="A7182" s="11" t="str">
        <f t="shared" si="193"/>
        <v/>
      </c>
    </row>
    <row r="7183" spans="1:1">
      <c r="A7183" s="11" t="str">
        <f t="shared" si="193"/>
        <v/>
      </c>
    </row>
    <row r="7184" spans="1:1">
      <c r="A7184" s="11" t="str">
        <f t="shared" si="193"/>
        <v/>
      </c>
    </row>
    <row r="7185" spans="1:1">
      <c r="A7185" s="11" t="str">
        <f t="shared" si="193"/>
        <v/>
      </c>
    </row>
    <row r="7186" spans="1:1">
      <c r="A7186" s="11" t="str">
        <f t="shared" si="193"/>
        <v/>
      </c>
    </row>
    <row r="7187" spans="1:1">
      <c r="A7187" s="11" t="str">
        <f t="shared" si="193"/>
        <v/>
      </c>
    </row>
    <row r="7188" spans="1:1">
      <c r="A7188" s="11" t="str">
        <f t="shared" si="193"/>
        <v/>
      </c>
    </row>
    <row r="7189" spans="1:1">
      <c r="A7189" s="11" t="str">
        <f t="shared" si="193"/>
        <v/>
      </c>
    </row>
    <row r="7190" spans="1:1">
      <c r="A7190" s="11" t="str">
        <f t="shared" si="193"/>
        <v/>
      </c>
    </row>
    <row r="7191" spans="1:1">
      <c r="A7191" s="11" t="str">
        <f t="shared" si="193"/>
        <v/>
      </c>
    </row>
    <row r="7192" spans="1:1">
      <c r="A7192" s="11" t="str">
        <f t="shared" si="193"/>
        <v/>
      </c>
    </row>
    <row r="7193" spans="1:1">
      <c r="A7193" s="11" t="str">
        <f t="shared" si="193"/>
        <v/>
      </c>
    </row>
    <row r="7194" spans="1:1">
      <c r="A7194" s="11" t="str">
        <f t="shared" si="193"/>
        <v/>
      </c>
    </row>
    <row r="7195" spans="1:1">
      <c r="A7195" s="11" t="str">
        <f t="shared" si="193"/>
        <v/>
      </c>
    </row>
    <row r="7196" spans="1:1">
      <c r="A7196" s="11" t="str">
        <f t="shared" si="193"/>
        <v/>
      </c>
    </row>
    <row r="7197" spans="1:1">
      <c r="A7197" s="11" t="str">
        <f t="shared" si="193"/>
        <v/>
      </c>
    </row>
    <row r="7198" spans="1:1">
      <c r="A7198" s="11" t="str">
        <f t="shared" si="193"/>
        <v/>
      </c>
    </row>
    <row r="7199" spans="1:1">
      <c r="A7199" s="11" t="str">
        <f t="shared" si="193"/>
        <v/>
      </c>
    </row>
    <row r="7200" spans="1:1">
      <c r="A7200" s="11" t="str">
        <f t="shared" si="193"/>
        <v/>
      </c>
    </row>
    <row r="7201" spans="1:1">
      <c r="A7201" s="11" t="str">
        <f t="shared" si="193"/>
        <v/>
      </c>
    </row>
    <row r="7202" spans="1:1">
      <c r="A7202" s="11" t="str">
        <f t="shared" si="193"/>
        <v/>
      </c>
    </row>
    <row r="7203" spans="1:1">
      <c r="A7203" s="11" t="str">
        <f t="shared" si="193"/>
        <v/>
      </c>
    </row>
    <row r="7204" spans="1:1">
      <c r="A7204" s="11" t="str">
        <f t="shared" si="193"/>
        <v/>
      </c>
    </row>
    <row r="7205" spans="1:1">
      <c r="A7205" s="11" t="str">
        <f t="shared" si="193"/>
        <v/>
      </c>
    </row>
    <row r="7206" spans="1:1">
      <c r="A7206" s="11" t="str">
        <f t="shared" si="193"/>
        <v/>
      </c>
    </row>
    <row r="7207" spans="1:1">
      <c r="A7207" s="11" t="str">
        <f t="shared" si="193"/>
        <v/>
      </c>
    </row>
    <row r="7208" spans="1:1">
      <c r="A7208" s="11" t="str">
        <f t="shared" si="193"/>
        <v/>
      </c>
    </row>
    <row r="7209" spans="1:1">
      <c r="A7209" s="11" t="str">
        <f t="shared" si="193"/>
        <v/>
      </c>
    </row>
    <row r="7210" spans="1:1">
      <c r="A7210" s="11" t="str">
        <f t="shared" si="193"/>
        <v/>
      </c>
    </row>
    <row r="7211" spans="1:1">
      <c r="A7211" s="11" t="str">
        <f t="shared" si="193"/>
        <v/>
      </c>
    </row>
    <row r="7212" spans="1:1">
      <c r="A7212" s="11" t="str">
        <f t="shared" si="193"/>
        <v/>
      </c>
    </row>
    <row r="7213" spans="1:1">
      <c r="A7213" s="11" t="str">
        <f t="shared" si="193"/>
        <v/>
      </c>
    </row>
    <row r="7214" spans="1:1">
      <c r="A7214" s="11" t="str">
        <f t="shared" si="193"/>
        <v/>
      </c>
    </row>
    <row r="7215" spans="1:1">
      <c r="A7215" s="11" t="str">
        <f t="shared" si="193"/>
        <v/>
      </c>
    </row>
    <row r="7216" spans="1:1">
      <c r="A7216" s="11" t="str">
        <f t="shared" si="193"/>
        <v/>
      </c>
    </row>
    <row r="7217" spans="1:1">
      <c r="A7217" s="11" t="str">
        <f t="shared" si="193"/>
        <v/>
      </c>
    </row>
    <row r="7218" spans="1:1">
      <c r="A7218" s="11" t="str">
        <f t="shared" si="193"/>
        <v/>
      </c>
    </row>
    <row r="7219" spans="1:1">
      <c r="A7219" s="11" t="str">
        <f t="shared" si="193"/>
        <v/>
      </c>
    </row>
    <row r="7220" spans="1:1">
      <c r="A7220" s="11" t="str">
        <f t="shared" si="193"/>
        <v/>
      </c>
    </row>
    <row r="7221" spans="1:1">
      <c r="A7221" s="11" t="str">
        <f t="shared" si="193"/>
        <v/>
      </c>
    </row>
    <row r="7222" spans="1:1">
      <c r="A7222" s="11" t="str">
        <f t="shared" si="193"/>
        <v/>
      </c>
    </row>
    <row r="7223" spans="1:1">
      <c r="A7223" s="11" t="str">
        <f t="shared" si="193"/>
        <v/>
      </c>
    </row>
    <row r="7224" spans="1:1">
      <c r="A7224" s="11" t="str">
        <f t="shared" si="193"/>
        <v/>
      </c>
    </row>
    <row r="7225" spans="1:1">
      <c r="A7225" s="11" t="str">
        <f t="shared" si="193"/>
        <v/>
      </c>
    </row>
    <row r="7226" spans="1:1">
      <c r="A7226" s="11" t="str">
        <f t="shared" si="193"/>
        <v/>
      </c>
    </row>
    <row r="7227" spans="1:1">
      <c r="A7227" s="11" t="str">
        <f t="shared" si="193"/>
        <v/>
      </c>
    </row>
    <row r="7228" spans="1:1">
      <c r="A7228" s="11" t="str">
        <f t="shared" si="193"/>
        <v/>
      </c>
    </row>
    <row r="7229" spans="1:1">
      <c r="A7229" s="11" t="str">
        <f t="shared" si="193"/>
        <v/>
      </c>
    </row>
    <row r="7230" spans="1:1">
      <c r="A7230" s="11" t="str">
        <f t="shared" si="193"/>
        <v/>
      </c>
    </row>
    <row r="7231" spans="1:1">
      <c r="A7231" s="11" t="str">
        <f t="shared" si="193"/>
        <v/>
      </c>
    </row>
    <row r="7232" spans="1:1">
      <c r="A7232" s="11" t="str">
        <f t="shared" si="193"/>
        <v/>
      </c>
    </row>
    <row r="7233" spans="1:1">
      <c r="A7233" s="11" t="str">
        <f t="shared" si="193"/>
        <v/>
      </c>
    </row>
    <row r="7234" spans="1:1">
      <c r="A7234" s="11" t="str">
        <f t="shared" si="193"/>
        <v/>
      </c>
    </row>
    <row r="7235" spans="1:1">
      <c r="A7235" s="11" t="str">
        <f t="shared" ref="A7235:A7298" si="194">B7235&amp;D7235</f>
        <v/>
      </c>
    </row>
    <row r="7236" spans="1:1">
      <c r="A7236" s="11" t="str">
        <f t="shared" si="194"/>
        <v/>
      </c>
    </row>
    <row r="7237" spans="1:1">
      <c r="A7237" s="11" t="str">
        <f t="shared" si="194"/>
        <v/>
      </c>
    </row>
    <row r="7238" spans="1:1">
      <c r="A7238" s="11" t="str">
        <f t="shared" si="194"/>
        <v/>
      </c>
    </row>
    <row r="7239" spans="1:1">
      <c r="A7239" s="11" t="str">
        <f t="shared" si="194"/>
        <v/>
      </c>
    </row>
    <row r="7240" spans="1:1">
      <c r="A7240" s="11" t="str">
        <f t="shared" si="194"/>
        <v/>
      </c>
    </row>
    <row r="7241" spans="1:1">
      <c r="A7241" s="11" t="str">
        <f t="shared" si="194"/>
        <v/>
      </c>
    </row>
    <row r="7242" spans="1:1">
      <c r="A7242" s="11" t="str">
        <f t="shared" si="194"/>
        <v/>
      </c>
    </row>
    <row r="7243" spans="1:1">
      <c r="A7243" s="11" t="str">
        <f t="shared" si="194"/>
        <v/>
      </c>
    </row>
    <row r="7244" spans="1:1">
      <c r="A7244" s="11" t="str">
        <f t="shared" si="194"/>
        <v/>
      </c>
    </row>
    <row r="7245" spans="1:1">
      <c r="A7245" s="11" t="str">
        <f t="shared" si="194"/>
        <v/>
      </c>
    </row>
    <row r="7246" spans="1:1">
      <c r="A7246" s="11" t="str">
        <f t="shared" si="194"/>
        <v/>
      </c>
    </row>
    <row r="7247" spans="1:1">
      <c r="A7247" s="11" t="str">
        <f t="shared" si="194"/>
        <v/>
      </c>
    </row>
    <row r="7248" spans="1:1">
      <c r="A7248" s="11" t="str">
        <f t="shared" si="194"/>
        <v/>
      </c>
    </row>
    <row r="7249" spans="1:1">
      <c r="A7249" s="11" t="str">
        <f t="shared" si="194"/>
        <v/>
      </c>
    </row>
    <row r="7250" spans="1:1">
      <c r="A7250" s="11" t="str">
        <f t="shared" si="194"/>
        <v/>
      </c>
    </row>
    <row r="7251" spans="1:1">
      <c r="A7251" s="11" t="str">
        <f t="shared" si="194"/>
        <v/>
      </c>
    </row>
    <row r="7252" spans="1:1">
      <c r="A7252" s="11" t="str">
        <f t="shared" si="194"/>
        <v/>
      </c>
    </row>
    <row r="7253" spans="1:1">
      <c r="A7253" s="11" t="str">
        <f t="shared" si="194"/>
        <v/>
      </c>
    </row>
    <row r="7254" spans="1:1">
      <c r="A7254" s="11" t="str">
        <f t="shared" si="194"/>
        <v/>
      </c>
    </row>
    <row r="7255" spans="1:1">
      <c r="A7255" s="11" t="str">
        <f t="shared" si="194"/>
        <v/>
      </c>
    </row>
    <row r="7256" spans="1:1">
      <c r="A7256" s="11" t="str">
        <f t="shared" si="194"/>
        <v/>
      </c>
    </row>
    <row r="7257" spans="1:1">
      <c r="A7257" s="11" t="str">
        <f t="shared" si="194"/>
        <v/>
      </c>
    </row>
    <row r="7258" spans="1:1">
      <c r="A7258" s="11" t="str">
        <f t="shared" si="194"/>
        <v/>
      </c>
    </row>
    <row r="7259" spans="1:1">
      <c r="A7259" s="11" t="str">
        <f t="shared" si="194"/>
        <v/>
      </c>
    </row>
    <row r="7260" spans="1:1">
      <c r="A7260" s="11" t="str">
        <f t="shared" si="194"/>
        <v/>
      </c>
    </row>
    <row r="7261" spans="1:1">
      <c r="A7261" s="11" t="str">
        <f t="shared" si="194"/>
        <v/>
      </c>
    </row>
    <row r="7262" spans="1:1">
      <c r="A7262" s="11" t="str">
        <f t="shared" si="194"/>
        <v/>
      </c>
    </row>
    <row r="7263" spans="1:1">
      <c r="A7263" s="11" t="str">
        <f t="shared" si="194"/>
        <v/>
      </c>
    </row>
    <row r="7264" spans="1:1">
      <c r="A7264" s="11" t="str">
        <f t="shared" si="194"/>
        <v/>
      </c>
    </row>
    <row r="7265" spans="1:1">
      <c r="A7265" s="11" t="str">
        <f t="shared" si="194"/>
        <v/>
      </c>
    </row>
    <row r="7266" spans="1:1">
      <c r="A7266" s="11" t="str">
        <f t="shared" si="194"/>
        <v/>
      </c>
    </row>
    <row r="7267" spans="1:1">
      <c r="A7267" s="11" t="str">
        <f t="shared" si="194"/>
        <v/>
      </c>
    </row>
    <row r="7268" spans="1:1">
      <c r="A7268" s="11" t="str">
        <f t="shared" si="194"/>
        <v/>
      </c>
    </row>
    <row r="7269" spans="1:1">
      <c r="A7269" s="11" t="str">
        <f t="shared" si="194"/>
        <v/>
      </c>
    </row>
    <row r="7270" spans="1:1">
      <c r="A7270" s="11" t="str">
        <f t="shared" si="194"/>
        <v/>
      </c>
    </row>
    <row r="7271" spans="1:1">
      <c r="A7271" s="11" t="str">
        <f t="shared" si="194"/>
        <v/>
      </c>
    </row>
    <row r="7272" spans="1:1">
      <c r="A7272" s="11" t="str">
        <f t="shared" si="194"/>
        <v/>
      </c>
    </row>
    <row r="7273" spans="1:1">
      <c r="A7273" s="11" t="str">
        <f t="shared" si="194"/>
        <v/>
      </c>
    </row>
    <row r="7274" spans="1:1">
      <c r="A7274" s="11" t="str">
        <f t="shared" si="194"/>
        <v/>
      </c>
    </row>
    <row r="7275" spans="1:1">
      <c r="A7275" s="11" t="str">
        <f t="shared" si="194"/>
        <v/>
      </c>
    </row>
    <row r="7276" spans="1:1">
      <c r="A7276" s="11" t="str">
        <f t="shared" si="194"/>
        <v/>
      </c>
    </row>
    <row r="7277" spans="1:1">
      <c r="A7277" s="11" t="str">
        <f t="shared" si="194"/>
        <v/>
      </c>
    </row>
    <row r="7278" spans="1:1">
      <c r="A7278" s="11" t="str">
        <f t="shared" si="194"/>
        <v/>
      </c>
    </row>
    <row r="7279" spans="1:1">
      <c r="A7279" s="11" t="str">
        <f t="shared" si="194"/>
        <v/>
      </c>
    </row>
    <row r="7280" spans="1:1">
      <c r="A7280" s="11" t="str">
        <f t="shared" si="194"/>
        <v/>
      </c>
    </row>
    <row r="7281" spans="1:1">
      <c r="A7281" s="11" t="str">
        <f t="shared" si="194"/>
        <v/>
      </c>
    </row>
    <row r="7282" spans="1:1">
      <c r="A7282" s="11" t="str">
        <f t="shared" si="194"/>
        <v/>
      </c>
    </row>
    <row r="7283" spans="1:1">
      <c r="A7283" s="11" t="str">
        <f t="shared" si="194"/>
        <v/>
      </c>
    </row>
    <row r="7284" spans="1:1">
      <c r="A7284" s="11" t="str">
        <f t="shared" si="194"/>
        <v/>
      </c>
    </row>
    <row r="7285" spans="1:1">
      <c r="A7285" s="11" t="str">
        <f t="shared" si="194"/>
        <v/>
      </c>
    </row>
    <row r="7286" spans="1:1">
      <c r="A7286" s="11" t="str">
        <f t="shared" si="194"/>
        <v/>
      </c>
    </row>
    <row r="7287" spans="1:1">
      <c r="A7287" s="11" t="str">
        <f t="shared" si="194"/>
        <v/>
      </c>
    </row>
    <row r="7288" spans="1:1">
      <c r="A7288" s="11" t="str">
        <f t="shared" si="194"/>
        <v/>
      </c>
    </row>
    <row r="7289" spans="1:1">
      <c r="A7289" s="11" t="str">
        <f t="shared" si="194"/>
        <v/>
      </c>
    </row>
    <row r="7290" spans="1:1">
      <c r="A7290" s="11" t="str">
        <f t="shared" si="194"/>
        <v/>
      </c>
    </row>
    <row r="7291" spans="1:1">
      <c r="A7291" s="11" t="str">
        <f t="shared" si="194"/>
        <v/>
      </c>
    </row>
    <row r="7292" spans="1:1">
      <c r="A7292" s="11" t="str">
        <f t="shared" si="194"/>
        <v/>
      </c>
    </row>
    <row r="7293" spans="1:1">
      <c r="A7293" s="11" t="str">
        <f t="shared" si="194"/>
        <v/>
      </c>
    </row>
    <row r="7294" spans="1:1">
      <c r="A7294" s="11" t="str">
        <f t="shared" si="194"/>
        <v/>
      </c>
    </row>
    <row r="7295" spans="1:1">
      <c r="A7295" s="11" t="str">
        <f t="shared" si="194"/>
        <v/>
      </c>
    </row>
    <row r="7296" spans="1:1">
      <c r="A7296" s="11" t="str">
        <f t="shared" si="194"/>
        <v/>
      </c>
    </row>
    <row r="7297" spans="1:1">
      <c r="A7297" s="11" t="str">
        <f t="shared" si="194"/>
        <v/>
      </c>
    </row>
    <row r="7298" spans="1:1">
      <c r="A7298" s="11" t="str">
        <f t="shared" si="194"/>
        <v/>
      </c>
    </row>
    <row r="7299" spans="1:1">
      <c r="A7299" s="11" t="str">
        <f t="shared" ref="A7299:A7362" si="195">B7299&amp;D7299</f>
        <v/>
      </c>
    </row>
    <row r="7300" spans="1:1">
      <c r="A7300" s="11" t="str">
        <f t="shared" si="195"/>
        <v/>
      </c>
    </row>
    <row r="7301" spans="1:1">
      <c r="A7301" s="11" t="str">
        <f t="shared" si="195"/>
        <v/>
      </c>
    </row>
    <row r="7302" spans="1:1">
      <c r="A7302" s="11" t="str">
        <f t="shared" si="195"/>
        <v/>
      </c>
    </row>
    <row r="7303" spans="1:1">
      <c r="A7303" s="11" t="str">
        <f t="shared" si="195"/>
        <v/>
      </c>
    </row>
    <row r="7304" spans="1:1">
      <c r="A7304" s="11" t="str">
        <f t="shared" si="195"/>
        <v/>
      </c>
    </row>
    <row r="7305" spans="1:1">
      <c r="A7305" s="11" t="str">
        <f t="shared" si="195"/>
        <v/>
      </c>
    </row>
    <row r="7306" spans="1:1">
      <c r="A7306" s="11" t="str">
        <f t="shared" si="195"/>
        <v/>
      </c>
    </row>
    <row r="7307" spans="1:1">
      <c r="A7307" s="11" t="str">
        <f t="shared" si="195"/>
        <v/>
      </c>
    </row>
    <row r="7308" spans="1:1">
      <c r="A7308" s="11" t="str">
        <f t="shared" si="195"/>
        <v/>
      </c>
    </row>
    <row r="7309" spans="1:1">
      <c r="A7309" s="11" t="str">
        <f t="shared" si="195"/>
        <v/>
      </c>
    </row>
    <row r="7310" spans="1:1">
      <c r="A7310" s="11" t="str">
        <f t="shared" si="195"/>
        <v/>
      </c>
    </row>
    <row r="7311" spans="1:1">
      <c r="A7311" s="11" t="str">
        <f t="shared" si="195"/>
        <v/>
      </c>
    </row>
    <row r="7312" spans="1:1">
      <c r="A7312" s="11" t="str">
        <f t="shared" si="195"/>
        <v/>
      </c>
    </row>
    <row r="7313" spans="1:1">
      <c r="A7313" s="11" t="str">
        <f t="shared" si="195"/>
        <v/>
      </c>
    </row>
    <row r="7314" spans="1:1">
      <c r="A7314" s="11" t="str">
        <f t="shared" si="195"/>
        <v/>
      </c>
    </row>
    <row r="7315" spans="1:1">
      <c r="A7315" s="11" t="str">
        <f t="shared" si="195"/>
        <v/>
      </c>
    </row>
    <row r="7316" spans="1:1">
      <c r="A7316" s="11" t="str">
        <f t="shared" si="195"/>
        <v/>
      </c>
    </row>
    <row r="7317" spans="1:1">
      <c r="A7317" s="11" t="str">
        <f t="shared" si="195"/>
        <v/>
      </c>
    </row>
    <row r="7318" spans="1:1">
      <c r="A7318" s="11" t="str">
        <f t="shared" si="195"/>
        <v/>
      </c>
    </row>
    <row r="7319" spans="1:1">
      <c r="A7319" s="11" t="str">
        <f t="shared" si="195"/>
        <v/>
      </c>
    </row>
    <row r="7320" spans="1:1">
      <c r="A7320" s="11" t="str">
        <f t="shared" si="195"/>
        <v/>
      </c>
    </row>
    <row r="7321" spans="1:1">
      <c r="A7321" s="11" t="str">
        <f t="shared" si="195"/>
        <v/>
      </c>
    </row>
    <row r="7322" spans="1:1">
      <c r="A7322" s="11" t="str">
        <f t="shared" si="195"/>
        <v/>
      </c>
    </row>
    <row r="7323" spans="1:1">
      <c r="A7323" s="11" t="str">
        <f t="shared" si="195"/>
        <v/>
      </c>
    </row>
    <row r="7324" spans="1:1">
      <c r="A7324" s="11" t="str">
        <f t="shared" si="195"/>
        <v/>
      </c>
    </row>
    <row r="7325" spans="1:1">
      <c r="A7325" s="11" t="str">
        <f t="shared" si="195"/>
        <v/>
      </c>
    </row>
    <row r="7326" spans="1:1">
      <c r="A7326" s="11" t="str">
        <f t="shared" si="195"/>
        <v/>
      </c>
    </row>
    <row r="7327" spans="1:1">
      <c r="A7327" s="11" t="str">
        <f t="shared" si="195"/>
        <v/>
      </c>
    </row>
    <row r="7328" spans="1:1">
      <c r="A7328" s="11" t="str">
        <f t="shared" si="195"/>
        <v/>
      </c>
    </row>
    <row r="7329" spans="1:2">
      <c r="A7329" s="11" t="str">
        <f t="shared" si="195"/>
        <v/>
      </c>
    </row>
    <row r="7330" spans="1:2">
      <c r="A7330" s="11" t="str">
        <f t="shared" si="195"/>
        <v/>
      </c>
    </row>
    <row r="7331" spans="1:2">
      <c r="A7331" s="11" t="str">
        <f t="shared" si="195"/>
        <v/>
      </c>
      <c r="B7331" s="210"/>
    </row>
    <row r="7332" spans="1:2">
      <c r="A7332" s="11" t="str">
        <f t="shared" si="195"/>
        <v/>
      </c>
    </row>
    <row r="7333" spans="1:2">
      <c r="A7333" s="11" t="str">
        <f t="shared" si="195"/>
        <v/>
      </c>
    </row>
    <row r="7334" spans="1:2">
      <c r="A7334" s="11" t="str">
        <f t="shared" si="195"/>
        <v/>
      </c>
    </row>
    <row r="7335" spans="1:2">
      <c r="A7335" s="11" t="str">
        <f t="shared" si="195"/>
        <v/>
      </c>
    </row>
    <row r="7336" spans="1:2">
      <c r="A7336" s="11" t="str">
        <f t="shared" si="195"/>
        <v/>
      </c>
    </row>
    <row r="7337" spans="1:2">
      <c r="A7337" s="11" t="str">
        <f t="shared" si="195"/>
        <v/>
      </c>
    </row>
    <row r="7338" spans="1:2">
      <c r="A7338" s="11" t="str">
        <f t="shared" si="195"/>
        <v/>
      </c>
    </row>
    <row r="7339" spans="1:2">
      <c r="A7339" s="11" t="str">
        <f t="shared" si="195"/>
        <v/>
      </c>
    </row>
    <row r="7340" spans="1:2">
      <c r="A7340" s="11" t="str">
        <f t="shared" si="195"/>
        <v/>
      </c>
    </row>
    <row r="7341" spans="1:2">
      <c r="A7341" s="11" t="str">
        <f t="shared" si="195"/>
        <v/>
      </c>
    </row>
    <row r="7342" spans="1:2">
      <c r="A7342" s="11" t="str">
        <f t="shared" si="195"/>
        <v/>
      </c>
    </row>
    <row r="7343" spans="1:2">
      <c r="A7343" s="11" t="str">
        <f t="shared" si="195"/>
        <v/>
      </c>
    </row>
    <row r="7344" spans="1:2">
      <c r="A7344" s="11" t="str">
        <f t="shared" si="195"/>
        <v/>
      </c>
    </row>
    <row r="7345" spans="1:1">
      <c r="A7345" s="11" t="str">
        <f t="shared" si="195"/>
        <v/>
      </c>
    </row>
    <row r="7346" spans="1:1">
      <c r="A7346" s="11" t="str">
        <f t="shared" si="195"/>
        <v/>
      </c>
    </row>
    <row r="7347" spans="1:1">
      <c r="A7347" s="11" t="str">
        <f t="shared" si="195"/>
        <v/>
      </c>
    </row>
    <row r="7348" spans="1:1">
      <c r="A7348" s="11" t="str">
        <f t="shared" si="195"/>
        <v/>
      </c>
    </row>
    <row r="7349" spans="1:1">
      <c r="A7349" s="11" t="str">
        <f t="shared" si="195"/>
        <v/>
      </c>
    </row>
    <row r="7350" spans="1:1">
      <c r="A7350" s="11" t="str">
        <f t="shared" si="195"/>
        <v/>
      </c>
    </row>
    <row r="7351" spans="1:1">
      <c r="A7351" s="11" t="str">
        <f t="shared" si="195"/>
        <v/>
      </c>
    </row>
    <row r="7352" spans="1:1">
      <c r="A7352" s="11" t="str">
        <f t="shared" si="195"/>
        <v/>
      </c>
    </row>
    <row r="7353" spans="1:1">
      <c r="A7353" s="11" t="str">
        <f t="shared" si="195"/>
        <v/>
      </c>
    </row>
    <row r="7354" spans="1:1">
      <c r="A7354" s="11" t="str">
        <f t="shared" si="195"/>
        <v/>
      </c>
    </row>
    <row r="7355" spans="1:1">
      <c r="A7355" s="11" t="str">
        <f t="shared" si="195"/>
        <v/>
      </c>
    </row>
    <row r="7356" spans="1:1">
      <c r="A7356" s="11" t="str">
        <f t="shared" si="195"/>
        <v/>
      </c>
    </row>
    <row r="7357" spans="1:1">
      <c r="A7357" s="11" t="str">
        <f t="shared" si="195"/>
        <v/>
      </c>
    </row>
    <row r="7358" spans="1:1">
      <c r="A7358" s="11" t="str">
        <f t="shared" si="195"/>
        <v/>
      </c>
    </row>
    <row r="7359" spans="1:1">
      <c r="A7359" s="11" t="str">
        <f t="shared" si="195"/>
        <v/>
      </c>
    </row>
    <row r="7360" spans="1:1">
      <c r="A7360" s="11" t="str">
        <f t="shared" si="195"/>
        <v/>
      </c>
    </row>
    <row r="7361" spans="1:1">
      <c r="A7361" s="11" t="str">
        <f t="shared" si="195"/>
        <v/>
      </c>
    </row>
    <row r="7362" spans="1:1">
      <c r="A7362" s="11" t="str">
        <f t="shared" si="195"/>
        <v/>
      </c>
    </row>
    <row r="7363" spans="1:1">
      <c r="A7363" s="11" t="str">
        <f t="shared" ref="A7363:A7426" si="196">B7363&amp;D7363</f>
        <v/>
      </c>
    </row>
    <row r="7364" spans="1:1">
      <c r="A7364" s="11" t="str">
        <f t="shared" si="196"/>
        <v/>
      </c>
    </row>
    <row r="7365" spans="1:1">
      <c r="A7365" s="11" t="str">
        <f t="shared" si="196"/>
        <v/>
      </c>
    </row>
    <row r="7366" spans="1:1">
      <c r="A7366" s="11" t="str">
        <f t="shared" si="196"/>
        <v/>
      </c>
    </row>
    <row r="7367" spans="1:1">
      <c r="A7367" s="11" t="str">
        <f t="shared" si="196"/>
        <v/>
      </c>
    </row>
    <row r="7368" spans="1:1">
      <c r="A7368" s="11" t="str">
        <f t="shared" si="196"/>
        <v/>
      </c>
    </row>
    <row r="7369" spans="1:1">
      <c r="A7369" s="11" t="str">
        <f t="shared" si="196"/>
        <v/>
      </c>
    </row>
    <row r="7370" spans="1:1">
      <c r="A7370" s="11" t="str">
        <f t="shared" si="196"/>
        <v/>
      </c>
    </row>
    <row r="7371" spans="1:1">
      <c r="A7371" s="11" t="str">
        <f t="shared" si="196"/>
        <v/>
      </c>
    </row>
    <row r="7372" spans="1:1">
      <c r="A7372" s="11" t="str">
        <f t="shared" si="196"/>
        <v/>
      </c>
    </row>
    <row r="7373" spans="1:1">
      <c r="A7373" s="11" t="str">
        <f t="shared" si="196"/>
        <v/>
      </c>
    </row>
    <row r="7374" spans="1:1">
      <c r="A7374" s="11" t="str">
        <f t="shared" si="196"/>
        <v/>
      </c>
    </row>
    <row r="7375" spans="1:1">
      <c r="A7375" s="11" t="str">
        <f t="shared" si="196"/>
        <v/>
      </c>
    </row>
    <row r="7376" spans="1:1">
      <c r="A7376" s="11" t="str">
        <f t="shared" si="196"/>
        <v/>
      </c>
    </row>
    <row r="7377" spans="1:1">
      <c r="A7377" s="11" t="str">
        <f t="shared" si="196"/>
        <v/>
      </c>
    </row>
    <row r="7378" spans="1:1">
      <c r="A7378" s="11" t="str">
        <f t="shared" si="196"/>
        <v/>
      </c>
    </row>
    <row r="7379" spans="1:1">
      <c r="A7379" s="11" t="str">
        <f t="shared" si="196"/>
        <v/>
      </c>
    </row>
    <row r="7380" spans="1:1">
      <c r="A7380" s="11" t="str">
        <f t="shared" si="196"/>
        <v/>
      </c>
    </row>
    <row r="7381" spans="1:1">
      <c r="A7381" s="11" t="str">
        <f t="shared" si="196"/>
        <v/>
      </c>
    </row>
    <row r="7382" spans="1:1">
      <c r="A7382" s="11" t="str">
        <f t="shared" si="196"/>
        <v/>
      </c>
    </row>
    <row r="7383" spans="1:1">
      <c r="A7383" s="11" t="str">
        <f t="shared" si="196"/>
        <v/>
      </c>
    </row>
    <row r="7384" spans="1:1">
      <c r="A7384" s="11" t="str">
        <f t="shared" si="196"/>
        <v/>
      </c>
    </row>
    <row r="7385" spans="1:1">
      <c r="A7385" s="11" t="str">
        <f t="shared" si="196"/>
        <v/>
      </c>
    </row>
    <row r="7386" spans="1:1">
      <c r="A7386" s="11" t="str">
        <f t="shared" si="196"/>
        <v/>
      </c>
    </row>
    <row r="7387" spans="1:1">
      <c r="A7387" s="11" t="str">
        <f t="shared" si="196"/>
        <v/>
      </c>
    </row>
    <row r="7388" spans="1:1">
      <c r="A7388" s="11" t="str">
        <f t="shared" si="196"/>
        <v/>
      </c>
    </row>
    <row r="7389" spans="1:1">
      <c r="A7389" s="11" t="str">
        <f t="shared" si="196"/>
        <v/>
      </c>
    </row>
    <row r="7390" spans="1:1">
      <c r="A7390" s="11" t="str">
        <f t="shared" si="196"/>
        <v/>
      </c>
    </row>
    <row r="7391" spans="1:1">
      <c r="A7391" s="11" t="str">
        <f t="shared" si="196"/>
        <v/>
      </c>
    </row>
    <row r="7392" spans="1:1">
      <c r="A7392" s="11" t="str">
        <f t="shared" si="196"/>
        <v/>
      </c>
    </row>
    <row r="7393" spans="1:1">
      <c r="A7393" s="11" t="str">
        <f t="shared" si="196"/>
        <v/>
      </c>
    </row>
    <row r="7394" spans="1:1">
      <c r="A7394" s="11" t="str">
        <f t="shared" si="196"/>
        <v/>
      </c>
    </row>
    <row r="7395" spans="1:1">
      <c r="A7395" s="11" t="str">
        <f t="shared" si="196"/>
        <v/>
      </c>
    </row>
    <row r="7396" spans="1:1">
      <c r="A7396" s="11" t="str">
        <f t="shared" si="196"/>
        <v/>
      </c>
    </row>
    <row r="7397" spans="1:1">
      <c r="A7397" s="11" t="str">
        <f t="shared" si="196"/>
        <v/>
      </c>
    </row>
    <row r="7398" spans="1:1">
      <c r="A7398" s="11" t="str">
        <f t="shared" si="196"/>
        <v/>
      </c>
    </row>
    <row r="7399" spans="1:1">
      <c r="A7399" s="11" t="str">
        <f t="shared" si="196"/>
        <v/>
      </c>
    </row>
    <row r="7400" spans="1:1">
      <c r="A7400" s="11" t="str">
        <f t="shared" si="196"/>
        <v/>
      </c>
    </row>
    <row r="7401" spans="1:1">
      <c r="A7401" s="11" t="str">
        <f t="shared" si="196"/>
        <v/>
      </c>
    </row>
    <row r="7402" spans="1:1">
      <c r="A7402" s="11" t="str">
        <f t="shared" si="196"/>
        <v/>
      </c>
    </row>
    <row r="7403" spans="1:1">
      <c r="A7403" s="11" t="str">
        <f t="shared" si="196"/>
        <v/>
      </c>
    </row>
    <row r="7404" spans="1:1">
      <c r="A7404" s="11" t="str">
        <f t="shared" si="196"/>
        <v/>
      </c>
    </row>
    <row r="7405" spans="1:1">
      <c r="A7405" s="11" t="str">
        <f t="shared" si="196"/>
        <v/>
      </c>
    </row>
    <row r="7406" spans="1:1">
      <c r="A7406" s="11" t="str">
        <f t="shared" si="196"/>
        <v/>
      </c>
    </row>
    <row r="7407" spans="1:1">
      <c r="A7407" s="11" t="str">
        <f t="shared" si="196"/>
        <v/>
      </c>
    </row>
    <row r="7408" spans="1:1">
      <c r="A7408" s="11" t="str">
        <f t="shared" si="196"/>
        <v/>
      </c>
    </row>
    <row r="7409" spans="1:1">
      <c r="A7409" s="11" t="str">
        <f t="shared" si="196"/>
        <v/>
      </c>
    </row>
    <row r="7410" spans="1:1">
      <c r="A7410" s="11" t="str">
        <f t="shared" si="196"/>
        <v/>
      </c>
    </row>
    <row r="7411" spans="1:1">
      <c r="A7411" s="11" t="str">
        <f t="shared" si="196"/>
        <v/>
      </c>
    </row>
    <row r="7412" spans="1:1">
      <c r="A7412" s="11" t="str">
        <f t="shared" si="196"/>
        <v/>
      </c>
    </row>
    <row r="7413" spans="1:1">
      <c r="A7413" s="11" t="str">
        <f t="shared" si="196"/>
        <v/>
      </c>
    </row>
    <row r="7414" spans="1:1">
      <c r="A7414" s="11" t="str">
        <f t="shared" si="196"/>
        <v/>
      </c>
    </row>
    <row r="7415" spans="1:1">
      <c r="A7415" s="11" t="str">
        <f t="shared" si="196"/>
        <v/>
      </c>
    </row>
    <row r="7416" spans="1:1">
      <c r="A7416" s="11" t="str">
        <f t="shared" si="196"/>
        <v/>
      </c>
    </row>
    <row r="7417" spans="1:1">
      <c r="A7417" s="11" t="str">
        <f t="shared" si="196"/>
        <v/>
      </c>
    </row>
    <row r="7418" spans="1:1">
      <c r="A7418" s="11" t="str">
        <f t="shared" si="196"/>
        <v/>
      </c>
    </row>
    <row r="7419" spans="1:1">
      <c r="A7419" s="11" t="str">
        <f t="shared" si="196"/>
        <v/>
      </c>
    </row>
    <row r="7420" spans="1:1">
      <c r="A7420" s="11" t="str">
        <f t="shared" si="196"/>
        <v/>
      </c>
    </row>
    <row r="7421" spans="1:1">
      <c r="A7421" s="11" t="str">
        <f t="shared" si="196"/>
        <v/>
      </c>
    </row>
    <row r="7422" spans="1:1">
      <c r="A7422" s="11" t="str">
        <f t="shared" si="196"/>
        <v/>
      </c>
    </row>
    <row r="7423" spans="1:1">
      <c r="A7423" s="11" t="str">
        <f t="shared" si="196"/>
        <v/>
      </c>
    </row>
    <row r="7424" spans="1:1">
      <c r="A7424" s="11" t="str">
        <f t="shared" si="196"/>
        <v/>
      </c>
    </row>
    <row r="7425" spans="1:1">
      <c r="A7425" s="11" t="str">
        <f t="shared" si="196"/>
        <v/>
      </c>
    </row>
    <row r="7426" spans="1:1">
      <c r="A7426" s="11" t="str">
        <f t="shared" si="196"/>
        <v/>
      </c>
    </row>
    <row r="7427" spans="1:1">
      <c r="A7427" s="11" t="str">
        <f t="shared" ref="A7427:A7490" si="197">B7427&amp;D7427</f>
        <v/>
      </c>
    </row>
    <row r="7428" spans="1:1">
      <c r="A7428" s="11" t="str">
        <f t="shared" si="197"/>
        <v/>
      </c>
    </row>
    <row r="7429" spans="1:1">
      <c r="A7429" s="11" t="str">
        <f t="shared" si="197"/>
        <v/>
      </c>
    </row>
    <row r="7430" spans="1:1">
      <c r="A7430" s="11" t="str">
        <f t="shared" si="197"/>
        <v/>
      </c>
    </row>
    <row r="7431" spans="1:1">
      <c r="A7431" s="11" t="str">
        <f t="shared" si="197"/>
        <v/>
      </c>
    </row>
    <row r="7432" spans="1:1">
      <c r="A7432" s="11" t="str">
        <f t="shared" si="197"/>
        <v/>
      </c>
    </row>
    <row r="7433" spans="1:1">
      <c r="A7433" s="11" t="str">
        <f t="shared" si="197"/>
        <v/>
      </c>
    </row>
    <row r="7434" spans="1:1">
      <c r="A7434" s="11" t="str">
        <f t="shared" si="197"/>
        <v/>
      </c>
    </row>
    <row r="7435" spans="1:1">
      <c r="A7435" s="11" t="str">
        <f t="shared" si="197"/>
        <v/>
      </c>
    </row>
    <row r="7436" spans="1:1">
      <c r="A7436" s="11" t="str">
        <f t="shared" si="197"/>
        <v/>
      </c>
    </row>
    <row r="7437" spans="1:1">
      <c r="A7437" s="11" t="str">
        <f t="shared" si="197"/>
        <v/>
      </c>
    </row>
    <row r="7438" spans="1:1">
      <c r="A7438" s="11" t="str">
        <f t="shared" si="197"/>
        <v/>
      </c>
    </row>
    <row r="7439" spans="1:1">
      <c r="A7439" s="11" t="str">
        <f t="shared" si="197"/>
        <v/>
      </c>
    </row>
    <row r="7440" spans="1:1">
      <c r="A7440" s="11" t="str">
        <f t="shared" si="197"/>
        <v/>
      </c>
    </row>
    <row r="7441" spans="1:1">
      <c r="A7441" s="11" t="str">
        <f t="shared" si="197"/>
        <v/>
      </c>
    </row>
    <row r="7442" spans="1:1">
      <c r="A7442" s="11" t="str">
        <f t="shared" si="197"/>
        <v/>
      </c>
    </row>
    <row r="7443" spans="1:1">
      <c r="A7443" s="11" t="str">
        <f t="shared" si="197"/>
        <v/>
      </c>
    </row>
    <row r="7444" spans="1:1">
      <c r="A7444" s="11" t="str">
        <f t="shared" si="197"/>
        <v/>
      </c>
    </row>
    <row r="7445" spans="1:1">
      <c r="A7445" s="11" t="str">
        <f t="shared" si="197"/>
        <v/>
      </c>
    </row>
    <row r="7446" spans="1:1">
      <c r="A7446" s="11" t="str">
        <f t="shared" si="197"/>
        <v/>
      </c>
    </row>
    <row r="7447" spans="1:1">
      <c r="A7447" s="11" t="str">
        <f t="shared" si="197"/>
        <v/>
      </c>
    </row>
    <row r="7448" spans="1:1">
      <c r="A7448" s="11" t="str">
        <f t="shared" si="197"/>
        <v/>
      </c>
    </row>
    <row r="7449" spans="1:1">
      <c r="A7449" s="11" t="str">
        <f t="shared" si="197"/>
        <v/>
      </c>
    </row>
    <row r="7450" spans="1:1">
      <c r="A7450" s="11" t="str">
        <f t="shared" si="197"/>
        <v/>
      </c>
    </row>
    <row r="7451" spans="1:1">
      <c r="A7451" s="11" t="str">
        <f t="shared" si="197"/>
        <v/>
      </c>
    </row>
    <row r="7452" spans="1:1">
      <c r="A7452" s="11" t="str">
        <f t="shared" si="197"/>
        <v/>
      </c>
    </row>
    <row r="7453" spans="1:1">
      <c r="A7453" s="11" t="str">
        <f t="shared" si="197"/>
        <v/>
      </c>
    </row>
    <row r="7454" spans="1:1">
      <c r="A7454" s="11" t="str">
        <f t="shared" si="197"/>
        <v/>
      </c>
    </row>
    <row r="7455" spans="1:1">
      <c r="A7455" s="11" t="str">
        <f t="shared" si="197"/>
        <v/>
      </c>
    </row>
    <row r="7456" spans="1:1">
      <c r="A7456" s="11" t="str">
        <f t="shared" si="197"/>
        <v/>
      </c>
    </row>
    <row r="7457" spans="1:1">
      <c r="A7457" s="11" t="str">
        <f t="shared" si="197"/>
        <v/>
      </c>
    </row>
    <row r="7458" spans="1:1">
      <c r="A7458" s="11" t="str">
        <f t="shared" si="197"/>
        <v/>
      </c>
    </row>
    <row r="7459" spans="1:1">
      <c r="A7459" s="11" t="str">
        <f t="shared" si="197"/>
        <v/>
      </c>
    </row>
    <row r="7460" spans="1:1">
      <c r="A7460" s="11" t="str">
        <f t="shared" si="197"/>
        <v/>
      </c>
    </row>
    <row r="7461" spans="1:1">
      <c r="A7461" s="11" t="str">
        <f t="shared" si="197"/>
        <v/>
      </c>
    </row>
    <row r="7462" spans="1:1">
      <c r="A7462" s="11" t="str">
        <f t="shared" si="197"/>
        <v/>
      </c>
    </row>
    <row r="7463" spans="1:1">
      <c r="A7463" s="11" t="str">
        <f t="shared" si="197"/>
        <v/>
      </c>
    </row>
    <row r="7464" spans="1:1">
      <c r="A7464" s="11" t="str">
        <f t="shared" si="197"/>
        <v/>
      </c>
    </row>
    <row r="7465" spans="1:1">
      <c r="A7465" s="11" t="str">
        <f t="shared" si="197"/>
        <v/>
      </c>
    </row>
    <row r="7466" spans="1:1">
      <c r="A7466" s="11" t="str">
        <f t="shared" si="197"/>
        <v/>
      </c>
    </row>
    <row r="7467" spans="1:1">
      <c r="A7467" s="11" t="str">
        <f t="shared" si="197"/>
        <v/>
      </c>
    </row>
    <row r="7468" spans="1:1">
      <c r="A7468" s="11" t="str">
        <f t="shared" si="197"/>
        <v/>
      </c>
    </row>
    <row r="7469" spans="1:1">
      <c r="A7469" s="11" t="str">
        <f t="shared" si="197"/>
        <v/>
      </c>
    </row>
    <row r="7470" spans="1:1">
      <c r="A7470" s="11" t="str">
        <f t="shared" si="197"/>
        <v/>
      </c>
    </row>
    <row r="7471" spans="1:1">
      <c r="A7471" s="11" t="str">
        <f t="shared" si="197"/>
        <v/>
      </c>
    </row>
    <row r="7472" spans="1:1">
      <c r="A7472" s="11" t="str">
        <f t="shared" si="197"/>
        <v/>
      </c>
    </row>
    <row r="7473" spans="1:1">
      <c r="A7473" s="11" t="str">
        <f t="shared" si="197"/>
        <v/>
      </c>
    </row>
    <row r="7474" spans="1:1">
      <c r="A7474" s="11" t="str">
        <f t="shared" si="197"/>
        <v/>
      </c>
    </row>
    <row r="7475" spans="1:1">
      <c r="A7475" s="11" t="str">
        <f t="shared" si="197"/>
        <v/>
      </c>
    </row>
    <row r="7476" spans="1:1">
      <c r="A7476" s="11" t="str">
        <f t="shared" si="197"/>
        <v/>
      </c>
    </row>
    <row r="7477" spans="1:1">
      <c r="A7477" s="11" t="str">
        <f t="shared" si="197"/>
        <v/>
      </c>
    </row>
    <row r="7478" spans="1:1">
      <c r="A7478" s="11" t="str">
        <f t="shared" si="197"/>
        <v/>
      </c>
    </row>
    <row r="7479" spans="1:1">
      <c r="A7479" s="11" t="str">
        <f t="shared" si="197"/>
        <v/>
      </c>
    </row>
    <row r="7480" spans="1:1">
      <c r="A7480" s="11" t="str">
        <f t="shared" si="197"/>
        <v/>
      </c>
    </row>
    <row r="7481" spans="1:1">
      <c r="A7481" s="11" t="str">
        <f t="shared" si="197"/>
        <v/>
      </c>
    </row>
    <row r="7482" spans="1:1">
      <c r="A7482" s="11" t="str">
        <f t="shared" si="197"/>
        <v/>
      </c>
    </row>
    <row r="7483" spans="1:1">
      <c r="A7483" s="11" t="str">
        <f t="shared" si="197"/>
        <v/>
      </c>
    </row>
    <row r="7484" spans="1:1">
      <c r="A7484" s="11" t="str">
        <f t="shared" si="197"/>
        <v/>
      </c>
    </row>
    <row r="7485" spans="1:1">
      <c r="A7485" s="11" t="str">
        <f t="shared" si="197"/>
        <v/>
      </c>
    </row>
    <row r="7486" spans="1:1">
      <c r="A7486" s="11" t="str">
        <f t="shared" si="197"/>
        <v/>
      </c>
    </row>
    <row r="7487" spans="1:1">
      <c r="A7487" s="11" t="str">
        <f t="shared" si="197"/>
        <v/>
      </c>
    </row>
    <row r="7488" spans="1:1">
      <c r="A7488" s="11" t="str">
        <f t="shared" si="197"/>
        <v/>
      </c>
    </row>
    <row r="7489" spans="1:1">
      <c r="A7489" s="11" t="str">
        <f t="shared" si="197"/>
        <v/>
      </c>
    </row>
    <row r="7490" spans="1:1">
      <c r="A7490" s="11" t="str">
        <f t="shared" si="197"/>
        <v/>
      </c>
    </row>
    <row r="7491" spans="1:1">
      <c r="A7491" s="11" t="str">
        <f t="shared" ref="A7491:A7554" si="198">B7491&amp;D7491</f>
        <v/>
      </c>
    </row>
    <row r="7492" spans="1:1">
      <c r="A7492" s="11" t="str">
        <f t="shared" si="198"/>
        <v/>
      </c>
    </row>
    <row r="7493" spans="1:1">
      <c r="A7493" s="11" t="str">
        <f t="shared" si="198"/>
        <v/>
      </c>
    </row>
    <row r="7494" spans="1:1">
      <c r="A7494" s="11" t="str">
        <f t="shared" si="198"/>
        <v/>
      </c>
    </row>
    <row r="7495" spans="1:1">
      <c r="A7495" s="11" t="str">
        <f t="shared" si="198"/>
        <v/>
      </c>
    </row>
    <row r="7496" spans="1:1">
      <c r="A7496" s="11" t="str">
        <f t="shared" si="198"/>
        <v/>
      </c>
    </row>
    <row r="7497" spans="1:1">
      <c r="A7497" s="11" t="str">
        <f t="shared" si="198"/>
        <v/>
      </c>
    </row>
    <row r="7498" spans="1:1">
      <c r="A7498" s="11" t="str">
        <f t="shared" si="198"/>
        <v/>
      </c>
    </row>
    <row r="7499" spans="1:1">
      <c r="A7499" s="11" t="str">
        <f t="shared" si="198"/>
        <v/>
      </c>
    </row>
    <row r="7500" spans="1:1">
      <c r="A7500" s="11" t="str">
        <f t="shared" si="198"/>
        <v/>
      </c>
    </row>
    <row r="7501" spans="1:1">
      <c r="A7501" s="11" t="str">
        <f t="shared" si="198"/>
        <v/>
      </c>
    </row>
    <row r="7502" spans="1:1">
      <c r="A7502" s="11" t="str">
        <f t="shared" si="198"/>
        <v/>
      </c>
    </row>
    <row r="7503" spans="1:1">
      <c r="A7503" s="11" t="str">
        <f t="shared" si="198"/>
        <v/>
      </c>
    </row>
    <row r="7504" spans="1:1">
      <c r="A7504" s="11" t="str">
        <f t="shared" si="198"/>
        <v/>
      </c>
    </row>
    <row r="7505" spans="1:1">
      <c r="A7505" s="11" t="str">
        <f t="shared" si="198"/>
        <v/>
      </c>
    </row>
    <row r="7506" spans="1:1">
      <c r="A7506" s="11" t="str">
        <f t="shared" si="198"/>
        <v/>
      </c>
    </row>
    <row r="7507" spans="1:1">
      <c r="A7507" s="11" t="str">
        <f t="shared" si="198"/>
        <v/>
      </c>
    </row>
    <row r="7508" spans="1:1">
      <c r="A7508" s="11" t="str">
        <f t="shared" si="198"/>
        <v/>
      </c>
    </row>
    <row r="7509" spans="1:1">
      <c r="A7509" s="11" t="str">
        <f t="shared" si="198"/>
        <v/>
      </c>
    </row>
    <row r="7510" spans="1:1">
      <c r="A7510" s="11" t="str">
        <f t="shared" si="198"/>
        <v/>
      </c>
    </row>
    <row r="7511" spans="1:1">
      <c r="A7511" s="11" t="str">
        <f t="shared" si="198"/>
        <v/>
      </c>
    </row>
    <row r="7512" spans="1:1">
      <c r="A7512" s="11" t="str">
        <f t="shared" si="198"/>
        <v/>
      </c>
    </row>
    <row r="7513" spans="1:1">
      <c r="A7513" s="11" t="str">
        <f t="shared" si="198"/>
        <v/>
      </c>
    </row>
    <row r="7514" spans="1:1">
      <c r="A7514" s="11" t="str">
        <f t="shared" si="198"/>
        <v/>
      </c>
    </row>
    <row r="7515" spans="1:1">
      <c r="A7515" s="11" t="str">
        <f t="shared" si="198"/>
        <v/>
      </c>
    </row>
    <row r="7516" spans="1:1">
      <c r="A7516" s="11" t="str">
        <f t="shared" si="198"/>
        <v/>
      </c>
    </row>
    <row r="7517" spans="1:1">
      <c r="A7517" s="11" t="str">
        <f t="shared" si="198"/>
        <v/>
      </c>
    </row>
    <row r="7518" spans="1:1">
      <c r="A7518" s="11" t="str">
        <f t="shared" si="198"/>
        <v/>
      </c>
    </row>
    <row r="7519" spans="1:1">
      <c r="A7519" s="11" t="str">
        <f t="shared" si="198"/>
        <v/>
      </c>
    </row>
    <row r="7520" spans="1:1">
      <c r="A7520" s="11" t="str">
        <f t="shared" si="198"/>
        <v/>
      </c>
    </row>
    <row r="7521" spans="1:1">
      <c r="A7521" s="11" t="str">
        <f t="shared" si="198"/>
        <v/>
      </c>
    </row>
    <row r="7522" spans="1:1">
      <c r="A7522" s="11" t="str">
        <f t="shared" si="198"/>
        <v/>
      </c>
    </row>
    <row r="7523" spans="1:1">
      <c r="A7523" s="11" t="str">
        <f t="shared" si="198"/>
        <v/>
      </c>
    </row>
    <row r="7524" spans="1:1">
      <c r="A7524" s="11" t="str">
        <f t="shared" si="198"/>
        <v/>
      </c>
    </row>
    <row r="7525" spans="1:1">
      <c r="A7525" s="11" t="str">
        <f t="shared" si="198"/>
        <v/>
      </c>
    </row>
    <row r="7526" spans="1:1">
      <c r="A7526" s="11" t="str">
        <f t="shared" si="198"/>
        <v/>
      </c>
    </row>
    <row r="7527" spans="1:1">
      <c r="A7527" s="11" t="str">
        <f t="shared" si="198"/>
        <v/>
      </c>
    </row>
    <row r="7528" spans="1:1">
      <c r="A7528" s="11" t="str">
        <f t="shared" si="198"/>
        <v/>
      </c>
    </row>
    <row r="7529" spans="1:1">
      <c r="A7529" s="11" t="str">
        <f t="shared" si="198"/>
        <v/>
      </c>
    </row>
    <row r="7530" spans="1:1">
      <c r="A7530" s="11" t="str">
        <f t="shared" si="198"/>
        <v/>
      </c>
    </row>
    <row r="7531" spans="1:1">
      <c r="A7531" s="11" t="str">
        <f t="shared" si="198"/>
        <v/>
      </c>
    </row>
    <row r="7532" spans="1:1">
      <c r="A7532" s="11" t="str">
        <f t="shared" si="198"/>
        <v/>
      </c>
    </row>
    <row r="7533" spans="1:1">
      <c r="A7533" s="11" t="str">
        <f t="shared" si="198"/>
        <v/>
      </c>
    </row>
    <row r="7534" spans="1:1">
      <c r="A7534" s="11" t="str">
        <f t="shared" si="198"/>
        <v/>
      </c>
    </row>
    <row r="7535" spans="1:1">
      <c r="A7535" s="11" t="str">
        <f t="shared" si="198"/>
        <v/>
      </c>
    </row>
    <row r="7536" spans="1:1">
      <c r="A7536" s="11" t="str">
        <f t="shared" si="198"/>
        <v/>
      </c>
    </row>
    <row r="7537" spans="1:1">
      <c r="A7537" s="11" t="str">
        <f t="shared" si="198"/>
        <v/>
      </c>
    </row>
    <row r="7538" spans="1:1">
      <c r="A7538" s="11" t="str">
        <f t="shared" si="198"/>
        <v/>
      </c>
    </row>
    <row r="7539" spans="1:1">
      <c r="A7539" s="11" t="str">
        <f t="shared" si="198"/>
        <v/>
      </c>
    </row>
    <row r="7540" spans="1:1">
      <c r="A7540" s="11" t="str">
        <f t="shared" si="198"/>
        <v/>
      </c>
    </row>
    <row r="7541" spans="1:1">
      <c r="A7541" s="11" t="str">
        <f t="shared" si="198"/>
        <v/>
      </c>
    </row>
    <row r="7542" spans="1:1">
      <c r="A7542" s="11" t="str">
        <f t="shared" si="198"/>
        <v/>
      </c>
    </row>
    <row r="7543" spans="1:1">
      <c r="A7543" s="11" t="str">
        <f t="shared" si="198"/>
        <v/>
      </c>
    </row>
    <row r="7544" spans="1:1">
      <c r="A7544" s="11" t="str">
        <f t="shared" si="198"/>
        <v/>
      </c>
    </row>
    <row r="7545" spans="1:1">
      <c r="A7545" s="11" t="str">
        <f t="shared" si="198"/>
        <v/>
      </c>
    </row>
    <row r="7546" spans="1:1">
      <c r="A7546" s="11" t="str">
        <f t="shared" si="198"/>
        <v/>
      </c>
    </row>
    <row r="7547" spans="1:1">
      <c r="A7547" s="11" t="str">
        <f t="shared" si="198"/>
        <v/>
      </c>
    </row>
    <row r="7548" spans="1:1">
      <c r="A7548" s="11" t="str">
        <f t="shared" si="198"/>
        <v/>
      </c>
    </row>
    <row r="7549" spans="1:1">
      <c r="A7549" s="11" t="str">
        <f t="shared" si="198"/>
        <v/>
      </c>
    </row>
    <row r="7550" spans="1:1">
      <c r="A7550" s="11" t="str">
        <f t="shared" si="198"/>
        <v/>
      </c>
    </row>
    <row r="7551" spans="1:1">
      <c r="A7551" s="11" t="str">
        <f t="shared" si="198"/>
        <v/>
      </c>
    </row>
    <row r="7552" spans="1:1">
      <c r="A7552" s="11" t="str">
        <f t="shared" si="198"/>
        <v/>
      </c>
    </row>
    <row r="7553" spans="1:1">
      <c r="A7553" s="11" t="str">
        <f t="shared" si="198"/>
        <v/>
      </c>
    </row>
    <row r="7554" spans="1:1">
      <c r="A7554" s="11" t="str">
        <f t="shared" si="198"/>
        <v/>
      </c>
    </row>
    <row r="7555" spans="1:1">
      <c r="A7555" s="11" t="str">
        <f t="shared" ref="A7555:A7618" si="199">B7555&amp;D7555</f>
        <v/>
      </c>
    </row>
    <row r="7556" spans="1:1">
      <c r="A7556" s="11" t="str">
        <f t="shared" si="199"/>
        <v/>
      </c>
    </row>
    <row r="7557" spans="1:1">
      <c r="A7557" s="11" t="str">
        <f t="shared" si="199"/>
        <v/>
      </c>
    </row>
    <row r="7558" spans="1:1">
      <c r="A7558" s="11" t="str">
        <f t="shared" si="199"/>
        <v/>
      </c>
    </row>
    <row r="7559" spans="1:1">
      <c r="A7559" s="11" t="str">
        <f t="shared" si="199"/>
        <v/>
      </c>
    </row>
    <row r="7560" spans="1:1">
      <c r="A7560" s="11" t="str">
        <f t="shared" si="199"/>
        <v/>
      </c>
    </row>
    <row r="7561" spans="1:1">
      <c r="A7561" s="11" t="str">
        <f t="shared" si="199"/>
        <v/>
      </c>
    </row>
    <row r="7562" spans="1:1">
      <c r="A7562" s="11" t="str">
        <f t="shared" si="199"/>
        <v/>
      </c>
    </row>
    <row r="7563" spans="1:1">
      <c r="A7563" s="11" t="str">
        <f t="shared" si="199"/>
        <v/>
      </c>
    </row>
    <row r="7564" spans="1:1">
      <c r="A7564" s="11" t="str">
        <f t="shared" si="199"/>
        <v/>
      </c>
    </row>
    <row r="7565" spans="1:1">
      <c r="A7565" s="11" t="str">
        <f t="shared" si="199"/>
        <v/>
      </c>
    </row>
    <row r="7566" spans="1:1">
      <c r="A7566" s="11" t="str">
        <f t="shared" si="199"/>
        <v/>
      </c>
    </row>
    <row r="7567" spans="1:1">
      <c r="A7567" s="11" t="str">
        <f t="shared" si="199"/>
        <v/>
      </c>
    </row>
    <row r="7568" spans="1:1">
      <c r="A7568" s="11" t="str">
        <f t="shared" si="199"/>
        <v/>
      </c>
    </row>
    <row r="7569" spans="1:1">
      <c r="A7569" s="11" t="str">
        <f t="shared" si="199"/>
        <v/>
      </c>
    </row>
    <row r="7570" spans="1:1">
      <c r="A7570" s="11" t="str">
        <f t="shared" si="199"/>
        <v/>
      </c>
    </row>
    <row r="7571" spans="1:1">
      <c r="A7571" s="11" t="str">
        <f t="shared" si="199"/>
        <v/>
      </c>
    </row>
    <row r="7572" spans="1:1">
      <c r="A7572" s="11" t="str">
        <f t="shared" si="199"/>
        <v/>
      </c>
    </row>
    <row r="7573" spans="1:1">
      <c r="A7573" s="11" t="str">
        <f t="shared" si="199"/>
        <v/>
      </c>
    </row>
    <row r="7574" spans="1:1">
      <c r="A7574" s="11" t="str">
        <f t="shared" si="199"/>
        <v/>
      </c>
    </row>
    <row r="7575" spans="1:1">
      <c r="A7575" s="11" t="str">
        <f t="shared" si="199"/>
        <v/>
      </c>
    </row>
    <row r="7576" spans="1:1">
      <c r="A7576" s="11" t="str">
        <f t="shared" si="199"/>
        <v/>
      </c>
    </row>
    <row r="7577" spans="1:1">
      <c r="A7577" s="11" t="str">
        <f t="shared" si="199"/>
        <v/>
      </c>
    </row>
    <row r="7578" spans="1:1">
      <c r="A7578" s="11" t="str">
        <f t="shared" si="199"/>
        <v/>
      </c>
    </row>
    <row r="7579" spans="1:1">
      <c r="A7579" s="11" t="str">
        <f t="shared" si="199"/>
        <v/>
      </c>
    </row>
    <row r="7580" spans="1:1">
      <c r="A7580" s="11" t="str">
        <f t="shared" si="199"/>
        <v/>
      </c>
    </row>
    <row r="7581" spans="1:1">
      <c r="A7581" s="11" t="str">
        <f t="shared" si="199"/>
        <v/>
      </c>
    </row>
    <row r="7582" spans="1:1">
      <c r="A7582" s="11" t="str">
        <f t="shared" si="199"/>
        <v/>
      </c>
    </row>
    <row r="7583" spans="1:1">
      <c r="A7583" s="11" t="str">
        <f t="shared" si="199"/>
        <v/>
      </c>
    </row>
    <row r="7584" spans="1:1">
      <c r="A7584" s="11" t="str">
        <f t="shared" si="199"/>
        <v/>
      </c>
    </row>
    <row r="7585" spans="1:1">
      <c r="A7585" s="11" t="str">
        <f t="shared" si="199"/>
        <v/>
      </c>
    </row>
    <row r="7586" spans="1:1">
      <c r="A7586" s="11" t="str">
        <f t="shared" si="199"/>
        <v/>
      </c>
    </row>
    <row r="7587" spans="1:1">
      <c r="A7587" s="11" t="str">
        <f t="shared" si="199"/>
        <v/>
      </c>
    </row>
    <row r="7588" spans="1:1">
      <c r="A7588" s="11" t="str">
        <f t="shared" si="199"/>
        <v/>
      </c>
    </row>
    <row r="7589" spans="1:1">
      <c r="A7589" s="11" t="str">
        <f t="shared" si="199"/>
        <v/>
      </c>
    </row>
    <row r="7590" spans="1:1">
      <c r="A7590" s="11" t="str">
        <f t="shared" si="199"/>
        <v/>
      </c>
    </row>
    <row r="7591" spans="1:1">
      <c r="A7591" s="11" t="str">
        <f t="shared" si="199"/>
        <v/>
      </c>
    </row>
    <row r="7592" spans="1:1">
      <c r="A7592" s="11" t="str">
        <f t="shared" si="199"/>
        <v/>
      </c>
    </row>
    <row r="7593" spans="1:1">
      <c r="A7593" s="11" t="str">
        <f t="shared" si="199"/>
        <v/>
      </c>
    </row>
    <row r="7594" spans="1:1">
      <c r="A7594" s="11" t="str">
        <f t="shared" si="199"/>
        <v/>
      </c>
    </row>
    <row r="7595" spans="1:1">
      <c r="A7595" s="11" t="str">
        <f t="shared" si="199"/>
        <v/>
      </c>
    </row>
    <row r="7596" spans="1:1">
      <c r="A7596" s="11" t="str">
        <f t="shared" si="199"/>
        <v/>
      </c>
    </row>
    <row r="7597" spans="1:1">
      <c r="A7597" s="11" t="str">
        <f t="shared" si="199"/>
        <v/>
      </c>
    </row>
    <row r="7598" spans="1:1">
      <c r="A7598" s="11" t="str">
        <f t="shared" si="199"/>
        <v/>
      </c>
    </row>
    <row r="7599" spans="1:1">
      <c r="A7599" s="11" t="str">
        <f t="shared" si="199"/>
        <v/>
      </c>
    </row>
    <row r="7600" spans="1:1">
      <c r="A7600" s="11" t="str">
        <f t="shared" si="199"/>
        <v/>
      </c>
    </row>
    <row r="7601" spans="1:1">
      <c r="A7601" s="11" t="str">
        <f t="shared" si="199"/>
        <v/>
      </c>
    </row>
    <row r="7602" spans="1:1">
      <c r="A7602" s="11" t="str">
        <f t="shared" si="199"/>
        <v/>
      </c>
    </row>
    <row r="7603" spans="1:1">
      <c r="A7603" s="11" t="str">
        <f t="shared" si="199"/>
        <v/>
      </c>
    </row>
    <row r="7604" spans="1:1">
      <c r="A7604" s="11" t="str">
        <f t="shared" si="199"/>
        <v/>
      </c>
    </row>
    <row r="7605" spans="1:1">
      <c r="A7605" s="11" t="str">
        <f t="shared" si="199"/>
        <v/>
      </c>
    </row>
    <row r="7606" spans="1:1">
      <c r="A7606" s="11" t="str">
        <f t="shared" si="199"/>
        <v/>
      </c>
    </row>
    <row r="7607" spans="1:1">
      <c r="A7607" s="11" t="str">
        <f t="shared" si="199"/>
        <v/>
      </c>
    </row>
    <row r="7608" spans="1:1">
      <c r="A7608" s="11" t="str">
        <f t="shared" si="199"/>
        <v/>
      </c>
    </row>
    <row r="7609" spans="1:1">
      <c r="A7609" s="11" t="str">
        <f t="shared" si="199"/>
        <v/>
      </c>
    </row>
    <row r="7610" spans="1:1">
      <c r="A7610" s="11" t="str">
        <f t="shared" si="199"/>
        <v/>
      </c>
    </row>
    <row r="7611" spans="1:1">
      <c r="A7611" s="11" t="str">
        <f t="shared" si="199"/>
        <v/>
      </c>
    </row>
    <row r="7612" spans="1:1">
      <c r="A7612" s="11" t="str">
        <f t="shared" si="199"/>
        <v/>
      </c>
    </row>
    <row r="7613" spans="1:1">
      <c r="A7613" s="11" t="str">
        <f t="shared" si="199"/>
        <v/>
      </c>
    </row>
    <row r="7614" spans="1:1">
      <c r="A7614" s="11" t="str">
        <f t="shared" si="199"/>
        <v/>
      </c>
    </row>
    <row r="7615" spans="1:1">
      <c r="A7615" s="11" t="str">
        <f t="shared" si="199"/>
        <v/>
      </c>
    </row>
    <row r="7616" spans="1:1">
      <c r="A7616" s="11" t="str">
        <f t="shared" si="199"/>
        <v/>
      </c>
    </row>
    <row r="7617" spans="1:1">
      <c r="A7617" s="11" t="str">
        <f t="shared" si="199"/>
        <v/>
      </c>
    </row>
    <row r="7618" spans="1:1">
      <c r="A7618" s="11" t="str">
        <f t="shared" si="199"/>
        <v/>
      </c>
    </row>
    <row r="7619" spans="1:1">
      <c r="A7619" s="11" t="str">
        <f t="shared" ref="A7619:A7682" si="200">B7619&amp;D7619</f>
        <v/>
      </c>
    </row>
    <row r="7620" spans="1:1">
      <c r="A7620" s="11" t="str">
        <f t="shared" si="200"/>
        <v/>
      </c>
    </row>
    <row r="7621" spans="1:1">
      <c r="A7621" s="11" t="str">
        <f t="shared" si="200"/>
        <v/>
      </c>
    </row>
    <row r="7622" spans="1:1">
      <c r="A7622" s="11" t="str">
        <f t="shared" si="200"/>
        <v/>
      </c>
    </row>
    <row r="7623" spans="1:1">
      <c r="A7623" s="11" t="str">
        <f t="shared" si="200"/>
        <v/>
      </c>
    </row>
    <row r="7624" spans="1:1">
      <c r="A7624" s="11" t="str">
        <f t="shared" si="200"/>
        <v/>
      </c>
    </row>
    <row r="7625" spans="1:1">
      <c r="A7625" s="11" t="str">
        <f t="shared" si="200"/>
        <v/>
      </c>
    </row>
    <row r="7626" spans="1:1">
      <c r="A7626" s="11" t="str">
        <f t="shared" si="200"/>
        <v/>
      </c>
    </row>
    <row r="7627" spans="1:1">
      <c r="A7627" s="11" t="str">
        <f t="shared" si="200"/>
        <v/>
      </c>
    </row>
    <row r="7628" spans="1:1">
      <c r="A7628" s="11" t="str">
        <f t="shared" si="200"/>
        <v/>
      </c>
    </row>
    <row r="7629" spans="1:1">
      <c r="A7629" s="11" t="str">
        <f t="shared" si="200"/>
        <v/>
      </c>
    </row>
    <row r="7630" spans="1:1">
      <c r="A7630" s="11" t="str">
        <f t="shared" si="200"/>
        <v/>
      </c>
    </row>
    <row r="7631" spans="1:1">
      <c r="A7631" s="11" t="str">
        <f t="shared" si="200"/>
        <v/>
      </c>
    </row>
    <row r="7632" spans="1:1">
      <c r="A7632" s="11" t="str">
        <f t="shared" si="200"/>
        <v/>
      </c>
    </row>
    <row r="7633" spans="1:1">
      <c r="A7633" s="11" t="str">
        <f t="shared" si="200"/>
        <v/>
      </c>
    </row>
    <row r="7634" spans="1:1">
      <c r="A7634" s="11" t="str">
        <f t="shared" si="200"/>
        <v/>
      </c>
    </row>
    <row r="7635" spans="1:1">
      <c r="A7635" s="11" t="str">
        <f t="shared" si="200"/>
        <v/>
      </c>
    </row>
    <row r="7636" spans="1:1">
      <c r="A7636" s="11" t="str">
        <f t="shared" si="200"/>
        <v/>
      </c>
    </row>
    <row r="7637" spans="1:1">
      <c r="A7637" s="11" t="str">
        <f t="shared" si="200"/>
        <v/>
      </c>
    </row>
    <row r="7638" spans="1:1">
      <c r="A7638" s="11" t="str">
        <f t="shared" si="200"/>
        <v/>
      </c>
    </row>
    <row r="7639" spans="1:1">
      <c r="A7639" s="11" t="str">
        <f t="shared" si="200"/>
        <v/>
      </c>
    </row>
    <row r="7640" spans="1:1">
      <c r="A7640" s="11" t="str">
        <f t="shared" si="200"/>
        <v/>
      </c>
    </row>
    <row r="7641" spans="1:1">
      <c r="A7641" s="11" t="str">
        <f t="shared" si="200"/>
        <v/>
      </c>
    </row>
    <row r="7642" spans="1:1">
      <c r="A7642" s="11" t="str">
        <f t="shared" si="200"/>
        <v/>
      </c>
    </row>
    <row r="7643" spans="1:1">
      <c r="A7643" s="11" t="str">
        <f t="shared" si="200"/>
        <v/>
      </c>
    </row>
    <row r="7644" spans="1:1">
      <c r="A7644" s="11" t="str">
        <f t="shared" si="200"/>
        <v/>
      </c>
    </row>
    <row r="7645" spans="1:1">
      <c r="A7645" s="11" t="str">
        <f t="shared" si="200"/>
        <v/>
      </c>
    </row>
    <row r="7646" spans="1:1">
      <c r="A7646" s="11" t="str">
        <f t="shared" si="200"/>
        <v/>
      </c>
    </row>
    <row r="7647" spans="1:1">
      <c r="A7647" s="11" t="str">
        <f t="shared" si="200"/>
        <v/>
      </c>
    </row>
    <row r="7648" spans="1:1">
      <c r="A7648" s="11" t="str">
        <f t="shared" si="200"/>
        <v/>
      </c>
    </row>
    <row r="7649" spans="1:1">
      <c r="A7649" s="11" t="str">
        <f t="shared" si="200"/>
        <v/>
      </c>
    </row>
    <row r="7650" spans="1:1">
      <c r="A7650" s="11" t="str">
        <f t="shared" si="200"/>
        <v/>
      </c>
    </row>
    <row r="7651" spans="1:1">
      <c r="A7651" s="11" t="str">
        <f t="shared" si="200"/>
        <v/>
      </c>
    </row>
    <row r="7652" spans="1:1">
      <c r="A7652" s="11" t="str">
        <f t="shared" si="200"/>
        <v/>
      </c>
    </row>
    <row r="7653" spans="1:1">
      <c r="A7653" s="11" t="str">
        <f t="shared" si="200"/>
        <v/>
      </c>
    </row>
    <row r="7654" spans="1:1">
      <c r="A7654" s="11" t="str">
        <f t="shared" si="200"/>
        <v/>
      </c>
    </row>
    <row r="7655" spans="1:1">
      <c r="A7655" s="11" t="str">
        <f t="shared" si="200"/>
        <v/>
      </c>
    </row>
    <row r="7656" spans="1:1">
      <c r="A7656" s="11" t="str">
        <f t="shared" si="200"/>
        <v/>
      </c>
    </row>
    <row r="7657" spans="1:1">
      <c r="A7657" s="11" t="str">
        <f t="shared" si="200"/>
        <v/>
      </c>
    </row>
    <row r="7658" spans="1:1">
      <c r="A7658" s="11" t="str">
        <f t="shared" si="200"/>
        <v/>
      </c>
    </row>
    <row r="7659" spans="1:1">
      <c r="A7659" s="11" t="str">
        <f t="shared" si="200"/>
        <v/>
      </c>
    </row>
    <row r="7660" spans="1:1">
      <c r="A7660" s="11" t="str">
        <f t="shared" si="200"/>
        <v/>
      </c>
    </row>
    <row r="7661" spans="1:1">
      <c r="A7661" s="11" t="str">
        <f t="shared" si="200"/>
        <v/>
      </c>
    </row>
    <row r="7662" spans="1:1">
      <c r="A7662" s="11" t="str">
        <f t="shared" si="200"/>
        <v/>
      </c>
    </row>
    <row r="7663" spans="1:1">
      <c r="A7663" s="11" t="str">
        <f t="shared" si="200"/>
        <v/>
      </c>
    </row>
    <row r="7664" spans="1:1">
      <c r="A7664" s="11" t="str">
        <f t="shared" si="200"/>
        <v/>
      </c>
    </row>
    <row r="7665" spans="1:1">
      <c r="A7665" s="11" t="str">
        <f t="shared" si="200"/>
        <v/>
      </c>
    </row>
    <row r="7666" spans="1:1">
      <c r="A7666" s="11" t="str">
        <f t="shared" si="200"/>
        <v/>
      </c>
    </row>
    <row r="7667" spans="1:1">
      <c r="A7667" s="11" t="str">
        <f t="shared" si="200"/>
        <v/>
      </c>
    </row>
    <row r="7668" spans="1:1">
      <c r="A7668" s="11" t="str">
        <f t="shared" si="200"/>
        <v/>
      </c>
    </row>
    <row r="7669" spans="1:1">
      <c r="A7669" s="11" t="str">
        <f t="shared" si="200"/>
        <v/>
      </c>
    </row>
    <row r="7670" spans="1:1">
      <c r="A7670" s="11" t="str">
        <f t="shared" si="200"/>
        <v/>
      </c>
    </row>
    <row r="7671" spans="1:1">
      <c r="A7671" s="11" t="str">
        <f t="shared" si="200"/>
        <v/>
      </c>
    </row>
    <row r="7672" spans="1:1">
      <c r="A7672" s="11" t="str">
        <f t="shared" si="200"/>
        <v/>
      </c>
    </row>
    <row r="7673" spans="1:1">
      <c r="A7673" s="11" t="str">
        <f t="shared" si="200"/>
        <v/>
      </c>
    </row>
    <row r="7674" spans="1:1">
      <c r="A7674" s="11" t="str">
        <f t="shared" si="200"/>
        <v/>
      </c>
    </row>
    <row r="7675" spans="1:1">
      <c r="A7675" s="11" t="str">
        <f t="shared" si="200"/>
        <v/>
      </c>
    </row>
    <row r="7676" spans="1:1">
      <c r="A7676" s="11" t="str">
        <f t="shared" si="200"/>
        <v/>
      </c>
    </row>
    <row r="7677" spans="1:1">
      <c r="A7677" s="11" t="str">
        <f t="shared" si="200"/>
        <v/>
      </c>
    </row>
    <row r="7678" spans="1:1">
      <c r="A7678" s="11" t="str">
        <f t="shared" si="200"/>
        <v/>
      </c>
    </row>
    <row r="7679" spans="1:1">
      <c r="A7679" s="11" t="str">
        <f t="shared" si="200"/>
        <v/>
      </c>
    </row>
    <row r="7680" spans="1:1">
      <c r="A7680" s="11" t="str">
        <f t="shared" si="200"/>
        <v/>
      </c>
    </row>
    <row r="7681" spans="1:1">
      <c r="A7681" s="11" t="str">
        <f t="shared" si="200"/>
        <v/>
      </c>
    </row>
    <row r="7682" spans="1:1">
      <c r="A7682" s="11" t="str">
        <f t="shared" si="200"/>
        <v/>
      </c>
    </row>
    <row r="7683" spans="1:1">
      <c r="A7683" s="11" t="str">
        <f t="shared" ref="A7683:A7746" si="201">B7683&amp;D7683</f>
        <v/>
      </c>
    </row>
    <row r="7684" spans="1:1">
      <c r="A7684" s="11" t="str">
        <f t="shared" si="201"/>
        <v/>
      </c>
    </row>
    <row r="7685" spans="1:1">
      <c r="A7685" s="11" t="str">
        <f t="shared" si="201"/>
        <v/>
      </c>
    </row>
    <row r="7686" spans="1:1">
      <c r="A7686" s="11" t="str">
        <f t="shared" si="201"/>
        <v/>
      </c>
    </row>
    <row r="7687" spans="1:1">
      <c r="A7687" s="11" t="str">
        <f t="shared" si="201"/>
        <v/>
      </c>
    </row>
    <row r="7688" spans="1:1">
      <c r="A7688" s="11" t="str">
        <f t="shared" si="201"/>
        <v/>
      </c>
    </row>
    <row r="7689" spans="1:1">
      <c r="A7689" s="11" t="str">
        <f t="shared" si="201"/>
        <v/>
      </c>
    </row>
    <row r="7690" spans="1:1">
      <c r="A7690" s="11" t="str">
        <f t="shared" si="201"/>
        <v/>
      </c>
    </row>
    <row r="7691" spans="1:1">
      <c r="A7691" s="11" t="str">
        <f t="shared" si="201"/>
        <v/>
      </c>
    </row>
    <row r="7692" spans="1:1">
      <c r="A7692" s="11" t="str">
        <f t="shared" si="201"/>
        <v/>
      </c>
    </row>
    <row r="7693" spans="1:1">
      <c r="A7693" s="11" t="str">
        <f t="shared" si="201"/>
        <v/>
      </c>
    </row>
    <row r="7694" spans="1:1">
      <c r="A7694" s="11" t="str">
        <f t="shared" si="201"/>
        <v/>
      </c>
    </row>
    <row r="7695" spans="1:1">
      <c r="A7695" s="11" t="str">
        <f t="shared" si="201"/>
        <v/>
      </c>
    </row>
    <row r="7696" spans="1:1">
      <c r="A7696" s="11" t="str">
        <f t="shared" si="201"/>
        <v/>
      </c>
    </row>
    <row r="7697" spans="1:1">
      <c r="A7697" s="11" t="str">
        <f t="shared" si="201"/>
        <v/>
      </c>
    </row>
    <row r="7698" spans="1:1">
      <c r="A7698" s="11" t="str">
        <f t="shared" si="201"/>
        <v/>
      </c>
    </row>
    <row r="7699" spans="1:1">
      <c r="A7699" s="11" t="str">
        <f t="shared" si="201"/>
        <v/>
      </c>
    </row>
    <row r="7700" spans="1:1">
      <c r="A7700" s="11" t="str">
        <f t="shared" si="201"/>
        <v/>
      </c>
    </row>
    <row r="7701" spans="1:1">
      <c r="A7701" s="11" t="str">
        <f t="shared" si="201"/>
        <v/>
      </c>
    </row>
    <row r="7702" spans="1:1">
      <c r="A7702" s="11" t="str">
        <f t="shared" si="201"/>
        <v/>
      </c>
    </row>
    <row r="7703" spans="1:1">
      <c r="A7703" s="11" t="str">
        <f t="shared" si="201"/>
        <v/>
      </c>
    </row>
    <row r="7704" spans="1:1">
      <c r="A7704" s="11" t="str">
        <f t="shared" si="201"/>
        <v/>
      </c>
    </row>
    <row r="7705" spans="1:1">
      <c r="A7705" s="11" t="str">
        <f t="shared" si="201"/>
        <v/>
      </c>
    </row>
    <row r="7706" spans="1:1">
      <c r="A7706" s="11" t="str">
        <f t="shared" si="201"/>
        <v/>
      </c>
    </row>
    <row r="7707" spans="1:1">
      <c r="A7707" s="11" t="str">
        <f t="shared" si="201"/>
        <v/>
      </c>
    </row>
    <row r="7708" spans="1:1">
      <c r="A7708" s="11" t="str">
        <f t="shared" si="201"/>
        <v/>
      </c>
    </row>
    <row r="7709" spans="1:1">
      <c r="A7709" s="11" t="str">
        <f t="shared" si="201"/>
        <v/>
      </c>
    </row>
    <row r="7710" spans="1:1">
      <c r="A7710" s="11" t="str">
        <f t="shared" si="201"/>
        <v/>
      </c>
    </row>
    <row r="7711" spans="1:1">
      <c r="A7711" s="11" t="str">
        <f t="shared" si="201"/>
        <v/>
      </c>
    </row>
    <row r="7712" spans="1:1">
      <c r="A7712" s="11" t="str">
        <f t="shared" si="201"/>
        <v/>
      </c>
    </row>
    <row r="7713" spans="1:1">
      <c r="A7713" s="11" t="str">
        <f t="shared" si="201"/>
        <v/>
      </c>
    </row>
    <row r="7714" spans="1:1">
      <c r="A7714" s="11" t="str">
        <f t="shared" si="201"/>
        <v/>
      </c>
    </row>
    <row r="7715" spans="1:1">
      <c r="A7715" s="11" t="str">
        <f t="shared" si="201"/>
        <v/>
      </c>
    </row>
    <row r="7716" spans="1:1">
      <c r="A7716" s="11" t="str">
        <f t="shared" si="201"/>
        <v/>
      </c>
    </row>
    <row r="7717" spans="1:1">
      <c r="A7717" s="11" t="str">
        <f t="shared" si="201"/>
        <v/>
      </c>
    </row>
    <row r="7718" spans="1:1">
      <c r="A7718" s="11" t="str">
        <f t="shared" si="201"/>
        <v/>
      </c>
    </row>
    <row r="7719" spans="1:1">
      <c r="A7719" s="11" t="str">
        <f t="shared" si="201"/>
        <v/>
      </c>
    </row>
    <row r="7720" spans="1:1">
      <c r="A7720" s="11" t="str">
        <f t="shared" si="201"/>
        <v/>
      </c>
    </row>
    <row r="7721" spans="1:1">
      <c r="A7721" s="11" t="str">
        <f t="shared" si="201"/>
        <v/>
      </c>
    </row>
    <row r="7722" spans="1:1">
      <c r="A7722" s="11" t="str">
        <f t="shared" si="201"/>
        <v/>
      </c>
    </row>
    <row r="7723" spans="1:1">
      <c r="A7723" s="11" t="str">
        <f t="shared" si="201"/>
        <v/>
      </c>
    </row>
    <row r="7724" spans="1:1">
      <c r="A7724" s="11" t="str">
        <f t="shared" si="201"/>
        <v/>
      </c>
    </row>
    <row r="7725" spans="1:1">
      <c r="A7725" s="11" t="str">
        <f t="shared" si="201"/>
        <v/>
      </c>
    </row>
    <row r="7726" spans="1:1">
      <c r="A7726" s="11" t="str">
        <f t="shared" si="201"/>
        <v/>
      </c>
    </row>
    <row r="7727" spans="1:1">
      <c r="A7727" s="11" t="str">
        <f t="shared" si="201"/>
        <v/>
      </c>
    </row>
    <row r="7728" spans="1:1">
      <c r="A7728" s="11" t="str">
        <f t="shared" si="201"/>
        <v/>
      </c>
    </row>
    <row r="7729" spans="1:1">
      <c r="A7729" s="11" t="str">
        <f t="shared" si="201"/>
        <v/>
      </c>
    </row>
    <row r="7730" spans="1:1">
      <c r="A7730" s="11" t="str">
        <f t="shared" si="201"/>
        <v/>
      </c>
    </row>
    <row r="7731" spans="1:1">
      <c r="A7731" s="11" t="str">
        <f t="shared" si="201"/>
        <v/>
      </c>
    </row>
    <row r="7732" spans="1:1">
      <c r="A7732" s="11" t="str">
        <f t="shared" si="201"/>
        <v/>
      </c>
    </row>
    <row r="7733" spans="1:1">
      <c r="A7733" s="11" t="str">
        <f t="shared" si="201"/>
        <v/>
      </c>
    </row>
    <row r="7734" spans="1:1">
      <c r="A7734" s="11" t="str">
        <f t="shared" si="201"/>
        <v/>
      </c>
    </row>
    <row r="7735" spans="1:1">
      <c r="A7735" s="11" t="str">
        <f t="shared" si="201"/>
        <v/>
      </c>
    </row>
    <row r="7736" spans="1:1">
      <c r="A7736" s="11" t="str">
        <f t="shared" si="201"/>
        <v/>
      </c>
    </row>
    <row r="7737" spans="1:1">
      <c r="A7737" s="11" t="str">
        <f t="shared" si="201"/>
        <v/>
      </c>
    </row>
    <row r="7738" spans="1:1">
      <c r="A7738" s="11" t="str">
        <f t="shared" si="201"/>
        <v/>
      </c>
    </row>
    <row r="7739" spans="1:1">
      <c r="A7739" s="11" t="str">
        <f t="shared" si="201"/>
        <v/>
      </c>
    </row>
    <row r="7740" spans="1:1">
      <c r="A7740" s="11" t="str">
        <f t="shared" si="201"/>
        <v/>
      </c>
    </row>
    <row r="7741" spans="1:1">
      <c r="A7741" s="11" t="str">
        <f t="shared" si="201"/>
        <v/>
      </c>
    </row>
    <row r="7742" spans="1:1">
      <c r="A7742" s="11" t="str">
        <f t="shared" si="201"/>
        <v/>
      </c>
    </row>
    <row r="7743" spans="1:1">
      <c r="A7743" s="11" t="str">
        <f t="shared" si="201"/>
        <v/>
      </c>
    </row>
    <row r="7744" spans="1:1">
      <c r="A7744" s="11" t="str">
        <f t="shared" si="201"/>
        <v/>
      </c>
    </row>
    <row r="7745" spans="1:1">
      <c r="A7745" s="11" t="str">
        <f t="shared" si="201"/>
        <v/>
      </c>
    </row>
    <row r="7746" spans="1:1">
      <c r="A7746" s="11" t="str">
        <f t="shared" si="201"/>
        <v/>
      </c>
    </row>
    <row r="7747" spans="1:1">
      <c r="A7747" s="11" t="str">
        <f t="shared" ref="A7747:A7810" si="202">B7747&amp;D7747</f>
        <v/>
      </c>
    </row>
    <row r="7748" spans="1:1">
      <c r="A7748" s="11" t="str">
        <f t="shared" si="202"/>
        <v/>
      </c>
    </row>
    <row r="7749" spans="1:1">
      <c r="A7749" s="11" t="str">
        <f t="shared" si="202"/>
        <v/>
      </c>
    </row>
    <row r="7750" spans="1:1">
      <c r="A7750" s="11" t="str">
        <f t="shared" si="202"/>
        <v/>
      </c>
    </row>
    <row r="7751" spans="1:1">
      <c r="A7751" s="11" t="str">
        <f t="shared" si="202"/>
        <v/>
      </c>
    </row>
    <row r="7752" spans="1:1">
      <c r="A7752" s="11" t="str">
        <f t="shared" si="202"/>
        <v/>
      </c>
    </row>
    <row r="7753" spans="1:1">
      <c r="A7753" s="11" t="str">
        <f t="shared" si="202"/>
        <v/>
      </c>
    </row>
    <row r="7754" spans="1:1">
      <c r="A7754" s="11" t="str">
        <f t="shared" si="202"/>
        <v/>
      </c>
    </row>
    <row r="7755" spans="1:1">
      <c r="A7755" s="11" t="str">
        <f t="shared" si="202"/>
        <v/>
      </c>
    </row>
    <row r="7756" spans="1:1">
      <c r="A7756" s="11" t="str">
        <f t="shared" si="202"/>
        <v/>
      </c>
    </row>
    <row r="7757" spans="1:1">
      <c r="A7757" s="11" t="str">
        <f t="shared" si="202"/>
        <v/>
      </c>
    </row>
    <row r="7758" spans="1:1">
      <c r="A7758" s="11" t="str">
        <f t="shared" si="202"/>
        <v/>
      </c>
    </row>
    <row r="7759" spans="1:1">
      <c r="A7759" s="11" t="str">
        <f t="shared" si="202"/>
        <v/>
      </c>
    </row>
    <row r="7760" spans="1:1">
      <c r="A7760" s="11" t="str">
        <f t="shared" si="202"/>
        <v/>
      </c>
    </row>
    <row r="7761" spans="1:1">
      <c r="A7761" s="11" t="str">
        <f t="shared" si="202"/>
        <v/>
      </c>
    </row>
    <row r="7762" spans="1:1">
      <c r="A7762" s="11" t="str">
        <f t="shared" si="202"/>
        <v/>
      </c>
    </row>
    <row r="7763" spans="1:1">
      <c r="A7763" s="11" t="str">
        <f t="shared" si="202"/>
        <v/>
      </c>
    </row>
    <row r="7764" spans="1:1">
      <c r="A7764" s="11" t="str">
        <f t="shared" si="202"/>
        <v/>
      </c>
    </row>
    <row r="7765" spans="1:1">
      <c r="A7765" s="11" t="str">
        <f t="shared" si="202"/>
        <v/>
      </c>
    </row>
    <row r="7766" spans="1:1">
      <c r="A7766" s="11" t="str">
        <f t="shared" si="202"/>
        <v/>
      </c>
    </row>
    <row r="7767" spans="1:1">
      <c r="A7767" s="11" t="str">
        <f t="shared" si="202"/>
        <v/>
      </c>
    </row>
    <row r="7768" spans="1:1">
      <c r="A7768" s="11" t="str">
        <f t="shared" si="202"/>
        <v/>
      </c>
    </row>
    <row r="7769" spans="1:1">
      <c r="A7769" s="11" t="str">
        <f t="shared" si="202"/>
        <v/>
      </c>
    </row>
    <row r="7770" spans="1:1">
      <c r="A7770" s="11" t="str">
        <f t="shared" si="202"/>
        <v/>
      </c>
    </row>
    <row r="7771" spans="1:1">
      <c r="A7771" s="11" t="str">
        <f t="shared" si="202"/>
        <v/>
      </c>
    </row>
    <row r="7772" spans="1:1">
      <c r="A7772" s="11" t="str">
        <f t="shared" si="202"/>
        <v/>
      </c>
    </row>
    <row r="7773" spans="1:1">
      <c r="A7773" s="11" t="str">
        <f t="shared" si="202"/>
        <v/>
      </c>
    </row>
    <row r="7774" spans="1:1">
      <c r="A7774" s="11" t="str">
        <f t="shared" si="202"/>
        <v/>
      </c>
    </row>
    <row r="7775" spans="1:1">
      <c r="A7775" s="11" t="str">
        <f t="shared" si="202"/>
        <v/>
      </c>
    </row>
    <row r="7776" spans="1:1">
      <c r="A7776" s="11" t="str">
        <f t="shared" si="202"/>
        <v/>
      </c>
    </row>
    <row r="7777" spans="1:1">
      <c r="A7777" s="11" t="str">
        <f t="shared" si="202"/>
        <v/>
      </c>
    </row>
    <row r="7778" spans="1:1">
      <c r="A7778" s="11" t="str">
        <f t="shared" si="202"/>
        <v/>
      </c>
    </row>
    <row r="7779" spans="1:1">
      <c r="A7779" s="11" t="str">
        <f t="shared" si="202"/>
        <v/>
      </c>
    </row>
    <row r="7780" spans="1:1">
      <c r="A7780" s="11" t="str">
        <f t="shared" si="202"/>
        <v/>
      </c>
    </row>
    <row r="7781" spans="1:1">
      <c r="A7781" s="11" t="str">
        <f t="shared" si="202"/>
        <v/>
      </c>
    </row>
    <row r="7782" spans="1:1">
      <c r="A7782" s="11" t="str">
        <f t="shared" si="202"/>
        <v/>
      </c>
    </row>
    <row r="7783" spans="1:1">
      <c r="A7783" s="11" t="str">
        <f t="shared" si="202"/>
        <v/>
      </c>
    </row>
    <row r="7784" spans="1:1">
      <c r="A7784" s="11" t="str">
        <f t="shared" si="202"/>
        <v/>
      </c>
    </row>
    <row r="7785" spans="1:1">
      <c r="A7785" s="11" t="str">
        <f t="shared" si="202"/>
        <v/>
      </c>
    </row>
    <row r="7786" spans="1:1">
      <c r="A7786" s="11" t="str">
        <f t="shared" si="202"/>
        <v/>
      </c>
    </row>
    <row r="7787" spans="1:1">
      <c r="A7787" s="11" t="str">
        <f t="shared" si="202"/>
        <v/>
      </c>
    </row>
    <row r="7788" spans="1:1">
      <c r="A7788" s="11" t="str">
        <f t="shared" si="202"/>
        <v/>
      </c>
    </row>
    <row r="7789" spans="1:1">
      <c r="A7789" s="11" t="str">
        <f t="shared" si="202"/>
        <v/>
      </c>
    </row>
    <row r="7790" spans="1:1">
      <c r="A7790" s="11" t="str">
        <f t="shared" si="202"/>
        <v/>
      </c>
    </row>
    <row r="7791" spans="1:1">
      <c r="A7791" s="11" t="str">
        <f t="shared" si="202"/>
        <v/>
      </c>
    </row>
    <row r="7792" spans="1:1">
      <c r="A7792" s="11" t="str">
        <f t="shared" si="202"/>
        <v/>
      </c>
    </row>
    <row r="7793" spans="1:1">
      <c r="A7793" s="11" t="str">
        <f t="shared" si="202"/>
        <v/>
      </c>
    </row>
    <row r="7794" spans="1:1">
      <c r="A7794" s="11" t="str">
        <f t="shared" si="202"/>
        <v/>
      </c>
    </row>
    <row r="7795" spans="1:1">
      <c r="A7795" s="11" t="str">
        <f t="shared" si="202"/>
        <v/>
      </c>
    </row>
    <row r="7796" spans="1:1">
      <c r="A7796" s="11" t="str">
        <f t="shared" si="202"/>
        <v/>
      </c>
    </row>
    <row r="7797" spans="1:1">
      <c r="A7797" s="11" t="str">
        <f t="shared" si="202"/>
        <v/>
      </c>
    </row>
    <row r="7798" spans="1:1">
      <c r="A7798" s="11" t="str">
        <f t="shared" si="202"/>
        <v/>
      </c>
    </row>
    <row r="7799" spans="1:1">
      <c r="A7799" s="11" t="str">
        <f t="shared" si="202"/>
        <v/>
      </c>
    </row>
    <row r="7800" spans="1:1">
      <c r="A7800" s="11" t="str">
        <f t="shared" si="202"/>
        <v/>
      </c>
    </row>
    <row r="7801" spans="1:1">
      <c r="A7801" s="11" t="str">
        <f t="shared" si="202"/>
        <v/>
      </c>
    </row>
    <row r="7802" spans="1:1">
      <c r="A7802" s="11" t="str">
        <f t="shared" si="202"/>
        <v/>
      </c>
    </row>
    <row r="7803" spans="1:1">
      <c r="A7803" s="11" t="str">
        <f t="shared" si="202"/>
        <v/>
      </c>
    </row>
    <row r="7804" spans="1:1">
      <c r="A7804" s="11" t="str">
        <f t="shared" si="202"/>
        <v/>
      </c>
    </row>
    <row r="7805" spans="1:1">
      <c r="A7805" s="11" t="str">
        <f t="shared" si="202"/>
        <v/>
      </c>
    </row>
    <row r="7806" spans="1:1">
      <c r="A7806" s="11" t="str">
        <f t="shared" si="202"/>
        <v/>
      </c>
    </row>
    <row r="7807" spans="1:1">
      <c r="A7807" s="11" t="str">
        <f t="shared" si="202"/>
        <v/>
      </c>
    </row>
    <row r="7808" spans="1:1">
      <c r="A7808" s="11" t="str">
        <f t="shared" si="202"/>
        <v/>
      </c>
    </row>
    <row r="7809" spans="1:1">
      <c r="A7809" s="11" t="str">
        <f t="shared" si="202"/>
        <v/>
      </c>
    </row>
    <row r="7810" spans="1:1">
      <c r="A7810" s="11" t="str">
        <f t="shared" si="202"/>
        <v/>
      </c>
    </row>
    <row r="7811" spans="1:1">
      <c r="A7811" s="11" t="str">
        <f t="shared" ref="A7811:A7874" si="203">B7811&amp;D7811</f>
        <v/>
      </c>
    </row>
    <row r="7812" spans="1:1">
      <c r="A7812" s="11" t="str">
        <f t="shared" si="203"/>
        <v/>
      </c>
    </row>
    <row r="7813" spans="1:1">
      <c r="A7813" s="11" t="str">
        <f t="shared" si="203"/>
        <v/>
      </c>
    </row>
    <row r="7814" spans="1:1">
      <c r="A7814" s="11" t="str">
        <f t="shared" si="203"/>
        <v/>
      </c>
    </row>
    <row r="7815" spans="1:1">
      <c r="A7815" s="11" t="str">
        <f t="shared" si="203"/>
        <v/>
      </c>
    </row>
    <row r="7816" spans="1:1">
      <c r="A7816" s="11" t="str">
        <f t="shared" si="203"/>
        <v/>
      </c>
    </row>
    <row r="7817" spans="1:1">
      <c r="A7817" s="11" t="str">
        <f t="shared" si="203"/>
        <v/>
      </c>
    </row>
    <row r="7818" spans="1:1">
      <c r="A7818" s="11" t="str">
        <f t="shared" si="203"/>
        <v/>
      </c>
    </row>
    <row r="7819" spans="1:1">
      <c r="A7819" s="11" t="str">
        <f t="shared" si="203"/>
        <v/>
      </c>
    </row>
    <row r="7820" spans="1:1">
      <c r="A7820" s="11" t="str">
        <f t="shared" si="203"/>
        <v/>
      </c>
    </row>
    <row r="7821" spans="1:1">
      <c r="A7821" s="11" t="str">
        <f t="shared" si="203"/>
        <v/>
      </c>
    </row>
    <row r="7822" spans="1:1">
      <c r="A7822" s="11" t="str">
        <f t="shared" si="203"/>
        <v/>
      </c>
    </row>
    <row r="7823" spans="1:1">
      <c r="A7823" s="11" t="str">
        <f t="shared" si="203"/>
        <v/>
      </c>
    </row>
    <row r="7824" spans="1:1">
      <c r="A7824" s="11" t="str">
        <f t="shared" si="203"/>
        <v/>
      </c>
    </row>
    <row r="7825" spans="1:1">
      <c r="A7825" s="11" t="str">
        <f t="shared" si="203"/>
        <v/>
      </c>
    </row>
    <row r="7826" spans="1:1">
      <c r="A7826" s="11" t="str">
        <f t="shared" si="203"/>
        <v/>
      </c>
    </row>
    <row r="7827" spans="1:1">
      <c r="A7827" s="11" t="str">
        <f t="shared" si="203"/>
        <v/>
      </c>
    </row>
    <row r="7828" spans="1:1">
      <c r="A7828" s="11" t="str">
        <f t="shared" si="203"/>
        <v/>
      </c>
    </row>
    <row r="7829" spans="1:1">
      <c r="A7829" s="11" t="str">
        <f t="shared" si="203"/>
        <v/>
      </c>
    </row>
    <row r="7830" spans="1:1">
      <c r="A7830" s="11" t="str">
        <f t="shared" si="203"/>
        <v/>
      </c>
    </row>
    <row r="7831" spans="1:1">
      <c r="A7831" s="11" t="str">
        <f t="shared" si="203"/>
        <v/>
      </c>
    </row>
    <row r="7832" spans="1:1">
      <c r="A7832" s="11" t="str">
        <f t="shared" si="203"/>
        <v/>
      </c>
    </row>
    <row r="7833" spans="1:1">
      <c r="A7833" s="11" t="str">
        <f t="shared" si="203"/>
        <v/>
      </c>
    </row>
    <row r="7834" spans="1:1">
      <c r="A7834" s="11" t="str">
        <f t="shared" si="203"/>
        <v/>
      </c>
    </row>
    <row r="7835" spans="1:1">
      <c r="A7835" s="11" t="str">
        <f t="shared" si="203"/>
        <v/>
      </c>
    </row>
    <row r="7836" spans="1:1">
      <c r="A7836" s="11" t="str">
        <f t="shared" si="203"/>
        <v/>
      </c>
    </row>
    <row r="7837" spans="1:1">
      <c r="A7837" s="11" t="str">
        <f t="shared" si="203"/>
        <v/>
      </c>
    </row>
    <row r="7838" spans="1:1">
      <c r="A7838" s="11" t="str">
        <f t="shared" si="203"/>
        <v/>
      </c>
    </row>
    <row r="7839" spans="1:1">
      <c r="A7839" s="11" t="str">
        <f t="shared" si="203"/>
        <v/>
      </c>
    </row>
    <row r="7840" spans="1:1">
      <c r="A7840" s="11" t="str">
        <f t="shared" si="203"/>
        <v/>
      </c>
    </row>
    <row r="7841" spans="1:1">
      <c r="A7841" s="11" t="str">
        <f t="shared" si="203"/>
        <v/>
      </c>
    </row>
    <row r="7842" spans="1:1">
      <c r="A7842" s="11" t="str">
        <f t="shared" si="203"/>
        <v/>
      </c>
    </row>
    <row r="7843" spans="1:1">
      <c r="A7843" s="11" t="str">
        <f t="shared" si="203"/>
        <v/>
      </c>
    </row>
    <row r="7844" spans="1:1">
      <c r="A7844" s="11" t="str">
        <f t="shared" si="203"/>
        <v/>
      </c>
    </row>
    <row r="7845" spans="1:1">
      <c r="A7845" s="11" t="str">
        <f t="shared" si="203"/>
        <v/>
      </c>
    </row>
    <row r="7846" spans="1:1">
      <c r="A7846" s="11" t="str">
        <f t="shared" si="203"/>
        <v/>
      </c>
    </row>
    <row r="7847" spans="1:1">
      <c r="A7847" s="11" t="str">
        <f t="shared" si="203"/>
        <v/>
      </c>
    </row>
    <row r="7848" spans="1:1">
      <c r="A7848" s="11" t="str">
        <f t="shared" si="203"/>
        <v/>
      </c>
    </row>
    <row r="7849" spans="1:1">
      <c r="A7849" s="11" t="str">
        <f t="shared" si="203"/>
        <v/>
      </c>
    </row>
    <row r="7850" spans="1:1">
      <c r="A7850" s="11" t="str">
        <f t="shared" si="203"/>
        <v/>
      </c>
    </row>
    <row r="7851" spans="1:1">
      <c r="A7851" s="11" t="str">
        <f t="shared" si="203"/>
        <v/>
      </c>
    </row>
    <row r="7852" spans="1:1">
      <c r="A7852" s="11" t="str">
        <f t="shared" si="203"/>
        <v/>
      </c>
    </row>
    <row r="7853" spans="1:1">
      <c r="A7853" s="11" t="str">
        <f t="shared" si="203"/>
        <v/>
      </c>
    </row>
    <row r="7854" spans="1:1">
      <c r="A7854" s="11" t="str">
        <f t="shared" si="203"/>
        <v/>
      </c>
    </row>
    <row r="7855" spans="1:1">
      <c r="A7855" s="11" t="str">
        <f t="shared" si="203"/>
        <v/>
      </c>
    </row>
    <row r="7856" spans="1:1">
      <c r="A7856" s="11" t="str">
        <f t="shared" si="203"/>
        <v/>
      </c>
    </row>
    <row r="7857" spans="1:1">
      <c r="A7857" s="11" t="str">
        <f t="shared" si="203"/>
        <v/>
      </c>
    </row>
    <row r="7858" spans="1:1">
      <c r="A7858" s="11" t="str">
        <f t="shared" si="203"/>
        <v/>
      </c>
    </row>
    <row r="7859" spans="1:1">
      <c r="A7859" s="11" t="str">
        <f t="shared" si="203"/>
        <v/>
      </c>
    </row>
    <row r="7860" spans="1:1">
      <c r="A7860" s="11" t="str">
        <f t="shared" si="203"/>
        <v/>
      </c>
    </row>
    <row r="7861" spans="1:1">
      <c r="A7861" s="11" t="str">
        <f t="shared" si="203"/>
        <v/>
      </c>
    </row>
    <row r="7862" spans="1:1">
      <c r="A7862" s="11" t="str">
        <f t="shared" si="203"/>
        <v/>
      </c>
    </row>
    <row r="7863" spans="1:1">
      <c r="A7863" s="11" t="str">
        <f t="shared" si="203"/>
        <v/>
      </c>
    </row>
    <row r="7864" spans="1:1">
      <c r="A7864" s="11" t="str">
        <f t="shared" si="203"/>
        <v/>
      </c>
    </row>
    <row r="7865" spans="1:1">
      <c r="A7865" s="11" t="str">
        <f t="shared" si="203"/>
        <v/>
      </c>
    </row>
    <row r="7866" spans="1:1">
      <c r="A7866" s="11" t="str">
        <f t="shared" si="203"/>
        <v/>
      </c>
    </row>
    <row r="7867" spans="1:1">
      <c r="A7867" s="11" t="str">
        <f t="shared" si="203"/>
        <v/>
      </c>
    </row>
    <row r="7868" spans="1:1">
      <c r="A7868" s="11" t="str">
        <f t="shared" si="203"/>
        <v/>
      </c>
    </row>
    <row r="7869" spans="1:1">
      <c r="A7869" s="11" t="str">
        <f t="shared" si="203"/>
        <v/>
      </c>
    </row>
    <row r="7870" spans="1:1">
      <c r="A7870" s="11" t="str">
        <f t="shared" si="203"/>
        <v/>
      </c>
    </row>
    <row r="7871" spans="1:1">
      <c r="A7871" s="11" t="str">
        <f t="shared" si="203"/>
        <v/>
      </c>
    </row>
    <row r="7872" spans="1:1">
      <c r="A7872" s="11" t="str">
        <f t="shared" si="203"/>
        <v/>
      </c>
    </row>
    <row r="7873" spans="1:1">
      <c r="A7873" s="11" t="str">
        <f t="shared" si="203"/>
        <v/>
      </c>
    </row>
    <row r="7874" spans="1:1">
      <c r="A7874" s="11" t="str">
        <f t="shared" si="203"/>
        <v/>
      </c>
    </row>
    <row r="7875" spans="1:1">
      <c r="A7875" s="11" t="str">
        <f t="shared" ref="A7875:A7938" si="204">B7875&amp;D7875</f>
        <v/>
      </c>
    </row>
    <row r="7876" spans="1:1">
      <c r="A7876" s="11" t="str">
        <f t="shared" si="204"/>
        <v/>
      </c>
    </row>
    <row r="7877" spans="1:1">
      <c r="A7877" s="11" t="str">
        <f t="shared" si="204"/>
        <v/>
      </c>
    </row>
    <row r="7878" spans="1:1">
      <c r="A7878" s="11" t="str">
        <f t="shared" si="204"/>
        <v/>
      </c>
    </row>
    <row r="7879" spans="1:1">
      <c r="A7879" s="11" t="str">
        <f t="shared" si="204"/>
        <v/>
      </c>
    </row>
    <row r="7880" spans="1:1">
      <c r="A7880" s="11" t="str">
        <f t="shared" si="204"/>
        <v/>
      </c>
    </row>
    <row r="7881" spans="1:1">
      <c r="A7881" s="11" t="str">
        <f t="shared" si="204"/>
        <v/>
      </c>
    </row>
    <row r="7882" spans="1:1">
      <c r="A7882" s="11" t="str">
        <f t="shared" si="204"/>
        <v/>
      </c>
    </row>
    <row r="7883" spans="1:1">
      <c r="A7883" s="11" t="str">
        <f t="shared" si="204"/>
        <v/>
      </c>
    </row>
    <row r="7884" spans="1:1">
      <c r="A7884" s="11" t="str">
        <f t="shared" si="204"/>
        <v/>
      </c>
    </row>
    <row r="7885" spans="1:1">
      <c r="A7885" s="11" t="str">
        <f t="shared" si="204"/>
        <v/>
      </c>
    </row>
    <row r="7886" spans="1:1">
      <c r="A7886" s="11" t="str">
        <f t="shared" si="204"/>
        <v/>
      </c>
    </row>
    <row r="7887" spans="1:1">
      <c r="A7887" s="11" t="str">
        <f t="shared" si="204"/>
        <v/>
      </c>
    </row>
    <row r="7888" spans="1:1">
      <c r="A7888" s="11" t="str">
        <f t="shared" si="204"/>
        <v/>
      </c>
    </row>
    <row r="7889" spans="1:1">
      <c r="A7889" s="11" t="str">
        <f t="shared" si="204"/>
        <v/>
      </c>
    </row>
    <row r="7890" spans="1:1">
      <c r="A7890" s="11" t="str">
        <f t="shared" si="204"/>
        <v/>
      </c>
    </row>
    <row r="7891" spans="1:1">
      <c r="A7891" s="11" t="str">
        <f t="shared" si="204"/>
        <v/>
      </c>
    </row>
    <row r="7892" spans="1:1">
      <c r="A7892" s="11" t="str">
        <f t="shared" si="204"/>
        <v/>
      </c>
    </row>
    <row r="7893" spans="1:1">
      <c r="A7893" s="11" t="str">
        <f t="shared" si="204"/>
        <v/>
      </c>
    </row>
    <row r="7894" spans="1:1">
      <c r="A7894" s="11" t="str">
        <f t="shared" si="204"/>
        <v/>
      </c>
    </row>
    <row r="7895" spans="1:1">
      <c r="A7895" s="11" t="str">
        <f t="shared" si="204"/>
        <v/>
      </c>
    </row>
    <row r="7896" spans="1:1">
      <c r="A7896" s="11" t="str">
        <f t="shared" si="204"/>
        <v/>
      </c>
    </row>
    <row r="7897" spans="1:1">
      <c r="A7897" s="11" t="str">
        <f t="shared" si="204"/>
        <v/>
      </c>
    </row>
    <row r="7898" spans="1:1">
      <c r="A7898" s="11" t="str">
        <f t="shared" si="204"/>
        <v/>
      </c>
    </row>
    <row r="7899" spans="1:1">
      <c r="A7899" s="11" t="str">
        <f t="shared" si="204"/>
        <v/>
      </c>
    </row>
    <row r="7900" spans="1:1">
      <c r="A7900" s="11" t="str">
        <f t="shared" si="204"/>
        <v/>
      </c>
    </row>
    <row r="7901" spans="1:1">
      <c r="A7901" s="11" t="str">
        <f t="shared" si="204"/>
        <v/>
      </c>
    </row>
    <row r="7902" spans="1:1">
      <c r="A7902" s="11" t="str">
        <f t="shared" si="204"/>
        <v/>
      </c>
    </row>
    <row r="7903" spans="1:1">
      <c r="A7903" s="11" t="str">
        <f t="shared" si="204"/>
        <v/>
      </c>
    </row>
    <row r="7904" spans="1:1">
      <c r="A7904" s="11" t="str">
        <f t="shared" si="204"/>
        <v/>
      </c>
    </row>
    <row r="7905" spans="1:1">
      <c r="A7905" s="11" t="str">
        <f t="shared" si="204"/>
        <v/>
      </c>
    </row>
    <row r="7906" spans="1:1">
      <c r="A7906" s="11" t="str">
        <f t="shared" si="204"/>
        <v/>
      </c>
    </row>
    <row r="7907" spans="1:1">
      <c r="A7907" s="11" t="str">
        <f t="shared" si="204"/>
        <v/>
      </c>
    </row>
    <row r="7908" spans="1:1">
      <c r="A7908" s="11" t="str">
        <f t="shared" si="204"/>
        <v/>
      </c>
    </row>
    <row r="7909" spans="1:1">
      <c r="A7909" s="11" t="str">
        <f t="shared" si="204"/>
        <v/>
      </c>
    </row>
    <row r="7910" spans="1:1">
      <c r="A7910" s="11" t="str">
        <f t="shared" si="204"/>
        <v/>
      </c>
    </row>
    <row r="7911" spans="1:1">
      <c r="A7911" s="11" t="str">
        <f t="shared" si="204"/>
        <v/>
      </c>
    </row>
    <row r="7912" spans="1:1">
      <c r="A7912" s="11" t="str">
        <f t="shared" si="204"/>
        <v/>
      </c>
    </row>
    <row r="7913" spans="1:1">
      <c r="A7913" s="11" t="str">
        <f t="shared" si="204"/>
        <v/>
      </c>
    </row>
    <row r="7914" spans="1:1">
      <c r="A7914" s="11" t="str">
        <f t="shared" si="204"/>
        <v/>
      </c>
    </row>
    <row r="7915" spans="1:1">
      <c r="A7915" s="11" t="str">
        <f t="shared" si="204"/>
        <v/>
      </c>
    </row>
    <row r="7916" spans="1:1">
      <c r="A7916" s="11" t="str">
        <f t="shared" si="204"/>
        <v/>
      </c>
    </row>
    <row r="7917" spans="1:1">
      <c r="A7917" s="11" t="str">
        <f t="shared" si="204"/>
        <v/>
      </c>
    </row>
    <row r="7918" spans="1:1">
      <c r="A7918" s="11" t="str">
        <f t="shared" si="204"/>
        <v/>
      </c>
    </row>
    <row r="7919" spans="1:1">
      <c r="A7919" s="11" t="str">
        <f t="shared" si="204"/>
        <v/>
      </c>
    </row>
    <row r="7920" spans="1:1">
      <c r="A7920" s="11" t="str">
        <f t="shared" si="204"/>
        <v/>
      </c>
    </row>
    <row r="7921" spans="1:1">
      <c r="A7921" s="11" t="str">
        <f t="shared" si="204"/>
        <v/>
      </c>
    </row>
    <row r="7922" spans="1:1">
      <c r="A7922" s="11" t="str">
        <f t="shared" si="204"/>
        <v/>
      </c>
    </row>
    <row r="7923" spans="1:1">
      <c r="A7923" s="11" t="str">
        <f t="shared" si="204"/>
        <v/>
      </c>
    </row>
    <row r="7924" spans="1:1">
      <c r="A7924" s="11" t="str">
        <f t="shared" si="204"/>
        <v/>
      </c>
    </row>
    <row r="7925" spans="1:1">
      <c r="A7925" s="11" t="str">
        <f t="shared" si="204"/>
        <v/>
      </c>
    </row>
    <row r="7926" spans="1:1">
      <c r="A7926" s="11" t="str">
        <f t="shared" si="204"/>
        <v/>
      </c>
    </row>
    <row r="7927" spans="1:1">
      <c r="A7927" s="11" t="str">
        <f t="shared" si="204"/>
        <v/>
      </c>
    </row>
    <row r="7928" spans="1:1">
      <c r="A7928" s="11" t="str">
        <f t="shared" si="204"/>
        <v/>
      </c>
    </row>
    <row r="7929" spans="1:1">
      <c r="A7929" s="11" t="str">
        <f t="shared" si="204"/>
        <v/>
      </c>
    </row>
    <row r="7930" spans="1:1">
      <c r="A7930" s="11" t="str">
        <f t="shared" si="204"/>
        <v/>
      </c>
    </row>
    <row r="7931" spans="1:1">
      <c r="A7931" s="11" t="str">
        <f t="shared" si="204"/>
        <v/>
      </c>
    </row>
    <row r="7932" spans="1:1">
      <c r="A7932" s="11" t="str">
        <f t="shared" si="204"/>
        <v/>
      </c>
    </row>
    <row r="7933" spans="1:1">
      <c r="A7933" s="11" t="str">
        <f t="shared" si="204"/>
        <v/>
      </c>
    </row>
    <row r="7934" spans="1:1">
      <c r="A7934" s="11" t="str">
        <f t="shared" si="204"/>
        <v/>
      </c>
    </row>
    <row r="7935" spans="1:1">
      <c r="A7935" s="11" t="str">
        <f t="shared" si="204"/>
        <v/>
      </c>
    </row>
    <row r="7936" spans="1:1">
      <c r="A7936" s="11" t="str">
        <f t="shared" si="204"/>
        <v/>
      </c>
    </row>
    <row r="7937" spans="1:1">
      <c r="A7937" s="11" t="str">
        <f t="shared" si="204"/>
        <v/>
      </c>
    </row>
    <row r="7938" spans="1:1">
      <c r="A7938" s="11" t="str">
        <f t="shared" si="204"/>
        <v/>
      </c>
    </row>
    <row r="7939" spans="1:1">
      <c r="A7939" s="11" t="str">
        <f t="shared" ref="A7939:A8002" si="205">B7939&amp;D7939</f>
        <v/>
      </c>
    </row>
    <row r="7940" spans="1:1">
      <c r="A7940" s="11" t="str">
        <f t="shared" si="205"/>
        <v/>
      </c>
    </row>
    <row r="7941" spans="1:1">
      <c r="A7941" s="11" t="str">
        <f t="shared" si="205"/>
        <v/>
      </c>
    </row>
    <row r="7942" spans="1:1">
      <c r="A7942" s="11" t="str">
        <f t="shared" si="205"/>
        <v/>
      </c>
    </row>
    <row r="7943" spans="1:1">
      <c r="A7943" s="11" t="str">
        <f t="shared" si="205"/>
        <v/>
      </c>
    </row>
    <row r="7944" spans="1:1">
      <c r="A7944" s="11" t="str">
        <f t="shared" si="205"/>
        <v/>
      </c>
    </row>
    <row r="7945" spans="1:1">
      <c r="A7945" s="11" t="str">
        <f t="shared" si="205"/>
        <v/>
      </c>
    </row>
    <row r="7946" spans="1:1">
      <c r="A7946" s="11" t="str">
        <f t="shared" si="205"/>
        <v/>
      </c>
    </row>
    <row r="7947" spans="1:1">
      <c r="A7947" s="11" t="str">
        <f t="shared" si="205"/>
        <v/>
      </c>
    </row>
    <row r="7948" spans="1:1">
      <c r="A7948" s="11" t="str">
        <f t="shared" si="205"/>
        <v/>
      </c>
    </row>
    <row r="7949" spans="1:1">
      <c r="A7949" s="11" t="str">
        <f t="shared" si="205"/>
        <v/>
      </c>
    </row>
    <row r="7950" spans="1:1">
      <c r="A7950" s="11" t="str">
        <f t="shared" si="205"/>
        <v/>
      </c>
    </row>
    <row r="7951" spans="1:1">
      <c r="A7951" s="11" t="str">
        <f t="shared" si="205"/>
        <v/>
      </c>
    </row>
    <row r="7952" spans="1:1">
      <c r="A7952" s="11" t="str">
        <f t="shared" si="205"/>
        <v/>
      </c>
    </row>
    <row r="7953" spans="1:1">
      <c r="A7953" s="11" t="str">
        <f t="shared" si="205"/>
        <v/>
      </c>
    </row>
    <row r="7954" spans="1:1">
      <c r="A7954" s="11" t="str">
        <f t="shared" si="205"/>
        <v/>
      </c>
    </row>
    <row r="7955" spans="1:1">
      <c r="A7955" s="11" t="str">
        <f t="shared" si="205"/>
        <v/>
      </c>
    </row>
    <row r="7956" spans="1:1">
      <c r="A7956" s="11" t="str">
        <f t="shared" si="205"/>
        <v/>
      </c>
    </row>
    <row r="7957" spans="1:1">
      <c r="A7957" s="11" t="str">
        <f t="shared" si="205"/>
        <v/>
      </c>
    </row>
    <row r="7958" spans="1:1">
      <c r="A7958" s="11" t="str">
        <f t="shared" si="205"/>
        <v/>
      </c>
    </row>
    <row r="7959" spans="1:1">
      <c r="A7959" s="11" t="str">
        <f t="shared" si="205"/>
        <v/>
      </c>
    </row>
    <row r="7960" spans="1:1">
      <c r="A7960" s="11" t="str">
        <f t="shared" si="205"/>
        <v/>
      </c>
    </row>
    <row r="7961" spans="1:1">
      <c r="A7961" s="11" t="str">
        <f t="shared" si="205"/>
        <v/>
      </c>
    </row>
    <row r="7962" spans="1:1">
      <c r="A7962" s="11" t="str">
        <f t="shared" si="205"/>
        <v/>
      </c>
    </row>
    <row r="7963" spans="1:1">
      <c r="A7963" s="11" t="str">
        <f t="shared" si="205"/>
        <v/>
      </c>
    </row>
    <row r="7964" spans="1:1">
      <c r="A7964" s="11" t="str">
        <f t="shared" si="205"/>
        <v/>
      </c>
    </row>
    <row r="7965" spans="1:1">
      <c r="A7965" s="11" t="str">
        <f t="shared" si="205"/>
        <v/>
      </c>
    </row>
    <row r="7966" spans="1:1">
      <c r="A7966" s="11" t="str">
        <f t="shared" si="205"/>
        <v/>
      </c>
    </row>
    <row r="7967" spans="1:1">
      <c r="A7967" s="11" t="str">
        <f t="shared" si="205"/>
        <v/>
      </c>
    </row>
    <row r="7968" spans="1:1">
      <c r="A7968" s="11" t="str">
        <f t="shared" si="205"/>
        <v/>
      </c>
    </row>
    <row r="7969" spans="1:1">
      <c r="A7969" s="11" t="str">
        <f t="shared" si="205"/>
        <v/>
      </c>
    </row>
    <row r="7970" spans="1:1">
      <c r="A7970" s="11" t="str">
        <f t="shared" si="205"/>
        <v/>
      </c>
    </row>
    <row r="7971" spans="1:1">
      <c r="A7971" s="11" t="str">
        <f t="shared" si="205"/>
        <v/>
      </c>
    </row>
    <row r="7972" spans="1:1">
      <c r="A7972" s="11" t="str">
        <f t="shared" si="205"/>
        <v/>
      </c>
    </row>
    <row r="7973" spans="1:1">
      <c r="A7973" s="11" t="str">
        <f t="shared" si="205"/>
        <v/>
      </c>
    </row>
    <row r="7974" spans="1:1">
      <c r="A7974" s="11" t="str">
        <f t="shared" si="205"/>
        <v/>
      </c>
    </row>
    <row r="7975" spans="1:1">
      <c r="A7975" s="11" t="str">
        <f t="shared" si="205"/>
        <v/>
      </c>
    </row>
    <row r="7976" spans="1:1">
      <c r="A7976" s="11" t="str">
        <f t="shared" si="205"/>
        <v/>
      </c>
    </row>
    <row r="7977" spans="1:1">
      <c r="A7977" s="11" t="str">
        <f t="shared" si="205"/>
        <v/>
      </c>
    </row>
    <row r="7978" spans="1:1">
      <c r="A7978" s="11" t="str">
        <f t="shared" si="205"/>
        <v/>
      </c>
    </row>
    <row r="7979" spans="1:1">
      <c r="A7979" s="11" t="str">
        <f t="shared" si="205"/>
        <v/>
      </c>
    </row>
    <row r="7980" spans="1:1">
      <c r="A7980" s="11" t="str">
        <f t="shared" si="205"/>
        <v/>
      </c>
    </row>
    <row r="7981" spans="1:1">
      <c r="A7981" s="11" t="str">
        <f t="shared" si="205"/>
        <v/>
      </c>
    </row>
    <row r="7982" spans="1:1">
      <c r="A7982" s="11" t="str">
        <f t="shared" si="205"/>
        <v/>
      </c>
    </row>
    <row r="7983" spans="1:1">
      <c r="A7983" s="11" t="str">
        <f t="shared" si="205"/>
        <v/>
      </c>
    </row>
    <row r="7984" spans="1:1">
      <c r="A7984" s="11" t="str">
        <f t="shared" si="205"/>
        <v/>
      </c>
    </row>
    <row r="7985" spans="1:1">
      <c r="A7985" s="11" t="str">
        <f t="shared" si="205"/>
        <v/>
      </c>
    </row>
    <row r="7986" spans="1:1">
      <c r="A7986" s="11" t="str">
        <f t="shared" si="205"/>
        <v/>
      </c>
    </row>
    <row r="7987" spans="1:1">
      <c r="A7987" s="11" t="str">
        <f t="shared" si="205"/>
        <v/>
      </c>
    </row>
    <row r="7988" spans="1:1">
      <c r="A7988" s="11" t="str">
        <f t="shared" si="205"/>
        <v/>
      </c>
    </row>
    <row r="7989" spans="1:1">
      <c r="A7989" s="11" t="str">
        <f t="shared" si="205"/>
        <v/>
      </c>
    </row>
    <row r="7990" spans="1:1">
      <c r="A7990" s="11" t="str">
        <f t="shared" si="205"/>
        <v/>
      </c>
    </row>
    <row r="7991" spans="1:1">
      <c r="A7991" s="11" t="str">
        <f t="shared" si="205"/>
        <v/>
      </c>
    </row>
    <row r="7992" spans="1:1">
      <c r="A7992" s="11" t="str">
        <f t="shared" si="205"/>
        <v/>
      </c>
    </row>
    <row r="7993" spans="1:1">
      <c r="A7993" s="11" t="str">
        <f t="shared" si="205"/>
        <v/>
      </c>
    </row>
    <row r="7994" spans="1:1">
      <c r="A7994" s="11" t="str">
        <f t="shared" si="205"/>
        <v/>
      </c>
    </row>
    <row r="7995" spans="1:1">
      <c r="A7995" s="11" t="str">
        <f t="shared" si="205"/>
        <v/>
      </c>
    </row>
    <row r="7996" spans="1:1">
      <c r="A7996" s="11" t="str">
        <f t="shared" si="205"/>
        <v/>
      </c>
    </row>
    <row r="7997" spans="1:1">
      <c r="A7997" s="11" t="str">
        <f t="shared" si="205"/>
        <v/>
      </c>
    </row>
    <row r="7998" spans="1:1">
      <c r="A7998" s="11" t="str">
        <f t="shared" si="205"/>
        <v/>
      </c>
    </row>
    <row r="7999" spans="1:1">
      <c r="A7999" s="11" t="str">
        <f t="shared" si="205"/>
        <v/>
      </c>
    </row>
    <row r="8000" spans="1:1">
      <c r="A8000" s="11" t="str">
        <f t="shared" si="205"/>
        <v/>
      </c>
    </row>
    <row r="8001" spans="1:1">
      <c r="A8001" s="11" t="str">
        <f t="shared" si="205"/>
        <v/>
      </c>
    </row>
    <row r="8002" spans="1:1">
      <c r="A8002" s="11" t="str">
        <f t="shared" si="205"/>
        <v/>
      </c>
    </row>
    <row r="8003" spans="1:1">
      <c r="A8003" s="11" t="str">
        <f t="shared" ref="A8003:A8066" si="206">B8003&amp;D8003</f>
        <v/>
      </c>
    </row>
    <row r="8004" spans="1:1">
      <c r="A8004" s="11" t="str">
        <f t="shared" si="206"/>
        <v/>
      </c>
    </row>
    <row r="8005" spans="1:1">
      <c r="A8005" s="11" t="str">
        <f t="shared" si="206"/>
        <v/>
      </c>
    </row>
    <row r="8006" spans="1:1">
      <c r="A8006" s="11" t="str">
        <f t="shared" si="206"/>
        <v/>
      </c>
    </row>
    <row r="8007" spans="1:1">
      <c r="A8007" s="11" t="str">
        <f t="shared" si="206"/>
        <v/>
      </c>
    </row>
    <row r="8008" spans="1:1">
      <c r="A8008" s="11" t="str">
        <f t="shared" si="206"/>
        <v/>
      </c>
    </row>
    <row r="8009" spans="1:1">
      <c r="A8009" s="11" t="str">
        <f t="shared" si="206"/>
        <v/>
      </c>
    </row>
    <row r="8010" spans="1:1">
      <c r="A8010" s="11" t="str">
        <f t="shared" si="206"/>
        <v/>
      </c>
    </row>
    <row r="8011" spans="1:1">
      <c r="A8011" s="11" t="str">
        <f t="shared" si="206"/>
        <v/>
      </c>
    </row>
    <row r="8012" spans="1:1">
      <c r="A8012" s="11" t="str">
        <f t="shared" si="206"/>
        <v/>
      </c>
    </row>
    <row r="8013" spans="1:1">
      <c r="A8013" s="11" t="str">
        <f t="shared" si="206"/>
        <v/>
      </c>
    </row>
    <row r="8014" spans="1:1">
      <c r="A8014" s="11" t="str">
        <f t="shared" si="206"/>
        <v/>
      </c>
    </row>
    <row r="8015" spans="1:1">
      <c r="A8015" s="11" t="str">
        <f t="shared" si="206"/>
        <v/>
      </c>
    </row>
    <row r="8016" spans="1:1">
      <c r="A8016" s="11" t="str">
        <f t="shared" si="206"/>
        <v/>
      </c>
    </row>
    <row r="8017" spans="1:1">
      <c r="A8017" s="11" t="str">
        <f t="shared" si="206"/>
        <v/>
      </c>
    </row>
    <row r="8018" spans="1:1">
      <c r="A8018" s="11" t="str">
        <f t="shared" si="206"/>
        <v/>
      </c>
    </row>
    <row r="8019" spans="1:1">
      <c r="A8019" s="11" t="str">
        <f t="shared" si="206"/>
        <v/>
      </c>
    </row>
    <row r="8020" spans="1:1">
      <c r="A8020" s="11" t="str">
        <f t="shared" si="206"/>
        <v/>
      </c>
    </row>
    <row r="8021" spans="1:1">
      <c r="A8021" s="11" t="str">
        <f t="shared" si="206"/>
        <v/>
      </c>
    </row>
    <row r="8022" spans="1:1">
      <c r="A8022" s="11" t="str">
        <f t="shared" si="206"/>
        <v/>
      </c>
    </row>
    <row r="8023" spans="1:1">
      <c r="A8023" s="11" t="str">
        <f t="shared" si="206"/>
        <v/>
      </c>
    </row>
    <row r="8024" spans="1:1">
      <c r="A8024" s="11" t="str">
        <f t="shared" si="206"/>
        <v/>
      </c>
    </row>
    <row r="8025" spans="1:1">
      <c r="A8025" s="11" t="str">
        <f t="shared" si="206"/>
        <v/>
      </c>
    </row>
    <row r="8026" spans="1:1">
      <c r="A8026" s="11" t="str">
        <f t="shared" si="206"/>
        <v/>
      </c>
    </row>
    <row r="8027" spans="1:1">
      <c r="A8027" s="11" t="str">
        <f t="shared" si="206"/>
        <v/>
      </c>
    </row>
    <row r="8028" spans="1:1">
      <c r="A8028" s="11" t="str">
        <f t="shared" si="206"/>
        <v/>
      </c>
    </row>
    <row r="8029" spans="1:1">
      <c r="A8029" s="11" t="str">
        <f t="shared" si="206"/>
        <v/>
      </c>
    </row>
    <row r="8030" spans="1:1">
      <c r="A8030" s="11" t="str">
        <f t="shared" si="206"/>
        <v/>
      </c>
    </row>
    <row r="8031" spans="1:1">
      <c r="A8031" s="11" t="str">
        <f t="shared" si="206"/>
        <v/>
      </c>
    </row>
    <row r="8032" spans="1:1">
      <c r="A8032" s="11" t="str">
        <f t="shared" si="206"/>
        <v/>
      </c>
    </row>
    <row r="8033" spans="1:1">
      <c r="A8033" s="11" t="str">
        <f t="shared" si="206"/>
        <v/>
      </c>
    </row>
    <row r="8034" spans="1:1">
      <c r="A8034" s="11" t="str">
        <f t="shared" si="206"/>
        <v/>
      </c>
    </row>
    <row r="8035" spans="1:1">
      <c r="A8035" s="11" t="str">
        <f t="shared" si="206"/>
        <v/>
      </c>
    </row>
    <row r="8036" spans="1:1">
      <c r="A8036" s="11" t="str">
        <f t="shared" si="206"/>
        <v/>
      </c>
    </row>
    <row r="8037" spans="1:1">
      <c r="A8037" s="11" t="str">
        <f t="shared" si="206"/>
        <v/>
      </c>
    </row>
    <row r="8038" spans="1:1">
      <c r="A8038" s="11" t="str">
        <f t="shared" si="206"/>
        <v/>
      </c>
    </row>
    <row r="8039" spans="1:1">
      <c r="A8039" s="11" t="str">
        <f t="shared" si="206"/>
        <v/>
      </c>
    </row>
    <row r="8040" spans="1:1">
      <c r="A8040" s="11" t="str">
        <f t="shared" si="206"/>
        <v/>
      </c>
    </row>
    <row r="8041" spans="1:1">
      <c r="A8041" s="11" t="str">
        <f t="shared" si="206"/>
        <v/>
      </c>
    </row>
    <row r="8042" spans="1:1">
      <c r="A8042" s="11" t="str">
        <f t="shared" si="206"/>
        <v/>
      </c>
    </row>
    <row r="8043" spans="1:1">
      <c r="A8043" s="11" t="str">
        <f t="shared" si="206"/>
        <v/>
      </c>
    </row>
    <row r="8044" spans="1:1">
      <c r="A8044" s="11" t="str">
        <f t="shared" si="206"/>
        <v/>
      </c>
    </row>
    <row r="8045" spans="1:1">
      <c r="A8045" s="11" t="str">
        <f t="shared" si="206"/>
        <v/>
      </c>
    </row>
    <row r="8046" spans="1:1">
      <c r="A8046" s="11" t="str">
        <f t="shared" si="206"/>
        <v/>
      </c>
    </row>
    <row r="8047" spans="1:1">
      <c r="A8047" s="11" t="str">
        <f t="shared" si="206"/>
        <v/>
      </c>
    </row>
    <row r="8048" spans="1:1">
      <c r="A8048" s="11" t="str">
        <f t="shared" si="206"/>
        <v/>
      </c>
    </row>
    <row r="8049" spans="1:1">
      <c r="A8049" s="11" t="str">
        <f t="shared" si="206"/>
        <v/>
      </c>
    </row>
    <row r="8050" spans="1:1">
      <c r="A8050" s="11" t="str">
        <f t="shared" si="206"/>
        <v/>
      </c>
    </row>
    <row r="8051" spans="1:1">
      <c r="A8051" s="11" t="str">
        <f t="shared" si="206"/>
        <v/>
      </c>
    </row>
    <row r="8052" spans="1:1">
      <c r="A8052" s="11" t="str">
        <f t="shared" si="206"/>
        <v/>
      </c>
    </row>
    <row r="8053" spans="1:1">
      <c r="A8053" s="11" t="str">
        <f t="shared" si="206"/>
        <v/>
      </c>
    </row>
    <row r="8054" spans="1:1">
      <c r="A8054" s="11" t="str">
        <f t="shared" si="206"/>
        <v/>
      </c>
    </row>
    <row r="8055" spans="1:1">
      <c r="A8055" s="11" t="str">
        <f t="shared" si="206"/>
        <v/>
      </c>
    </row>
    <row r="8056" spans="1:1">
      <c r="A8056" s="11" t="str">
        <f t="shared" si="206"/>
        <v/>
      </c>
    </row>
    <row r="8057" spans="1:1">
      <c r="A8057" s="11" t="str">
        <f t="shared" si="206"/>
        <v/>
      </c>
    </row>
    <row r="8058" spans="1:1">
      <c r="A8058" s="11" t="str">
        <f t="shared" si="206"/>
        <v/>
      </c>
    </row>
    <row r="8059" spans="1:1">
      <c r="A8059" s="11" t="str">
        <f t="shared" si="206"/>
        <v/>
      </c>
    </row>
    <row r="8060" spans="1:1">
      <c r="A8060" s="11" t="str">
        <f t="shared" si="206"/>
        <v/>
      </c>
    </row>
    <row r="8061" spans="1:1">
      <c r="A8061" s="11" t="str">
        <f t="shared" si="206"/>
        <v/>
      </c>
    </row>
    <row r="8062" spans="1:1">
      <c r="A8062" s="11" t="str">
        <f t="shared" si="206"/>
        <v/>
      </c>
    </row>
    <row r="8063" spans="1:1">
      <c r="A8063" s="11" t="str">
        <f t="shared" si="206"/>
        <v/>
      </c>
    </row>
    <row r="8064" spans="1:1">
      <c r="A8064" s="11" t="str">
        <f t="shared" si="206"/>
        <v/>
      </c>
    </row>
    <row r="8065" spans="1:1">
      <c r="A8065" s="11" t="str">
        <f t="shared" si="206"/>
        <v/>
      </c>
    </row>
    <row r="8066" spans="1:1">
      <c r="A8066" s="11" t="str">
        <f t="shared" si="206"/>
        <v/>
      </c>
    </row>
    <row r="8067" spans="1:1">
      <c r="A8067" s="11" t="str">
        <f t="shared" ref="A8067:A8130" si="207">B8067&amp;D8067</f>
        <v/>
      </c>
    </row>
    <row r="8068" spans="1:1">
      <c r="A8068" s="11" t="str">
        <f t="shared" si="207"/>
        <v/>
      </c>
    </row>
    <row r="8069" spans="1:1">
      <c r="A8069" s="11" t="str">
        <f t="shared" si="207"/>
        <v/>
      </c>
    </row>
    <row r="8070" spans="1:1">
      <c r="A8070" s="11" t="str">
        <f t="shared" si="207"/>
        <v/>
      </c>
    </row>
    <row r="8071" spans="1:1">
      <c r="A8071" s="11" t="str">
        <f t="shared" si="207"/>
        <v/>
      </c>
    </row>
    <row r="8072" spans="1:1">
      <c r="A8072" s="11" t="str">
        <f t="shared" si="207"/>
        <v/>
      </c>
    </row>
    <row r="8073" spans="1:1">
      <c r="A8073" s="11" t="str">
        <f t="shared" si="207"/>
        <v/>
      </c>
    </row>
    <row r="8074" spans="1:1">
      <c r="A8074" s="11" t="str">
        <f t="shared" si="207"/>
        <v/>
      </c>
    </row>
    <row r="8075" spans="1:1">
      <c r="A8075" s="11" t="str">
        <f t="shared" si="207"/>
        <v/>
      </c>
    </row>
    <row r="8076" spans="1:1">
      <c r="A8076" s="11" t="str">
        <f t="shared" si="207"/>
        <v/>
      </c>
    </row>
    <row r="8077" spans="1:1">
      <c r="A8077" s="11" t="str">
        <f t="shared" si="207"/>
        <v/>
      </c>
    </row>
    <row r="8078" spans="1:1">
      <c r="A8078" s="11" t="str">
        <f t="shared" si="207"/>
        <v/>
      </c>
    </row>
    <row r="8079" spans="1:1">
      <c r="A8079" s="11" t="str">
        <f t="shared" si="207"/>
        <v/>
      </c>
    </row>
    <row r="8080" spans="1:1">
      <c r="A8080" s="11" t="str">
        <f t="shared" si="207"/>
        <v/>
      </c>
    </row>
    <row r="8081" spans="1:1">
      <c r="A8081" s="11" t="str">
        <f t="shared" si="207"/>
        <v/>
      </c>
    </row>
    <row r="8082" spans="1:1">
      <c r="A8082" s="11" t="str">
        <f t="shared" si="207"/>
        <v/>
      </c>
    </row>
    <row r="8083" spans="1:1">
      <c r="A8083" s="11" t="str">
        <f t="shared" si="207"/>
        <v/>
      </c>
    </row>
    <row r="8084" spans="1:1">
      <c r="A8084" s="11" t="str">
        <f t="shared" si="207"/>
        <v/>
      </c>
    </row>
    <row r="8085" spans="1:1">
      <c r="A8085" s="11" t="str">
        <f t="shared" si="207"/>
        <v/>
      </c>
    </row>
    <row r="8086" spans="1:1">
      <c r="A8086" s="11" t="str">
        <f t="shared" si="207"/>
        <v/>
      </c>
    </row>
    <row r="8087" spans="1:1">
      <c r="A8087" s="11" t="str">
        <f t="shared" si="207"/>
        <v/>
      </c>
    </row>
    <row r="8088" spans="1:1">
      <c r="A8088" s="11" t="str">
        <f t="shared" si="207"/>
        <v/>
      </c>
    </row>
    <row r="8089" spans="1:1">
      <c r="A8089" s="11" t="str">
        <f t="shared" si="207"/>
        <v/>
      </c>
    </row>
    <row r="8090" spans="1:1">
      <c r="A8090" s="11" t="str">
        <f t="shared" si="207"/>
        <v/>
      </c>
    </row>
    <row r="8091" spans="1:1">
      <c r="A8091" s="11" t="str">
        <f t="shared" si="207"/>
        <v/>
      </c>
    </row>
    <row r="8092" spans="1:1">
      <c r="A8092" s="11" t="str">
        <f t="shared" si="207"/>
        <v/>
      </c>
    </row>
    <row r="8093" spans="1:1">
      <c r="A8093" s="11" t="str">
        <f t="shared" si="207"/>
        <v/>
      </c>
    </row>
    <row r="8094" spans="1:1">
      <c r="A8094" s="11" t="str">
        <f t="shared" si="207"/>
        <v/>
      </c>
    </row>
    <row r="8095" spans="1:1">
      <c r="A8095" s="11" t="str">
        <f t="shared" si="207"/>
        <v/>
      </c>
    </row>
    <row r="8096" spans="1:1">
      <c r="A8096" s="11" t="str">
        <f t="shared" si="207"/>
        <v/>
      </c>
    </row>
    <row r="8097" spans="1:1">
      <c r="A8097" s="11" t="str">
        <f t="shared" si="207"/>
        <v/>
      </c>
    </row>
    <row r="8098" spans="1:1">
      <c r="A8098" s="11" t="str">
        <f t="shared" si="207"/>
        <v/>
      </c>
    </row>
    <row r="8099" spans="1:1">
      <c r="A8099" s="11" t="str">
        <f t="shared" si="207"/>
        <v/>
      </c>
    </row>
    <row r="8100" spans="1:1">
      <c r="A8100" s="11" t="str">
        <f t="shared" si="207"/>
        <v/>
      </c>
    </row>
    <row r="8101" spans="1:1">
      <c r="A8101" s="11" t="str">
        <f t="shared" si="207"/>
        <v/>
      </c>
    </row>
    <row r="8102" spans="1:1">
      <c r="A8102" s="11" t="str">
        <f t="shared" si="207"/>
        <v/>
      </c>
    </row>
    <row r="8103" spans="1:1">
      <c r="A8103" s="11" t="str">
        <f t="shared" si="207"/>
        <v/>
      </c>
    </row>
    <row r="8104" spans="1:1">
      <c r="A8104" s="11" t="str">
        <f t="shared" si="207"/>
        <v/>
      </c>
    </row>
    <row r="8105" spans="1:1">
      <c r="A8105" s="11" t="str">
        <f t="shared" si="207"/>
        <v/>
      </c>
    </row>
    <row r="8106" spans="1:1">
      <c r="A8106" s="11" t="str">
        <f t="shared" si="207"/>
        <v/>
      </c>
    </row>
    <row r="8107" spans="1:1">
      <c r="A8107" s="11" t="str">
        <f t="shared" si="207"/>
        <v/>
      </c>
    </row>
    <row r="8108" spans="1:1">
      <c r="A8108" s="11" t="str">
        <f t="shared" si="207"/>
        <v/>
      </c>
    </row>
    <row r="8109" spans="1:1">
      <c r="A8109" s="11" t="str">
        <f t="shared" si="207"/>
        <v/>
      </c>
    </row>
    <row r="8110" spans="1:1">
      <c r="A8110" s="11" t="str">
        <f t="shared" si="207"/>
        <v/>
      </c>
    </row>
    <row r="8111" spans="1:1">
      <c r="A8111" s="11" t="str">
        <f t="shared" si="207"/>
        <v/>
      </c>
    </row>
    <row r="8112" spans="1:1">
      <c r="A8112" s="11" t="str">
        <f t="shared" si="207"/>
        <v/>
      </c>
    </row>
    <row r="8113" spans="1:1">
      <c r="A8113" s="11" t="str">
        <f t="shared" si="207"/>
        <v/>
      </c>
    </row>
    <row r="8114" spans="1:1">
      <c r="A8114" s="11" t="str">
        <f t="shared" si="207"/>
        <v/>
      </c>
    </row>
    <row r="8115" spans="1:1">
      <c r="A8115" s="11" t="str">
        <f t="shared" si="207"/>
        <v/>
      </c>
    </row>
    <row r="8116" spans="1:1">
      <c r="A8116" s="11" t="str">
        <f t="shared" si="207"/>
        <v/>
      </c>
    </row>
    <row r="8117" spans="1:1">
      <c r="A8117" s="11" t="str">
        <f t="shared" si="207"/>
        <v/>
      </c>
    </row>
    <row r="8118" spans="1:1">
      <c r="A8118" s="11" t="str">
        <f t="shared" si="207"/>
        <v/>
      </c>
    </row>
    <row r="8119" spans="1:1">
      <c r="A8119" s="11" t="str">
        <f t="shared" si="207"/>
        <v/>
      </c>
    </row>
    <row r="8120" spans="1:1">
      <c r="A8120" s="11" t="str">
        <f t="shared" si="207"/>
        <v/>
      </c>
    </row>
    <row r="8121" spans="1:1">
      <c r="A8121" s="11" t="str">
        <f t="shared" si="207"/>
        <v/>
      </c>
    </row>
    <row r="8122" spans="1:1">
      <c r="A8122" s="11" t="str">
        <f t="shared" si="207"/>
        <v/>
      </c>
    </row>
    <row r="8123" spans="1:1">
      <c r="A8123" s="11" t="str">
        <f t="shared" si="207"/>
        <v/>
      </c>
    </row>
    <row r="8124" spans="1:1">
      <c r="A8124" s="11" t="str">
        <f t="shared" si="207"/>
        <v/>
      </c>
    </row>
    <row r="8125" spans="1:1">
      <c r="A8125" s="11" t="str">
        <f t="shared" si="207"/>
        <v/>
      </c>
    </row>
    <row r="8126" spans="1:1">
      <c r="A8126" s="11" t="str">
        <f t="shared" si="207"/>
        <v/>
      </c>
    </row>
    <row r="8127" spans="1:1">
      <c r="A8127" s="11" t="str">
        <f t="shared" si="207"/>
        <v/>
      </c>
    </row>
    <row r="8128" spans="1:1">
      <c r="A8128" s="11" t="str">
        <f t="shared" si="207"/>
        <v/>
      </c>
    </row>
    <row r="8129" spans="1:1">
      <c r="A8129" s="11" t="str">
        <f t="shared" si="207"/>
        <v/>
      </c>
    </row>
    <row r="8130" spans="1:1">
      <c r="A8130" s="11" t="str">
        <f t="shared" si="207"/>
        <v/>
      </c>
    </row>
    <row r="8131" spans="1:1">
      <c r="A8131" s="11" t="str">
        <f t="shared" ref="A8131:A8194" si="208">B8131&amp;D8131</f>
        <v/>
      </c>
    </row>
    <row r="8132" spans="1:1">
      <c r="A8132" s="11" t="str">
        <f t="shared" si="208"/>
        <v/>
      </c>
    </row>
    <row r="8133" spans="1:1">
      <c r="A8133" s="11" t="str">
        <f t="shared" si="208"/>
        <v/>
      </c>
    </row>
    <row r="8134" spans="1:1">
      <c r="A8134" s="11" t="str">
        <f t="shared" si="208"/>
        <v/>
      </c>
    </row>
    <row r="8135" spans="1:1">
      <c r="A8135" s="11" t="str">
        <f t="shared" si="208"/>
        <v/>
      </c>
    </row>
    <row r="8136" spans="1:1">
      <c r="A8136" s="11" t="str">
        <f t="shared" si="208"/>
        <v/>
      </c>
    </row>
    <row r="8137" spans="1:1">
      <c r="A8137" s="11" t="str">
        <f t="shared" si="208"/>
        <v/>
      </c>
    </row>
    <row r="8138" spans="1:1">
      <c r="A8138" s="11" t="str">
        <f t="shared" si="208"/>
        <v/>
      </c>
    </row>
    <row r="8139" spans="1:1">
      <c r="A8139" s="11" t="str">
        <f t="shared" si="208"/>
        <v/>
      </c>
    </row>
    <row r="8140" spans="1:1">
      <c r="A8140" s="11" t="str">
        <f t="shared" si="208"/>
        <v/>
      </c>
    </row>
    <row r="8141" spans="1:1">
      <c r="A8141" s="11" t="str">
        <f t="shared" si="208"/>
        <v/>
      </c>
    </row>
    <row r="8142" spans="1:1">
      <c r="A8142" s="11" t="str">
        <f t="shared" si="208"/>
        <v/>
      </c>
    </row>
    <row r="8143" spans="1:1">
      <c r="A8143" s="11" t="str">
        <f t="shared" si="208"/>
        <v/>
      </c>
    </row>
    <row r="8144" spans="1:1">
      <c r="A8144" s="11" t="str">
        <f t="shared" si="208"/>
        <v/>
      </c>
    </row>
    <row r="8145" spans="1:1">
      <c r="A8145" s="11" t="str">
        <f t="shared" si="208"/>
        <v/>
      </c>
    </row>
    <row r="8146" spans="1:1">
      <c r="A8146" s="11" t="str">
        <f t="shared" si="208"/>
        <v/>
      </c>
    </row>
    <row r="8147" spans="1:1">
      <c r="A8147" s="11" t="str">
        <f t="shared" si="208"/>
        <v/>
      </c>
    </row>
    <row r="8148" spans="1:1">
      <c r="A8148" s="11" t="str">
        <f t="shared" si="208"/>
        <v/>
      </c>
    </row>
    <row r="8149" spans="1:1">
      <c r="A8149" s="11" t="str">
        <f t="shared" si="208"/>
        <v/>
      </c>
    </row>
    <row r="8150" spans="1:1">
      <c r="A8150" s="11" t="str">
        <f t="shared" si="208"/>
        <v/>
      </c>
    </row>
    <row r="8151" spans="1:1">
      <c r="A8151" s="11" t="str">
        <f t="shared" si="208"/>
        <v/>
      </c>
    </row>
    <row r="8152" spans="1:1">
      <c r="A8152" s="11" t="str">
        <f t="shared" si="208"/>
        <v/>
      </c>
    </row>
    <row r="8153" spans="1:1">
      <c r="A8153" s="11" t="str">
        <f t="shared" si="208"/>
        <v/>
      </c>
    </row>
    <row r="8154" spans="1:1">
      <c r="A8154" s="11" t="str">
        <f t="shared" si="208"/>
        <v/>
      </c>
    </row>
    <row r="8155" spans="1:1">
      <c r="A8155" s="11" t="str">
        <f t="shared" si="208"/>
        <v/>
      </c>
    </row>
    <row r="8156" spans="1:1">
      <c r="A8156" s="11" t="str">
        <f t="shared" si="208"/>
        <v/>
      </c>
    </row>
    <row r="8157" spans="1:1">
      <c r="A8157" s="11" t="str">
        <f t="shared" si="208"/>
        <v/>
      </c>
    </row>
    <row r="8158" spans="1:1">
      <c r="A8158" s="11" t="str">
        <f t="shared" si="208"/>
        <v/>
      </c>
    </row>
    <row r="8159" spans="1:1">
      <c r="A8159" s="11" t="str">
        <f t="shared" si="208"/>
        <v/>
      </c>
    </row>
    <row r="8160" spans="1:1">
      <c r="A8160" s="11" t="str">
        <f t="shared" si="208"/>
        <v/>
      </c>
    </row>
    <row r="8161" spans="1:1">
      <c r="A8161" s="11" t="str">
        <f t="shared" si="208"/>
        <v/>
      </c>
    </row>
    <row r="8162" spans="1:1">
      <c r="A8162" s="11" t="str">
        <f t="shared" si="208"/>
        <v/>
      </c>
    </row>
    <row r="8163" spans="1:1">
      <c r="A8163" s="11" t="str">
        <f t="shared" si="208"/>
        <v/>
      </c>
    </row>
    <row r="8164" spans="1:1">
      <c r="A8164" s="11" t="str">
        <f t="shared" si="208"/>
        <v/>
      </c>
    </row>
    <row r="8165" spans="1:1">
      <c r="A8165" s="11" t="str">
        <f t="shared" si="208"/>
        <v/>
      </c>
    </row>
    <row r="8166" spans="1:1">
      <c r="A8166" s="11" t="str">
        <f t="shared" si="208"/>
        <v/>
      </c>
    </row>
    <row r="8167" spans="1:1">
      <c r="A8167" s="11" t="str">
        <f t="shared" si="208"/>
        <v/>
      </c>
    </row>
    <row r="8168" spans="1:1">
      <c r="A8168" s="11" t="str">
        <f t="shared" si="208"/>
        <v/>
      </c>
    </row>
    <row r="8169" spans="1:1">
      <c r="A8169" s="11" t="str">
        <f t="shared" si="208"/>
        <v/>
      </c>
    </row>
    <row r="8170" spans="1:1">
      <c r="A8170" s="11" t="str">
        <f t="shared" si="208"/>
        <v/>
      </c>
    </row>
    <row r="8171" spans="1:1">
      <c r="A8171" s="11" t="str">
        <f t="shared" si="208"/>
        <v/>
      </c>
    </row>
    <row r="8172" spans="1:1">
      <c r="A8172" s="11" t="str">
        <f t="shared" si="208"/>
        <v/>
      </c>
    </row>
    <row r="8173" spans="1:1">
      <c r="A8173" s="11" t="str">
        <f t="shared" si="208"/>
        <v/>
      </c>
    </row>
    <row r="8174" spans="1:1">
      <c r="A8174" s="11" t="str">
        <f t="shared" si="208"/>
        <v/>
      </c>
    </row>
    <row r="8175" spans="1:1">
      <c r="A8175" s="11" t="str">
        <f t="shared" si="208"/>
        <v/>
      </c>
    </row>
    <row r="8176" spans="1:1">
      <c r="A8176" s="11" t="str">
        <f t="shared" si="208"/>
        <v/>
      </c>
    </row>
    <row r="8177" spans="1:1">
      <c r="A8177" s="11" t="str">
        <f t="shared" si="208"/>
        <v/>
      </c>
    </row>
    <row r="8178" spans="1:1">
      <c r="A8178" s="11" t="str">
        <f t="shared" si="208"/>
        <v/>
      </c>
    </row>
    <row r="8179" spans="1:1">
      <c r="A8179" s="11" t="str">
        <f t="shared" si="208"/>
        <v/>
      </c>
    </row>
    <row r="8180" spans="1:1">
      <c r="A8180" s="11" t="str">
        <f t="shared" si="208"/>
        <v/>
      </c>
    </row>
    <row r="8181" spans="1:1">
      <c r="A8181" s="11" t="str">
        <f t="shared" si="208"/>
        <v/>
      </c>
    </row>
    <row r="8182" spans="1:1">
      <c r="A8182" s="11" t="str">
        <f t="shared" si="208"/>
        <v/>
      </c>
    </row>
    <row r="8183" spans="1:1">
      <c r="A8183" s="11" t="str">
        <f t="shared" si="208"/>
        <v/>
      </c>
    </row>
    <row r="8184" spans="1:1">
      <c r="A8184" s="11" t="str">
        <f t="shared" si="208"/>
        <v/>
      </c>
    </row>
    <row r="8185" spans="1:1">
      <c r="A8185" s="11" t="str">
        <f t="shared" si="208"/>
        <v/>
      </c>
    </row>
    <row r="8186" spans="1:1">
      <c r="A8186" s="11" t="str">
        <f t="shared" si="208"/>
        <v/>
      </c>
    </row>
    <row r="8187" spans="1:1">
      <c r="A8187" s="11" t="str">
        <f t="shared" si="208"/>
        <v/>
      </c>
    </row>
    <row r="8188" spans="1:1">
      <c r="A8188" s="11" t="str">
        <f t="shared" si="208"/>
        <v/>
      </c>
    </row>
    <row r="8189" spans="1:1">
      <c r="A8189" s="11" t="str">
        <f t="shared" si="208"/>
        <v/>
      </c>
    </row>
    <row r="8190" spans="1:1">
      <c r="A8190" s="11" t="str">
        <f t="shared" si="208"/>
        <v/>
      </c>
    </row>
    <row r="8191" spans="1:1">
      <c r="A8191" s="11" t="str">
        <f t="shared" si="208"/>
        <v/>
      </c>
    </row>
    <row r="8192" spans="1:1">
      <c r="A8192" s="11" t="str">
        <f t="shared" si="208"/>
        <v/>
      </c>
    </row>
    <row r="8193" spans="1:1">
      <c r="A8193" s="11" t="str">
        <f t="shared" si="208"/>
        <v/>
      </c>
    </row>
    <row r="8194" spans="1:1">
      <c r="A8194" s="11" t="str">
        <f t="shared" si="208"/>
        <v/>
      </c>
    </row>
    <row r="8195" spans="1:1">
      <c r="A8195" s="11" t="str">
        <f t="shared" ref="A8195:A8258" si="209">B8195&amp;D8195</f>
        <v/>
      </c>
    </row>
    <row r="8196" spans="1:1">
      <c r="A8196" s="11" t="str">
        <f t="shared" si="209"/>
        <v/>
      </c>
    </row>
    <row r="8197" spans="1:1">
      <c r="A8197" s="11" t="str">
        <f t="shared" si="209"/>
        <v/>
      </c>
    </row>
    <row r="8198" spans="1:1">
      <c r="A8198" s="11" t="str">
        <f t="shared" si="209"/>
        <v/>
      </c>
    </row>
    <row r="8199" spans="1:1">
      <c r="A8199" s="11" t="str">
        <f t="shared" si="209"/>
        <v/>
      </c>
    </row>
    <row r="8200" spans="1:1">
      <c r="A8200" s="11" t="str">
        <f t="shared" si="209"/>
        <v/>
      </c>
    </row>
    <row r="8201" spans="1:1">
      <c r="A8201" s="11" t="str">
        <f t="shared" si="209"/>
        <v/>
      </c>
    </row>
    <row r="8202" spans="1:1">
      <c r="A8202" s="11" t="str">
        <f t="shared" si="209"/>
        <v/>
      </c>
    </row>
    <row r="8203" spans="1:1">
      <c r="A8203" s="11" t="str">
        <f t="shared" si="209"/>
        <v/>
      </c>
    </row>
    <row r="8204" spans="1:1">
      <c r="A8204" s="11" t="str">
        <f t="shared" si="209"/>
        <v/>
      </c>
    </row>
    <row r="8205" spans="1:1">
      <c r="A8205" s="11" t="str">
        <f t="shared" si="209"/>
        <v/>
      </c>
    </row>
    <row r="8206" spans="1:1">
      <c r="A8206" s="11" t="str">
        <f t="shared" si="209"/>
        <v/>
      </c>
    </row>
    <row r="8207" spans="1:1">
      <c r="A8207" s="11" t="str">
        <f t="shared" si="209"/>
        <v/>
      </c>
    </row>
    <row r="8208" spans="1:1">
      <c r="A8208" s="11" t="str">
        <f t="shared" si="209"/>
        <v/>
      </c>
    </row>
    <row r="8209" spans="1:1">
      <c r="A8209" s="11" t="str">
        <f t="shared" si="209"/>
        <v/>
      </c>
    </row>
    <row r="8210" spans="1:1">
      <c r="A8210" s="11" t="str">
        <f t="shared" si="209"/>
        <v/>
      </c>
    </row>
    <row r="8211" spans="1:1">
      <c r="A8211" s="11" t="str">
        <f t="shared" si="209"/>
        <v/>
      </c>
    </row>
    <row r="8212" spans="1:1">
      <c r="A8212" s="11" t="str">
        <f t="shared" si="209"/>
        <v/>
      </c>
    </row>
    <row r="8213" spans="1:1">
      <c r="A8213" s="11" t="str">
        <f t="shared" si="209"/>
        <v/>
      </c>
    </row>
    <row r="8214" spans="1:1">
      <c r="A8214" s="11" t="str">
        <f t="shared" si="209"/>
        <v/>
      </c>
    </row>
    <row r="8215" spans="1:1">
      <c r="A8215" s="11" t="str">
        <f t="shared" si="209"/>
        <v/>
      </c>
    </row>
    <row r="8216" spans="1:1">
      <c r="A8216" s="11" t="str">
        <f t="shared" si="209"/>
        <v/>
      </c>
    </row>
    <row r="8217" spans="1:1">
      <c r="A8217" s="11" t="str">
        <f t="shared" si="209"/>
        <v/>
      </c>
    </row>
    <row r="8218" spans="1:1">
      <c r="A8218" s="11" t="str">
        <f t="shared" si="209"/>
        <v/>
      </c>
    </row>
    <row r="8219" spans="1:1">
      <c r="A8219" s="11" t="str">
        <f t="shared" si="209"/>
        <v/>
      </c>
    </row>
    <row r="8220" spans="1:1">
      <c r="A8220" s="11" t="str">
        <f t="shared" si="209"/>
        <v/>
      </c>
    </row>
    <row r="8221" spans="1:1">
      <c r="A8221" s="11" t="str">
        <f t="shared" si="209"/>
        <v/>
      </c>
    </row>
    <row r="8222" spans="1:1">
      <c r="A8222" s="11" t="str">
        <f t="shared" si="209"/>
        <v/>
      </c>
    </row>
    <row r="8223" spans="1:1">
      <c r="A8223" s="11" t="str">
        <f t="shared" si="209"/>
        <v/>
      </c>
    </row>
    <row r="8224" spans="1:1">
      <c r="A8224" s="11" t="str">
        <f t="shared" si="209"/>
        <v/>
      </c>
    </row>
    <row r="8225" spans="1:1">
      <c r="A8225" s="11" t="str">
        <f t="shared" si="209"/>
        <v/>
      </c>
    </row>
    <row r="8226" spans="1:1">
      <c r="A8226" s="11" t="str">
        <f t="shared" si="209"/>
        <v/>
      </c>
    </row>
    <row r="8227" spans="1:1">
      <c r="A8227" s="11" t="str">
        <f t="shared" si="209"/>
        <v/>
      </c>
    </row>
    <row r="8228" spans="1:1">
      <c r="A8228" s="11" t="str">
        <f t="shared" si="209"/>
        <v/>
      </c>
    </row>
    <row r="8229" spans="1:1">
      <c r="A8229" s="11" t="str">
        <f t="shared" si="209"/>
        <v/>
      </c>
    </row>
    <row r="8230" spans="1:1">
      <c r="A8230" s="11" t="str">
        <f t="shared" si="209"/>
        <v/>
      </c>
    </row>
    <row r="8231" spans="1:1">
      <c r="A8231" s="11" t="str">
        <f t="shared" si="209"/>
        <v/>
      </c>
    </row>
    <row r="8232" spans="1:1">
      <c r="A8232" s="11" t="str">
        <f t="shared" si="209"/>
        <v/>
      </c>
    </row>
    <row r="8233" spans="1:1">
      <c r="A8233" s="11" t="str">
        <f t="shared" si="209"/>
        <v/>
      </c>
    </row>
    <row r="8234" spans="1:1">
      <c r="A8234" s="11" t="str">
        <f t="shared" si="209"/>
        <v/>
      </c>
    </row>
    <row r="8235" spans="1:1">
      <c r="A8235" s="11" t="str">
        <f t="shared" si="209"/>
        <v/>
      </c>
    </row>
    <row r="8236" spans="1:1">
      <c r="A8236" s="11" t="str">
        <f t="shared" si="209"/>
        <v/>
      </c>
    </row>
    <row r="8237" spans="1:1">
      <c r="A8237" s="11" t="str">
        <f t="shared" si="209"/>
        <v/>
      </c>
    </row>
    <row r="8238" spans="1:1">
      <c r="A8238" s="11" t="str">
        <f t="shared" si="209"/>
        <v/>
      </c>
    </row>
    <row r="8239" spans="1:1">
      <c r="A8239" s="11" t="str">
        <f t="shared" si="209"/>
        <v/>
      </c>
    </row>
    <row r="8240" spans="1:1">
      <c r="A8240" s="11" t="str">
        <f t="shared" si="209"/>
        <v/>
      </c>
    </row>
    <row r="8241" spans="1:1">
      <c r="A8241" s="11" t="str">
        <f t="shared" si="209"/>
        <v/>
      </c>
    </row>
    <row r="8242" spans="1:1">
      <c r="A8242" s="11" t="str">
        <f t="shared" si="209"/>
        <v/>
      </c>
    </row>
    <row r="8243" spans="1:1">
      <c r="A8243" s="11" t="str">
        <f t="shared" si="209"/>
        <v/>
      </c>
    </row>
    <row r="8244" spans="1:1">
      <c r="A8244" s="11" t="str">
        <f t="shared" si="209"/>
        <v/>
      </c>
    </row>
    <row r="8245" spans="1:1">
      <c r="A8245" s="11" t="str">
        <f t="shared" si="209"/>
        <v/>
      </c>
    </row>
    <row r="8246" spans="1:1">
      <c r="A8246" s="11" t="str">
        <f t="shared" si="209"/>
        <v/>
      </c>
    </row>
    <row r="8247" spans="1:1">
      <c r="A8247" s="11" t="str">
        <f t="shared" si="209"/>
        <v/>
      </c>
    </row>
    <row r="8248" spans="1:1">
      <c r="A8248" s="11" t="str">
        <f t="shared" si="209"/>
        <v/>
      </c>
    </row>
    <row r="8249" spans="1:1">
      <c r="A8249" s="11" t="str">
        <f t="shared" si="209"/>
        <v/>
      </c>
    </row>
    <row r="8250" spans="1:1">
      <c r="A8250" s="11" t="str">
        <f t="shared" si="209"/>
        <v/>
      </c>
    </row>
    <row r="8251" spans="1:1">
      <c r="A8251" s="11" t="str">
        <f t="shared" si="209"/>
        <v/>
      </c>
    </row>
    <row r="8252" spans="1:1">
      <c r="A8252" s="11" t="str">
        <f t="shared" si="209"/>
        <v/>
      </c>
    </row>
    <row r="8253" spans="1:1">
      <c r="A8253" s="11" t="str">
        <f t="shared" si="209"/>
        <v/>
      </c>
    </row>
    <row r="8254" spans="1:1">
      <c r="A8254" s="11" t="str">
        <f t="shared" si="209"/>
        <v/>
      </c>
    </row>
    <row r="8255" spans="1:1">
      <c r="A8255" s="11" t="str">
        <f t="shared" si="209"/>
        <v/>
      </c>
    </row>
    <row r="8256" spans="1:1">
      <c r="A8256" s="11" t="str">
        <f t="shared" si="209"/>
        <v/>
      </c>
    </row>
    <row r="8257" spans="1:1">
      <c r="A8257" s="11" t="str">
        <f t="shared" si="209"/>
        <v/>
      </c>
    </row>
    <row r="8258" spans="1:1">
      <c r="A8258" s="11" t="str">
        <f t="shared" si="209"/>
        <v/>
      </c>
    </row>
    <row r="8259" spans="1:1">
      <c r="A8259" s="11" t="str">
        <f t="shared" ref="A8259:A8322" si="210">B8259&amp;D8259</f>
        <v/>
      </c>
    </row>
    <row r="8260" spans="1:1">
      <c r="A8260" s="11" t="str">
        <f t="shared" si="210"/>
        <v/>
      </c>
    </row>
    <row r="8261" spans="1:1">
      <c r="A8261" s="11" t="str">
        <f t="shared" si="210"/>
        <v/>
      </c>
    </row>
    <row r="8262" spans="1:1">
      <c r="A8262" s="11" t="str">
        <f t="shared" si="210"/>
        <v/>
      </c>
    </row>
    <row r="8263" spans="1:1">
      <c r="A8263" s="11" t="str">
        <f t="shared" si="210"/>
        <v/>
      </c>
    </row>
    <row r="8264" spans="1:1">
      <c r="A8264" s="11" t="str">
        <f t="shared" si="210"/>
        <v/>
      </c>
    </row>
    <row r="8265" spans="1:1">
      <c r="A8265" s="11" t="str">
        <f t="shared" si="210"/>
        <v/>
      </c>
    </row>
    <row r="8266" spans="1:1">
      <c r="A8266" s="11" t="str">
        <f t="shared" si="210"/>
        <v/>
      </c>
    </row>
    <row r="8267" spans="1:1">
      <c r="A8267" s="11" t="str">
        <f t="shared" si="210"/>
        <v/>
      </c>
    </row>
    <row r="8268" spans="1:1">
      <c r="A8268" s="11" t="str">
        <f t="shared" si="210"/>
        <v/>
      </c>
    </row>
    <row r="8269" spans="1:1">
      <c r="A8269" s="11" t="str">
        <f t="shared" si="210"/>
        <v/>
      </c>
    </row>
    <row r="8270" spans="1:1">
      <c r="A8270" s="11" t="str">
        <f t="shared" si="210"/>
        <v/>
      </c>
    </row>
    <row r="8271" spans="1:1">
      <c r="A8271" s="11" t="str">
        <f t="shared" si="210"/>
        <v/>
      </c>
    </row>
    <row r="8272" spans="1:1">
      <c r="A8272" s="11" t="str">
        <f t="shared" si="210"/>
        <v/>
      </c>
    </row>
    <row r="8273" spans="1:1">
      <c r="A8273" s="11" t="str">
        <f t="shared" si="210"/>
        <v/>
      </c>
    </row>
    <row r="8274" spans="1:1">
      <c r="A8274" s="11" t="str">
        <f t="shared" si="210"/>
        <v/>
      </c>
    </row>
    <row r="8275" spans="1:1">
      <c r="A8275" s="11" t="str">
        <f t="shared" si="210"/>
        <v/>
      </c>
    </row>
    <row r="8276" spans="1:1">
      <c r="A8276" s="11" t="str">
        <f t="shared" si="210"/>
        <v/>
      </c>
    </row>
    <row r="8277" spans="1:1">
      <c r="A8277" s="11" t="str">
        <f t="shared" si="210"/>
        <v/>
      </c>
    </row>
    <row r="8278" spans="1:1">
      <c r="A8278" s="11" t="str">
        <f t="shared" si="210"/>
        <v/>
      </c>
    </row>
    <row r="8279" spans="1:1">
      <c r="A8279" s="11" t="str">
        <f t="shared" si="210"/>
        <v/>
      </c>
    </row>
    <row r="8280" spans="1:1">
      <c r="A8280" s="11" t="str">
        <f t="shared" si="210"/>
        <v/>
      </c>
    </row>
    <row r="8281" spans="1:1">
      <c r="A8281" s="11" t="str">
        <f t="shared" si="210"/>
        <v/>
      </c>
    </row>
    <row r="8282" spans="1:1">
      <c r="A8282" s="11" t="str">
        <f t="shared" si="210"/>
        <v/>
      </c>
    </row>
    <row r="8283" spans="1:1">
      <c r="A8283" s="11" t="str">
        <f t="shared" si="210"/>
        <v/>
      </c>
    </row>
    <row r="8284" spans="1:1">
      <c r="A8284" s="11" t="str">
        <f t="shared" si="210"/>
        <v/>
      </c>
    </row>
    <row r="8285" spans="1:1">
      <c r="A8285" s="11" t="str">
        <f t="shared" si="210"/>
        <v/>
      </c>
    </row>
    <row r="8286" spans="1:1">
      <c r="A8286" s="11" t="str">
        <f t="shared" si="210"/>
        <v/>
      </c>
    </row>
    <row r="8287" spans="1:1">
      <c r="A8287" s="11" t="str">
        <f t="shared" si="210"/>
        <v/>
      </c>
    </row>
    <row r="8288" spans="1:1">
      <c r="A8288" s="11" t="str">
        <f t="shared" si="210"/>
        <v/>
      </c>
    </row>
    <row r="8289" spans="1:1">
      <c r="A8289" s="11" t="str">
        <f t="shared" si="210"/>
        <v/>
      </c>
    </row>
    <row r="8290" spans="1:1">
      <c r="A8290" s="11" t="str">
        <f t="shared" si="210"/>
        <v/>
      </c>
    </row>
    <row r="8291" spans="1:1">
      <c r="A8291" s="11" t="str">
        <f t="shared" si="210"/>
        <v/>
      </c>
    </row>
    <row r="8292" spans="1:1">
      <c r="A8292" s="11" t="str">
        <f t="shared" si="210"/>
        <v/>
      </c>
    </row>
    <row r="8293" spans="1:1">
      <c r="A8293" s="11" t="str">
        <f t="shared" si="210"/>
        <v/>
      </c>
    </row>
    <row r="8294" spans="1:1">
      <c r="A8294" s="11" t="str">
        <f t="shared" si="210"/>
        <v/>
      </c>
    </row>
    <row r="8295" spans="1:1">
      <c r="A8295" s="11" t="str">
        <f t="shared" si="210"/>
        <v/>
      </c>
    </row>
    <row r="8296" spans="1:1">
      <c r="A8296" s="11" t="str">
        <f t="shared" si="210"/>
        <v/>
      </c>
    </row>
    <row r="8297" spans="1:1">
      <c r="A8297" s="11" t="str">
        <f t="shared" si="210"/>
        <v/>
      </c>
    </row>
    <row r="8298" spans="1:1">
      <c r="A8298" s="11" t="str">
        <f t="shared" si="210"/>
        <v/>
      </c>
    </row>
    <row r="8299" spans="1:1">
      <c r="A8299" s="11" t="str">
        <f t="shared" si="210"/>
        <v/>
      </c>
    </row>
    <row r="8300" spans="1:1">
      <c r="A8300" s="11" t="str">
        <f t="shared" si="210"/>
        <v/>
      </c>
    </row>
    <row r="8301" spans="1:1">
      <c r="A8301" s="11" t="str">
        <f t="shared" si="210"/>
        <v/>
      </c>
    </row>
    <row r="8302" spans="1:1">
      <c r="A8302" s="11" t="str">
        <f t="shared" si="210"/>
        <v/>
      </c>
    </row>
    <row r="8303" spans="1:1">
      <c r="A8303" s="11" t="str">
        <f t="shared" si="210"/>
        <v/>
      </c>
    </row>
    <row r="8304" spans="1:1">
      <c r="A8304" s="11" t="str">
        <f t="shared" si="210"/>
        <v/>
      </c>
    </row>
    <row r="8305" spans="1:1">
      <c r="A8305" s="11" t="str">
        <f t="shared" si="210"/>
        <v/>
      </c>
    </row>
    <row r="8306" spans="1:1">
      <c r="A8306" s="11" t="str">
        <f t="shared" si="210"/>
        <v/>
      </c>
    </row>
    <row r="8307" spans="1:1">
      <c r="A8307" s="11" t="str">
        <f t="shared" si="210"/>
        <v/>
      </c>
    </row>
    <row r="8308" spans="1:1">
      <c r="A8308" s="11" t="str">
        <f t="shared" si="210"/>
        <v/>
      </c>
    </row>
    <row r="8309" spans="1:1">
      <c r="A8309" s="11" t="str">
        <f t="shared" si="210"/>
        <v/>
      </c>
    </row>
    <row r="8310" spans="1:1">
      <c r="A8310" s="11" t="str">
        <f t="shared" si="210"/>
        <v/>
      </c>
    </row>
    <row r="8311" spans="1:1">
      <c r="A8311" s="11" t="str">
        <f t="shared" si="210"/>
        <v/>
      </c>
    </row>
    <row r="8312" spans="1:1">
      <c r="A8312" s="11" t="str">
        <f t="shared" si="210"/>
        <v/>
      </c>
    </row>
    <row r="8313" spans="1:1">
      <c r="A8313" s="11" t="str">
        <f t="shared" si="210"/>
        <v/>
      </c>
    </row>
    <row r="8314" spans="1:1">
      <c r="A8314" s="11" t="str">
        <f t="shared" si="210"/>
        <v/>
      </c>
    </row>
    <row r="8315" spans="1:1">
      <c r="A8315" s="11" t="str">
        <f t="shared" si="210"/>
        <v/>
      </c>
    </row>
    <row r="8316" spans="1:1">
      <c r="A8316" s="11" t="str">
        <f t="shared" si="210"/>
        <v/>
      </c>
    </row>
    <row r="8317" spans="1:1">
      <c r="A8317" s="11" t="str">
        <f t="shared" si="210"/>
        <v/>
      </c>
    </row>
    <row r="8318" spans="1:1">
      <c r="A8318" s="11" t="str">
        <f t="shared" si="210"/>
        <v/>
      </c>
    </row>
    <row r="8319" spans="1:1">
      <c r="A8319" s="11" t="str">
        <f t="shared" si="210"/>
        <v/>
      </c>
    </row>
    <row r="8320" spans="1:1">
      <c r="A8320" s="11" t="str">
        <f t="shared" si="210"/>
        <v/>
      </c>
    </row>
    <row r="8321" spans="1:1">
      <c r="A8321" s="11" t="str">
        <f t="shared" si="210"/>
        <v/>
      </c>
    </row>
    <row r="8322" spans="1:1">
      <c r="A8322" s="11" t="str">
        <f t="shared" si="210"/>
        <v/>
      </c>
    </row>
    <row r="8323" spans="1:1">
      <c r="A8323" s="11" t="str">
        <f t="shared" ref="A8323:A8386" si="211">B8323&amp;D8323</f>
        <v/>
      </c>
    </row>
    <row r="8324" spans="1:1">
      <c r="A8324" s="11" t="str">
        <f t="shared" si="211"/>
        <v/>
      </c>
    </row>
    <row r="8325" spans="1:1">
      <c r="A8325" s="11" t="str">
        <f t="shared" si="211"/>
        <v/>
      </c>
    </row>
    <row r="8326" spans="1:1">
      <c r="A8326" s="11" t="str">
        <f t="shared" si="211"/>
        <v/>
      </c>
    </row>
    <row r="8327" spans="1:1">
      <c r="A8327" s="11" t="str">
        <f t="shared" si="211"/>
        <v/>
      </c>
    </row>
    <row r="8328" spans="1:1">
      <c r="A8328" s="11" t="str">
        <f t="shared" si="211"/>
        <v/>
      </c>
    </row>
    <row r="8329" spans="1:1">
      <c r="A8329" s="11" t="str">
        <f t="shared" si="211"/>
        <v/>
      </c>
    </row>
    <row r="8330" spans="1:1">
      <c r="A8330" s="11" t="str">
        <f t="shared" si="211"/>
        <v/>
      </c>
    </row>
    <row r="8331" spans="1:1">
      <c r="A8331" s="11" t="str">
        <f t="shared" si="211"/>
        <v/>
      </c>
    </row>
    <row r="8332" spans="1:1">
      <c r="A8332" s="11" t="str">
        <f t="shared" si="211"/>
        <v/>
      </c>
    </row>
    <row r="8333" spans="1:1">
      <c r="A8333" s="11" t="str">
        <f t="shared" si="211"/>
        <v/>
      </c>
    </row>
    <row r="8334" spans="1:1">
      <c r="A8334" s="11" t="str">
        <f t="shared" si="211"/>
        <v/>
      </c>
    </row>
    <row r="8335" spans="1:1">
      <c r="A8335" s="11" t="str">
        <f t="shared" si="211"/>
        <v/>
      </c>
    </row>
    <row r="8336" spans="1:1">
      <c r="A8336" s="11" t="str">
        <f t="shared" si="211"/>
        <v/>
      </c>
    </row>
    <row r="8337" spans="1:1">
      <c r="A8337" s="11" t="str">
        <f t="shared" si="211"/>
        <v/>
      </c>
    </row>
    <row r="8338" spans="1:1">
      <c r="A8338" s="11" t="str">
        <f t="shared" si="211"/>
        <v/>
      </c>
    </row>
    <row r="8339" spans="1:1">
      <c r="A8339" s="11" t="str">
        <f t="shared" si="211"/>
        <v/>
      </c>
    </row>
    <row r="8340" spans="1:1">
      <c r="A8340" s="11" t="str">
        <f t="shared" si="211"/>
        <v/>
      </c>
    </row>
    <row r="8341" spans="1:1">
      <c r="A8341" s="11" t="str">
        <f t="shared" si="211"/>
        <v/>
      </c>
    </row>
    <row r="8342" spans="1:1">
      <c r="A8342" s="11" t="str">
        <f t="shared" si="211"/>
        <v/>
      </c>
    </row>
    <row r="8343" spans="1:1">
      <c r="A8343" s="11" t="str">
        <f t="shared" si="211"/>
        <v/>
      </c>
    </row>
    <row r="8344" spans="1:1">
      <c r="A8344" s="11" t="str">
        <f t="shared" si="211"/>
        <v/>
      </c>
    </row>
    <row r="8345" spans="1:1">
      <c r="A8345" s="11" t="str">
        <f t="shared" si="211"/>
        <v/>
      </c>
    </row>
    <row r="8346" spans="1:1">
      <c r="A8346" s="11" t="str">
        <f t="shared" si="211"/>
        <v/>
      </c>
    </row>
    <row r="8347" spans="1:1">
      <c r="A8347" s="11" t="str">
        <f t="shared" si="211"/>
        <v/>
      </c>
    </row>
    <row r="8348" spans="1:1">
      <c r="A8348" s="11" t="str">
        <f t="shared" si="211"/>
        <v/>
      </c>
    </row>
    <row r="8349" spans="1:1">
      <c r="A8349" s="11" t="str">
        <f t="shared" si="211"/>
        <v/>
      </c>
    </row>
    <row r="8350" spans="1:1">
      <c r="A8350" s="11" t="str">
        <f t="shared" si="211"/>
        <v/>
      </c>
    </row>
    <row r="8351" spans="1:1">
      <c r="A8351" s="11" t="str">
        <f t="shared" si="211"/>
        <v/>
      </c>
    </row>
    <row r="8352" spans="1:1">
      <c r="A8352" s="11" t="str">
        <f t="shared" si="211"/>
        <v/>
      </c>
    </row>
    <row r="8353" spans="1:1">
      <c r="A8353" s="11" t="str">
        <f t="shared" si="211"/>
        <v/>
      </c>
    </row>
    <row r="8354" spans="1:1">
      <c r="A8354" s="11" t="str">
        <f t="shared" si="211"/>
        <v/>
      </c>
    </row>
    <row r="8355" spans="1:1">
      <c r="A8355" s="11" t="str">
        <f t="shared" si="211"/>
        <v/>
      </c>
    </row>
    <row r="8356" spans="1:1">
      <c r="A8356" s="11" t="str">
        <f t="shared" si="211"/>
        <v/>
      </c>
    </row>
    <row r="8357" spans="1:1">
      <c r="A8357" s="11" t="str">
        <f t="shared" si="211"/>
        <v/>
      </c>
    </row>
    <row r="8358" spans="1:1">
      <c r="A8358" s="11" t="str">
        <f t="shared" si="211"/>
        <v/>
      </c>
    </row>
    <row r="8359" spans="1:1">
      <c r="A8359" s="11" t="str">
        <f t="shared" si="211"/>
        <v/>
      </c>
    </row>
    <row r="8360" spans="1:1">
      <c r="A8360" s="11" t="str">
        <f t="shared" si="211"/>
        <v/>
      </c>
    </row>
    <row r="8361" spans="1:1">
      <c r="A8361" s="11" t="str">
        <f t="shared" si="211"/>
        <v/>
      </c>
    </row>
    <row r="8362" spans="1:1">
      <c r="A8362" s="11" t="str">
        <f t="shared" si="211"/>
        <v/>
      </c>
    </row>
    <row r="8363" spans="1:1">
      <c r="A8363" s="11" t="str">
        <f t="shared" si="211"/>
        <v/>
      </c>
    </row>
    <row r="8364" spans="1:1">
      <c r="A8364" s="11" t="str">
        <f t="shared" si="211"/>
        <v/>
      </c>
    </row>
    <row r="8365" spans="1:1">
      <c r="A8365" s="11" t="str">
        <f t="shared" si="211"/>
        <v/>
      </c>
    </row>
    <row r="8366" spans="1:1">
      <c r="A8366" s="11" t="str">
        <f t="shared" si="211"/>
        <v/>
      </c>
    </row>
    <row r="8367" spans="1:1">
      <c r="A8367" s="11" t="str">
        <f t="shared" si="211"/>
        <v/>
      </c>
    </row>
    <row r="8368" spans="1:1">
      <c r="A8368" s="11" t="str">
        <f t="shared" si="211"/>
        <v/>
      </c>
    </row>
    <row r="8369" spans="1:1">
      <c r="A8369" s="11" t="str">
        <f t="shared" si="211"/>
        <v/>
      </c>
    </row>
    <row r="8370" spans="1:1">
      <c r="A8370" s="11" t="str">
        <f t="shared" si="211"/>
        <v/>
      </c>
    </row>
    <row r="8371" spans="1:1">
      <c r="A8371" s="11" t="str">
        <f t="shared" si="211"/>
        <v/>
      </c>
    </row>
    <row r="8372" spans="1:1">
      <c r="A8372" s="11" t="str">
        <f t="shared" si="211"/>
        <v/>
      </c>
    </row>
    <row r="8373" spans="1:1">
      <c r="A8373" s="11" t="str">
        <f t="shared" si="211"/>
        <v/>
      </c>
    </row>
    <row r="8374" spans="1:1">
      <c r="A8374" s="11" t="str">
        <f t="shared" si="211"/>
        <v/>
      </c>
    </row>
    <row r="8375" spans="1:1">
      <c r="A8375" s="11" t="str">
        <f t="shared" si="211"/>
        <v/>
      </c>
    </row>
    <row r="8376" spans="1:1">
      <c r="A8376" s="11" t="str">
        <f t="shared" si="211"/>
        <v/>
      </c>
    </row>
    <row r="8377" spans="1:1">
      <c r="A8377" s="11" t="str">
        <f t="shared" si="211"/>
        <v/>
      </c>
    </row>
    <row r="8378" spans="1:1">
      <c r="A8378" s="11" t="str">
        <f t="shared" si="211"/>
        <v/>
      </c>
    </row>
    <row r="8379" spans="1:1">
      <c r="A8379" s="11" t="str">
        <f t="shared" si="211"/>
        <v/>
      </c>
    </row>
    <row r="8380" spans="1:1">
      <c r="A8380" s="11" t="str">
        <f t="shared" si="211"/>
        <v/>
      </c>
    </row>
    <row r="8381" spans="1:1">
      <c r="A8381" s="11" t="str">
        <f t="shared" si="211"/>
        <v/>
      </c>
    </row>
    <row r="8382" spans="1:1">
      <c r="A8382" s="11" t="str">
        <f t="shared" si="211"/>
        <v/>
      </c>
    </row>
    <row r="8383" spans="1:1">
      <c r="A8383" s="11" t="str">
        <f t="shared" si="211"/>
        <v/>
      </c>
    </row>
    <row r="8384" spans="1:1">
      <c r="A8384" s="11" t="str">
        <f t="shared" si="211"/>
        <v/>
      </c>
    </row>
    <row r="8385" spans="1:1">
      <c r="A8385" s="11" t="str">
        <f t="shared" si="211"/>
        <v/>
      </c>
    </row>
    <row r="8386" spans="1:1">
      <c r="A8386" s="11" t="str">
        <f t="shared" si="211"/>
        <v/>
      </c>
    </row>
    <row r="8387" spans="1:1">
      <c r="A8387" s="11" t="str">
        <f t="shared" ref="A8387:A8450" si="212">B8387&amp;D8387</f>
        <v/>
      </c>
    </row>
    <row r="8388" spans="1:1">
      <c r="A8388" s="11" t="str">
        <f t="shared" si="212"/>
        <v/>
      </c>
    </row>
    <row r="8389" spans="1:1">
      <c r="A8389" s="11" t="str">
        <f t="shared" si="212"/>
        <v/>
      </c>
    </row>
    <row r="8390" spans="1:1">
      <c r="A8390" s="11" t="str">
        <f t="shared" si="212"/>
        <v/>
      </c>
    </row>
    <row r="8391" spans="1:1">
      <c r="A8391" s="11" t="str">
        <f t="shared" si="212"/>
        <v/>
      </c>
    </row>
    <row r="8392" spans="1:1">
      <c r="A8392" s="11" t="str">
        <f t="shared" si="212"/>
        <v/>
      </c>
    </row>
    <row r="8393" spans="1:1">
      <c r="A8393" s="11" t="str">
        <f t="shared" si="212"/>
        <v/>
      </c>
    </row>
    <row r="8394" spans="1:1">
      <c r="A8394" s="11" t="str">
        <f t="shared" si="212"/>
        <v/>
      </c>
    </row>
    <row r="8395" spans="1:1">
      <c r="A8395" s="11" t="str">
        <f t="shared" si="212"/>
        <v/>
      </c>
    </row>
    <row r="8396" spans="1:1">
      <c r="A8396" s="11" t="str">
        <f t="shared" si="212"/>
        <v/>
      </c>
    </row>
    <row r="8397" spans="1:1">
      <c r="A8397" s="11" t="str">
        <f t="shared" si="212"/>
        <v/>
      </c>
    </row>
    <row r="8398" spans="1:1">
      <c r="A8398" s="11" t="str">
        <f t="shared" si="212"/>
        <v/>
      </c>
    </row>
    <row r="8399" spans="1:1">
      <c r="A8399" s="11" t="str">
        <f t="shared" si="212"/>
        <v/>
      </c>
    </row>
    <row r="8400" spans="1:1">
      <c r="A8400" s="11" t="str">
        <f t="shared" si="212"/>
        <v/>
      </c>
    </row>
    <row r="8401" spans="1:1">
      <c r="A8401" s="11" t="str">
        <f t="shared" si="212"/>
        <v/>
      </c>
    </row>
    <row r="8402" spans="1:1">
      <c r="A8402" s="11" t="str">
        <f t="shared" si="212"/>
        <v/>
      </c>
    </row>
    <row r="8403" spans="1:1">
      <c r="A8403" s="11" t="str">
        <f t="shared" si="212"/>
        <v/>
      </c>
    </row>
    <row r="8404" spans="1:1">
      <c r="A8404" s="11" t="str">
        <f t="shared" si="212"/>
        <v/>
      </c>
    </row>
    <row r="8405" spans="1:1">
      <c r="A8405" s="11" t="str">
        <f t="shared" si="212"/>
        <v/>
      </c>
    </row>
    <row r="8406" spans="1:1">
      <c r="A8406" s="11" t="str">
        <f t="shared" si="212"/>
        <v/>
      </c>
    </row>
    <row r="8407" spans="1:1">
      <c r="A8407" s="11" t="str">
        <f t="shared" si="212"/>
        <v/>
      </c>
    </row>
    <row r="8408" spans="1:1">
      <c r="A8408" s="11" t="str">
        <f t="shared" si="212"/>
        <v/>
      </c>
    </row>
    <row r="8409" spans="1:1">
      <c r="A8409" s="11" t="str">
        <f t="shared" si="212"/>
        <v/>
      </c>
    </row>
    <row r="8410" spans="1:1">
      <c r="A8410" s="11" t="str">
        <f t="shared" si="212"/>
        <v/>
      </c>
    </row>
    <row r="8411" spans="1:1">
      <c r="A8411" s="11" t="str">
        <f t="shared" si="212"/>
        <v/>
      </c>
    </row>
    <row r="8412" spans="1:1">
      <c r="A8412" s="11" t="str">
        <f t="shared" si="212"/>
        <v/>
      </c>
    </row>
    <row r="8413" spans="1:1">
      <c r="A8413" s="11" t="str">
        <f t="shared" si="212"/>
        <v/>
      </c>
    </row>
    <row r="8414" spans="1:1">
      <c r="A8414" s="11" t="str">
        <f t="shared" si="212"/>
        <v/>
      </c>
    </row>
    <row r="8415" spans="1:1">
      <c r="A8415" s="11" t="str">
        <f t="shared" si="212"/>
        <v/>
      </c>
    </row>
    <row r="8416" spans="1:1">
      <c r="A8416" s="11" t="str">
        <f t="shared" si="212"/>
        <v/>
      </c>
    </row>
    <row r="8417" spans="1:1">
      <c r="A8417" s="11" t="str">
        <f t="shared" si="212"/>
        <v/>
      </c>
    </row>
    <row r="8418" spans="1:1">
      <c r="A8418" s="11" t="str">
        <f t="shared" si="212"/>
        <v/>
      </c>
    </row>
    <row r="8419" spans="1:1">
      <c r="A8419" s="11" t="str">
        <f t="shared" si="212"/>
        <v/>
      </c>
    </row>
    <row r="8420" spans="1:1">
      <c r="A8420" s="11" t="str">
        <f t="shared" si="212"/>
        <v/>
      </c>
    </row>
    <row r="8421" spans="1:1">
      <c r="A8421" s="11" t="str">
        <f t="shared" si="212"/>
        <v/>
      </c>
    </row>
    <row r="8422" spans="1:1">
      <c r="A8422" s="11" t="str">
        <f t="shared" si="212"/>
        <v/>
      </c>
    </row>
    <row r="8423" spans="1:1">
      <c r="A8423" s="11" t="str">
        <f t="shared" si="212"/>
        <v/>
      </c>
    </row>
    <row r="8424" spans="1:1">
      <c r="A8424" s="11" t="str">
        <f t="shared" si="212"/>
        <v/>
      </c>
    </row>
    <row r="8425" spans="1:1">
      <c r="A8425" s="11" t="str">
        <f t="shared" si="212"/>
        <v/>
      </c>
    </row>
    <row r="8426" spans="1:1">
      <c r="A8426" s="11" t="str">
        <f t="shared" si="212"/>
        <v/>
      </c>
    </row>
    <row r="8427" spans="1:1">
      <c r="A8427" s="11" t="str">
        <f t="shared" si="212"/>
        <v/>
      </c>
    </row>
    <row r="8428" spans="1:1">
      <c r="A8428" s="11" t="str">
        <f t="shared" si="212"/>
        <v/>
      </c>
    </row>
    <row r="8429" spans="1:1">
      <c r="A8429" s="11" t="str">
        <f t="shared" si="212"/>
        <v/>
      </c>
    </row>
    <row r="8430" spans="1:1">
      <c r="A8430" s="11" t="str">
        <f t="shared" si="212"/>
        <v/>
      </c>
    </row>
    <row r="8431" spans="1:1">
      <c r="A8431" s="11" t="str">
        <f t="shared" si="212"/>
        <v/>
      </c>
    </row>
    <row r="8432" spans="1:1">
      <c r="A8432" s="11" t="str">
        <f t="shared" si="212"/>
        <v/>
      </c>
    </row>
    <row r="8433" spans="1:1">
      <c r="A8433" s="11" t="str">
        <f t="shared" si="212"/>
        <v/>
      </c>
    </row>
    <row r="8434" spans="1:1">
      <c r="A8434" s="11" t="str">
        <f t="shared" si="212"/>
        <v/>
      </c>
    </row>
    <row r="8435" spans="1:1">
      <c r="A8435" s="11" t="str">
        <f t="shared" si="212"/>
        <v/>
      </c>
    </row>
    <row r="8436" spans="1:1">
      <c r="A8436" s="11" t="str">
        <f t="shared" si="212"/>
        <v/>
      </c>
    </row>
    <row r="8437" spans="1:1">
      <c r="A8437" s="11" t="str">
        <f t="shared" si="212"/>
        <v/>
      </c>
    </row>
    <row r="8438" spans="1:1">
      <c r="A8438" s="11" t="str">
        <f t="shared" si="212"/>
        <v/>
      </c>
    </row>
    <row r="8439" spans="1:1">
      <c r="A8439" s="11" t="str">
        <f t="shared" si="212"/>
        <v/>
      </c>
    </row>
    <row r="8440" spans="1:1">
      <c r="A8440" s="11" t="str">
        <f t="shared" si="212"/>
        <v/>
      </c>
    </row>
    <row r="8441" spans="1:1">
      <c r="A8441" s="11" t="str">
        <f t="shared" si="212"/>
        <v/>
      </c>
    </row>
    <row r="8442" spans="1:1">
      <c r="A8442" s="11" t="str">
        <f t="shared" si="212"/>
        <v/>
      </c>
    </row>
    <row r="8443" spans="1:1">
      <c r="A8443" s="11" t="str">
        <f t="shared" si="212"/>
        <v/>
      </c>
    </row>
    <row r="8444" spans="1:1">
      <c r="A8444" s="11" t="str">
        <f t="shared" si="212"/>
        <v/>
      </c>
    </row>
    <row r="8445" spans="1:1">
      <c r="A8445" s="11" t="str">
        <f t="shared" si="212"/>
        <v/>
      </c>
    </row>
    <row r="8446" spans="1:1">
      <c r="A8446" s="11" t="str">
        <f t="shared" si="212"/>
        <v/>
      </c>
    </row>
    <row r="8447" spans="1:1">
      <c r="A8447" s="11" t="str">
        <f t="shared" si="212"/>
        <v/>
      </c>
    </row>
    <row r="8448" spans="1:1">
      <c r="A8448" s="11" t="str">
        <f t="shared" si="212"/>
        <v/>
      </c>
    </row>
    <row r="8449" spans="1:1">
      <c r="A8449" s="11" t="str">
        <f t="shared" si="212"/>
        <v/>
      </c>
    </row>
    <row r="8450" spans="1:1">
      <c r="A8450" s="11" t="str">
        <f t="shared" si="212"/>
        <v/>
      </c>
    </row>
    <row r="8451" spans="1:1">
      <c r="A8451" s="11" t="str">
        <f t="shared" ref="A8451:A8514" si="213">B8451&amp;D8451</f>
        <v/>
      </c>
    </row>
    <row r="8452" spans="1:1">
      <c r="A8452" s="11" t="str">
        <f t="shared" si="213"/>
        <v/>
      </c>
    </row>
    <row r="8453" spans="1:1">
      <c r="A8453" s="11" t="str">
        <f t="shared" si="213"/>
        <v/>
      </c>
    </row>
    <row r="8454" spans="1:1">
      <c r="A8454" s="11" t="str">
        <f t="shared" si="213"/>
        <v/>
      </c>
    </row>
    <row r="8455" spans="1:1">
      <c r="A8455" s="11" t="str">
        <f t="shared" si="213"/>
        <v/>
      </c>
    </row>
    <row r="8456" spans="1:1">
      <c r="A8456" s="11" t="str">
        <f t="shared" si="213"/>
        <v/>
      </c>
    </row>
    <row r="8457" spans="1:1">
      <c r="A8457" s="11" t="str">
        <f t="shared" si="213"/>
        <v/>
      </c>
    </row>
    <row r="8458" spans="1:1">
      <c r="A8458" s="11" t="str">
        <f t="shared" si="213"/>
        <v/>
      </c>
    </row>
    <row r="8459" spans="1:1">
      <c r="A8459" s="11" t="str">
        <f t="shared" si="213"/>
        <v/>
      </c>
    </row>
    <row r="8460" spans="1:1">
      <c r="A8460" s="11" t="str">
        <f t="shared" si="213"/>
        <v/>
      </c>
    </row>
    <row r="8461" spans="1:1">
      <c r="A8461" s="11" t="str">
        <f t="shared" si="213"/>
        <v/>
      </c>
    </row>
    <row r="8462" spans="1:1">
      <c r="A8462" s="11" t="str">
        <f t="shared" si="213"/>
        <v/>
      </c>
    </row>
    <row r="8463" spans="1:1">
      <c r="A8463" s="11" t="str">
        <f t="shared" si="213"/>
        <v/>
      </c>
    </row>
    <row r="8464" spans="1:1">
      <c r="A8464" s="11" t="str">
        <f t="shared" si="213"/>
        <v/>
      </c>
    </row>
    <row r="8465" spans="1:1">
      <c r="A8465" s="11" t="str">
        <f t="shared" si="213"/>
        <v/>
      </c>
    </row>
    <row r="8466" spans="1:1">
      <c r="A8466" s="11" t="str">
        <f t="shared" si="213"/>
        <v/>
      </c>
    </row>
    <row r="8467" spans="1:1">
      <c r="A8467" s="11" t="str">
        <f t="shared" si="213"/>
        <v/>
      </c>
    </row>
    <row r="8468" spans="1:1">
      <c r="A8468" s="11" t="str">
        <f t="shared" si="213"/>
        <v/>
      </c>
    </row>
    <row r="8469" spans="1:1">
      <c r="A8469" s="11" t="str">
        <f t="shared" si="213"/>
        <v/>
      </c>
    </row>
    <row r="8470" spans="1:1">
      <c r="A8470" s="11" t="str">
        <f t="shared" si="213"/>
        <v/>
      </c>
    </row>
    <row r="8471" spans="1:1">
      <c r="A8471" s="11" t="str">
        <f t="shared" si="213"/>
        <v/>
      </c>
    </row>
    <row r="8472" spans="1:1">
      <c r="A8472" s="11" t="str">
        <f t="shared" si="213"/>
        <v/>
      </c>
    </row>
    <row r="8473" spans="1:1">
      <c r="A8473" s="11" t="str">
        <f t="shared" si="213"/>
        <v/>
      </c>
    </row>
    <row r="8474" spans="1:1">
      <c r="A8474" s="11" t="str">
        <f t="shared" si="213"/>
        <v/>
      </c>
    </row>
    <row r="8475" spans="1:1">
      <c r="A8475" s="11" t="str">
        <f t="shared" si="213"/>
        <v/>
      </c>
    </row>
    <row r="8476" spans="1:1">
      <c r="A8476" s="11" t="str">
        <f t="shared" si="213"/>
        <v/>
      </c>
    </row>
    <row r="8477" spans="1:1">
      <c r="A8477" s="11" t="str">
        <f t="shared" si="213"/>
        <v/>
      </c>
    </row>
    <row r="8478" spans="1:1">
      <c r="A8478" s="11" t="str">
        <f t="shared" si="213"/>
        <v/>
      </c>
    </row>
    <row r="8479" spans="1:1">
      <c r="A8479" s="11" t="str">
        <f t="shared" si="213"/>
        <v/>
      </c>
    </row>
    <row r="8480" spans="1:1">
      <c r="A8480" s="11" t="str">
        <f t="shared" si="213"/>
        <v/>
      </c>
    </row>
    <row r="8481" spans="1:1">
      <c r="A8481" s="11" t="str">
        <f t="shared" si="213"/>
        <v/>
      </c>
    </row>
    <row r="8482" spans="1:1">
      <c r="A8482" s="11" t="str">
        <f t="shared" si="213"/>
        <v/>
      </c>
    </row>
    <row r="8483" spans="1:1">
      <c r="A8483" s="11" t="str">
        <f t="shared" si="213"/>
        <v/>
      </c>
    </row>
    <row r="8484" spans="1:1">
      <c r="A8484" s="11" t="str">
        <f t="shared" si="213"/>
        <v/>
      </c>
    </row>
    <row r="8485" spans="1:1">
      <c r="A8485" s="11" t="str">
        <f t="shared" si="213"/>
        <v/>
      </c>
    </row>
    <row r="8486" spans="1:1">
      <c r="A8486" s="11" t="str">
        <f t="shared" si="213"/>
        <v/>
      </c>
    </row>
    <row r="8487" spans="1:1">
      <c r="A8487" s="11" t="str">
        <f t="shared" si="213"/>
        <v/>
      </c>
    </row>
    <row r="8488" spans="1:1">
      <c r="A8488" s="11" t="str">
        <f t="shared" si="213"/>
        <v/>
      </c>
    </row>
    <row r="8489" spans="1:1">
      <c r="A8489" s="11" t="str">
        <f t="shared" si="213"/>
        <v/>
      </c>
    </row>
    <row r="8490" spans="1:1">
      <c r="A8490" s="11" t="str">
        <f t="shared" si="213"/>
        <v/>
      </c>
    </row>
    <row r="8491" spans="1:1">
      <c r="A8491" s="11" t="str">
        <f t="shared" si="213"/>
        <v/>
      </c>
    </row>
    <row r="8492" spans="1:1">
      <c r="A8492" s="11" t="str">
        <f t="shared" si="213"/>
        <v/>
      </c>
    </row>
    <row r="8493" spans="1:1">
      <c r="A8493" s="11" t="str">
        <f t="shared" si="213"/>
        <v/>
      </c>
    </row>
    <row r="8494" spans="1:1">
      <c r="A8494" s="11" t="str">
        <f t="shared" si="213"/>
        <v/>
      </c>
    </row>
    <row r="8495" spans="1:1">
      <c r="A8495" s="11" t="str">
        <f t="shared" si="213"/>
        <v/>
      </c>
    </row>
    <row r="8496" spans="1:1">
      <c r="A8496" s="11" t="str">
        <f t="shared" si="213"/>
        <v/>
      </c>
    </row>
    <row r="8497" spans="1:1">
      <c r="A8497" s="11" t="str">
        <f t="shared" si="213"/>
        <v/>
      </c>
    </row>
    <row r="8498" spans="1:1">
      <c r="A8498" s="11" t="str">
        <f t="shared" si="213"/>
        <v/>
      </c>
    </row>
    <row r="8499" spans="1:1">
      <c r="A8499" s="11" t="str">
        <f t="shared" si="213"/>
        <v/>
      </c>
    </row>
    <row r="8500" spans="1:1">
      <c r="A8500" s="11" t="str">
        <f t="shared" si="213"/>
        <v/>
      </c>
    </row>
    <row r="8501" spans="1:1">
      <c r="A8501" s="11" t="str">
        <f t="shared" si="213"/>
        <v/>
      </c>
    </row>
    <row r="8502" spans="1:1">
      <c r="A8502" s="11" t="str">
        <f t="shared" si="213"/>
        <v/>
      </c>
    </row>
    <row r="8503" spans="1:1">
      <c r="A8503" s="11" t="str">
        <f t="shared" si="213"/>
        <v/>
      </c>
    </row>
    <row r="8504" spans="1:1">
      <c r="A8504" s="11" t="str">
        <f t="shared" si="213"/>
        <v/>
      </c>
    </row>
    <row r="8505" spans="1:1">
      <c r="A8505" s="11" t="str">
        <f t="shared" si="213"/>
        <v/>
      </c>
    </row>
    <row r="8506" spans="1:1">
      <c r="A8506" s="11" t="str">
        <f t="shared" si="213"/>
        <v/>
      </c>
    </row>
    <row r="8507" spans="1:1">
      <c r="A8507" s="11" t="str">
        <f t="shared" si="213"/>
        <v/>
      </c>
    </row>
    <row r="8508" spans="1:1">
      <c r="A8508" s="11" t="str">
        <f t="shared" si="213"/>
        <v/>
      </c>
    </row>
    <row r="8509" spans="1:1">
      <c r="A8509" s="11" t="str">
        <f t="shared" si="213"/>
        <v/>
      </c>
    </row>
    <row r="8510" spans="1:1">
      <c r="A8510" s="11" t="str">
        <f t="shared" si="213"/>
        <v/>
      </c>
    </row>
    <row r="8511" spans="1:1">
      <c r="A8511" s="11" t="str">
        <f t="shared" si="213"/>
        <v/>
      </c>
    </row>
    <row r="8512" spans="1:1">
      <c r="A8512" s="11" t="str">
        <f t="shared" si="213"/>
        <v/>
      </c>
    </row>
    <row r="8513" spans="1:1">
      <c r="A8513" s="11" t="str">
        <f t="shared" si="213"/>
        <v/>
      </c>
    </row>
    <row r="8514" spans="1:1">
      <c r="A8514" s="11" t="str">
        <f t="shared" si="213"/>
        <v/>
      </c>
    </row>
    <row r="8515" spans="1:1">
      <c r="A8515" s="11" t="str">
        <f t="shared" ref="A8515:A8578" si="214">B8515&amp;D8515</f>
        <v/>
      </c>
    </row>
    <row r="8516" spans="1:1">
      <c r="A8516" s="11" t="str">
        <f t="shared" si="214"/>
        <v/>
      </c>
    </row>
    <row r="8517" spans="1:1">
      <c r="A8517" s="11" t="str">
        <f t="shared" si="214"/>
        <v/>
      </c>
    </row>
    <row r="8518" spans="1:1">
      <c r="A8518" s="11" t="str">
        <f t="shared" si="214"/>
        <v/>
      </c>
    </row>
    <row r="8519" spans="1:1">
      <c r="A8519" s="11" t="str">
        <f t="shared" si="214"/>
        <v/>
      </c>
    </row>
    <row r="8520" spans="1:1">
      <c r="A8520" s="11" t="str">
        <f t="shared" si="214"/>
        <v/>
      </c>
    </row>
    <row r="8521" spans="1:1">
      <c r="A8521" s="11" t="str">
        <f t="shared" si="214"/>
        <v/>
      </c>
    </row>
    <row r="8522" spans="1:1">
      <c r="A8522" s="11" t="str">
        <f t="shared" si="214"/>
        <v/>
      </c>
    </row>
    <row r="8523" spans="1:1">
      <c r="A8523" s="11" t="str">
        <f t="shared" si="214"/>
        <v/>
      </c>
    </row>
    <row r="8524" spans="1:1">
      <c r="A8524" s="11" t="str">
        <f t="shared" si="214"/>
        <v/>
      </c>
    </row>
    <row r="8525" spans="1:1">
      <c r="A8525" s="11" t="str">
        <f t="shared" si="214"/>
        <v/>
      </c>
    </row>
    <row r="8526" spans="1:1">
      <c r="A8526" s="11" t="str">
        <f t="shared" si="214"/>
        <v/>
      </c>
    </row>
    <row r="8527" spans="1:1">
      <c r="A8527" s="11" t="str">
        <f t="shared" si="214"/>
        <v/>
      </c>
    </row>
    <row r="8528" spans="1:1">
      <c r="A8528" s="11" t="str">
        <f t="shared" si="214"/>
        <v/>
      </c>
    </row>
    <row r="8529" spans="1:1">
      <c r="A8529" s="11" t="str">
        <f t="shared" si="214"/>
        <v/>
      </c>
    </row>
    <row r="8530" spans="1:1">
      <c r="A8530" s="11" t="str">
        <f t="shared" si="214"/>
        <v/>
      </c>
    </row>
    <row r="8531" spans="1:1">
      <c r="A8531" s="11" t="str">
        <f t="shared" si="214"/>
        <v/>
      </c>
    </row>
    <row r="8532" spans="1:1">
      <c r="A8532" s="11" t="str">
        <f t="shared" si="214"/>
        <v/>
      </c>
    </row>
    <row r="8533" spans="1:1">
      <c r="A8533" s="11" t="str">
        <f t="shared" si="214"/>
        <v/>
      </c>
    </row>
    <row r="8534" spans="1:1">
      <c r="A8534" s="11" t="str">
        <f t="shared" si="214"/>
        <v/>
      </c>
    </row>
    <row r="8535" spans="1:1">
      <c r="A8535" s="11" t="str">
        <f t="shared" si="214"/>
        <v/>
      </c>
    </row>
    <row r="8536" spans="1:1">
      <c r="A8536" s="11" t="str">
        <f t="shared" si="214"/>
        <v/>
      </c>
    </row>
    <row r="8537" spans="1:1">
      <c r="A8537" s="11" t="str">
        <f t="shared" si="214"/>
        <v/>
      </c>
    </row>
    <row r="8538" spans="1:1">
      <c r="A8538" s="11" t="str">
        <f t="shared" si="214"/>
        <v/>
      </c>
    </row>
    <row r="8539" spans="1:1">
      <c r="A8539" s="11" t="str">
        <f t="shared" si="214"/>
        <v/>
      </c>
    </row>
    <row r="8540" spans="1:1">
      <c r="A8540" s="11" t="str">
        <f t="shared" si="214"/>
        <v/>
      </c>
    </row>
    <row r="8541" spans="1:1">
      <c r="A8541" s="11" t="str">
        <f t="shared" si="214"/>
        <v/>
      </c>
    </row>
    <row r="8542" spans="1:1">
      <c r="A8542" s="11" t="str">
        <f t="shared" si="214"/>
        <v/>
      </c>
    </row>
    <row r="8543" spans="1:1">
      <c r="A8543" s="11" t="str">
        <f t="shared" si="214"/>
        <v/>
      </c>
    </row>
    <row r="8544" spans="1:1">
      <c r="A8544" s="11" t="str">
        <f t="shared" si="214"/>
        <v/>
      </c>
    </row>
    <row r="8545" spans="1:1">
      <c r="A8545" s="11" t="str">
        <f t="shared" si="214"/>
        <v/>
      </c>
    </row>
    <row r="8546" spans="1:1">
      <c r="A8546" s="11" t="str">
        <f t="shared" si="214"/>
        <v/>
      </c>
    </row>
    <row r="8547" spans="1:1">
      <c r="A8547" s="11" t="str">
        <f t="shared" si="214"/>
        <v/>
      </c>
    </row>
    <row r="8548" spans="1:1">
      <c r="A8548" s="11" t="str">
        <f t="shared" si="214"/>
        <v/>
      </c>
    </row>
    <row r="8549" spans="1:1">
      <c r="A8549" s="11" t="str">
        <f t="shared" si="214"/>
        <v/>
      </c>
    </row>
    <row r="8550" spans="1:1">
      <c r="A8550" s="11" t="str">
        <f t="shared" si="214"/>
        <v/>
      </c>
    </row>
    <row r="8551" spans="1:1">
      <c r="A8551" s="11" t="str">
        <f t="shared" si="214"/>
        <v/>
      </c>
    </row>
    <row r="8552" spans="1:1">
      <c r="A8552" s="11" t="str">
        <f t="shared" si="214"/>
        <v/>
      </c>
    </row>
    <row r="8553" spans="1:1">
      <c r="A8553" s="11" t="str">
        <f t="shared" si="214"/>
        <v/>
      </c>
    </row>
    <row r="8554" spans="1:1">
      <c r="A8554" s="11" t="str">
        <f t="shared" si="214"/>
        <v/>
      </c>
    </row>
    <row r="8555" spans="1:1">
      <c r="A8555" s="11" t="str">
        <f t="shared" si="214"/>
        <v/>
      </c>
    </row>
    <row r="8556" spans="1:1">
      <c r="A8556" s="11" t="str">
        <f t="shared" si="214"/>
        <v/>
      </c>
    </row>
    <row r="8557" spans="1:1">
      <c r="A8557" s="11" t="str">
        <f t="shared" si="214"/>
        <v/>
      </c>
    </row>
    <row r="8558" spans="1:1">
      <c r="A8558" s="11" t="str">
        <f t="shared" si="214"/>
        <v/>
      </c>
    </row>
    <row r="8559" spans="1:1">
      <c r="A8559" s="11" t="str">
        <f t="shared" si="214"/>
        <v/>
      </c>
    </row>
    <row r="8560" spans="1:1">
      <c r="A8560" s="11" t="str">
        <f t="shared" si="214"/>
        <v/>
      </c>
    </row>
    <row r="8561" spans="1:1">
      <c r="A8561" s="11" t="str">
        <f t="shared" si="214"/>
        <v/>
      </c>
    </row>
    <row r="8562" spans="1:1">
      <c r="A8562" s="11" t="str">
        <f t="shared" si="214"/>
        <v/>
      </c>
    </row>
    <row r="8563" spans="1:1">
      <c r="A8563" s="11" t="str">
        <f t="shared" si="214"/>
        <v/>
      </c>
    </row>
    <row r="8564" spans="1:1">
      <c r="A8564" s="11" t="str">
        <f t="shared" si="214"/>
        <v/>
      </c>
    </row>
    <row r="8565" spans="1:1">
      <c r="A8565" s="11" t="str">
        <f t="shared" si="214"/>
        <v/>
      </c>
    </row>
    <row r="8566" spans="1:1">
      <c r="A8566" s="11" t="str">
        <f t="shared" si="214"/>
        <v/>
      </c>
    </row>
    <row r="8567" spans="1:1">
      <c r="A8567" s="11" t="str">
        <f t="shared" si="214"/>
        <v/>
      </c>
    </row>
    <row r="8568" spans="1:1">
      <c r="A8568" s="11" t="str">
        <f t="shared" si="214"/>
        <v/>
      </c>
    </row>
    <row r="8569" spans="1:1">
      <c r="A8569" s="11" t="str">
        <f t="shared" si="214"/>
        <v/>
      </c>
    </row>
    <row r="8570" spans="1:1">
      <c r="A8570" s="11" t="str">
        <f t="shared" si="214"/>
        <v/>
      </c>
    </row>
    <row r="8571" spans="1:1">
      <c r="A8571" s="11" t="str">
        <f t="shared" si="214"/>
        <v/>
      </c>
    </row>
    <row r="8572" spans="1:1">
      <c r="A8572" s="11" t="str">
        <f t="shared" si="214"/>
        <v/>
      </c>
    </row>
    <row r="8573" spans="1:1">
      <c r="A8573" s="11" t="str">
        <f t="shared" si="214"/>
        <v/>
      </c>
    </row>
    <row r="8574" spans="1:1">
      <c r="A8574" s="11" t="str">
        <f t="shared" si="214"/>
        <v/>
      </c>
    </row>
    <row r="8575" spans="1:1">
      <c r="A8575" s="11" t="str">
        <f t="shared" si="214"/>
        <v/>
      </c>
    </row>
    <row r="8576" spans="1:1">
      <c r="A8576" s="11" t="str">
        <f t="shared" si="214"/>
        <v/>
      </c>
    </row>
    <row r="8577" spans="1:1">
      <c r="A8577" s="11" t="str">
        <f t="shared" si="214"/>
        <v/>
      </c>
    </row>
    <row r="8578" spans="1:1">
      <c r="A8578" s="11" t="str">
        <f t="shared" si="214"/>
        <v/>
      </c>
    </row>
    <row r="8579" spans="1:1">
      <c r="A8579" s="11" t="str">
        <f t="shared" ref="A8579:A8642" si="215">B8579&amp;D8579</f>
        <v/>
      </c>
    </row>
    <row r="8580" spans="1:1">
      <c r="A8580" s="11" t="str">
        <f t="shared" si="215"/>
        <v/>
      </c>
    </row>
    <row r="8581" spans="1:1">
      <c r="A8581" s="11" t="str">
        <f t="shared" si="215"/>
        <v/>
      </c>
    </row>
    <row r="8582" spans="1:1">
      <c r="A8582" s="11" t="str">
        <f t="shared" si="215"/>
        <v/>
      </c>
    </row>
    <row r="8583" spans="1:1">
      <c r="A8583" s="11" t="str">
        <f t="shared" si="215"/>
        <v/>
      </c>
    </row>
    <row r="8584" spans="1:1">
      <c r="A8584" s="11" t="str">
        <f t="shared" si="215"/>
        <v/>
      </c>
    </row>
    <row r="8585" spans="1:1">
      <c r="A8585" s="11" t="str">
        <f t="shared" si="215"/>
        <v/>
      </c>
    </row>
    <row r="8586" spans="1:1">
      <c r="A8586" s="11" t="str">
        <f t="shared" si="215"/>
        <v/>
      </c>
    </row>
    <row r="8587" spans="1:1">
      <c r="A8587" s="11" t="str">
        <f t="shared" si="215"/>
        <v/>
      </c>
    </row>
    <row r="8588" spans="1:1">
      <c r="A8588" s="11" t="str">
        <f t="shared" si="215"/>
        <v/>
      </c>
    </row>
    <row r="8589" spans="1:1">
      <c r="A8589" s="11" t="str">
        <f t="shared" si="215"/>
        <v/>
      </c>
    </row>
    <row r="8590" spans="1:1">
      <c r="A8590" s="11" t="str">
        <f t="shared" si="215"/>
        <v/>
      </c>
    </row>
    <row r="8591" spans="1:1">
      <c r="A8591" s="11" t="str">
        <f t="shared" si="215"/>
        <v/>
      </c>
    </row>
    <row r="8592" spans="1:1">
      <c r="A8592" s="11" t="str">
        <f t="shared" si="215"/>
        <v/>
      </c>
    </row>
    <row r="8593" spans="1:1">
      <c r="A8593" s="11" t="str">
        <f t="shared" si="215"/>
        <v/>
      </c>
    </row>
    <row r="8594" spans="1:1">
      <c r="A8594" s="11" t="str">
        <f t="shared" si="215"/>
        <v/>
      </c>
    </row>
    <row r="8595" spans="1:1">
      <c r="A8595" s="11" t="str">
        <f t="shared" si="215"/>
        <v/>
      </c>
    </row>
    <row r="8596" spans="1:1">
      <c r="A8596" s="11" t="str">
        <f t="shared" si="215"/>
        <v/>
      </c>
    </row>
    <row r="8597" spans="1:1">
      <c r="A8597" s="11" t="str">
        <f t="shared" si="215"/>
        <v/>
      </c>
    </row>
    <row r="8598" spans="1:1">
      <c r="A8598" s="11" t="str">
        <f t="shared" si="215"/>
        <v/>
      </c>
    </row>
    <row r="8599" spans="1:1">
      <c r="A8599" s="11" t="str">
        <f t="shared" si="215"/>
        <v/>
      </c>
    </row>
    <row r="8600" spans="1:1">
      <c r="A8600" s="11" t="str">
        <f t="shared" si="215"/>
        <v/>
      </c>
    </row>
    <row r="8601" spans="1:1">
      <c r="A8601" s="11" t="str">
        <f t="shared" si="215"/>
        <v/>
      </c>
    </row>
    <row r="8602" spans="1:1">
      <c r="A8602" s="11" t="str">
        <f t="shared" si="215"/>
        <v/>
      </c>
    </row>
    <row r="8603" spans="1:1">
      <c r="A8603" s="11" t="str">
        <f t="shared" si="215"/>
        <v/>
      </c>
    </row>
    <row r="8604" spans="1:1">
      <c r="A8604" s="11" t="str">
        <f t="shared" si="215"/>
        <v/>
      </c>
    </row>
    <row r="8605" spans="1:1">
      <c r="A8605" s="11" t="str">
        <f t="shared" si="215"/>
        <v/>
      </c>
    </row>
    <row r="8606" spans="1:1">
      <c r="A8606" s="11" t="str">
        <f t="shared" si="215"/>
        <v/>
      </c>
    </row>
    <row r="8607" spans="1:1">
      <c r="A8607" s="11" t="str">
        <f t="shared" si="215"/>
        <v/>
      </c>
    </row>
    <row r="8608" spans="1:1">
      <c r="A8608" s="11" t="str">
        <f t="shared" si="215"/>
        <v/>
      </c>
    </row>
    <row r="8609" spans="1:1">
      <c r="A8609" s="11" t="str">
        <f t="shared" si="215"/>
        <v/>
      </c>
    </row>
    <row r="8610" spans="1:1">
      <c r="A8610" s="11" t="str">
        <f t="shared" si="215"/>
        <v/>
      </c>
    </row>
    <row r="8611" spans="1:1">
      <c r="A8611" s="11" t="str">
        <f t="shared" si="215"/>
        <v/>
      </c>
    </row>
    <row r="8612" spans="1:1">
      <c r="A8612" s="11" t="str">
        <f t="shared" si="215"/>
        <v/>
      </c>
    </row>
    <row r="8613" spans="1:1">
      <c r="A8613" s="11" t="str">
        <f t="shared" si="215"/>
        <v/>
      </c>
    </row>
    <row r="8614" spans="1:1">
      <c r="A8614" s="11" t="str">
        <f t="shared" si="215"/>
        <v/>
      </c>
    </row>
    <row r="8615" spans="1:1">
      <c r="A8615" s="11" t="str">
        <f t="shared" si="215"/>
        <v/>
      </c>
    </row>
    <row r="8616" spans="1:1">
      <c r="A8616" s="11" t="str">
        <f t="shared" si="215"/>
        <v/>
      </c>
    </row>
    <row r="8617" spans="1:1">
      <c r="A8617" s="11" t="str">
        <f t="shared" si="215"/>
        <v/>
      </c>
    </row>
    <row r="8618" spans="1:1">
      <c r="A8618" s="11" t="str">
        <f t="shared" si="215"/>
        <v/>
      </c>
    </row>
    <row r="8619" spans="1:1">
      <c r="A8619" s="11" t="str">
        <f t="shared" si="215"/>
        <v/>
      </c>
    </row>
    <row r="8620" spans="1:1">
      <c r="A8620" s="11" t="str">
        <f t="shared" si="215"/>
        <v/>
      </c>
    </row>
    <row r="8621" spans="1:1">
      <c r="A8621" s="11" t="str">
        <f t="shared" si="215"/>
        <v/>
      </c>
    </row>
    <row r="8622" spans="1:1">
      <c r="A8622" s="11" t="str">
        <f t="shared" si="215"/>
        <v/>
      </c>
    </row>
    <row r="8623" spans="1:1">
      <c r="A8623" s="11" t="str">
        <f t="shared" si="215"/>
        <v/>
      </c>
    </row>
    <row r="8624" spans="1:1">
      <c r="A8624" s="11" t="str">
        <f t="shared" si="215"/>
        <v/>
      </c>
    </row>
    <row r="8625" spans="1:1">
      <c r="A8625" s="11" t="str">
        <f t="shared" si="215"/>
        <v/>
      </c>
    </row>
    <row r="8626" spans="1:1">
      <c r="A8626" s="11" t="str">
        <f t="shared" si="215"/>
        <v/>
      </c>
    </row>
    <row r="8627" spans="1:1">
      <c r="A8627" s="11" t="str">
        <f t="shared" si="215"/>
        <v/>
      </c>
    </row>
    <row r="8628" spans="1:1">
      <c r="A8628" s="11" t="str">
        <f t="shared" si="215"/>
        <v/>
      </c>
    </row>
    <row r="8629" spans="1:1">
      <c r="A8629" s="11" t="str">
        <f t="shared" si="215"/>
        <v/>
      </c>
    </row>
    <row r="8630" spans="1:1">
      <c r="A8630" s="11" t="str">
        <f t="shared" si="215"/>
        <v/>
      </c>
    </row>
    <row r="8631" spans="1:1">
      <c r="A8631" s="11" t="str">
        <f t="shared" si="215"/>
        <v/>
      </c>
    </row>
    <row r="8632" spans="1:1">
      <c r="A8632" s="11" t="str">
        <f t="shared" si="215"/>
        <v/>
      </c>
    </row>
    <row r="8633" spans="1:1">
      <c r="A8633" s="11" t="str">
        <f t="shared" si="215"/>
        <v/>
      </c>
    </row>
    <row r="8634" spans="1:1">
      <c r="A8634" s="11" t="str">
        <f t="shared" si="215"/>
        <v/>
      </c>
    </row>
    <row r="8635" spans="1:1">
      <c r="A8635" s="11" t="str">
        <f t="shared" si="215"/>
        <v/>
      </c>
    </row>
    <row r="8636" spans="1:1">
      <c r="A8636" s="11" t="str">
        <f t="shared" si="215"/>
        <v/>
      </c>
    </row>
    <row r="8637" spans="1:1">
      <c r="A8637" s="11" t="str">
        <f t="shared" si="215"/>
        <v/>
      </c>
    </row>
    <row r="8638" spans="1:1">
      <c r="A8638" s="11" t="str">
        <f t="shared" si="215"/>
        <v/>
      </c>
    </row>
    <row r="8639" spans="1:1">
      <c r="A8639" s="11" t="str">
        <f t="shared" si="215"/>
        <v/>
      </c>
    </row>
    <row r="8640" spans="1:1">
      <c r="A8640" s="11" t="str">
        <f t="shared" si="215"/>
        <v/>
      </c>
    </row>
    <row r="8641" spans="1:1">
      <c r="A8641" s="11" t="str">
        <f t="shared" si="215"/>
        <v/>
      </c>
    </row>
    <row r="8642" spans="1:1">
      <c r="A8642" s="11" t="str">
        <f t="shared" si="215"/>
        <v/>
      </c>
    </row>
    <row r="8643" spans="1:1">
      <c r="A8643" s="11" t="str">
        <f t="shared" ref="A8643:A8706" si="216">B8643&amp;D8643</f>
        <v/>
      </c>
    </row>
    <row r="8644" spans="1:1">
      <c r="A8644" s="11" t="str">
        <f t="shared" si="216"/>
        <v/>
      </c>
    </row>
    <row r="8645" spans="1:1">
      <c r="A8645" s="11" t="str">
        <f t="shared" si="216"/>
        <v/>
      </c>
    </row>
    <row r="8646" spans="1:1">
      <c r="A8646" s="11" t="str">
        <f t="shared" si="216"/>
        <v/>
      </c>
    </row>
    <row r="8647" spans="1:1">
      <c r="A8647" s="11" t="str">
        <f t="shared" si="216"/>
        <v/>
      </c>
    </row>
    <row r="8648" spans="1:1">
      <c r="A8648" s="11" t="str">
        <f t="shared" si="216"/>
        <v/>
      </c>
    </row>
    <row r="8649" spans="1:1">
      <c r="A8649" s="11" t="str">
        <f t="shared" si="216"/>
        <v/>
      </c>
    </row>
    <row r="8650" spans="1:1">
      <c r="A8650" s="11" t="str">
        <f t="shared" si="216"/>
        <v/>
      </c>
    </row>
    <row r="8651" spans="1:1">
      <c r="A8651" s="11" t="str">
        <f t="shared" si="216"/>
        <v/>
      </c>
    </row>
    <row r="8652" spans="1:1">
      <c r="A8652" s="11" t="str">
        <f t="shared" si="216"/>
        <v/>
      </c>
    </row>
    <row r="8653" spans="1:1">
      <c r="A8653" s="11" t="str">
        <f t="shared" si="216"/>
        <v/>
      </c>
    </row>
    <row r="8654" spans="1:1">
      <c r="A8654" s="11" t="str">
        <f t="shared" si="216"/>
        <v/>
      </c>
    </row>
    <row r="8655" spans="1:1">
      <c r="A8655" s="11" t="str">
        <f t="shared" si="216"/>
        <v/>
      </c>
    </row>
    <row r="8656" spans="1:1">
      <c r="A8656" s="11" t="str">
        <f t="shared" si="216"/>
        <v/>
      </c>
    </row>
    <row r="8657" spans="1:1">
      <c r="A8657" s="11" t="str">
        <f t="shared" si="216"/>
        <v/>
      </c>
    </row>
    <row r="8658" spans="1:1">
      <c r="A8658" s="11" t="str">
        <f t="shared" si="216"/>
        <v/>
      </c>
    </row>
    <row r="8659" spans="1:1">
      <c r="A8659" s="11" t="str">
        <f t="shared" si="216"/>
        <v/>
      </c>
    </row>
    <row r="8660" spans="1:1">
      <c r="A8660" s="11" t="str">
        <f t="shared" si="216"/>
        <v/>
      </c>
    </row>
    <row r="8661" spans="1:1">
      <c r="A8661" s="11" t="str">
        <f t="shared" si="216"/>
        <v/>
      </c>
    </row>
    <row r="8662" spans="1:1">
      <c r="A8662" s="11" t="str">
        <f t="shared" si="216"/>
        <v/>
      </c>
    </row>
    <row r="8663" spans="1:1">
      <c r="A8663" s="11" t="str">
        <f t="shared" si="216"/>
        <v/>
      </c>
    </row>
    <row r="8664" spans="1:1">
      <c r="A8664" s="11" t="str">
        <f t="shared" si="216"/>
        <v/>
      </c>
    </row>
    <row r="8665" spans="1:1">
      <c r="A8665" s="11" t="str">
        <f t="shared" si="216"/>
        <v/>
      </c>
    </row>
    <row r="8666" spans="1:1">
      <c r="A8666" s="11" t="str">
        <f t="shared" si="216"/>
        <v/>
      </c>
    </row>
    <row r="8667" spans="1:1">
      <c r="A8667" s="11" t="str">
        <f t="shared" si="216"/>
        <v/>
      </c>
    </row>
    <row r="8668" spans="1:1">
      <c r="A8668" s="11" t="str">
        <f t="shared" si="216"/>
        <v/>
      </c>
    </row>
    <row r="8669" spans="1:1">
      <c r="A8669" s="11" t="str">
        <f t="shared" si="216"/>
        <v/>
      </c>
    </row>
    <row r="8670" spans="1:1">
      <c r="A8670" s="11" t="str">
        <f t="shared" si="216"/>
        <v/>
      </c>
    </row>
    <row r="8671" spans="1:1">
      <c r="A8671" s="11" t="str">
        <f t="shared" si="216"/>
        <v/>
      </c>
    </row>
    <row r="8672" spans="1:1">
      <c r="A8672" s="11" t="str">
        <f t="shared" si="216"/>
        <v/>
      </c>
    </row>
    <row r="8673" spans="1:1">
      <c r="A8673" s="11" t="str">
        <f t="shared" si="216"/>
        <v/>
      </c>
    </row>
    <row r="8674" spans="1:1">
      <c r="A8674" s="11" t="str">
        <f t="shared" si="216"/>
        <v/>
      </c>
    </row>
    <row r="8675" spans="1:1">
      <c r="A8675" s="11" t="str">
        <f t="shared" si="216"/>
        <v/>
      </c>
    </row>
    <row r="8676" spans="1:1">
      <c r="A8676" s="11" t="str">
        <f t="shared" si="216"/>
        <v/>
      </c>
    </row>
    <row r="8677" spans="1:1">
      <c r="A8677" s="11" t="str">
        <f t="shared" si="216"/>
        <v/>
      </c>
    </row>
    <row r="8678" spans="1:1">
      <c r="A8678" s="11" t="str">
        <f t="shared" si="216"/>
        <v/>
      </c>
    </row>
    <row r="8679" spans="1:1">
      <c r="A8679" s="11" t="str">
        <f t="shared" si="216"/>
        <v/>
      </c>
    </row>
    <row r="8680" spans="1:1">
      <c r="A8680" s="11" t="str">
        <f t="shared" si="216"/>
        <v/>
      </c>
    </row>
    <row r="8681" spans="1:1">
      <c r="A8681" s="11" t="str">
        <f t="shared" si="216"/>
        <v/>
      </c>
    </row>
    <row r="8682" spans="1:1">
      <c r="A8682" s="11" t="str">
        <f t="shared" si="216"/>
        <v/>
      </c>
    </row>
    <row r="8683" spans="1:1">
      <c r="A8683" s="11" t="str">
        <f t="shared" si="216"/>
        <v/>
      </c>
    </row>
    <row r="8684" spans="1:1">
      <c r="A8684" s="11" t="str">
        <f t="shared" si="216"/>
        <v/>
      </c>
    </row>
    <row r="8685" spans="1:1">
      <c r="A8685" s="11" t="str">
        <f t="shared" si="216"/>
        <v/>
      </c>
    </row>
    <row r="8686" spans="1:1">
      <c r="A8686" s="11" t="str">
        <f t="shared" si="216"/>
        <v/>
      </c>
    </row>
    <row r="8687" spans="1:1">
      <c r="A8687" s="11" t="str">
        <f t="shared" si="216"/>
        <v/>
      </c>
    </row>
    <row r="8688" spans="1:1">
      <c r="A8688" s="11" t="str">
        <f t="shared" si="216"/>
        <v/>
      </c>
    </row>
    <row r="8689" spans="1:1">
      <c r="A8689" s="11" t="str">
        <f t="shared" si="216"/>
        <v/>
      </c>
    </row>
    <row r="8690" spans="1:1">
      <c r="A8690" s="11" t="str">
        <f t="shared" si="216"/>
        <v/>
      </c>
    </row>
    <row r="8691" spans="1:1">
      <c r="A8691" s="11" t="str">
        <f t="shared" si="216"/>
        <v/>
      </c>
    </row>
    <row r="8692" spans="1:1">
      <c r="A8692" s="11" t="str">
        <f t="shared" si="216"/>
        <v/>
      </c>
    </row>
    <row r="8693" spans="1:1">
      <c r="A8693" s="11" t="str">
        <f t="shared" si="216"/>
        <v/>
      </c>
    </row>
    <row r="8694" spans="1:1">
      <c r="A8694" s="11" t="str">
        <f t="shared" si="216"/>
        <v/>
      </c>
    </row>
    <row r="8695" spans="1:1">
      <c r="A8695" s="11" t="str">
        <f t="shared" si="216"/>
        <v/>
      </c>
    </row>
    <row r="8696" spans="1:1">
      <c r="A8696" s="11" t="str">
        <f t="shared" si="216"/>
        <v/>
      </c>
    </row>
    <row r="8697" spans="1:1">
      <c r="A8697" s="11" t="str">
        <f t="shared" si="216"/>
        <v/>
      </c>
    </row>
    <row r="8698" spans="1:1">
      <c r="A8698" s="11" t="str">
        <f t="shared" si="216"/>
        <v/>
      </c>
    </row>
    <row r="8699" spans="1:1">
      <c r="A8699" s="11" t="str">
        <f t="shared" si="216"/>
        <v/>
      </c>
    </row>
    <row r="8700" spans="1:1">
      <c r="A8700" s="11" t="str">
        <f t="shared" si="216"/>
        <v/>
      </c>
    </row>
    <row r="8701" spans="1:1">
      <c r="A8701" s="11" t="str">
        <f t="shared" si="216"/>
        <v/>
      </c>
    </row>
    <row r="8702" spans="1:1">
      <c r="A8702" s="11" t="str">
        <f t="shared" si="216"/>
        <v/>
      </c>
    </row>
    <row r="8703" spans="1:1">
      <c r="A8703" s="11" t="str">
        <f t="shared" si="216"/>
        <v/>
      </c>
    </row>
    <row r="8704" spans="1:1">
      <c r="A8704" s="11" t="str">
        <f t="shared" si="216"/>
        <v/>
      </c>
    </row>
    <row r="8705" spans="1:1">
      <c r="A8705" s="11" t="str">
        <f t="shared" si="216"/>
        <v/>
      </c>
    </row>
    <row r="8706" spans="1:1">
      <c r="A8706" s="11" t="str">
        <f t="shared" si="216"/>
        <v/>
      </c>
    </row>
    <row r="8707" spans="1:1">
      <c r="A8707" s="11" t="str">
        <f t="shared" ref="A8707:A8770" si="217">B8707&amp;D8707</f>
        <v/>
      </c>
    </row>
    <row r="8708" spans="1:1">
      <c r="A8708" s="11" t="str">
        <f t="shared" si="217"/>
        <v/>
      </c>
    </row>
    <row r="8709" spans="1:1">
      <c r="A8709" s="11" t="str">
        <f t="shared" si="217"/>
        <v/>
      </c>
    </row>
    <row r="8710" spans="1:1">
      <c r="A8710" s="11" t="str">
        <f t="shared" si="217"/>
        <v/>
      </c>
    </row>
    <row r="8711" spans="1:1">
      <c r="A8711" s="11" t="str">
        <f t="shared" si="217"/>
        <v/>
      </c>
    </row>
    <row r="8712" spans="1:1">
      <c r="A8712" s="11" t="str">
        <f t="shared" si="217"/>
        <v/>
      </c>
    </row>
    <row r="8713" spans="1:1">
      <c r="A8713" s="11" t="str">
        <f t="shared" si="217"/>
        <v/>
      </c>
    </row>
    <row r="8714" spans="1:1">
      <c r="A8714" s="11" t="str">
        <f t="shared" si="217"/>
        <v/>
      </c>
    </row>
    <row r="8715" spans="1:1">
      <c r="A8715" s="11" t="str">
        <f t="shared" si="217"/>
        <v/>
      </c>
    </row>
    <row r="8716" spans="1:1">
      <c r="A8716" s="11" t="str">
        <f t="shared" si="217"/>
        <v/>
      </c>
    </row>
    <row r="8717" spans="1:1">
      <c r="A8717" s="11" t="str">
        <f t="shared" si="217"/>
        <v/>
      </c>
    </row>
    <row r="8718" spans="1:1">
      <c r="A8718" s="11" t="str">
        <f t="shared" si="217"/>
        <v/>
      </c>
    </row>
    <row r="8719" spans="1:1">
      <c r="A8719" s="11" t="str">
        <f t="shared" si="217"/>
        <v/>
      </c>
    </row>
    <row r="8720" spans="1:1">
      <c r="A8720" s="11" t="str">
        <f t="shared" si="217"/>
        <v/>
      </c>
    </row>
    <row r="8721" spans="1:1">
      <c r="A8721" s="11" t="str">
        <f t="shared" si="217"/>
        <v/>
      </c>
    </row>
    <row r="8722" spans="1:1">
      <c r="A8722" s="11" t="str">
        <f t="shared" si="217"/>
        <v/>
      </c>
    </row>
    <row r="8723" spans="1:1">
      <c r="A8723" s="11" t="str">
        <f t="shared" si="217"/>
        <v/>
      </c>
    </row>
    <row r="8724" spans="1:1">
      <c r="A8724" s="11" t="str">
        <f t="shared" si="217"/>
        <v/>
      </c>
    </row>
    <row r="8725" spans="1:1">
      <c r="A8725" s="11" t="str">
        <f t="shared" si="217"/>
        <v/>
      </c>
    </row>
    <row r="8726" spans="1:1">
      <c r="A8726" s="11" t="str">
        <f t="shared" si="217"/>
        <v/>
      </c>
    </row>
    <row r="8727" spans="1:1">
      <c r="A8727" s="11" t="str">
        <f t="shared" si="217"/>
        <v/>
      </c>
    </row>
    <row r="8728" spans="1:1">
      <c r="A8728" s="11" t="str">
        <f t="shared" si="217"/>
        <v/>
      </c>
    </row>
    <row r="8729" spans="1:1">
      <c r="A8729" s="11" t="str">
        <f t="shared" si="217"/>
        <v/>
      </c>
    </row>
    <row r="8730" spans="1:1">
      <c r="A8730" s="11" t="str">
        <f t="shared" si="217"/>
        <v/>
      </c>
    </row>
    <row r="8731" spans="1:1">
      <c r="A8731" s="11" t="str">
        <f t="shared" si="217"/>
        <v/>
      </c>
    </row>
    <row r="8732" spans="1:1">
      <c r="A8732" s="11" t="str">
        <f t="shared" si="217"/>
        <v/>
      </c>
    </row>
    <row r="8733" spans="1:1">
      <c r="A8733" s="11" t="str">
        <f t="shared" si="217"/>
        <v/>
      </c>
    </row>
    <row r="8734" spans="1:1">
      <c r="A8734" s="11" t="str">
        <f t="shared" si="217"/>
        <v/>
      </c>
    </row>
    <row r="8735" spans="1:1">
      <c r="A8735" s="11" t="str">
        <f t="shared" si="217"/>
        <v/>
      </c>
    </row>
    <row r="8736" spans="1:1">
      <c r="A8736" s="11" t="str">
        <f t="shared" si="217"/>
        <v/>
      </c>
    </row>
    <row r="8737" spans="1:1">
      <c r="A8737" s="11" t="str">
        <f t="shared" si="217"/>
        <v/>
      </c>
    </row>
    <row r="8738" spans="1:1">
      <c r="A8738" s="11" t="str">
        <f t="shared" si="217"/>
        <v/>
      </c>
    </row>
    <row r="8739" spans="1:1">
      <c r="A8739" s="11" t="str">
        <f t="shared" si="217"/>
        <v/>
      </c>
    </row>
    <row r="8740" spans="1:1">
      <c r="A8740" s="11" t="str">
        <f t="shared" si="217"/>
        <v/>
      </c>
    </row>
    <row r="8741" spans="1:1">
      <c r="A8741" s="11" t="str">
        <f t="shared" si="217"/>
        <v/>
      </c>
    </row>
    <row r="8742" spans="1:1">
      <c r="A8742" s="11" t="str">
        <f t="shared" si="217"/>
        <v/>
      </c>
    </row>
    <row r="8743" spans="1:1">
      <c r="A8743" s="11" t="str">
        <f t="shared" si="217"/>
        <v/>
      </c>
    </row>
    <row r="8744" spans="1:1">
      <c r="A8744" s="11" t="str">
        <f t="shared" si="217"/>
        <v/>
      </c>
    </row>
    <row r="8745" spans="1:1">
      <c r="A8745" s="11" t="str">
        <f t="shared" si="217"/>
        <v/>
      </c>
    </row>
    <row r="8746" spans="1:1">
      <c r="A8746" s="11" t="str">
        <f t="shared" si="217"/>
        <v/>
      </c>
    </row>
    <row r="8747" spans="1:1">
      <c r="A8747" s="11" t="str">
        <f t="shared" si="217"/>
        <v/>
      </c>
    </row>
    <row r="8748" spans="1:1">
      <c r="A8748" s="11" t="str">
        <f t="shared" si="217"/>
        <v/>
      </c>
    </row>
    <row r="8749" spans="1:1">
      <c r="A8749" s="11" t="str">
        <f t="shared" si="217"/>
        <v/>
      </c>
    </row>
    <row r="8750" spans="1:1">
      <c r="A8750" s="11" t="str">
        <f t="shared" si="217"/>
        <v/>
      </c>
    </row>
    <row r="8751" spans="1:1">
      <c r="A8751" s="11" t="str">
        <f t="shared" si="217"/>
        <v/>
      </c>
    </row>
    <row r="8752" spans="1:1">
      <c r="A8752" s="11" t="str">
        <f t="shared" si="217"/>
        <v/>
      </c>
    </row>
    <row r="8753" spans="1:1">
      <c r="A8753" s="11" t="str">
        <f t="shared" si="217"/>
        <v/>
      </c>
    </row>
    <row r="8754" spans="1:1">
      <c r="A8754" s="11" t="str">
        <f t="shared" si="217"/>
        <v/>
      </c>
    </row>
    <row r="8755" spans="1:1">
      <c r="A8755" s="11" t="str">
        <f t="shared" si="217"/>
        <v/>
      </c>
    </row>
    <row r="8756" spans="1:1">
      <c r="A8756" s="11" t="str">
        <f t="shared" si="217"/>
        <v/>
      </c>
    </row>
    <row r="8757" spans="1:1">
      <c r="A8757" s="11" t="str">
        <f t="shared" si="217"/>
        <v/>
      </c>
    </row>
    <row r="8758" spans="1:1">
      <c r="A8758" s="11" t="str">
        <f t="shared" si="217"/>
        <v/>
      </c>
    </row>
    <row r="8759" spans="1:1">
      <c r="A8759" s="11" t="str">
        <f t="shared" si="217"/>
        <v/>
      </c>
    </row>
    <row r="8760" spans="1:1">
      <c r="A8760" s="11" t="str">
        <f t="shared" si="217"/>
        <v/>
      </c>
    </row>
    <row r="8761" spans="1:1">
      <c r="A8761" s="11" t="str">
        <f t="shared" si="217"/>
        <v/>
      </c>
    </row>
    <row r="8762" spans="1:1">
      <c r="A8762" s="11" t="str">
        <f t="shared" si="217"/>
        <v/>
      </c>
    </row>
    <row r="8763" spans="1:1">
      <c r="A8763" s="11" t="str">
        <f t="shared" si="217"/>
        <v/>
      </c>
    </row>
    <row r="8764" spans="1:1">
      <c r="A8764" s="11" t="str">
        <f t="shared" si="217"/>
        <v/>
      </c>
    </row>
    <row r="8765" spans="1:1">
      <c r="A8765" s="11" t="str">
        <f t="shared" si="217"/>
        <v/>
      </c>
    </row>
    <row r="8766" spans="1:1">
      <c r="A8766" s="11" t="str">
        <f t="shared" si="217"/>
        <v/>
      </c>
    </row>
    <row r="8767" spans="1:1">
      <c r="A8767" s="11" t="str">
        <f t="shared" si="217"/>
        <v/>
      </c>
    </row>
    <row r="8768" spans="1:1">
      <c r="A8768" s="11" t="str">
        <f t="shared" si="217"/>
        <v/>
      </c>
    </row>
    <row r="8769" spans="1:1">
      <c r="A8769" s="11" t="str">
        <f t="shared" si="217"/>
        <v/>
      </c>
    </row>
    <row r="8770" spans="1:1">
      <c r="A8770" s="11" t="str">
        <f t="shared" si="217"/>
        <v/>
      </c>
    </row>
    <row r="8771" spans="1:1">
      <c r="A8771" s="11" t="str">
        <f t="shared" ref="A8771:A8834" si="218">B8771&amp;D8771</f>
        <v/>
      </c>
    </row>
    <row r="8772" spans="1:1">
      <c r="A8772" s="11" t="str">
        <f t="shared" si="218"/>
        <v/>
      </c>
    </row>
    <row r="8773" spans="1:1">
      <c r="A8773" s="11" t="str">
        <f t="shared" si="218"/>
        <v/>
      </c>
    </row>
    <row r="8774" spans="1:1">
      <c r="A8774" s="11" t="str">
        <f t="shared" si="218"/>
        <v/>
      </c>
    </row>
    <row r="8775" spans="1:1">
      <c r="A8775" s="11" t="str">
        <f t="shared" si="218"/>
        <v/>
      </c>
    </row>
    <row r="8776" spans="1:1">
      <c r="A8776" s="11" t="str">
        <f t="shared" si="218"/>
        <v/>
      </c>
    </row>
    <row r="8777" spans="1:1">
      <c r="A8777" s="11" t="str">
        <f t="shared" si="218"/>
        <v/>
      </c>
    </row>
    <row r="8778" spans="1:1">
      <c r="A8778" s="11" t="str">
        <f t="shared" si="218"/>
        <v/>
      </c>
    </row>
    <row r="8779" spans="1:1">
      <c r="A8779" s="11" t="str">
        <f t="shared" si="218"/>
        <v/>
      </c>
    </row>
    <row r="8780" spans="1:1">
      <c r="A8780" s="11" t="str">
        <f t="shared" si="218"/>
        <v/>
      </c>
    </row>
    <row r="8781" spans="1:1">
      <c r="A8781" s="11" t="str">
        <f t="shared" si="218"/>
        <v/>
      </c>
    </row>
    <row r="8782" spans="1:1">
      <c r="A8782" s="11" t="str">
        <f t="shared" si="218"/>
        <v/>
      </c>
    </row>
    <row r="8783" spans="1:1">
      <c r="A8783" s="11" t="str">
        <f t="shared" si="218"/>
        <v/>
      </c>
    </row>
    <row r="8784" spans="1:1">
      <c r="A8784" s="11" t="str">
        <f t="shared" si="218"/>
        <v/>
      </c>
    </row>
    <row r="8785" spans="1:1">
      <c r="A8785" s="11" t="str">
        <f t="shared" si="218"/>
        <v/>
      </c>
    </row>
    <row r="8786" spans="1:1">
      <c r="A8786" s="11" t="str">
        <f t="shared" si="218"/>
        <v/>
      </c>
    </row>
    <row r="8787" spans="1:1">
      <c r="A8787" s="11" t="str">
        <f t="shared" si="218"/>
        <v/>
      </c>
    </row>
    <row r="8788" spans="1:1">
      <c r="A8788" s="11" t="str">
        <f t="shared" si="218"/>
        <v/>
      </c>
    </row>
    <row r="8789" spans="1:1">
      <c r="A8789" s="11" t="str">
        <f t="shared" si="218"/>
        <v/>
      </c>
    </row>
    <row r="8790" spans="1:1">
      <c r="A8790" s="11" t="str">
        <f t="shared" si="218"/>
        <v/>
      </c>
    </row>
    <row r="8791" spans="1:1">
      <c r="A8791" s="11" t="str">
        <f t="shared" si="218"/>
        <v/>
      </c>
    </row>
    <row r="8792" spans="1:1">
      <c r="A8792" s="11" t="str">
        <f t="shared" si="218"/>
        <v/>
      </c>
    </row>
    <row r="8793" spans="1:1">
      <c r="A8793" s="11" t="str">
        <f t="shared" si="218"/>
        <v/>
      </c>
    </row>
    <row r="8794" spans="1:1">
      <c r="A8794" s="11" t="str">
        <f t="shared" si="218"/>
        <v/>
      </c>
    </row>
    <row r="8795" spans="1:1">
      <c r="A8795" s="11" t="str">
        <f t="shared" si="218"/>
        <v/>
      </c>
    </row>
    <row r="8796" spans="1:1">
      <c r="A8796" s="11" t="str">
        <f t="shared" si="218"/>
        <v/>
      </c>
    </row>
    <row r="8797" spans="1:1">
      <c r="A8797" s="11" t="str">
        <f t="shared" si="218"/>
        <v/>
      </c>
    </row>
    <row r="8798" spans="1:1">
      <c r="A8798" s="11" t="str">
        <f t="shared" si="218"/>
        <v/>
      </c>
    </row>
    <row r="8799" spans="1:1">
      <c r="A8799" s="11" t="str">
        <f t="shared" si="218"/>
        <v/>
      </c>
    </row>
    <row r="8800" spans="1:1">
      <c r="A8800" s="11" t="str">
        <f t="shared" si="218"/>
        <v/>
      </c>
    </row>
    <row r="8801" spans="1:1">
      <c r="A8801" s="11" t="str">
        <f t="shared" si="218"/>
        <v/>
      </c>
    </row>
    <row r="8802" spans="1:1">
      <c r="A8802" s="11" t="str">
        <f t="shared" si="218"/>
        <v/>
      </c>
    </row>
    <row r="8803" spans="1:1">
      <c r="A8803" s="11" t="str">
        <f t="shared" si="218"/>
        <v/>
      </c>
    </row>
    <row r="8804" spans="1:1">
      <c r="A8804" s="11" t="str">
        <f t="shared" si="218"/>
        <v/>
      </c>
    </row>
    <row r="8805" spans="1:1">
      <c r="A8805" s="11" t="str">
        <f t="shared" si="218"/>
        <v/>
      </c>
    </row>
    <row r="8806" spans="1:1">
      <c r="A8806" s="11" t="str">
        <f t="shared" si="218"/>
        <v/>
      </c>
    </row>
    <row r="8807" spans="1:1">
      <c r="A8807" s="11" t="str">
        <f t="shared" si="218"/>
        <v/>
      </c>
    </row>
    <row r="8808" spans="1:1">
      <c r="A8808" s="11" t="str">
        <f t="shared" si="218"/>
        <v/>
      </c>
    </row>
    <row r="8809" spans="1:1">
      <c r="A8809" s="11" t="str">
        <f t="shared" si="218"/>
        <v/>
      </c>
    </row>
    <row r="8810" spans="1:1">
      <c r="A8810" s="11" t="str">
        <f t="shared" si="218"/>
        <v/>
      </c>
    </row>
    <row r="8811" spans="1:1">
      <c r="A8811" s="11" t="str">
        <f t="shared" si="218"/>
        <v/>
      </c>
    </row>
    <row r="8812" spans="1:1">
      <c r="A8812" s="11" t="str">
        <f t="shared" si="218"/>
        <v/>
      </c>
    </row>
    <row r="8813" spans="1:1">
      <c r="A8813" s="11" t="str">
        <f t="shared" si="218"/>
        <v/>
      </c>
    </row>
    <row r="8814" spans="1:1">
      <c r="A8814" s="11" t="str">
        <f t="shared" si="218"/>
        <v/>
      </c>
    </row>
    <row r="8815" spans="1:1">
      <c r="A8815" s="11" t="str">
        <f t="shared" si="218"/>
        <v/>
      </c>
    </row>
    <row r="8816" spans="1:1">
      <c r="A8816" s="11" t="str">
        <f t="shared" si="218"/>
        <v/>
      </c>
    </row>
    <row r="8817" spans="1:1">
      <c r="A8817" s="11" t="str">
        <f t="shared" si="218"/>
        <v/>
      </c>
    </row>
    <row r="8818" spans="1:1">
      <c r="A8818" s="11" t="str">
        <f t="shared" si="218"/>
        <v/>
      </c>
    </row>
    <row r="8819" spans="1:1">
      <c r="A8819" s="11" t="str">
        <f t="shared" si="218"/>
        <v/>
      </c>
    </row>
    <row r="8820" spans="1:1">
      <c r="A8820" s="11" t="str">
        <f t="shared" si="218"/>
        <v/>
      </c>
    </row>
    <row r="8821" spans="1:1">
      <c r="A8821" s="11" t="str">
        <f t="shared" si="218"/>
        <v/>
      </c>
    </row>
    <row r="8822" spans="1:1">
      <c r="A8822" s="11" t="str">
        <f t="shared" si="218"/>
        <v/>
      </c>
    </row>
    <row r="8823" spans="1:1">
      <c r="A8823" s="11" t="str">
        <f t="shared" si="218"/>
        <v/>
      </c>
    </row>
    <row r="8824" spans="1:1">
      <c r="A8824" s="11" t="str">
        <f t="shared" si="218"/>
        <v/>
      </c>
    </row>
    <row r="8825" spans="1:1">
      <c r="A8825" s="11" t="str">
        <f t="shared" si="218"/>
        <v/>
      </c>
    </row>
    <row r="8826" spans="1:1">
      <c r="A8826" s="11" t="str">
        <f t="shared" si="218"/>
        <v/>
      </c>
    </row>
    <row r="8827" spans="1:1">
      <c r="A8827" s="11" t="str">
        <f t="shared" si="218"/>
        <v/>
      </c>
    </row>
    <row r="8828" spans="1:1">
      <c r="A8828" s="11" t="str">
        <f t="shared" si="218"/>
        <v/>
      </c>
    </row>
    <row r="8829" spans="1:1">
      <c r="A8829" s="11" t="str">
        <f t="shared" si="218"/>
        <v/>
      </c>
    </row>
    <row r="8830" spans="1:1">
      <c r="A8830" s="11" t="str">
        <f t="shared" si="218"/>
        <v/>
      </c>
    </row>
    <row r="8831" spans="1:1">
      <c r="A8831" s="11" t="str">
        <f t="shared" si="218"/>
        <v/>
      </c>
    </row>
    <row r="8832" spans="1:1">
      <c r="A8832" s="11" t="str">
        <f t="shared" si="218"/>
        <v/>
      </c>
    </row>
    <row r="8833" spans="1:1">
      <c r="A8833" s="11" t="str">
        <f t="shared" si="218"/>
        <v/>
      </c>
    </row>
    <row r="8834" spans="1:1">
      <c r="A8834" s="11" t="str">
        <f t="shared" si="218"/>
        <v/>
      </c>
    </row>
    <row r="8835" spans="1:1">
      <c r="A8835" s="11" t="str">
        <f t="shared" ref="A8835:A8898" si="219">B8835&amp;D8835</f>
        <v/>
      </c>
    </row>
    <row r="8836" spans="1:1">
      <c r="A8836" s="11" t="str">
        <f t="shared" si="219"/>
        <v/>
      </c>
    </row>
    <row r="8837" spans="1:1">
      <c r="A8837" s="11" t="str">
        <f t="shared" si="219"/>
        <v/>
      </c>
    </row>
    <row r="8838" spans="1:1">
      <c r="A8838" s="11" t="str">
        <f t="shared" si="219"/>
        <v/>
      </c>
    </row>
    <row r="8839" spans="1:1">
      <c r="A8839" s="11" t="str">
        <f t="shared" si="219"/>
        <v/>
      </c>
    </row>
    <row r="8840" spans="1:1">
      <c r="A8840" s="11" t="str">
        <f t="shared" si="219"/>
        <v/>
      </c>
    </row>
    <row r="8841" spans="1:1">
      <c r="A8841" s="11" t="str">
        <f t="shared" si="219"/>
        <v/>
      </c>
    </row>
    <row r="8842" spans="1:1">
      <c r="A8842" s="11" t="str">
        <f t="shared" si="219"/>
        <v/>
      </c>
    </row>
    <row r="8843" spans="1:1">
      <c r="A8843" s="11" t="str">
        <f t="shared" si="219"/>
        <v/>
      </c>
    </row>
    <row r="8844" spans="1:1">
      <c r="A8844" s="11" t="str">
        <f t="shared" si="219"/>
        <v/>
      </c>
    </row>
    <row r="8845" spans="1:1">
      <c r="A8845" s="11" t="str">
        <f t="shared" si="219"/>
        <v/>
      </c>
    </row>
    <row r="8846" spans="1:1">
      <c r="A8846" s="11" t="str">
        <f t="shared" si="219"/>
        <v/>
      </c>
    </row>
    <row r="8847" spans="1:1">
      <c r="A8847" s="11" t="str">
        <f t="shared" si="219"/>
        <v/>
      </c>
    </row>
    <row r="8848" spans="1:1">
      <c r="A8848" s="11" t="str">
        <f t="shared" si="219"/>
        <v/>
      </c>
    </row>
    <row r="8849" spans="1:1">
      <c r="A8849" s="11" t="str">
        <f t="shared" si="219"/>
        <v/>
      </c>
    </row>
    <row r="8850" spans="1:1">
      <c r="A8850" s="11" t="str">
        <f t="shared" si="219"/>
        <v/>
      </c>
    </row>
    <row r="8851" spans="1:1">
      <c r="A8851" s="11" t="str">
        <f t="shared" si="219"/>
        <v/>
      </c>
    </row>
    <row r="8852" spans="1:1">
      <c r="A8852" s="11" t="str">
        <f t="shared" si="219"/>
        <v/>
      </c>
    </row>
    <row r="8853" spans="1:1">
      <c r="A8853" s="11" t="str">
        <f t="shared" si="219"/>
        <v/>
      </c>
    </row>
    <row r="8854" spans="1:1">
      <c r="A8854" s="11" t="str">
        <f t="shared" si="219"/>
        <v/>
      </c>
    </row>
    <row r="8855" spans="1:1">
      <c r="A8855" s="11" t="str">
        <f t="shared" si="219"/>
        <v/>
      </c>
    </row>
    <row r="8856" spans="1:1">
      <c r="A8856" s="11" t="str">
        <f t="shared" si="219"/>
        <v/>
      </c>
    </row>
    <row r="8857" spans="1:1">
      <c r="A8857" s="11" t="str">
        <f t="shared" si="219"/>
        <v/>
      </c>
    </row>
    <row r="8858" spans="1:1">
      <c r="A8858" s="11" t="str">
        <f t="shared" si="219"/>
        <v/>
      </c>
    </row>
    <row r="8859" spans="1:1">
      <c r="A8859" s="11" t="str">
        <f t="shared" si="219"/>
        <v/>
      </c>
    </row>
    <row r="8860" spans="1:1">
      <c r="A8860" s="11" t="str">
        <f t="shared" si="219"/>
        <v/>
      </c>
    </row>
    <row r="8861" spans="1:1">
      <c r="A8861" s="11" t="str">
        <f t="shared" si="219"/>
        <v/>
      </c>
    </row>
    <row r="8862" spans="1:1">
      <c r="A8862" s="11" t="str">
        <f t="shared" si="219"/>
        <v/>
      </c>
    </row>
    <row r="8863" spans="1:1">
      <c r="A8863" s="11" t="str">
        <f t="shared" si="219"/>
        <v/>
      </c>
    </row>
    <row r="8864" spans="1:1">
      <c r="A8864" s="11" t="str">
        <f t="shared" si="219"/>
        <v/>
      </c>
    </row>
    <row r="8865" spans="1:1">
      <c r="A8865" s="11" t="str">
        <f t="shared" si="219"/>
        <v/>
      </c>
    </row>
    <row r="8866" spans="1:1">
      <c r="A8866" s="11" t="str">
        <f t="shared" si="219"/>
        <v/>
      </c>
    </row>
    <row r="8867" spans="1:1">
      <c r="A8867" s="11" t="str">
        <f t="shared" si="219"/>
        <v/>
      </c>
    </row>
    <row r="8868" spans="1:1">
      <c r="A8868" s="11" t="str">
        <f t="shared" si="219"/>
        <v/>
      </c>
    </row>
    <row r="8869" spans="1:1">
      <c r="A8869" s="11" t="str">
        <f t="shared" si="219"/>
        <v/>
      </c>
    </row>
    <row r="8870" spans="1:1">
      <c r="A8870" s="11" t="str">
        <f t="shared" si="219"/>
        <v/>
      </c>
    </row>
    <row r="8871" spans="1:1">
      <c r="A8871" s="11" t="str">
        <f t="shared" si="219"/>
        <v/>
      </c>
    </row>
    <row r="8872" spans="1:1">
      <c r="A8872" s="11" t="str">
        <f t="shared" si="219"/>
        <v/>
      </c>
    </row>
    <row r="8873" spans="1:1">
      <c r="A8873" s="11" t="str">
        <f t="shared" si="219"/>
        <v/>
      </c>
    </row>
    <row r="8874" spans="1:1">
      <c r="A8874" s="11" t="str">
        <f t="shared" si="219"/>
        <v/>
      </c>
    </row>
    <row r="8875" spans="1:1">
      <c r="A8875" s="11" t="str">
        <f t="shared" si="219"/>
        <v/>
      </c>
    </row>
    <row r="8876" spans="1:1">
      <c r="A8876" s="11" t="str">
        <f t="shared" si="219"/>
        <v/>
      </c>
    </row>
    <row r="8877" spans="1:1">
      <c r="A8877" s="11" t="str">
        <f t="shared" si="219"/>
        <v/>
      </c>
    </row>
    <row r="8878" spans="1:1">
      <c r="A8878" s="11" t="str">
        <f t="shared" si="219"/>
        <v/>
      </c>
    </row>
    <row r="8879" spans="1:1">
      <c r="A8879" s="11" t="str">
        <f t="shared" si="219"/>
        <v/>
      </c>
    </row>
    <row r="8880" spans="1:1">
      <c r="A8880" s="11" t="str">
        <f t="shared" si="219"/>
        <v/>
      </c>
    </row>
    <row r="8881" spans="1:1">
      <c r="A8881" s="11" t="str">
        <f t="shared" si="219"/>
        <v/>
      </c>
    </row>
    <row r="8882" spans="1:1">
      <c r="A8882" s="11" t="str">
        <f t="shared" si="219"/>
        <v/>
      </c>
    </row>
    <row r="8883" spans="1:1">
      <c r="A8883" s="11" t="str">
        <f t="shared" si="219"/>
        <v/>
      </c>
    </row>
    <row r="8884" spans="1:1">
      <c r="A8884" s="11" t="str">
        <f t="shared" si="219"/>
        <v/>
      </c>
    </row>
    <row r="8885" spans="1:1">
      <c r="A8885" s="11" t="str">
        <f t="shared" si="219"/>
        <v/>
      </c>
    </row>
    <row r="8886" spans="1:1">
      <c r="A8886" s="11" t="str">
        <f t="shared" si="219"/>
        <v/>
      </c>
    </row>
    <row r="8887" spans="1:1">
      <c r="A8887" s="11" t="str">
        <f t="shared" si="219"/>
        <v/>
      </c>
    </row>
    <row r="8888" spans="1:1">
      <c r="A8888" s="11" t="str">
        <f t="shared" si="219"/>
        <v/>
      </c>
    </row>
    <row r="8889" spans="1:1">
      <c r="A8889" s="11" t="str">
        <f t="shared" si="219"/>
        <v/>
      </c>
    </row>
    <row r="8890" spans="1:1">
      <c r="A8890" s="11" t="str">
        <f t="shared" si="219"/>
        <v/>
      </c>
    </row>
    <row r="8891" spans="1:1">
      <c r="A8891" s="11" t="str">
        <f t="shared" si="219"/>
        <v/>
      </c>
    </row>
    <row r="8892" spans="1:1">
      <c r="A8892" s="11" t="str">
        <f t="shared" si="219"/>
        <v/>
      </c>
    </row>
    <row r="8893" spans="1:1">
      <c r="A8893" s="11" t="str">
        <f t="shared" si="219"/>
        <v/>
      </c>
    </row>
    <row r="8894" spans="1:1">
      <c r="A8894" s="11" t="str">
        <f t="shared" si="219"/>
        <v/>
      </c>
    </row>
    <row r="8895" spans="1:1">
      <c r="A8895" s="11" t="str">
        <f t="shared" si="219"/>
        <v/>
      </c>
    </row>
    <row r="8896" spans="1:1">
      <c r="A8896" s="11" t="str">
        <f t="shared" si="219"/>
        <v/>
      </c>
    </row>
    <row r="8897" spans="1:1">
      <c r="A8897" s="11" t="str">
        <f t="shared" si="219"/>
        <v/>
      </c>
    </row>
    <row r="8898" spans="1:1">
      <c r="A8898" s="11" t="str">
        <f t="shared" si="219"/>
        <v/>
      </c>
    </row>
    <row r="8899" spans="1:1">
      <c r="A8899" s="11" t="str">
        <f t="shared" ref="A8899:A8962" si="220">B8899&amp;D8899</f>
        <v/>
      </c>
    </row>
    <row r="8900" spans="1:1">
      <c r="A8900" s="11" t="str">
        <f t="shared" si="220"/>
        <v/>
      </c>
    </row>
    <row r="8901" spans="1:1">
      <c r="A8901" s="11" t="str">
        <f t="shared" si="220"/>
        <v/>
      </c>
    </row>
    <row r="8902" spans="1:1">
      <c r="A8902" s="11" t="str">
        <f t="shared" si="220"/>
        <v/>
      </c>
    </row>
    <row r="8903" spans="1:1">
      <c r="A8903" s="11" t="str">
        <f t="shared" si="220"/>
        <v/>
      </c>
    </row>
    <row r="8904" spans="1:1">
      <c r="A8904" s="11" t="str">
        <f t="shared" si="220"/>
        <v/>
      </c>
    </row>
    <row r="8905" spans="1:1">
      <c r="A8905" s="11" t="str">
        <f t="shared" si="220"/>
        <v/>
      </c>
    </row>
    <row r="8906" spans="1:1">
      <c r="A8906" s="11" t="str">
        <f t="shared" si="220"/>
        <v/>
      </c>
    </row>
    <row r="8907" spans="1:1">
      <c r="A8907" s="11" t="str">
        <f t="shared" si="220"/>
        <v/>
      </c>
    </row>
    <row r="8908" spans="1:1">
      <c r="A8908" s="11" t="str">
        <f t="shared" si="220"/>
        <v/>
      </c>
    </row>
    <row r="8909" spans="1:1">
      <c r="A8909" s="11" t="str">
        <f t="shared" si="220"/>
        <v/>
      </c>
    </row>
    <row r="8910" spans="1:1">
      <c r="A8910" s="11" t="str">
        <f t="shared" si="220"/>
        <v/>
      </c>
    </row>
    <row r="8911" spans="1:1">
      <c r="A8911" s="11" t="str">
        <f t="shared" si="220"/>
        <v/>
      </c>
    </row>
    <row r="8912" spans="1:1">
      <c r="A8912" s="11" t="str">
        <f t="shared" si="220"/>
        <v/>
      </c>
    </row>
    <row r="8913" spans="1:1">
      <c r="A8913" s="11" t="str">
        <f t="shared" si="220"/>
        <v/>
      </c>
    </row>
    <row r="8914" spans="1:1">
      <c r="A8914" s="11" t="str">
        <f t="shared" si="220"/>
        <v/>
      </c>
    </row>
    <row r="8915" spans="1:1">
      <c r="A8915" s="11" t="str">
        <f t="shared" si="220"/>
        <v/>
      </c>
    </row>
    <row r="8916" spans="1:1">
      <c r="A8916" s="11" t="str">
        <f t="shared" si="220"/>
        <v/>
      </c>
    </row>
    <row r="8917" spans="1:1">
      <c r="A8917" s="11" t="str">
        <f t="shared" si="220"/>
        <v/>
      </c>
    </row>
    <row r="8918" spans="1:1">
      <c r="A8918" s="11" t="str">
        <f t="shared" si="220"/>
        <v/>
      </c>
    </row>
    <row r="8919" spans="1:1">
      <c r="A8919" s="11" t="str">
        <f t="shared" si="220"/>
        <v/>
      </c>
    </row>
    <row r="8920" spans="1:1">
      <c r="A8920" s="11" t="str">
        <f t="shared" si="220"/>
        <v/>
      </c>
    </row>
    <row r="8921" spans="1:1">
      <c r="A8921" s="11" t="str">
        <f t="shared" si="220"/>
        <v/>
      </c>
    </row>
    <row r="8922" spans="1:1">
      <c r="A8922" s="11" t="str">
        <f t="shared" si="220"/>
        <v/>
      </c>
    </row>
    <row r="8923" spans="1:1">
      <c r="A8923" s="11" t="str">
        <f t="shared" si="220"/>
        <v/>
      </c>
    </row>
    <row r="8924" spans="1:1">
      <c r="A8924" s="11" t="str">
        <f t="shared" si="220"/>
        <v/>
      </c>
    </row>
    <row r="8925" spans="1:1">
      <c r="A8925" s="11" t="str">
        <f t="shared" si="220"/>
        <v/>
      </c>
    </row>
    <row r="8926" spans="1:1">
      <c r="A8926" s="11" t="str">
        <f t="shared" si="220"/>
        <v/>
      </c>
    </row>
    <row r="8927" spans="1:1">
      <c r="A8927" s="11" t="str">
        <f t="shared" si="220"/>
        <v/>
      </c>
    </row>
    <row r="8928" spans="1:1">
      <c r="A8928" s="11" t="str">
        <f t="shared" si="220"/>
        <v/>
      </c>
    </row>
    <row r="8929" spans="1:1">
      <c r="A8929" s="11" t="str">
        <f t="shared" si="220"/>
        <v/>
      </c>
    </row>
    <row r="8930" spans="1:1">
      <c r="A8930" s="11" t="str">
        <f t="shared" si="220"/>
        <v/>
      </c>
    </row>
    <row r="8931" spans="1:1">
      <c r="A8931" s="11" t="str">
        <f t="shared" si="220"/>
        <v/>
      </c>
    </row>
    <row r="8932" spans="1:1">
      <c r="A8932" s="11" t="str">
        <f t="shared" si="220"/>
        <v/>
      </c>
    </row>
    <row r="8933" spans="1:1">
      <c r="A8933" s="11" t="str">
        <f t="shared" si="220"/>
        <v/>
      </c>
    </row>
    <row r="8934" spans="1:1">
      <c r="A8934" s="11" t="str">
        <f t="shared" si="220"/>
        <v/>
      </c>
    </row>
    <row r="8935" spans="1:1">
      <c r="A8935" s="11" t="str">
        <f t="shared" si="220"/>
        <v/>
      </c>
    </row>
    <row r="8936" spans="1:1">
      <c r="A8936" s="11" t="str">
        <f t="shared" si="220"/>
        <v/>
      </c>
    </row>
    <row r="8937" spans="1:1">
      <c r="A8937" s="11" t="str">
        <f t="shared" si="220"/>
        <v/>
      </c>
    </row>
    <row r="8938" spans="1:1">
      <c r="A8938" s="11" t="str">
        <f t="shared" si="220"/>
        <v/>
      </c>
    </row>
    <row r="8939" spans="1:1">
      <c r="A8939" s="11" t="str">
        <f t="shared" si="220"/>
        <v/>
      </c>
    </row>
    <row r="8940" spans="1:1">
      <c r="A8940" s="11" t="str">
        <f t="shared" si="220"/>
        <v/>
      </c>
    </row>
    <row r="8941" spans="1:1">
      <c r="A8941" s="11" t="str">
        <f t="shared" si="220"/>
        <v/>
      </c>
    </row>
    <row r="8942" spans="1:1">
      <c r="A8942" s="11" t="str">
        <f t="shared" si="220"/>
        <v/>
      </c>
    </row>
    <row r="8943" spans="1:1">
      <c r="A8943" s="11" t="str">
        <f t="shared" si="220"/>
        <v/>
      </c>
    </row>
    <row r="8944" spans="1:1">
      <c r="A8944" s="11" t="str">
        <f t="shared" si="220"/>
        <v/>
      </c>
    </row>
    <row r="8945" spans="1:1">
      <c r="A8945" s="11" t="str">
        <f t="shared" si="220"/>
        <v/>
      </c>
    </row>
    <row r="8946" spans="1:1">
      <c r="A8946" s="11" t="str">
        <f t="shared" si="220"/>
        <v/>
      </c>
    </row>
    <row r="8947" spans="1:1">
      <c r="A8947" s="11" t="str">
        <f t="shared" si="220"/>
        <v/>
      </c>
    </row>
    <row r="8948" spans="1:1">
      <c r="A8948" s="11" t="str">
        <f t="shared" si="220"/>
        <v/>
      </c>
    </row>
    <row r="8949" spans="1:1">
      <c r="A8949" s="11" t="str">
        <f t="shared" si="220"/>
        <v/>
      </c>
    </row>
    <row r="8950" spans="1:1">
      <c r="A8950" s="11" t="str">
        <f t="shared" si="220"/>
        <v/>
      </c>
    </row>
    <row r="8951" spans="1:1">
      <c r="A8951" s="11" t="str">
        <f t="shared" si="220"/>
        <v/>
      </c>
    </row>
    <row r="8952" spans="1:1">
      <c r="A8952" s="11" t="str">
        <f t="shared" si="220"/>
        <v/>
      </c>
    </row>
    <row r="8953" spans="1:1">
      <c r="A8953" s="11" t="str">
        <f t="shared" si="220"/>
        <v/>
      </c>
    </row>
    <row r="8954" spans="1:1">
      <c r="A8954" s="11" t="str">
        <f t="shared" si="220"/>
        <v/>
      </c>
    </row>
    <row r="8955" spans="1:1">
      <c r="A8955" s="11" t="str">
        <f t="shared" si="220"/>
        <v/>
      </c>
    </row>
    <row r="8956" spans="1:1">
      <c r="A8956" s="11" t="str">
        <f t="shared" si="220"/>
        <v/>
      </c>
    </row>
    <row r="8957" spans="1:1">
      <c r="A8957" s="11" t="str">
        <f t="shared" si="220"/>
        <v/>
      </c>
    </row>
    <row r="8958" spans="1:1">
      <c r="A8958" s="11" t="str">
        <f t="shared" si="220"/>
        <v/>
      </c>
    </row>
    <row r="8959" spans="1:1">
      <c r="A8959" s="11" t="str">
        <f t="shared" si="220"/>
        <v/>
      </c>
    </row>
    <row r="8960" spans="1:1">
      <c r="A8960" s="11" t="str">
        <f t="shared" si="220"/>
        <v/>
      </c>
    </row>
    <row r="8961" spans="1:1">
      <c r="A8961" s="11" t="str">
        <f t="shared" si="220"/>
        <v/>
      </c>
    </row>
    <row r="8962" spans="1:1">
      <c r="A8962" s="11" t="str">
        <f t="shared" si="220"/>
        <v/>
      </c>
    </row>
    <row r="8963" spans="1:1">
      <c r="A8963" s="11" t="str">
        <f t="shared" ref="A8963:A9026" si="221">B8963&amp;D8963</f>
        <v/>
      </c>
    </row>
    <row r="8964" spans="1:1">
      <c r="A8964" s="11" t="str">
        <f t="shared" si="221"/>
        <v/>
      </c>
    </row>
    <row r="8965" spans="1:1">
      <c r="A8965" s="11" t="str">
        <f t="shared" si="221"/>
        <v/>
      </c>
    </row>
    <row r="8966" spans="1:1">
      <c r="A8966" s="11" t="str">
        <f t="shared" si="221"/>
        <v/>
      </c>
    </row>
    <row r="8967" spans="1:1">
      <c r="A8967" s="11" t="str">
        <f t="shared" si="221"/>
        <v/>
      </c>
    </row>
    <row r="8968" spans="1:1">
      <c r="A8968" s="11" t="str">
        <f t="shared" si="221"/>
        <v/>
      </c>
    </row>
    <row r="8969" spans="1:1">
      <c r="A8969" s="11" t="str">
        <f t="shared" si="221"/>
        <v/>
      </c>
    </row>
    <row r="8970" spans="1:1">
      <c r="A8970" s="11" t="str">
        <f t="shared" si="221"/>
        <v/>
      </c>
    </row>
    <row r="8971" spans="1:1">
      <c r="A8971" s="11" t="str">
        <f t="shared" si="221"/>
        <v/>
      </c>
    </row>
    <row r="8972" spans="1:1">
      <c r="A8972" s="11" t="str">
        <f t="shared" si="221"/>
        <v/>
      </c>
    </row>
    <row r="8973" spans="1:1">
      <c r="A8973" s="11" t="str">
        <f t="shared" si="221"/>
        <v/>
      </c>
    </row>
    <row r="8974" spans="1:1">
      <c r="A8974" s="11" t="str">
        <f t="shared" si="221"/>
        <v/>
      </c>
    </row>
    <row r="8975" spans="1:1">
      <c r="A8975" s="11" t="str">
        <f t="shared" si="221"/>
        <v/>
      </c>
    </row>
    <row r="8976" spans="1:1">
      <c r="A8976" s="11" t="str">
        <f t="shared" si="221"/>
        <v/>
      </c>
    </row>
    <row r="8977" spans="1:1">
      <c r="A8977" s="11" t="str">
        <f t="shared" si="221"/>
        <v/>
      </c>
    </row>
    <row r="8978" spans="1:1">
      <c r="A8978" s="11" t="str">
        <f t="shared" si="221"/>
        <v/>
      </c>
    </row>
    <row r="8979" spans="1:1">
      <c r="A8979" s="11" t="str">
        <f t="shared" si="221"/>
        <v/>
      </c>
    </row>
    <row r="8980" spans="1:1">
      <c r="A8980" s="11" t="str">
        <f t="shared" si="221"/>
        <v/>
      </c>
    </row>
    <row r="8981" spans="1:1">
      <c r="A8981" s="11" t="str">
        <f t="shared" si="221"/>
        <v/>
      </c>
    </row>
    <row r="8982" spans="1:1">
      <c r="A8982" s="11" t="str">
        <f t="shared" si="221"/>
        <v/>
      </c>
    </row>
    <row r="8983" spans="1:1">
      <c r="A8983" s="11" t="str">
        <f t="shared" si="221"/>
        <v/>
      </c>
    </row>
    <row r="8984" spans="1:1">
      <c r="A8984" s="11" t="str">
        <f t="shared" si="221"/>
        <v/>
      </c>
    </row>
    <row r="8985" spans="1:1">
      <c r="A8985" s="11" t="str">
        <f t="shared" si="221"/>
        <v/>
      </c>
    </row>
    <row r="8986" spans="1:1">
      <c r="A8986" s="11" t="str">
        <f t="shared" si="221"/>
        <v/>
      </c>
    </row>
    <row r="8987" spans="1:1">
      <c r="A8987" s="11" t="str">
        <f t="shared" si="221"/>
        <v/>
      </c>
    </row>
    <row r="8988" spans="1:1">
      <c r="A8988" s="11" t="str">
        <f t="shared" si="221"/>
        <v/>
      </c>
    </row>
    <row r="8989" spans="1:1">
      <c r="A8989" s="11" t="str">
        <f t="shared" si="221"/>
        <v/>
      </c>
    </row>
    <row r="8990" spans="1:1">
      <c r="A8990" s="11" t="str">
        <f t="shared" si="221"/>
        <v/>
      </c>
    </row>
    <row r="8991" spans="1:1">
      <c r="A8991" s="11" t="str">
        <f t="shared" si="221"/>
        <v/>
      </c>
    </row>
    <row r="8992" spans="1:1">
      <c r="A8992" s="11" t="str">
        <f t="shared" si="221"/>
        <v/>
      </c>
    </row>
    <row r="8993" spans="1:1">
      <c r="A8993" s="11" t="str">
        <f t="shared" si="221"/>
        <v/>
      </c>
    </row>
    <row r="8994" spans="1:1">
      <c r="A8994" s="11" t="str">
        <f t="shared" si="221"/>
        <v/>
      </c>
    </row>
    <row r="8995" spans="1:1">
      <c r="A8995" s="11" t="str">
        <f t="shared" si="221"/>
        <v/>
      </c>
    </row>
    <row r="8996" spans="1:1">
      <c r="A8996" s="11" t="str">
        <f t="shared" si="221"/>
        <v/>
      </c>
    </row>
    <row r="8997" spans="1:1">
      <c r="A8997" s="11" t="str">
        <f t="shared" si="221"/>
        <v/>
      </c>
    </row>
    <row r="8998" spans="1:1">
      <c r="A8998" s="11" t="str">
        <f t="shared" si="221"/>
        <v/>
      </c>
    </row>
    <row r="8999" spans="1:1">
      <c r="A8999" s="11" t="str">
        <f t="shared" si="221"/>
        <v/>
      </c>
    </row>
    <row r="9000" spans="1:1">
      <c r="A9000" s="11" t="str">
        <f t="shared" si="221"/>
        <v/>
      </c>
    </row>
    <row r="9001" spans="1:1">
      <c r="A9001" s="11" t="str">
        <f t="shared" si="221"/>
        <v/>
      </c>
    </row>
    <row r="9002" spans="1:1">
      <c r="A9002" s="11" t="str">
        <f t="shared" si="221"/>
        <v/>
      </c>
    </row>
    <row r="9003" spans="1:1">
      <c r="A9003" s="11" t="str">
        <f t="shared" si="221"/>
        <v/>
      </c>
    </row>
    <row r="9004" spans="1:1">
      <c r="A9004" s="11" t="str">
        <f t="shared" si="221"/>
        <v/>
      </c>
    </row>
    <row r="9005" spans="1:1">
      <c r="A9005" s="11" t="str">
        <f t="shared" si="221"/>
        <v/>
      </c>
    </row>
    <row r="9006" spans="1:1">
      <c r="A9006" s="11" t="str">
        <f t="shared" si="221"/>
        <v/>
      </c>
    </row>
    <row r="9007" spans="1:1">
      <c r="A9007" s="11" t="str">
        <f t="shared" si="221"/>
        <v/>
      </c>
    </row>
    <row r="9008" spans="1:1">
      <c r="A9008" s="11" t="str">
        <f t="shared" si="221"/>
        <v/>
      </c>
    </row>
    <row r="9009" spans="1:1">
      <c r="A9009" s="11" t="str">
        <f t="shared" si="221"/>
        <v/>
      </c>
    </row>
    <row r="9010" spans="1:1">
      <c r="A9010" s="11" t="str">
        <f t="shared" si="221"/>
        <v/>
      </c>
    </row>
    <row r="9011" spans="1:1">
      <c r="A9011" s="11" t="str">
        <f t="shared" si="221"/>
        <v/>
      </c>
    </row>
    <row r="9012" spans="1:1">
      <c r="A9012" s="11" t="str">
        <f t="shared" si="221"/>
        <v/>
      </c>
    </row>
    <row r="9013" spans="1:1">
      <c r="A9013" s="11" t="str">
        <f t="shared" si="221"/>
        <v/>
      </c>
    </row>
    <row r="9014" spans="1:1">
      <c r="A9014" s="11" t="str">
        <f t="shared" si="221"/>
        <v/>
      </c>
    </row>
    <row r="9015" spans="1:1">
      <c r="A9015" s="11" t="str">
        <f t="shared" si="221"/>
        <v/>
      </c>
    </row>
    <row r="9016" spans="1:1">
      <c r="A9016" s="11" t="str">
        <f t="shared" si="221"/>
        <v/>
      </c>
    </row>
    <row r="9017" spans="1:1">
      <c r="A9017" s="11" t="str">
        <f t="shared" si="221"/>
        <v/>
      </c>
    </row>
    <row r="9018" spans="1:1">
      <c r="A9018" s="11" t="str">
        <f t="shared" si="221"/>
        <v/>
      </c>
    </row>
    <row r="9019" spans="1:1">
      <c r="A9019" s="11" t="str">
        <f t="shared" si="221"/>
        <v/>
      </c>
    </row>
    <row r="9020" spans="1:1">
      <c r="A9020" s="11" t="str">
        <f t="shared" si="221"/>
        <v/>
      </c>
    </row>
    <row r="9021" spans="1:1">
      <c r="A9021" s="11" t="str">
        <f t="shared" si="221"/>
        <v/>
      </c>
    </row>
    <row r="9022" spans="1:1">
      <c r="A9022" s="11" t="str">
        <f t="shared" si="221"/>
        <v/>
      </c>
    </row>
    <row r="9023" spans="1:1">
      <c r="A9023" s="11" t="str">
        <f t="shared" si="221"/>
        <v/>
      </c>
    </row>
    <row r="9024" spans="1:1">
      <c r="A9024" s="11" t="str">
        <f t="shared" si="221"/>
        <v/>
      </c>
    </row>
    <row r="9025" spans="1:1">
      <c r="A9025" s="11" t="str">
        <f t="shared" si="221"/>
        <v/>
      </c>
    </row>
    <row r="9026" spans="1:1">
      <c r="A9026" s="11" t="str">
        <f t="shared" si="221"/>
        <v/>
      </c>
    </row>
    <row r="9027" spans="1:1">
      <c r="A9027" s="11" t="str">
        <f t="shared" ref="A9027:A9090" si="222">B9027&amp;D9027</f>
        <v/>
      </c>
    </row>
    <row r="9028" spans="1:1">
      <c r="A9028" s="11" t="str">
        <f t="shared" si="222"/>
        <v/>
      </c>
    </row>
    <row r="9029" spans="1:1">
      <c r="A9029" s="11" t="str">
        <f t="shared" si="222"/>
        <v/>
      </c>
    </row>
    <row r="9030" spans="1:1">
      <c r="A9030" s="11" t="str">
        <f t="shared" si="222"/>
        <v/>
      </c>
    </row>
    <row r="9031" spans="1:1">
      <c r="A9031" s="11" t="str">
        <f t="shared" si="222"/>
        <v/>
      </c>
    </row>
    <row r="9032" spans="1:1">
      <c r="A9032" s="11" t="str">
        <f t="shared" si="222"/>
        <v/>
      </c>
    </row>
    <row r="9033" spans="1:1">
      <c r="A9033" s="11" t="str">
        <f t="shared" si="222"/>
        <v/>
      </c>
    </row>
    <row r="9034" spans="1:1">
      <c r="A9034" s="11" t="str">
        <f t="shared" si="222"/>
        <v/>
      </c>
    </row>
    <row r="9035" spans="1:1">
      <c r="A9035" s="11" t="str">
        <f t="shared" si="222"/>
        <v/>
      </c>
    </row>
    <row r="9036" spans="1:1">
      <c r="A9036" s="11" t="str">
        <f t="shared" si="222"/>
        <v/>
      </c>
    </row>
    <row r="9037" spans="1:1">
      <c r="A9037" s="11" t="str">
        <f t="shared" si="222"/>
        <v/>
      </c>
    </row>
    <row r="9038" spans="1:1">
      <c r="A9038" s="11" t="str">
        <f t="shared" si="222"/>
        <v/>
      </c>
    </row>
    <row r="9039" spans="1:1">
      <c r="A9039" s="11" t="str">
        <f t="shared" si="222"/>
        <v/>
      </c>
    </row>
    <row r="9040" spans="1:1">
      <c r="A9040" s="11" t="str">
        <f t="shared" si="222"/>
        <v/>
      </c>
    </row>
    <row r="9041" spans="1:1">
      <c r="A9041" s="11" t="str">
        <f t="shared" si="222"/>
        <v/>
      </c>
    </row>
    <row r="9042" spans="1:1">
      <c r="A9042" s="11" t="str">
        <f t="shared" si="222"/>
        <v/>
      </c>
    </row>
    <row r="9043" spans="1:1">
      <c r="A9043" s="11" t="str">
        <f t="shared" si="222"/>
        <v/>
      </c>
    </row>
    <row r="9044" spans="1:1">
      <c r="A9044" s="11" t="str">
        <f t="shared" si="222"/>
        <v/>
      </c>
    </row>
    <row r="9045" spans="1:1">
      <c r="A9045" s="11" t="str">
        <f t="shared" si="222"/>
        <v/>
      </c>
    </row>
    <row r="9046" spans="1:1">
      <c r="A9046" s="11" t="str">
        <f t="shared" si="222"/>
        <v/>
      </c>
    </row>
    <row r="9047" spans="1:1">
      <c r="A9047" s="11" t="str">
        <f t="shared" si="222"/>
        <v/>
      </c>
    </row>
    <row r="9048" spans="1:1">
      <c r="A9048" s="11" t="str">
        <f t="shared" si="222"/>
        <v/>
      </c>
    </row>
    <row r="9049" spans="1:1">
      <c r="A9049" s="11" t="str">
        <f t="shared" si="222"/>
        <v/>
      </c>
    </row>
    <row r="9050" spans="1:1">
      <c r="A9050" s="11" t="str">
        <f t="shared" si="222"/>
        <v/>
      </c>
    </row>
    <row r="9051" spans="1:1">
      <c r="A9051" s="11" t="str">
        <f t="shared" si="222"/>
        <v/>
      </c>
    </row>
    <row r="9052" spans="1:1">
      <c r="A9052" s="11" t="str">
        <f t="shared" si="222"/>
        <v/>
      </c>
    </row>
    <row r="9053" spans="1:1">
      <c r="A9053" s="11" t="str">
        <f t="shared" si="222"/>
        <v/>
      </c>
    </row>
    <row r="9054" spans="1:1">
      <c r="A9054" s="11" t="str">
        <f t="shared" si="222"/>
        <v/>
      </c>
    </row>
    <row r="9055" spans="1:1">
      <c r="A9055" s="11" t="str">
        <f t="shared" si="222"/>
        <v/>
      </c>
    </row>
    <row r="9056" spans="1:1">
      <c r="A9056" s="11" t="str">
        <f t="shared" si="222"/>
        <v/>
      </c>
    </row>
    <row r="9057" spans="1:1">
      <c r="A9057" s="11" t="str">
        <f t="shared" si="222"/>
        <v/>
      </c>
    </row>
    <row r="9058" spans="1:1">
      <c r="A9058" s="11" t="str">
        <f t="shared" si="222"/>
        <v/>
      </c>
    </row>
    <row r="9059" spans="1:1">
      <c r="A9059" s="11" t="str">
        <f t="shared" si="222"/>
        <v/>
      </c>
    </row>
    <row r="9060" spans="1:1">
      <c r="A9060" s="11" t="str">
        <f t="shared" si="222"/>
        <v/>
      </c>
    </row>
    <row r="9061" spans="1:1">
      <c r="A9061" s="11" t="str">
        <f t="shared" si="222"/>
        <v/>
      </c>
    </row>
    <row r="9062" spans="1:1">
      <c r="A9062" s="11" t="str">
        <f t="shared" si="222"/>
        <v/>
      </c>
    </row>
    <row r="9063" spans="1:1">
      <c r="A9063" s="11" t="str">
        <f t="shared" si="222"/>
        <v/>
      </c>
    </row>
    <row r="9064" spans="1:1">
      <c r="A9064" s="11" t="str">
        <f t="shared" si="222"/>
        <v/>
      </c>
    </row>
    <row r="9065" spans="1:1">
      <c r="A9065" s="11" t="str">
        <f t="shared" si="222"/>
        <v/>
      </c>
    </row>
    <row r="9066" spans="1:1">
      <c r="A9066" s="11" t="str">
        <f t="shared" si="222"/>
        <v/>
      </c>
    </row>
    <row r="9067" spans="1:1">
      <c r="A9067" s="11" t="str">
        <f t="shared" si="222"/>
        <v/>
      </c>
    </row>
    <row r="9068" spans="1:1">
      <c r="A9068" s="11" t="str">
        <f t="shared" si="222"/>
        <v/>
      </c>
    </row>
    <row r="9069" spans="1:1">
      <c r="A9069" s="11" t="str">
        <f t="shared" si="222"/>
        <v/>
      </c>
    </row>
    <row r="9070" spans="1:1">
      <c r="A9070" s="11" t="str">
        <f t="shared" si="222"/>
        <v/>
      </c>
    </row>
    <row r="9071" spans="1:1">
      <c r="A9071" s="11" t="str">
        <f t="shared" si="222"/>
        <v/>
      </c>
    </row>
    <row r="9072" spans="1:1">
      <c r="A9072" s="11" t="str">
        <f t="shared" si="222"/>
        <v/>
      </c>
    </row>
    <row r="9073" spans="1:1">
      <c r="A9073" s="11" t="str">
        <f t="shared" si="222"/>
        <v/>
      </c>
    </row>
    <row r="9074" spans="1:1">
      <c r="A9074" s="11" t="str">
        <f t="shared" si="222"/>
        <v/>
      </c>
    </row>
    <row r="9075" spans="1:1">
      <c r="A9075" s="11" t="str">
        <f t="shared" si="222"/>
        <v/>
      </c>
    </row>
    <row r="9076" spans="1:1">
      <c r="A9076" s="11" t="str">
        <f t="shared" si="222"/>
        <v/>
      </c>
    </row>
    <row r="9077" spans="1:1">
      <c r="A9077" s="11" t="str">
        <f t="shared" si="222"/>
        <v/>
      </c>
    </row>
    <row r="9078" spans="1:1">
      <c r="A9078" s="11" t="str">
        <f t="shared" si="222"/>
        <v/>
      </c>
    </row>
    <row r="9079" spans="1:1">
      <c r="A9079" s="11" t="str">
        <f t="shared" si="222"/>
        <v/>
      </c>
    </row>
    <row r="9080" spans="1:1">
      <c r="A9080" s="11" t="str">
        <f t="shared" si="222"/>
        <v/>
      </c>
    </row>
    <row r="9081" spans="1:1">
      <c r="A9081" s="11" t="str">
        <f t="shared" si="222"/>
        <v/>
      </c>
    </row>
    <row r="9082" spans="1:1">
      <c r="A9082" s="11" t="str">
        <f t="shared" si="222"/>
        <v/>
      </c>
    </row>
    <row r="9083" spans="1:1">
      <c r="A9083" s="11" t="str">
        <f t="shared" si="222"/>
        <v/>
      </c>
    </row>
    <row r="9084" spans="1:1">
      <c r="A9084" s="11" t="str">
        <f t="shared" si="222"/>
        <v/>
      </c>
    </row>
    <row r="9085" spans="1:1">
      <c r="A9085" s="11" t="str">
        <f t="shared" si="222"/>
        <v/>
      </c>
    </row>
    <row r="9086" spans="1:1">
      <c r="A9086" s="11" t="str">
        <f t="shared" si="222"/>
        <v/>
      </c>
    </row>
    <row r="9087" spans="1:1">
      <c r="A9087" s="11" t="str">
        <f t="shared" si="222"/>
        <v/>
      </c>
    </row>
    <row r="9088" spans="1:1">
      <c r="A9088" s="11" t="str">
        <f t="shared" si="222"/>
        <v/>
      </c>
    </row>
    <row r="9089" spans="1:1">
      <c r="A9089" s="11" t="str">
        <f t="shared" si="222"/>
        <v/>
      </c>
    </row>
    <row r="9090" spans="1:1">
      <c r="A9090" s="11" t="str">
        <f t="shared" si="222"/>
        <v/>
      </c>
    </row>
    <row r="9091" spans="1:1">
      <c r="A9091" s="11" t="str">
        <f t="shared" ref="A9091:A9154" si="223">B9091&amp;D9091</f>
        <v/>
      </c>
    </row>
    <row r="9092" spans="1:1">
      <c r="A9092" s="11" t="str">
        <f t="shared" si="223"/>
        <v/>
      </c>
    </row>
    <row r="9093" spans="1:1">
      <c r="A9093" s="11" t="str">
        <f t="shared" si="223"/>
        <v/>
      </c>
    </row>
    <row r="9094" spans="1:1">
      <c r="A9094" s="11" t="str">
        <f t="shared" si="223"/>
        <v/>
      </c>
    </row>
    <row r="9095" spans="1:1">
      <c r="A9095" s="11" t="str">
        <f t="shared" si="223"/>
        <v/>
      </c>
    </row>
    <row r="9096" spans="1:1">
      <c r="A9096" s="11" t="str">
        <f t="shared" si="223"/>
        <v/>
      </c>
    </row>
    <row r="9097" spans="1:1">
      <c r="A9097" s="11" t="str">
        <f t="shared" si="223"/>
        <v/>
      </c>
    </row>
    <row r="9098" spans="1:1">
      <c r="A9098" s="11" t="str">
        <f t="shared" si="223"/>
        <v/>
      </c>
    </row>
    <row r="9099" spans="1:1">
      <c r="A9099" s="11" t="str">
        <f t="shared" si="223"/>
        <v/>
      </c>
    </row>
    <row r="9100" spans="1:1">
      <c r="A9100" s="11" t="str">
        <f t="shared" si="223"/>
        <v/>
      </c>
    </row>
    <row r="9101" spans="1:1">
      <c r="A9101" s="11" t="str">
        <f t="shared" si="223"/>
        <v/>
      </c>
    </row>
    <row r="9102" spans="1:1">
      <c r="A9102" s="11" t="str">
        <f t="shared" si="223"/>
        <v/>
      </c>
    </row>
    <row r="9103" spans="1:1">
      <c r="A9103" s="11" t="str">
        <f t="shared" si="223"/>
        <v/>
      </c>
    </row>
    <row r="9104" spans="1:1">
      <c r="A9104" s="11" t="str">
        <f t="shared" si="223"/>
        <v/>
      </c>
    </row>
    <row r="9105" spans="1:1">
      <c r="A9105" s="11" t="str">
        <f t="shared" si="223"/>
        <v/>
      </c>
    </row>
    <row r="9106" spans="1:1">
      <c r="A9106" s="11" t="str">
        <f t="shared" si="223"/>
        <v/>
      </c>
    </row>
    <row r="9107" spans="1:1">
      <c r="A9107" s="11" t="str">
        <f t="shared" si="223"/>
        <v/>
      </c>
    </row>
    <row r="9108" spans="1:1">
      <c r="A9108" s="11" t="str">
        <f t="shared" si="223"/>
        <v/>
      </c>
    </row>
    <row r="9109" spans="1:1">
      <c r="A9109" s="11" t="str">
        <f t="shared" si="223"/>
        <v/>
      </c>
    </row>
    <row r="9110" spans="1:1">
      <c r="A9110" s="11" t="str">
        <f t="shared" si="223"/>
        <v/>
      </c>
    </row>
    <row r="9111" spans="1:1">
      <c r="A9111" s="11" t="str">
        <f t="shared" si="223"/>
        <v/>
      </c>
    </row>
    <row r="9112" spans="1:1">
      <c r="A9112" s="11" t="str">
        <f t="shared" si="223"/>
        <v/>
      </c>
    </row>
    <row r="9113" spans="1:1">
      <c r="A9113" s="11" t="str">
        <f t="shared" si="223"/>
        <v/>
      </c>
    </row>
    <row r="9114" spans="1:1">
      <c r="A9114" s="11" t="str">
        <f t="shared" si="223"/>
        <v/>
      </c>
    </row>
    <row r="9115" spans="1:1">
      <c r="A9115" s="11" t="str">
        <f t="shared" si="223"/>
        <v/>
      </c>
    </row>
    <row r="9116" spans="1:1">
      <c r="A9116" s="11" t="str">
        <f t="shared" si="223"/>
        <v/>
      </c>
    </row>
    <row r="9117" spans="1:1">
      <c r="A9117" s="11" t="str">
        <f t="shared" si="223"/>
        <v/>
      </c>
    </row>
    <row r="9118" spans="1:1">
      <c r="A9118" s="11" t="str">
        <f t="shared" si="223"/>
        <v/>
      </c>
    </row>
    <row r="9119" spans="1:1">
      <c r="A9119" s="11" t="str">
        <f t="shared" si="223"/>
        <v/>
      </c>
    </row>
    <row r="9120" spans="1:1">
      <c r="A9120" s="11" t="str">
        <f t="shared" si="223"/>
        <v/>
      </c>
    </row>
    <row r="9121" spans="1:1">
      <c r="A9121" s="11" t="str">
        <f t="shared" si="223"/>
        <v/>
      </c>
    </row>
    <row r="9122" spans="1:1">
      <c r="A9122" s="11" t="str">
        <f t="shared" si="223"/>
        <v/>
      </c>
    </row>
    <row r="9123" spans="1:1">
      <c r="A9123" s="11" t="str">
        <f t="shared" si="223"/>
        <v/>
      </c>
    </row>
    <row r="9124" spans="1:1">
      <c r="A9124" s="11" t="str">
        <f t="shared" si="223"/>
        <v/>
      </c>
    </row>
    <row r="9125" spans="1:1">
      <c r="A9125" s="11" t="str">
        <f t="shared" si="223"/>
        <v/>
      </c>
    </row>
    <row r="9126" spans="1:1">
      <c r="A9126" s="11" t="str">
        <f t="shared" si="223"/>
        <v/>
      </c>
    </row>
    <row r="9127" spans="1:1">
      <c r="A9127" s="11" t="str">
        <f t="shared" si="223"/>
        <v/>
      </c>
    </row>
    <row r="9128" spans="1:1">
      <c r="A9128" s="11" t="str">
        <f t="shared" si="223"/>
        <v/>
      </c>
    </row>
    <row r="9129" spans="1:1">
      <c r="A9129" s="11" t="str">
        <f t="shared" si="223"/>
        <v/>
      </c>
    </row>
    <row r="9130" spans="1:1">
      <c r="A9130" s="11" t="str">
        <f t="shared" si="223"/>
        <v/>
      </c>
    </row>
    <row r="9131" spans="1:1">
      <c r="A9131" s="11" t="str">
        <f t="shared" si="223"/>
        <v/>
      </c>
    </row>
    <row r="9132" spans="1:1">
      <c r="A9132" s="11" t="str">
        <f t="shared" si="223"/>
        <v/>
      </c>
    </row>
    <row r="9133" spans="1:1">
      <c r="A9133" s="11" t="str">
        <f t="shared" si="223"/>
        <v/>
      </c>
    </row>
    <row r="9134" spans="1:1">
      <c r="A9134" s="11" t="str">
        <f t="shared" si="223"/>
        <v/>
      </c>
    </row>
    <row r="9135" spans="1:1">
      <c r="A9135" s="11" t="str">
        <f t="shared" si="223"/>
        <v/>
      </c>
    </row>
    <row r="9136" spans="1:1">
      <c r="A9136" s="11" t="str">
        <f t="shared" si="223"/>
        <v/>
      </c>
    </row>
    <row r="9137" spans="1:1">
      <c r="A9137" s="11" t="str">
        <f t="shared" si="223"/>
        <v/>
      </c>
    </row>
    <row r="9138" spans="1:1">
      <c r="A9138" s="11" t="str">
        <f t="shared" si="223"/>
        <v/>
      </c>
    </row>
    <row r="9139" spans="1:1">
      <c r="A9139" s="11" t="str">
        <f t="shared" si="223"/>
        <v/>
      </c>
    </row>
    <row r="9140" spans="1:1">
      <c r="A9140" s="11" t="str">
        <f t="shared" si="223"/>
        <v/>
      </c>
    </row>
    <row r="9141" spans="1:1">
      <c r="A9141" s="11" t="str">
        <f t="shared" si="223"/>
        <v/>
      </c>
    </row>
    <row r="9142" spans="1:1">
      <c r="A9142" s="11" t="str">
        <f t="shared" si="223"/>
        <v/>
      </c>
    </row>
    <row r="9143" spans="1:1">
      <c r="A9143" s="11" t="str">
        <f t="shared" si="223"/>
        <v/>
      </c>
    </row>
    <row r="9144" spans="1:1">
      <c r="A9144" s="11" t="str">
        <f t="shared" si="223"/>
        <v/>
      </c>
    </row>
    <row r="9145" spans="1:1">
      <c r="A9145" s="11" t="str">
        <f t="shared" si="223"/>
        <v/>
      </c>
    </row>
    <row r="9146" spans="1:1">
      <c r="A9146" s="11" t="str">
        <f t="shared" si="223"/>
        <v/>
      </c>
    </row>
    <row r="9147" spans="1:1">
      <c r="A9147" s="11" t="str">
        <f t="shared" si="223"/>
        <v/>
      </c>
    </row>
    <row r="9148" spans="1:1">
      <c r="A9148" s="11" t="str">
        <f t="shared" si="223"/>
        <v/>
      </c>
    </row>
    <row r="9149" spans="1:1">
      <c r="A9149" s="11" t="str">
        <f t="shared" si="223"/>
        <v/>
      </c>
    </row>
    <row r="9150" spans="1:1">
      <c r="A9150" s="11" t="str">
        <f t="shared" si="223"/>
        <v/>
      </c>
    </row>
    <row r="9151" spans="1:1">
      <c r="A9151" s="11" t="str">
        <f t="shared" si="223"/>
        <v/>
      </c>
    </row>
    <row r="9152" spans="1:1">
      <c r="A9152" s="11" t="str">
        <f t="shared" si="223"/>
        <v/>
      </c>
    </row>
    <row r="9153" spans="1:1">
      <c r="A9153" s="11" t="str">
        <f t="shared" si="223"/>
        <v/>
      </c>
    </row>
    <row r="9154" spans="1:1">
      <c r="A9154" s="11" t="str">
        <f t="shared" si="223"/>
        <v/>
      </c>
    </row>
    <row r="9155" spans="1:1">
      <c r="A9155" s="11" t="str">
        <f t="shared" ref="A9155:A9218" si="224">B9155&amp;D9155</f>
        <v/>
      </c>
    </row>
    <row r="9156" spans="1:1">
      <c r="A9156" s="11" t="str">
        <f t="shared" si="224"/>
        <v/>
      </c>
    </row>
    <row r="9157" spans="1:1">
      <c r="A9157" s="11" t="str">
        <f t="shared" si="224"/>
        <v/>
      </c>
    </row>
    <row r="9158" spans="1:1">
      <c r="A9158" s="11" t="str">
        <f t="shared" si="224"/>
        <v/>
      </c>
    </row>
    <row r="9159" spans="1:1">
      <c r="A9159" s="11" t="str">
        <f t="shared" si="224"/>
        <v/>
      </c>
    </row>
    <row r="9160" spans="1:1">
      <c r="A9160" s="11" t="str">
        <f t="shared" si="224"/>
        <v/>
      </c>
    </row>
    <row r="9161" spans="1:1">
      <c r="A9161" s="11" t="str">
        <f t="shared" si="224"/>
        <v/>
      </c>
    </row>
    <row r="9162" spans="1:1">
      <c r="A9162" s="11" t="str">
        <f t="shared" si="224"/>
        <v/>
      </c>
    </row>
    <row r="9163" spans="1:1">
      <c r="A9163" s="11" t="str">
        <f t="shared" si="224"/>
        <v/>
      </c>
    </row>
    <row r="9164" spans="1:1">
      <c r="A9164" s="11" t="str">
        <f t="shared" si="224"/>
        <v/>
      </c>
    </row>
    <row r="9165" spans="1:1">
      <c r="A9165" s="11" t="str">
        <f t="shared" si="224"/>
        <v/>
      </c>
    </row>
    <row r="9166" spans="1:1">
      <c r="A9166" s="11" t="str">
        <f t="shared" si="224"/>
        <v/>
      </c>
    </row>
    <row r="9167" spans="1:1">
      <c r="A9167" s="11" t="str">
        <f t="shared" si="224"/>
        <v/>
      </c>
    </row>
    <row r="9168" spans="1:1">
      <c r="A9168" s="11" t="str">
        <f t="shared" si="224"/>
        <v/>
      </c>
    </row>
    <row r="9169" spans="1:1">
      <c r="A9169" s="11" t="str">
        <f t="shared" si="224"/>
        <v/>
      </c>
    </row>
    <row r="9170" spans="1:1">
      <c r="A9170" s="11" t="str">
        <f t="shared" si="224"/>
        <v/>
      </c>
    </row>
    <row r="9171" spans="1:1">
      <c r="A9171" s="11" t="str">
        <f t="shared" si="224"/>
        <v/>
      </c>
    </row>
    <row r="9172" spans="1:1">
      <c r="A9172" s="11" t="str">
        <f t="shared" si="224"/>
        <v/>
      </c>
    </row>
    <row r="9173" spans="1:1">
      <c r="A9173" s="11" t="str">
        <f t="shared" si="224"/>
        <v/>
      </c>
    </row>
    <row r="9174" spans="1:1">
      <c r="A9174" s="11" t="str">
        <f t="shared" si="224"/>
        <v/>
      </c>
    </row>
    <row r="9175" spans="1:1">
      <c r="A9175" s="11" t="str">
        <f t="shared" si="224"/>
        <v/>
      </c>
    </row>
    <row r="9176" spans="1:1">
      <c r="A9176" s="11" t="str">
        <f t="shared" si="224"/>
        <v/>
      </c>
    </row>
    <row r="9177" spans="1:1">
      <c r="A9177" s="11" t="str">
        <f t="shared" si="224"/>
        <v/>
      </c>
    </row>
    <row r="9178" spans="1:1">
      <c r="A9178" s="11" t="str">
        <f t="shared" si="224"/>
        <v/>
      </c>
    </row>
    <row r="9179" spans="1:1">
      <c r="A9179" s="11" t="str">
        <f t="shared" si="224"/>
        <v/>
      </c>
    </row>
    <row r="9180" spans="1:1">
      <c r="A9180" s="11" t="str">
        <f t="shared" si="224"/>
        <v/>
      </c>
    </row>
    <row r="9181" spans="1:1">
      <c r="A9181" s="11" t="str">
        <f t="shared" si="224"/>
        <v/>
      </c>
    </row>
    <row r="9182" spans="1:1">
      <c r="A9182" s="11" t="str">
        <f t="shared" si="224"/>
        <v/>
      </c>
    </row>
    <row r="9183" spans="1:1">
      <c r="A9183" s="11" t="str">
        <f t="shared" si="224"/>
        <v/>
      </c>
    </row>
    <row r="9184" spans="1:1">
      <c r="A9184" s="11" t="str">
        <f t="shared" si="224"/>
        <v/>
      </c>
    </row>
    <row r="9185" spans="1:1">
      <c r="A9185" s="11" t="str">
        <f t="shared" si="224"/>
        <v/>
      </c>
    </row>
    <row r="9186" spans="1:1">
      <c r="A9186" s="11" t="str">
        <f t="shared" si="224"/>
        <v/>
      </c>
    </row>
    <row r="9187" spans="1:1">
      <c r="A9187" s="11" t="str">
        <f t="shared" si="224"/>
        <v/>
      </c>
    </row>
    <row r="9188" spans="1:1">
      <c r="A9188" s="11" t="str">
        <f t="shared" si="224"/>
        <v/>
      </c>
    </row>
    <row r="9189" spans="1:1">
      <c r="A9189" s="11" t="str">
        <f t="shared" si="224"/>
        <v/>
      </c>
    </row>
    <row r="9190" spans="1:1">
      <c r="A9190" s="11" t="str">
        <f t="shared" si="224"/>
        <v/>
      </c>
    </row>
    <row r="9191" spans="1:1">
      <c r="A9191" s="11" t="str">
        <f t="shared" si="224"/>
        <v/>
      </c>
    </row>
    <row r="9192" spans="1:1">
      <c r="A9192" s="11" t="str">
        <f t="shared" si="224"/>
        <v/>
      </c>
    </row>
    <row r="9193" spans="1:1">
      <c r="A9193" s="11" t="str">
        <f t="shared" si="224"/>
        <v/>
      </c>
    </row>
    <row r="9194" spans="1:1">
      <c r="A9194" s="11" t="str">
        <f t="shared" si="224"/>
        <v/>
      </c>
    </row>
    <row r="9195" spans="1:1">
      <c r="A9195" s="11" t="str">
        <f t="shared" si="224"/>
        <v/>
      </c>
    </row>
    <row r="9196" spans="1:1">
      <c r="A9196" s="11" t="str">
        <f t="shared" si="224"/>
        <v/>
      </c>
    </row>
    <row r="9197" spans="1:1">
      <c r="A9197" s="11" t="str">
        <f t="shared" si="224"/>
        <v/>
      </c>
    </row>
    <row r="9198" spans="1:1">
      <c r="A9198" s="11" t="str">
        <f t="shared" si="224"/>
        <v/>
      </c>
    </row>
    <row r="9199" spans="1:1">
      <c r="A9199" s="11" t="str">
        <f t="shared" si="224"/>
        <v/>
      </c>
    </row>
    <row r="9200" spans="1:1">
      <c r="A9200" s="11" t="str">
        <f t="shared" si="224"/>
        <v/>
      </c>
    </row>
    <row r="9201" spans="1:1">
      <c r="A9201" s="11" t="str">
        <f t="shared" si="224"/>
        <v/>
      </c>
    </row>
    <row r="9202" spans="1:1">
      <c r="A9202" s="11" t="str">
        <f t="shared" si="224"/>
        <v/>
      </c>
    </row>
    <row r="9203" spans="1:1">
      <c r="A9203" s="11" t="str">
        <f t="shared" si="224"/>
        <v/>
      </c>
    </row>
    <row r="9204" spans="1:1">
      <c r="A9204" s="11" t="str">
        <f t="shared" si="224"/>
        <v/>
      </c>
    </row>
    <row r="9205" spans="1:1">
      <c r="A9205" s="11" t="str">
        <f t="shared" si="224"/>
        <v/>
      </c>
    </row>
    <row r="9206" spans="1:1">
      <c r="A9206" s="11" t="str">
        <f t="shared" si="224"/>
        <v/>
      </c>
    </row>
    <row r="9207" spans="1:1">
      <c r="A9207" s="11" t="str">
        <f t="shared" si="224"/>
        <v/>
      </c>
    </row>
    <row r="9208" spans="1:1">
      <c r="A9208" s="11" t="str">
        <f t="shared" si="224"/>
        <v/>
      </c>
    </row>
    <row r="9209" spans="1:1">
      <c r="A9209" s="11" t="str">
        <f t="shared" si="224"/>
        <v/>
      </c>
    </row>
    <row r="9210" spans="1:1">
      <c r="A9210" s="11" t="str">
        <f t="shared" si="224"/>
        <v/>
      </c>
    </row>
    <row r="9211" spans="1:1">
      <c r="A9211" s="11" t="str">
        <f t="shared" si="224"/>
        <v/>
      </c>
    </row>
    <row r="9212" spans="1:1">
      <c r="A9212" s="11" t="str">
        <f t="shared" si="224"/>
        <v/>
      </c>
    </row>
    <row r="9213" spans="1:1">
      <c r="A9213" s="11" t="str">
        <f t="shared" si="224"/>
        <v/>
      </c>
    </row>
    <row r="9214" spans="1:1">
      <c r="A9214" s="11" t="str">
        <f t="shared" si="224"/>
        <v/>
      </c>
    </row>
    <row r="9215" spans="1:1">
      <c r="A9215" s="11" t="str">
        <f t="shared" si="224"/>
        <v/>
      </c>
    </row>
    <row r="9216" spans="1:1">
      <c r="A9216" s="11" t="str">
        <f t="shared" si="224"/>
        <v/>
      </c>
    </row>
    <row r="9217" spans="1:1">
      <c r="A9217" s="11" t="str">
        <f t="shared" si="224"/>
        <v/>
      </c>
    </row>
    <row r="9218" spans="1:1">
      <c r="A9218" s="11" t="str">
        <f t="shared" si="224"/>
        <v/>
      </c>
    </row>
    <row r="9219" spans="1:1">
      <c r="A9219" s="11" t="str">
        <f t="shared" ref="A9219:A9282" si="225">B9219&amp;D9219</f>
        <v/>
      </c>
    </row>
    <row r="9220" spans="1:1">
      <c r="A9220" s="11" t="str">
        <f t="shared" si="225"/>
        <v/>
      </c>
    </row>
    <row r="9221" spans="1:1">
      <c r="A9221" s="11" t="str">
        <f t="shared" si="225"/>
        <v/>
      </c>
    </row>
    <row r="9222" spans="1:1">
      <c r="A9222" s="11" t="str">
        <f t="shared" si="225"/>
        <v/>
      </c>
    </row>
    <row r="9223" spans="1:1">
      <c r="A9223" s="11" t="str">
        <f t="shared" si="225"/>
        <v/>
      </c>
    </row>
    <row r="9224" spans="1:1">
      <c r="A9224" s="11" t="str">
        <f t="shared" si="225"/>
        <v/>
      </c>
    </row>
    <row r="9225" spans="1:1">
      <c r="A9225" s="11" t="str">
        <f t="shared" si="225"/>
        <v/>
      </c>
    </row>
    <row r="9226" spans="1:1">
      <c r="A9226" s="11" t="str">
        <f t="shared" si="225"/>
        <v/>
      </c>
    </row>
    <row r="9227" spans="1:1">
      <c r="A9227" s="11" t="str">
        <f t="shared" si="225"/>
        <v/>
      </c>
    </row>
    <row r="9228" spans="1:1">
      <c r="A9228" s="11" t="str">
        <f t="shared" si="225"/>
        <v/>
      </c>
    </row>
    <row r="9229" spans="1:1">
      <c r="A9229" s="11" t="str">
        <f t="shared" si="225"/>
        <v/>
      </c>
    </row>
    <row r="9230" spans="1:1">
      <c r="A9230" s="11" t="str">
        <f t="shared" si="225"/>
        <v/>
      </c>
    </row>
    <row r="9231" spans="1:1">
      <c r="A9231" s="11" t="str">
        <f t="shared" si="225"/>
        <v/>
      </c>
    </row>
    <row r="9232" spans="1:1">
      <c r="A9232" s="11" t="str">
        <f t="shared" si="225"/>
        <v/>
      </c>
    </row>
    <row r="9233" spans="1:1">
      <c r="A9233" s="11" t="str">
        <f t="shared" si="225"/>
        <v/>
      </c>
    </row>
    <row r="9234" spans="1:1">
      <c r="A9234" s="11" t="str">
        <f t="shared" si="225"/>
        <v/>
      </c>
    </row>
    <row r="9235" spans="1:1">
      <c r="A9235" s="11" t="str">
        <f t="shared" si="225"/>
        <v/>
      </c>
    </row>
    <row r="9236" spans="1:1">
      <c r="A9236" s="11" t="str">
        <f t="shared" si="225"/>
        <v/>
      </c>
    </row>
    <row r="9237" spans="1:1">
      <c r="A9237" s="11" t="str">
        <f t="shared" si="225"/>
        <v/>
      </c>
    </row>
    <row r="9238" spans="1:1">
      <c r="A9238" s="11" t="str">
        <f t="shared" si="225"/>
        <v/>
      </c>
    </row>
    <row r="9239" spans="1:1">
      <c r="A9239" s="11" t="str">
        <f t="shared" si="225"/>
        <v/>
      </c>
    </row>
    <row r="9240" spans="1:1">
      <c r="A9240" s="11" t="str">
        <f t="shared" si="225"/>
        <v/>
      </c>
    </row>
    <row r="9241" spans="1:1">
      <c r="A9241" s="11" t="str">
        <f t="shared" si="225"/>
        <v/>
      </c>
    </row>
    <row r="9242" spans="1:1">
      <c r="A9242" s="11" t="str">
        <f t="shared" si="225"/>
        <v/>
      </c>
    </row>
    <row r="9243" spans="1:1">
      <c r="A9243" s="11" t="str">
        <f t="shared" si="225"/>
        <v/>
      </c>
    </row>
    <row r="9244" spans="1:1">
      <c r="A9244" s="11" t="str">
        <f t="shared" si="225"/>
        <v/>
      </c>
    </row>
    <row r="9245" spans="1:1">
      <c r="A9245" s="11" t="str">
        <f t="shared" si="225"/>
        <v/>
      </c>
    </row>
    <row r="9246" spans="1:1">
      <c r="A9246" s="11" t="str">
        <f t="shared" si="225"/>
        <v/>
      </c>
    </row>
    <row r="9247" spans="1:1">
      <c r="A9247" s="11" t="str">
        <f t="shared" si="225"/>
        <v/>
      </c>
    </row>
    <row r="9248" spans="1:1">
      <c r="A9248" s="11" t="str">
        <f t="shared" si="225"/>
        <v/>
      </c>
    </row>
    <row r="9249" spans="1:1">
      <c r="A9249" s="11" t="str">
        <f t="shared" si="225"/>
        <v/>
      </c>
    </row>
    <row r="9250" spans="1:1">
      <c r="A9250" s="11" t="str">
        <f t="shared" si="225"/>
        <v/>
      </c>
    </row>
    <row r="9251" spans="1:1">
      <c r="A9251" s="11" t="str">
        <f t="shared" si="225"/>
        <v/>
      </c>
    </row>
    <row r="9252" spans="1:1">
      <c r="A9252" s="11" t="str">
        <f t="shared" si="225"/>
        <v/>
      </c>
    </row>
    <row r="9253" spans="1:1">
      <c r="A9253" s="11" t="str">
        <f t="shared" si="225"/>
        <v/>
      </c>
    </row>
    <row r="9254" spans="1:1">
      <c r="A9254" s="11" t="str">
        <f t="shared" si="225"/>
        <v/>
      </c>
    </row>
    <row r="9255" spans="1:1">
      <c r="A9255" s="11" t="str">
        <f t="shared" si="225"/>
        <v/>
      </c>
    </row>
    <row r="9256" spans="1:1">
      <c r="A9256" s="11" t="str">
        <f t="shared" si="225"/>
        <v/>
      </c>
    </row>
    <row r="9257" spans="1:1">
      <c r="A9257" s="11" t="str">
        <f t="shared" si="225"/>
        <v/>
      </c>
    </row>
    <row r="9258" spans="1:1">
      <c r="A9258" s="11" t="str">
        <f t="shared" si="225"/>
        <v/>
      </c>
    </row>
    <row r="9259" spans="1:1">
      <c r="A9259" s="11" t="str">
        <f t="shared" si="225"/>
        <v/>
      </c>
    </row>
    <row r="9260" spans="1:1">
      <c r="A9260" s="11" t="str">
        <f t="shared" si="225"/>
        <v/>
      </c>
    </row>
    <row r="9261" spans="1:1">
      <c r="A9261" s="11" t="str">
        <f t="shared" si="225"/>
        <v/>
      </c>
    </row>
    <row r="9262" spans="1:1">
      <c r="A9262" s="11" t="str">
        <f t="shared" si="225"/>
        <v/>
      </c>
    </row>
    <row r="9263" spans="1:1">
      <c r="A9263" s="11" t="str">
        <f t="shared" si="225"/>
        <v/>
      </c>
    </row>
    <row r="9264" spans="1:1">
      <c r="A9264" s="11" t="str">
        <f t="shared" si="225"/>
        <v/>
      </c>
    </row>
    <row r="9265" spans="1:1">
      <c r="A9265" s="11" t="str">
        <f t="shared" si="225"/>
        <v/>
      </c>
    </row>
    <row r="9266" spans="1:1">
      <c r="A9266" s="11" t="str">
        <f t="shared" si="225"/>
        <v/>
      </c>
    </row>
    <row r="9267" spans="1:1">
      <c r="A9267" s="11" t="str">
        <f t="shared" si="225"/>
        <v/>
      </c>
    </row>
    <row r="9268" spans="1:1">
      <c r="A9268" s="11" t="str">
        <f t="shared" si="225"/>
        <v/>
      </c>
    </row>
    <row r="9269" spans="1:1">
      <c r="A9269" s="11" t="str">
        <f t="shared" si="225"/>
        <v/>
      </c>
    </row>
    <row r="9270" spans="1:1">
      <c r="A9270" s="11" t="str">
        <f t="shared" si="225"/>
        <v/>
      </c>
    </row>
    <row r="9271" spans="1:1">
      <c r="A9271" s="11" t="str">
        <f t="shared" si="225"/>
        <v/>
      </c>
    </row>
    <row r="9272" spans="1:1">
      <c r="A9272" s="11" t="str">
        <f t="shared" si="225"/>
        <v/>
      </c>
    </row>
    <row r="9273" spans="1:1">
      <c r="A9273" s="11" t="str">
        <f t="shared" si="225"/>
        <v/>
      </c>
    </row>
    <row r="9274" spans="1:1">
      <c r="A9274" s="11" t="str">
        <f t="shared" si="225"/>
        <v/>
      </c>
    </row>
    <row r="9275" spans="1:1">
      <c r="A9275" s="11" t="str">
        <f t="shared" si="225"/>
        <v/>
      </c>
    </row>
    <row r="9276" spans="1:1">
      <c r="A9276" s="11" t="str">
        <f t="shared" si="225"/>
        <v/>
      </c>
    </row>
    <row r="9277" spans="1:1">
      <c r="A9277" s="11" t="str">
        <f t="shared" si="225"/>
        <v/>
      </c>
    </row>
    <row r="9278" spans="1:1">
      <c r="A9278" s="11" t="str">
        <f t="shared" si="225"/>
        <v/>
      </c>
    </row>
    <row r="9279" spans="1:1">
      <c r="A9279" s="11" t="str">
        <f t="shared" si="225"/>
        <v/>
      </c>
    </row>
    <row r="9280" spans="1:1">
      <c r="A9280" s="11" t="str">
        <f t="shared" si="225"/>
        <v/>
      </c>
    </row>
    <row r="9281" spans="1:1">
      <c r="A9281" s="11" t="str">
        <f t="shared" si="225"/>
        <v/>
      </c>
    </row>
    <row r="9282" spans="1:1">
      <c r="A9282" s="11" t="str">
        <f t="shared" si="225"/>
        <v/>
      </c>
    </row>
    <row r="9283" spans="1:1">
      <c r="A9283" s="11" t="str">
        <f t="shared" ref="A9283:A9346" si="226">B9283&amp;D9283</f>
        <v/>
      </c>
    </row>
    <row r="9284" spans="1:1">
      <c r="A9284" s="11" t="str">
        <f t="shared" si="226"/>
        <v/>
      </c>
    </row>
    <row r="9285" spans="1:1">
      <c r="A9285" s="11" t="str">
        <f t="shared" si="226"/>
        <v/>
      </c>
    </row>
    <row r="9286" spans="1:1">
      <c r="A9286" s="11" t="str">
        <f t="shared" si="226"/>
        <v/>
      </c>
    </row>
    <row r="9287" spans="1:1">
      <c r="A9287" s="11" t="str">
        <f t="shared" si="226"/>
        <v/>
      </c>
    </row>
    <row r="9288" spans="1:1">
      <c r="A9288" s="11" t="str">
        <f t="shared" si="226"/>
        <v/>
      </c>
    </row>
    <row r="9289" spans="1:1">
      <c r="A9289" s="11" t="str">
        <f t="shared" si="226"/>
        <v/>
      </c>
    </row>
    <row r="9290" spans="1:1">
      <c r="A9290" s="11" t="str">
        <f t="shared" si="226"/>
        <v/>
      </c>
    </row>
    <row r="9291" spans="1:1">
      <c r="A9291" s="11" t="str">
        <f t="shared" si="226"/>
        <v/>
      </c>
    </row>
    <row r="9292" spans="1:1">
      <c r="A9292" s="11" t="str">
        <f t="shared" si="226"/>
        <v/>
      </c>
    </row>
    <row r="9293" spans="1:1">
      <c r="A9293" s="11" t="str">
        <f t="shared" si="226"/>
        <v/>
      </c>
    </row>
    <row r="9294" spans="1:1">
      <c r="A9294" s="11" t="str">
        <f t="shared" si="226"/>
        <v/>
      </c>
    </row>
    <row r="9295" spans="1:1">
      <c r="A9295" s="11" t="str">
        <f t="shared" si="226"/>
        <v/>
      </c>
    </row>
    <row r="9296" spans="1:1">
      <c r="A9296" s="11" t="str">
        <f t="shared" si="226"/>
        <v/>
      </c>
    </row>
    <row r="9297" spans="1:1">
      <c r="A9297" s="11" t="str">
        <f t="shared" si="226"/>
        <v/>
      </c>
    </row>
    <row r="9298" spans="1:1">
      <c r="A9298" s="11" t="str">
        <f t="shared" si="226"/>
        <v/>
      </c>
    </row>
    <row r="9299" spans="1:1">
      <c r="A9299" s="11" t="str">
        <f t="shared" si="226"/>
        <v/>
      </c>
    </row>
    <row r="9300" spans="1:1">
      <c r="A9300" s="11" t="str">
        <f t="shared" si="226"/>
        <v/>
      </c>
    </row>
    <row r="9301" spans="1:1">
      <c r="A9301" s="11" t="str">
        <f t="shared" si="226"/>
        <v/>
      </c>
    </row>
    <row r="9302" spans="1:1">
      <c r="A9302" s="11" t="str">
        <f t="shared" si="226"/>
        <v/>
      </c>
    </row>
    <row r="9303" spans="1:1">
      <c r="A9303" s="11" t="str">
        <f t="shared" si="226"/>
        <v/>
      </c>
    </row>
    <row r="9304" spans="1:1">
      <c r="A9304" s="11" t="str">
        <f t="shared" si="226"/>
        <v/>
      </c>
    </row>
    <row r="9305" spans="1:1">
      <c r="A9305" s="11" t="str">
        <f t="shared" si="226"/>
        <v/>
      </c>
    </row>
    <row r="9306" spans="1:1">
      <c r="A9306" s="11" t="str">
        <f t="shared" si="226"/>
        <v/>
      </c>
    </row>
    <row r="9307" spans="1:1">
      <c r="A9307" s="11" t="str">
        <f t="shared" si="226"/>
        <v/>
      </c>
    </row>
    <row r="9308" spans="1:1">
      <c r="A9308" s="11" t="str">
        <f t="shared" si="226"/>
        <v/>
      </c>
    </row>
    <row r="9309" spans="1:1">
      <c r="A9309" s="11" t="str">
        <f t="shared" si="226"/>
        <v/>
      </c>
    </row>
    <row r="9310" spans="1:1">
      <c r="A9310" s="11" t="str">
        <f t="shared" si="226"/>
        <v/>
      </c>
    </row>
    <row r="9311" spans="1:1">
      <c r="A9311" s="11" t="str">
        <f t="shared" si="226"/>
        <v/>
      </c>
    </row>
    <row r="9312" spans="1:1">
      <c r="A9312" s="11" t="str">
        <f t="shared" si="226"/>
        <v/>
      </c>
    </row>
    <row r="9313" spans="1:1">
      <c r="A9313" s="11" t="str">
        <f t="shared" si="226"/>
        <v/>
      </c>
    </row>
    <row r="9314" spans="1:1">
      <c r="A9314" s="11" t="str">
        <f t="shared" si="226"/>
        <v/>
      </c>
    </row>
    <row r="9315" spans="1:1">
      <c r="A9315" s="11" t="str">
        <f t="shared" si="226"/>
        <v/>
      </c>
    </row>
    <row r="9316" spans="1:1">
      <c r="A9316" s="11" t="str">
        <f t="shared" si="226"/>
        <v/>
      </c>
    </row>
    <row r="9317" spans="1:1">
      <c r="A9317" s="11" t="str">
        <f t="shared" si="226"/>
        <v/>
      </c>
    </row>
    <row r="9318" spans="1:1">
      <c r="A9318" s="11" t="str">
        <f t="shared" si="226"/>
        <v/>
      </c>
    </row>
    <row r="9319" spans="1:1">
      <c r="A9319" s="11" t="str">
        <f t="shared" si="226"/>
        <v/>
      </c>
    </row>
    <row r="9320" spans="1:1">
      <c r="A9320" s="11" t="str">
        <f t="shared" si="226"/>
        <v/>
      </c>
    </row>
    <row r="9321" spans="1:1">
      <c r="A9321" s="11" t="str">
        <f t="shared" si="226"/>
        <v/>
      </c>
    </row>
    <row r="9322" spans="1:1">
      <c r="A9322" s="11" t="str">
        <f t="shared" si="226"/>
        <v/>
      </c>
    </row>
    <row r="9323" spans="1:1">
      <c r="A9323" s="11" t="str">
        <f t="shared" si="226"/>
        <v/>
      </c>
    </row>
    <row r="9324" spans="1:1">
      <c r="A9324" s="11" t="str">
        <f t="shared" si="226"/>
        <v/>
      </c>
    </row>
    <row r="9325" spans="1:1">
      <c r="A9325" s="11" t="str">
        <f t="shared" si="226"/>
        <v/>
      </c>
    </row>
    <row r="9326" spans="1:1">
      <c r="A9326" s="11" t="str">
        <f t="shared" si="226"/>
        <v/>
      </c>
    </row>
    <row r="9327" spans="1:1">
      <c r="A9327" s="11" t="str">
        <f t="shared" si="226"/>
        <v/>
      </c>
    </row>
    <row r="9328" spans="1:1">
      <c r="A9328" s="11" t="str">
        <f t="shared" si="226"/>
        <v/>
      </c>
    </row>
    <row r="9329" spans="1:1">
      <c r="A9329" s="11" t="str">
        <f t="shared" si="226"/>
        <v/>
      </c>
    </row>
    <row r="9330" spans="1:1">
      <c r="A9330" s="11" t="str">
        <f t="shared" si="226"/>
        <v/>
      </c>
    </row>
    <row r="9331" spans="1:1">
      <c r="A9331" s="11" t="str">
        <f t="shared" si="226"/>
        <v/>
      </c>
    </row>
    <row r="9332" spans="1:1">
      <c r="A9332" s="11" t="str">
        <f t="shared" si="226"/>
        <v/>
      </c>
    </row>
    <row r="9333" spans="1:1">
      <c r="A9333" s="11" t="str">
        <f t="shared" si="226"/>
        <v/>
      </c>
    </row>
    <row r="9334" spans="1:1">
      <c r="A9334" s="11" t="str">
        <f t="shared" si="226"/>
        <v/>
      </c>
    </row>
    <row r="9335" spans="1:1">
      <c r="A9335" s="11" t="str">
        <f t="shared" si="226"/>
        <v/>
      </c>
    </row>
    <row r="9336" spans="1:1">
      <c r="A9336" s="11" t="str">
        <f t="shared" si="226"/>
        <v/>
      </c>
    </row>
    <row r="9337" spans="1:1">
      <c r="A9337" s="11" t="str">
        <f t="shared" si="226"/>
        <v/>
      </c>
    </row>
    <row r="9338" spans="1:1">
      <c r="A9338" s="11" t="str">
        <f t="shared" si="226"/>
        <v/>
      </c>
    </row>
    <row r="9339" spans="1:1">
      <c r="A9339" s="11" t="str">
        <f t="shared" si="226"/>
        <v/>
      </c>
    </row>
    <row r="9340" spans="1:1">
      <c r="A9340" s="11" t="str">
        <f t="shared" si="226"/>
        <v/>
      </c>
    </row>
    <row r="9341" spans="1:1">
      <c r="A9341" s="11" t="str">
        <f t="shared" si="226"/>
        <v/>
      </c>
    </row>
    <row r="9342" spans="1:1">
      <c r="A9342" s="11" t="str">
        <f t="shared" si="226"/>
        <v/>
      </c>
    </row>
    <row r="9343" spans="1:1">
      <c r="A9343" s="11" t="str">
        <f t="shared" si="226"/>
        <v/>
      </c>
    </row>
    <row r="9344" spans="1:1">
      <c r="A9344" s="11" t="str">
        <f t="shared" si="226"/>
        <v/>
      </c>
    </row>
    <row r="9345" spans="1:1">
      <c r="A9345" s="11" t="str">
        <f t="shared" si="226"/>
        <v/>
      </c>
    </row>
    <row r="9346" spans="1:1">
      <c r="A9346" s="11" t="str">
        <f t="shared" si="226"/>
        <v/>
      </c>
    </row>
    <row r="9347" spans="1:1">
      <c r="A9347" s="11" t="str">
        <f t="shared" ref="A9347:A9410" si="227">B9347&amp;D9347</f>
        <v/>
      </c>
    </row>
    <row r="9348" spans="1:1">
      <c r="A9348" s="11" t="str">
        <f t="shared" si="227"/>
        <v/>
      </c>
    </row>
    <row r="9349" spans="1:1">
      <c r="A9349" s="11" t="str">
        <f t="shared" si="227"/>
        <v/>
      </c>
    </row>
    <row r="9350" spans="1:1">
      <c r="A9350" s="11" t="str">
        <f t="shared" si="227"/>
        <v/>
      </c>
    </row>
    <row r="9351" spans="1:1">
      <c r="A9351" s="11" t="str">
        <f t="shared" si="227"/>
        <v/>
      </c>
    </row>
    <row r="9352" spans="1:1">
      <c r="A9352" s="11" t="str">
        <f t="shared" si="227"/>
        <v/>
      </c>
    </row>
    <row r="9353" spans="1:1">
      <c r="A9353" s="11" t="str">
        <f t="shared" si="227"/>
        <v/>
      </c>
    </row>
    <row r="9354" spans="1:1">
      <c r="A9354" s="11" t="str">
        <f t="shared" si="227"/>
        <v/>
      </c>
    </row>
    <row r="9355" spans="1:1">
      <c r="A9355" s="11" t="str">
        <f t="shared" si="227"/>
        <v/>
      </c>
    </row>
    <row r="9356" spans="1:1">
      <c r="A9356" s="11" t="str">
        <f t="shared" si="227"/>
        <v/>
      </c>
    </row>
    <row r="9357" spans="1:1">
      <c r="A9357" s="11" t="str">
        <f t="shared" si="227"/>
        <v/>
      </c>
    </row>
    <row r="9358" spans="1:1">
      <c r="A9358" s="11" t="str">
        <f t="shared" si="227"/>
        <v/>
      </c>
    </row>
    <row r="9359" spans="1:1">
      <c r="A9359" s="11" t="str">
        <f t="shared" si="227"/>
        <v/>
      </c>
    </row>
    <row r="9360" spans="1:1">
      <c r="A9360" s="11" t="str">
        <f t="shared" si="227"/>
        <v/>
      </c>
    </row>
    <row r="9361" spans="1:1">
      <c r="A9361" s="11" t="str">
        <f t="shared" si="227"/>
        <v/>
      </c>
    </row>
    <row r="9362" spans="1:1">
      <c r="A9362" s="11" t="str">
        <f t="shared" si="227"/>
        <v/>
      </c>
    </row>
    <row r="9363" spans="1:1">
      <c r="A9363" s="11" t="str">
        <f t="shared" si="227"/>
        <v/>
      </c>
    </row>
    <row r="9364" spans="1:1">
      <c r="A9364" s="11" t="str">
        <f t="shared" si="227"/>
        <v/>
      </c>
    </row>
    <row r="9365" spans="1:1">
      <c r="A9365" s="11" t="str">
        <f t="shared" si="227"/>
        <v/>
      </c>
    </row>
    <row r="9366" spans="1:1">
      <c r="A9366" s="11" t="str">
        <f t="shared" si="227"/>
        <v/>
      </c>
    </row>
    <row r="9367" spans="1:1">
      <c r="A9367" s="11" t="str">
        <f t="shared" si="227"/>
        <v/>
      </c>
    </row>
    <row r="9368" spans="1:1">
      <c r="A9368" s="11" t="str">
        <f t="shared" si="227"/>
        <v/>
      </c>
    </row>
    <row r="9369" spans="1:1">
      <c r="A9369" s="11" t="str">
        <f t="shared" si="227"/>
        <v/>
      </c>
    </row>
    <row r="9370" spans="1:1">
      <c r="A9370" s="11" t="str">
        <f t="shared" si="227"/>
        <v/>
      </c>
    </row>
    <row r="9371" spans="1:1">
      <c r="A9371" s="11" t="str">
        <f t="shared" si="227"/>
        <v/>
      </c>
    </row>
    <row r="9372" spans="1:1">
      <c r="A9372" s="11" t="str">
        <f t="shared" si="227"/>
        <v/>
      </c>
    </row>
    <row r="9373" spans="1:1">
      <c r="A9373" s="11" t="str">
        <f t="shared" si="227"/>
        <v/>
      </c>
    </row>
    <row r="9374" spans="1:1">
      <c r="A9374" s="11" t="str">
        <f t="shared" si="227"/>
        <v/>
      </c>
    </row>
    <row r="9375" spans="1:1">
      <c r="A9375" s="11" t="str">
        <f t="shared" si="227"/>
        <v/>
      </c>
    </row>
    <row r="9376" spans="1:1">
      <c r="A9376" s="11" t="str">
        <f t="shared" si="227"/>
        <v/>
      </c>
    </row>
    <row r="9377" spans="1:1">
      <c r="A9377" s="11" t="str">
        <f t="shared" si="227"/>
        <v/>
      </c>
    </row>
    <row r="9378" spans="1:1">
      <c r="A9378" s="11" t="str">
        <f t="shared" si="227"/>
        <v/>
      </c>
    </row>
    <row r="9379" spans="1:1">
      <c r="A9379" s="11" t="str">
        <f t="shared" si="227"/>
        <v/>
      </c>
    </row>
    <row r="9380" spans="1:1">
      <c r="A9380" s="11" t="str">
        <f t="shared" si="227"/>
        <v/>
      </c>
    </row>
    <row r="9381" spans="1:1">
      <c r="A9381" s="11" t="str">
        <f t="shared" si="227"/>
        <v/>
      </c>
    </row>
    <row r="9382" spans="1:1">
      <c r="A9382" s="11" t="str">
        <f t="shared" si="227"/>
        <v/>
      </c>
    </row>
    <row r="9383" spans="1:1">
      <c r="A9383" s="11" t="str">
        <f t="shared" si="227"/>
        <v/>
      </c>
    </row>
    <row r="9384" spans="1:1">
      <c r="A9384" s="11" t="str">
        <f t="shared" si="227"/>
        <v/>
      </c>
    </row>
    <row r="9385" spans="1:1">
      <c r="A9385" s="11" t="str">
        <f t="shared" si="227"/>
        <v/>
      </c>
    </row>
    <row r="9386" spans="1:1">
      <c r="A9386" s="11" t="str">
        <f t="shared" si="227"/>
        <v/>
      </c>
    </row>
    <row r="9387" spans="1:1">
      <c r="A9387" s="11" t="str">
        <f t="shared" si="227"/>
        <v/>
      </c>
    </row>
    <row r="9388" spans="1:1">
      <c r="A9388" s="11" t="str">
        <f t="shared" si="227"/>
        <v/>
      </c>
    </row>
    <row r="9389" spans="1:1">
      <c r="A9389" s="11" t="str">
        <f t="shared" si="227"/>
        <v/>
      </c>
    </row>
    <row r="9390" spans="1:1">
      <c r="A9390" s="11" t="str">
        <f t="shared" si="227"/>
        <v/>
      </c>
    </row>
    <row r="9391" spans="1:1">
      <c r="A9391" s="11" t="str">
        <f t="shared" si="227"/>
        <v/>
      </c>
    </row>
    <row r="9392" spans="1:1">
      <c r="A9392" s="11" t="str">
        <f t="shared" si="227"/>
        <v/>
      </c>
    </row>
    <row r="9393" spans="1:1">
      <c r="A9393" s="11" t="str">
        <f t="shared" si="227"/>
        <v/>
      </c>
    </row>
    <row r="9394" spans="1:1">
      <c r="A9394" s="11" t="str">
        <f t="shared" si="227"/>
        <v/>
      </c>
    </row>
    <row r="9395" spans="1:1">
      <c r="A9395" s="11" t="str">
        <f t="shared" si="227"/>
        <v/>
      </c>
    </row>
    <row r="9396" spans="1:1">
      <c r="A9396" s="11" t="str">
        <f t="shared" si="227"/>
        <v/>
      </c>
    </row>
    <row r="9397" spans="1:1">
      <c r="A9397" s="11" t="str">
        <f t="shared" si="227"/>
        <v/>
      </c>
    </row>
    <row r="9398" spans="1:1">
      <c r="A9398" s="11" t="str">
        <f t="shared" si="227"/>
        <v/>
      </c>
    </row>
    <row r="9399" spans="1:1">
      <c r="A9399" s="11" t="str">
        <f t="shared" si="227"/>
        <v/>
      </c>
    </row>
    <row r="9400" spans="1:1">
      <c r="A9400" s="11" t="str">
        <f t="shared" si="227"/>
        <v/>
      </c>
    </row>
    <row r="9401" spans="1:1">
      <c r="A9401" s="11" t="str">
        <f t="shared" si="227"/>
        <v/>
      </c>
    </row>
    <row r="9402" spans="1:1">
      <c r="A9402" s="11" t="str">
        <f t="shared" si="227"/>
        <v/>
      </c>
    </row>
    <row r="9403" spans="1:1">
      <c r="A9403" s="11" t="str">
        <f t="shared" si="227"/>
        <v/>
      </c>
    </row>
    <row r="9404" spans="1:1">
      <c r="A9404" s="11" t="str">
        <f t="shared" si="227"/>
        <v/>
      </c>
    </row>
    <row r="9405" spans="1:1">
      <c r="A9405" s="11" t="str">
        <f t="shared" si="227"/>
        <v/>
      </c>
    </row>
    <row r="9406" spans="1:1">
      <c r="A9406" s="11" t="str">
        <f t="shared" si="227"/>
        <v/>
      </c>
    </row>
    <row r="9407" spans="1:1">
      <c r="A9407" s="11" t="str">
        <f t="shared" si="227"/>
        <v/>
      </c>
    </row>
    <row r="9408" spans="1:1">
      <c r="A9408" s="11" t="str">
        <f t="shared" si="227"/>
        <v/>
      </c>
    </row>
    <row r="9409" spans="1:1">
      <c r="A9409" s="11" t="str">
        <f t="shared" si="227"/>
        <v/>
      </c>
    </row>
    <row r="9410" spans="1:1">
      <c r="A9410" s="11" t="str">
        <f t="shared" si="227"/>
        <v/>
      </c>
    </row>
    <row r="9411" spans="1:1">
      <c r="A9411" s="11" t="str">
        <f t="shared" ref="A9411:A9474" si="228">B9411&amp;D9411</f>
        <v/>
      </c>
    </row>
    <row r="9412" spans="1:1">
      <c r="A9412" s="11" t="str">
        <f t="shared" si="228"/>
        <v/>
      </c>
    </row>
    <row r="9413" spans="1:1">
      <c r="A9413" s="11" t="str">
        <f t="shared" si="228"/>
        <v/>
      </c>
    </row>
    <row r="9414" spans="1:1">
      <c r="A9414" s="11" t="str">
        <f t="shared" si="228"/>
        <v/>
      </c>
    </row>
    <row r="9415" spans="1:1">
      <c r="A9415" s="11" t="str">
        <f t="shared" si="228"/>
        <v/>
      </c>
    </row>
    <row r="9416" spans="1:1">
      <c r="A9416" s="11" t="str">
        <f t="shared" si="228"/>
        <v/>
      </c>
    </row>
    <row r="9417" spans="1:1">
      <c r="A9417" s="11" t="str">
        <f t="shared" si="228"/>
        <v/>
      </c>
    </row>
    <row r="9418" spans="1:1">
      <c r="A9418" s="11" t="str">
        <f t="shared" si="228"/>
        <v/>
      </c>
    </row>
    <row r="9419" spans="1:1">
      <c r="A9419" s="11" t="str">
        <f t="shared" si="228"/>
        <v/>
      </c>
    </row>
    <row r="9420" spans="1:1">
      <c r="A9420" s="11" t="str">
        <f t="shared" si="228"/>
        <v/>
      </c>
    </row>
    <row r="9421" spans="1:1">
      <c r="A9421" s="11" t="str">
        <f t="shared" si="228"/>
        <v/>
      </c>
    </row>
    <row r="9422" spans="1:1">
      <c r="A9422" s="11" t="str">
        <f t="shared" si="228"/>
        <v/>
      </c>
    </row>
    <row r="9423" spans="1:1">
      <c r="A9423" s="11" t="str">
        <f t="shared" si="228"/>
        <v/>
      </c>
    </row>
    <row r="9424" spans="1:1">
      <c r="A9424" s="11" t="str">
        <f t="shared" si="228"/>
        <v/>
      </c>
    </row>
    <row r="9425" spans="1:1">
      <c r="A9425" s="11" t="str">
        <f t="shared" si="228"/>
        <v/>
      </c>
    </row>
    <row r="9426" spans="1:1">
      <c r="A9426" s="11" t="str">
        <f t="shared" si="228"/>
        <v/>
      </c>
    </row>
    <row r="9427" spans="1:1">
      <c r="A9427" s="11" t="str">
        <f t="shared" si="228"/>
        <v/>
      </c>
    </row>
    <row r="9428" spans="1:1">
      <c r="A9428" s="11" t="str">
        <f t="shared" si="228"/>
        <v/>
      </c>
    </row>
    <row r="9429" spans="1:1">
      <c r="A9429" s="11" t="str">
        <f t="shared" si="228"/>
        <v/>
      </c>
    </row>
    <row r="9430" spans="1:1">
      <c r="A9430" s="11" t="str">
        <f t="shared" si="228"/>
        <v/>
      </c>
    </row>
    <row r="9431" spans="1:1">
      <c r="A9431" s="11" t="str">
        <f t="shared" si="228"/>
        <v/>
      </c>
    </row>
    <row r="9432" spans="1:1">
      <c r="A9432" s="11" t="str">
        <f t="shared" si="228"/>
        <v/>
      </c>
    </row>
    <row r="9433" spans="1:1">
      <c r="A9433" s="11" t="str">
        <f t="shared" si="228"/>
        <v/>
      </c>
    </row>
    <row r="9434" spans="1:1">
      <c r="A9434" s="11" t="str">
        <f t="shared" si="228"/>
        <v/>
      </c>
    </row>
    <row r="9435" spans="1:1">
      <c r="A9435" s="11" t="str">
        <f t="shared" si="228"/>
        <v/>
      </c>
    </row>
    <row r="9436" spans="1:1">
      <c r="A9436" s="11" t="str">
        <f t="shared" si="228"/>
        <v/>
      </c>
    </row>
    <row r="9437" spans="1:1">
      <c r="A9437" s="11" t="str">
        <f t="shared" si="228"/>
        <v/>
      </c>
    </row>
    <row r="9438" spans="1:1">
      <c r="A9438" s="11" t="str">
        <f t="shared" si="228"/>
        <v/>
      </c>
    </row>
    <row r="9439" spans="1:1">
      <c r="A9439" s="11" t="str">
        <f t="shared" si="228"/>
        <v/>
      </c>
    </row>
    <row r="9440" spans="1:1">
      <c r="A9440" s="11" t="str">
        <f t="shared" si="228"/>
        <v/>
      </c>
    </row>
    <row r="9441" spans="1:1">
      <c r="A9441" s="11" t="str">
        <f t="shared" si="228"/>
        <v/>
      </c>
    </row>
    <row r="9442" spans="1:1">
      <c r="A9442" s="11" t="str">
        <f t="shared" si="228"/>
        <v/>
      </c>
    </row>
    <row r="9443" spans="1:1">
      <c r="A9443" s="11" t="str">
        <f t="shared" si="228"/>
        <v/>
      </c>
    </row>
    <row r="9444" spans="1:1">
      <c r="A9444" s="11" t="str">
        <f t="shared" si="228"/>
        <v/>
      </c>
    </row>
    <row r="9445" spans="1:1">
      <c r="A9445" s="11" t="str">
        <f t="shared" si="228"/>
        <v/>
      </c>
    </row>
    <row r="9446" spans="1:1">
      <c r="A9446" s="11" t="str">
        <f t="shared" si="228"/>
        <v/>
      </c>
    </row>
    <row r="9447" spans="1:1">
      <c r="A9447" s="11" t="str">
        <f t="shared" si="228"/>
        <v/>
      </c>
    </row>
    <row r="9448" spans="1:1">
      <c r="A9448" s="11" t="str">
        <f t="shared" si="228"/>
        <v/>
      </c>
    </row>
    <row r="9449" spans="1:1">
      <c r="A9449" s="11" t="str">
        <f t="shared" si="228"/>
        <v/>
      </c>
    </row>
    <row r="9450" spans="1:1">
      <c r="A9450" s="11" t="str">
        <f t="shared" si="228"/>
        <v/>
      </c>
    </row>
    <row r="9451" spans="1:1">
      <c r="A9451" s="11" t="str">
        <f t="shared" si="228"/>
        <v/>
      </c>
    </row>
    <row r="9452" spans="1:1">
      <c r="A9452" s="11" t="str">
        <f t="shared" si="228"/>
        <v/>
      </c>
    </row>
    <row r="9453" spans="1:1">
      <c r="A9453" s="11" t="str">
        <f t="shared" si="228"/>
        <v/>
      </c>
    </row>
    <row r="9454" spans="1:1">
      <c r="A9454" s="11" t="str">
        <f t="shared" si="228"/>
        <v/>
      </c>
    </row>
    <row r="9455" spans="1:1">
      <c r="A9455" s="11" t="str">
        <f t="shared" si="228"/>
        <v/>
      </c>
    </row>
    <row r="9456" spans="1:1">
      <c r="A9456" s="11" t="str">
        <f t="shared" si="228"/>
        <v/>
      </c>
    </row>
    <row r="9457" spans="1:1">
      <c r="A9457" s="11" t="str">
        <f t="shared" si="228"/>
        <v/>
      </c>
    </row>
    <row r="9458" spans="1:1">
      <c r="A9458" s="11" t="str">
        <f t="shared" si="228"/>
        <v/>
      </c>
    </row>
    <row r="9459" spans="1:1">
      <c r="A9459" s="11" t="str">
        <f t="shared" si="228"/>
        <v/>
      </c>
    </row>
    <row r="9460" spans="1:1">
      <c r="A9460" s="11" t="str">
        <f t="shared" si="228"/>
        <v/>
      </c>
    </row>
    <row r="9461" spans="1:1">
      <c r="A9461" s="11" t="str">
        <f t="shared" si="228"/>
        <v/>
      </c>
    </row>
    <row r="9462" spans="1:1">
      <c r="A9462" s="11" t="str">
        <f t="shared" si="228"/>
        <v/>
      </c>
    </row>
    <row r="9463" spans="1:1">
      <c r="A9463" s="11" t="str">
        <f t="shared" si="228"/>
        <v/>
      </c>
    </row>
    <row r="9464" spans="1:1">
      <c r="A9464" s="11" t="str">
        <f t="shared" si="228"/>
        <v/>
      </c>
    </row>
    <row r="9465" spans="1:1">
      <c r="A9465" s="11" t="str">
        <f t="shared" si="228"/>
        <v/>
      </c>
    </row>
    <row r="9466" spans="1:1">
      <c r="A9466" s="11" t="str">
        <f t="shared" si="228"/>
        <v/>
      </c>
    </row>
    <row r="9467" spans="1:1">
      <c r="A9467" s="11" t="str">
        <f t="shared" si="228"/>
        <v/>
      </c>
    </row>
    <row r="9468" spans="1:1">
      <c r="A9468" s="11" t="str">
        <f t="shared" si="228"/>
        <v/>
      </c>
    </row>
    <row r="9469" spans="1:1">
      <c r="A9469" s="11" t="str">
        <f t="shared" si="228"/>
        <v/>
      </c>
    </row>
    <row r="9470" spans="1:1">
      <c r="A9470" s="11" t="str">
        <f t="shared" si="228"/>
        <v/>
      </c>
    </row>
    <row r="9471" spans="1:1">
      <c r="A9471" s="11" t="str">
        <f t="shared" si="228"/>
        <v/>
      </c>
    </row>
    <row r="9472" spans="1:1">
      <c r="A9472" s="11" t="str">
        <f t="shared" si="228"/>
        <v/>
      </c>
    </row>
    <row r="9473" spans="1:1">
      <c r="A9473" s="11" t="str">
        <f t="shared" si="228"/>
        <v/>
      </c>
    </row>
    <row r="9474" spans="1:1">
      <c r="A9474" s="11" t="str">
        <f t="shared" si="228"/>
        <v/>
      </c>
    </row>
    <row r="9475" spans="1:1">
      <c r="A9475" s="11" t="str">
        <f t="shared" ref="A9475:A9538" si="229">B9475&amp;D9475</f>
        <v/>
      </c>
    </row>
    <row r="9476" spans="1:1">
      <c r="A9476" s="11" t="str">
        <f t="shared" si="229"/>
        <v/>
      </c>
    </row>
    <row r="9477" spans="1:1">
      <c r="A9477" s="11" t="str">
        <f t="shared" si="229"/>
        <v/>
      </c>
    </row>
    <row r="9478" spans="1:1">
      <c r="A9478" s="11" t="str">
        <f t="shared" si="229"/>
        <v/>
      </c>
    </row>
    <row r="9479" spans="1:1">
      <c r="A9479" s="11" t="str">
        <f t="shared" si="229"/>
        <v/>
      </c>
    </row>
    <row r="9480" spans="1:1">
      <c r="A9480" s="11" t="str">
        <f t="shared" si="229"/>
        <v/>
      </c>
    </row>
    <row r="9481" spans="1:1">
      <c r="A9481" s="11" t="str">
        <f t="shared" si="229"/>
        <v/>
      </c>
    </row>
    <row r="9482" spans="1:1">
      <c r="A9482" s="11" t="str">
        <f t="shared" si="229"/>
        <v/>
      </c>
    </row>
    <row r="9483" spans="1:1">
      <c r="A9483" s="11" t="str">
        <f t="shared" si="229"/>
        <v/>
      </c>
    </row>
    <row r="9484" spans="1:1">
      <c r="A9484" s="11" t="str">
        <f t="shared" si="229"/>
        <v/>
      </c>
    </row>
    <row r="9485" spans="1:1">
      <c r="A9485" s="11" t="str">
        <f t="shared" si="229"/>
        <v/>
      </c>
    </row>
    <row r="9486" spans="1:1">
      <c r="A9486" s="11" t="str">
        <f t="shared" si="229"/>
        <v/>
      </c>
    </row>
    <row r="9487" spans="1:1">
      <c r="A9487" s="11" t="str">
        <f t="shared" si="229"/>
        <v/>
      </c>
    </row>
    <row r="9488" spans="1:1">
      <c r="A9488" s="11" t="str">
        <f t="shared" si="229"/>
        <v/>
      </c>
    </row>
    <row r="9489" spans="1:1">
      <c r="A9489" s="11" t="str">
        <f t="shared" si="229"/>
        <v/>
      </c>
    </row>
    <row r="9490" spans="1:1">
      <c r="A9490" s="11" t="str">
        <f t="shared" si="229"/>
        <v/>
      </c>
    </row>
    <row r="9491" spans="1:1">
      <c r="A9491" s="11" t="str">
        <f t="shared" si="229"/>
        <v/>
      </c>
    </row>
    <row r="9492" spans="1:1">
      <c r="A9492" s="11" t="str">
        <f t="shared" si="229"/>
        <v/>
      </c>
    </row>
    <row r="9493" spans="1:1">
      <c r="A9493" s="11" t="str">
        <f t="shared" si="229"/>
        <v/>
      </c>
    </row>
    <row r="9494" spans="1:1">
      <c r="A9494" s="11" t="str">
        <f t="shared" si="229"/>
        <v/>
      </c>
    </row>
    <row r="9495" spans="1:1">
      <c r="A9495" s="11" t="str">
        <f t="shared" si="229"/>
        <v/>
      </c>
    </row>
    <row r="9496" spans="1:1">
      <c r="A9496" s="11" t="str">
        <f t="shared" si="229"/>
        <v/>
      </c>
    </row>
    <row r="9497" spans="1:1">
      <c r="A9497" s="11" t="str">
        <f t="shared" si="229"/>
        <v/>
      </c>
    </row>
    <row r="9498" spans="1:1">
      <c r="A9498" s="11" t="str">
        <f t="shared" si="229"/>
        <v/>
      </c>
    </row>
    <row r="9499" spans="1:1">
      <c r="A9499" s="11" t="str">
        <f t="shared" si="229"/>
        <v/>
      </c>
    </row>
    <row r="9500" spans="1:1">
      <c r="A9500" s="11" t="str">
        <f t="shared" si="229"/>
        <v/>
      </c>
    </row>
    <row r="9501" spans="1:1">
      <c r="A9501" s="11" t="str">
        <f t="shared" si="229"/>
        <v/>
      </c>
    </row>
    <row r="9502" spans="1:1">
      <c r="A9502" s="11" t="str">
        <f t="shared" si="229"/>
        <v/>
      </c>
    </row>
    <row r="9503" spans="1:1">
      <c r="A9503" s="11" t="str">
        <f t="shared" si="229"/>
        <v/>
      </c>
    </row>
    <row r="9504" spans="1:1">
      <c r="A9504" s="11" t="str">
        <f t="shared" si="229"/>
        <v/>
      </c>
    </row>
    <row r="9505" spans="1:1">
      <c r="A9505" s="11" t="str">
        <f t="shared" si="229"/>
        <v/>
      </c>
    </row>
    <row r="9506" spans="1:1">
      <c r="A9506" s="11" t="str">
        <f t="shared" si="229"/>
        <v/>
      </c>
    </row>
    <row r="9507" spans="1:1">
      <c r="A9507" s="11" t="str">
        <f t="shared" si="229"/>
        <v/>
      </c>
    </row>
    <row r="9508" spans="1:1">
      <c r="A9508" s="11" t="str">
        <f t="shared" si="229"/>
        <v/>
      </c>
    </row>
    <row r="9509" spans="1:1">
      <c r="A9509" s="11" t="str">
        <f t="shared" si="229"/>
        <v/>
      </c>
    </row>
    <row r="9510" spans="1:1">
      <c r="A9510" s="11" t="str">
        <f t="shared" si="229"/>
        <v/>
      </c>
    </row>
    <row r="9511" spans="1:1">
      <c r="A9511" s="11" t="str">
        <f t="shared" si="229"/>
        <v/>
      </c>
    </row>
    <row r="9512" spans="1:1">
      <c r="A9512" s="11" t="str">
        <f t="shared" si="229"/>
        <v/>
      </c>
    </row>
    <row r="9513" spans="1:1">
      <c r="A9513" s="11" t="str">
        <f t="shared" si="229"/>
        <v/>
      </c>
    </row>
    <row r="9514" spans="1:1">
      <c r="A9514" s="11" t="str">
        <f t="shared" si="229"/>
        <v/>
      </c>
    </row>
    <row r="9515" spans="1:1">
      <c r="A9515" s="11" t="str">
        <f t="shared" si="229"/>
        <v/>
      </c>
    </row>
    <row r="9516" spans="1:1">
      <c r="A9516" s="11" t="str">
        <f t="shared" si="229"/>
        <v/>
      </c>
    </row>
    <row r="9517" spans="1:1">
      <c r="A9517" s="11" t="str">
        <f t="shared" si="229"/>
        <v/>
      </c>
    </row>
    <row r="9518" spans="1:1">
      <c r="A9518" s="11" t="str">
        <f t="shared" si="229"/>
        <v/>
      </c>
    </row>
    <row r="9519" spans="1:1">
      <c r="A9519" s="11" t="str">
        <f t="shared" si="229"/>
        <v/>
      </c>
    </row>
    <row r="9520" spans="1:1">
      <c r="A9520" s="11" t="str">
        <f t="shared" si="229"/>
        <v/>
      </c>
    </row>
    <row r="9521" spans="1:1">
      <c r="A9521" s="11" t="str">
        <f t="shared" si="229"/>
        <v/>
      </c>
    </row>
    <row r="9522" spans="1:1">
      <c r="A9522" s="11" t="str">
        <f t="shared" si="229"/>
        <v/>
      </c>
    </row>
    <row r="9523" spans="1:1">
      <c r="A9523" s="11" t="str">
        <f t="shared" si="229"/>
        <v/>
      </c>
    </row>
    <row r="9524" spans="1:1">
      <c r="A9524" s="11" t="str">
        <f t="shared" si="229"/>
        <v/>
      </c>
    </row>
    <row r="9525" spans="1:1">
      <c r="A9525" s="11" t="str">
        <f t="shared" si="229"/>
        <v/>
      </c>
    </row>
    <row r="9526" spans="1:1">
      <c r="A9526" s="11" t="str">
        <f t="shared" si="229"/>
        <v/>
      </c>
    </row>
    <row r="9527" spans="1:1">
      <c r="A9527" s="11" t="str">
        <f t="shared" si="229"/>
        <v/>
      </c>
    </row>
    <row r="9528" spans="1:1">
      <c r="A9528" s="11" t="str">
        <f t="shared" si="229"/>
        <v/>
      </c>
    </row>
    <row r="9529" spans="1:1">
      <c r="A9529" s="11" t="str">
        <f t="shared" si="229"/>
        <v/>
      </c>
    </row>
    <row r="9530" spans="1:1">
      <c r="A9530" s="11" t="str">
        <f t="shared" si="229"/>
        <v/>
      </c>
    </row>
    <row r="9531" spans="1:1">
      <c r="A9531" s="11" t="str">
        <f t="shared" si="229"/>
        <v/>
      </c>
    </row>
    <row r="9532" spans="1:1">
      <c r="A9532" s="11" t="str">
        <f t="shared" si="229"/>
        <v/>
      </c>
    </row>
    <row r="9533" spans="1:1">
      <c r="A9533" s="11" t="str">
        <f t="shared" si="229"/>
        <v/>
      </c>
    </row>
    <row r="9534" spans="1:1">
      <c r="A9534" s="11" t="str">
        <f t="shared" si="229"/>
        <v/>
      </c>
    </row>
    <row r="9535" spans="1:1">
      <c r="A9535" s="11" t="str">
        <f t="shared" si="229"/>
        <v/>
      </c>
    </row>
    <row r="9536" spans="1:1">
      <c r="A9536" s="11" t="str">
        <f t="shared" si="229"/>
        <v/>
      </c>
    </row>
    <row r="9537" spans="1:1">
      <c r="A9537" s="11" t="str">
        <f t="shared" si="229"/>
        <v/>
      </c>
    </row>
    <row r="9538" spans="1:1">
      <c r="A9538" s="11" t="str">
        <f t="shared" si="229"/>
        <v/>
      </c>
    </row>
    <row r="9539" spans="1:1">
      <c r="A9539" s="11" t="str">
        <f t="shared" ref="A9539:A9602" si="230">B9539&amp;D9539</f>
        <v/>
      </c>
    </row>
    <row r="9540" spans="1:1">
      <c r="A9540" s="11" t="str">
        <f t="shared" si="230"/>
        <v/>
      </c>
    </row>
    <row r="9541" spans="1:1">
      <c r="A9541" s="11" t="str">
        <f t="shared" si="230"/>
        <v/>
      </c>
    </row>
    <row r="9542" spans="1:1">
      <c r="A9542" s="11" t="str">
        <f t="shared" si="230"/>
        <v/>
      </c>
    </row>
    <row r="9543" spans="1:1">
      <c r="A9543" s="11" t="str">
        <f t="shared" si="230"/>
        <v/>
      </c>
    </row>
    <row r="9544" spans="1:1">
      <c r="A9544" s="11" t="str">
        <f t="shared" si="230"/>
        <v/>
      </c>
    </row>
    <row r="9545" spans="1:1">
      <c r="A9545" s="11" t="str">
        <f t="shared" si="230"/>
        <v/>
      </c>
    </row>
    <row r="9546" spans="1:1">
      <c r="A9546" s="11" t="str">
        <f t="shared" si="230"/>
        <v/>
      </c>
    </row>
    <row r="9547" spans="1:1">
      <c r="A9547" s="11" t="str">
        <f t="shared" si="230"/>
        <v/>
      </c>
    </row>
    <row r="9548" spans="1:1">
      <c r="A9548" s="11" t="str">
        <f t="shared" si="230"/>
        <v/>
      </c>
    </row>
    <row r="9549" spans="1:1">
      <c r="A9549" s="11" t="str">
        <f t="shared" si="230"/>
        <v/>
      </c>
    </row>
    <row r="9550" spans="1:1">
      <c r="A9550" s="11" t="str">
        <f t="shared" si="230"/>
        <v/>
      </c>
    </row>
    <row r="9551" spans="1:1">
      <c r="A9551" s="11" t="str">
        <f t="shared" si="230"/>
        <v/>
      </c>
    </row>
    <row r="9552" spans="1:1">
      <c r="A9552" s="11" t="str">
        <f t="shared" si="230"/>
        <v/>
      </c>
    </row>
    <row r="9553" spans="1:1">
      <c r="A9553" s="11" t="str">
        <f t="shared" si="230"/>
        <v/>
      </c>
    </row>
    <row r="9554" spans="1:1">
      <c r="A9554" s="11" t="str">
        <f t="shared" si="230"/>
        <v/>
      </c>
    </row>
    <row r="9555" spans="1:1">
      <c r="A9555" s="11" t="str">
        <f t="shared" si="230"/>
        <v/>
      </c>
    </row>
    <row r="9556" spans="1:1">
      <c r="A9556" s="11" t="str">
        <f t="shared" si="230"/>
        <v/>
      </c>
    </row>
    <row r="9557" spans="1:1">
      <c r="A9557" s="11" t="str">
        <f t="shared" si="230"/>
        <v/>
      </c>
    </row>
    <row r="9558" spans="1:1">
      <c r="A9558" s="11" t="str">
        <f t="shared" si="230"/>
        <v/>
      </c>
    </row>
    <row r="9559" spans="1:1">
      <c r="A9559" s="11" t="str">
        <f t="shared" si="230"/>
        <v/>
      </c>
    </row>
    <row r="9560" spans="1:1">
      <c r="A9560" s="11" t="str">
        <f t="shared" si="230"/>
        <v/>
      </c>
    </row>
    <row r="9561" spans="1:1">
      <c r="A9561" s="11" t="str">
        <f t="shared" si="230"/>
        <v/>
      </c>
    </row>
    <row r="9562" spans="1:1">
      <c r="A9562" s="11" t="str">
        <f t="shared" si="230"/>
        <v/>
      </c>
    </row>
    <row r="9563" spans="1:1">
      <c r="A9563" s="11" t="str">
        <f t="shared" si="230"/>
        <v/>
      </c>
    </row>
    <row r="9564" spans="1:1">
      <c r="A9564" s="11" t="str">
        <f t="shared" si="230"/>
        <v/>
      </c>
    </row>
    <row r="9565" spans="1:1">
      <c r="A9565" s="11" t="str">
        <f t="shared" si="230"/>
        <v/>
      </c>
    </row>
    <row r="9566" spans="1:1">
      <c r="A9566" s="11" t="str">
        <f t="shared" si="230"/>
        <v/>
      </c>
    </row>
    <row r="9567" spans="1:1">
      <c r="A9567" s="11" t="str">
        <f t="shared" si="230"/>
        <v/>
      </c>
    </row>
    <row r="9568" spans="1:1">
      <c r="A9568" s="11" t="str">
        <f t="shared" si="230"/>
        <v/>
      </c>
    </row>
    <row r="9569" spans="1:1">
      <c r="A9569" s="11" t="str">
        <f t="shared" si="230"/>
        <v/>
      </c>
    </row>
    <row r="9570" spans="1:1">
      <c r="A9570" s="11" t="str">
        <f t="shared" si="230"/>
        <v/>
      </c>
    </row>
    <row r="9571" spans="1:1">
      <c r="A9571" s="11" t="str">
        <f t="shared" si="230"/>
        <v/>
      </c>
    </row>
    <row r="9572" spans="1:1">
      <c r="A9572" s="11" t="str">
        <f t="shared" si="230"/>
        <v/>
      </c>
    </row>
    <row r="9573" spans="1:1">
      <c r="A9573" s="11" t="str">
        <f t="shared" si="230"/>
        <v/>
      </c>
    </row>
    <row r="9574" spans="1:1">
      <c r="A9574" s="11" t="str">
        <f t="shared" si="230"/>
        <v/>
      </c>
    </row>
    <row r="9575" spans="1:1">
      <c r="A9575" s="11" t="str">
        <f t="shared" si="230"/>
        <v/>
      </c>
    </row>
    <row r="9576" spans="1:1">
      <c r="A9576" s="11" t="str">
        <f t="shared" si="230"/>
        <v/>
      </c>
    </row>
    <row r="9577" spans="1:1">
      <c r="A9577" s="11" t="str">
        <f t="shared" si="230"/>
        <v/>
      </c>
    </row>
    <row r="9578" spans="1:1">
      <c r="A9578" s="11" t="str">
        <f t="shared" si="230"/>
        <v/>
      </c>
    </row>
    <row r="9579" spans="1:1">
      <c r="A9579" s="11" t="str">
        <f t="shared" si="230"/>
        <v/>
      </c>
    </row>
    <row r="9580" spans="1:1">
      <c r="A9580" s="11" t="str">
        <f t="shared" si="230"/>
        <v/>
      </c>
    </row>
    <row r="9581" spans="1:1">
      <c r="A9581" s="11" t="str">
        <f t="shared" si="230"/>
        <v/>
      </c>
    </row>
    <row r="9582" spans="1:1">
      <c r="A9582" s="11" t="str">
        <f t="shared" si="230"/>
        <v/>
      </c>
    </row>
    <row r="9583" spans="1:1">
      <c r="A9583" s="11" t="str">
        <f t="shared" si="230"/>
        <v/>
      </c>
    </row>
    <row r="9584" spans="1:1">
      <c r="A9584" s="11" t="str">
        <f t="shared" si="230"/>
        <v/>
      </c>
    </row>
    <row r="9585" spans="1:1">
      <c r="A9585" s="11" t="str">
        <f t="shared" si="230"/>
        <v/>
      </c>
    </row>
    <row r="9586" spans="1:1">
      <c r="A9586" s="11" t="str">
        <f t="shared" si="230"/>
        <v/>
      </c>
    </row>
    <row r="9587" spans="1:1">
      <c r="A9587" s="11" t="str">
        <f t="shared" si="230"/>
        <v/>
      </c>
    </row>
    <row r="9588" spans="1:1">
      <c r="A9588" s="11" t="str">
        <f t="shared" si="230"/>
        <v/>
      </c>
    </row>
    <row r="9589" spans="1:1">
      <c r="A9589" s="11" t="str">
        <f t="shared" si="230"/>
        <v/>
      </c>
    </row>
    <row r="9590" spans="1:1">
      <c r="A9590" s="11" t="str">
        <f t="shared" si="230"/>
        <v/>
      </c>
    </row>
    <row r="9591" spans="1:1">
      <c r="A9591" s="11" t="str">
        <f t="shared" si="230"/>
        <v/>
      </c>
    </row>
    <row r="9592" spans="1:1">
      <c r="A9592" s="11" t="str">
        <f t="shared" si="230"/>
        <v/>
      </c>
    </row>
    <row r="9593" spans="1:1">
      <c r="A9593" s="11" t="str">
        <f t="shared" si="230"/>
        <v/>
      </c>
    </row>
    <row r="9594" spans="1:1">
      <c r="A9594" s="11" t="str">
        <f t="shared" si="230"/>
        <v/>
      </c>
    </row>
    <row r="9595" spans="1:1">
      <c r="A9595" s="11" t="str">
        <f t="shared" si="230"/>
        <v/>
      </c>
    </row>
    <row r="9596" spans="1:1">
      <c r="A9596" s="11" t="str">
        <f t="shared" si="230"/>
        <v/>
      </c>
    </row>
    <row r="9597" spans="1:1">
      <c r="A9597" s="11" t="str">
        <f t="shared" si="230"/>
        <v/>
      </c>
    </row>
    <row r="9598" spans="1:1">
      <c r="A9598" s="11" t="str">
        <f t="shared" si="230"/>
        <v/>
      </c>
    </row>
    <row r="9599" spans="1:1">
      <c r="A9599" s="11" t="str">
        <f t="shared" si="230"/>
        <v/>
      </c>
    </row>
    <row r="9600" spans="1:1">
      <c r="A9600" s="11" t="str">
        <f t="shared" si="230"/>
        <v/>
      </c>
    </row>
    <row r="9601" spans="1:1">
      <c r="A9601" s="11" t="str">
        <f t="shared" si="230"/>
        <v/>
      </c>
    </row>
    <row r="9602" spans="1:1">
      <c r="A9602" s="11" t="str">
        <f t="shared" si="230"/>
        <v/>
      </c>
    </row>
    <row r="9603" spans="1:1">
      <c r="A9603" s="11" t="str">
        <f t="shared" ref="A9603:A9666" si="231">B9603&amp;D9603</f>
        <v/>
      </c>
    </row>
    <row r="9604" spans="1:1">
      <c r="A9604" s="11" t="str">
        <f t="shared" si="231"/>
        <v/>
      </c>
    </row>
    <row r="9605" spans="1:1">
      <c r="A9605" s="11" t="str">
        <f t="shared" si="231"/>
        <v/>
      </c>
    </row>
    <row r="9606" spans="1:1">
      <c r="A9606" s="11" t="str">
        <f t="shared" si="231"/>
        <v/>
      </c>
    </row>
    <row r="9607" spans="1:1">
      <c r="A9607" s="11" t="str">
        <f t="shared" si="231"/>
        <v/>
      </c>
    </row>
    <row r="9608" spans="1:1">
      <c r="A9608" s="11" t="str">
        <f t="shared" si="231"/>
        <v/>
      </c>
    </row>
    <row r="9609" spans="1:1">
      <c r="A9609" s="11" t="str">
        <f t="shared" si="231"/>
        <v/>
      </c>
    </row>
    <row r="9610" spans="1:1">
      <c r="A9610" s="11" t="str">
        <f t="shared" si="231"/>
        <v/>
      </c>
    </row>
    <row r="9611" spans="1:1">
      <c r="A9611" s="11" t="str">
        <f t="shared" si="231"/>
        <v/>
      </c>
    </row>
    <row r="9612" spans="1:1">
      <c r="A9612" s="11" t="str">
        <f t="shared" si="231"/>
        <v/>
      </c>
    </row>
    <row r="9613" spans="1:1">
      <c r="A9613" s="11" t="str">
        <f t="shared" si="231"/>
        <v/>
      </c>
    </row>
    <row r="9614" spans="1:1">
      <c r="A9614" s="11" t="str">
        <f t="shared" si="231"/>
        <v/>
      </c>
    </row>
    <row r="9615" spans="1:1">
      <c r="A9615" s="11" t="str">
        <f t="shared" si="231"/>
        <v/>
      </c>
    </row>
    <row r="9616" spans="1:1">
      <c r="A9616" s="11" t="str">
        <f t="shared" si="231"/>
        <v/>
      </c>
    </row>
    <row r="9617" spans="1:1">
      <c r="A9617" s="11" t="str">
        <f t="shared" si="231"/>
        <v/>
      </c>
    </row>
    <row r="9618" spans="1:1">
      <c r="A9618" s="11" t="str">
        <f t="shared" si="231"/>
        <v/>
      </c>
    </row>
    <row r="9619" spans="1:1">
      <c r="A9619" s="11" t="str">
        <f t="shared" si="231"/>
        <v/>
      </c>
    </row>
    <row r="9620" spans="1:1">
      <c r="A9620" s="11" t="str">
        <f t="shared" si="231"/>
        <v/>
      </c>
    </row>
    <row r="9621" spans="1:1">
      <c r="A9621" s="11" t="str">
        <f t="shared" si="231"/>
        <v/>
      </c>
    </row>
    <row r="9622" spans="1:1">
      <c r="A9622" s="11" t="str">
        <f t="shared" si="231"/>
        <v/>
      </c>
    </row>
    <row r="9623" spans="1:1">
      <c r="A9623" s="11" t="str">
        <f t="shared" si="231"/>
        <v/>
      </c>
    </row>
    <row r="9624" spans="1:1">
      <c r="A9624" s="11" t="str">
        <f t="shared" si="231"/>
        <v/>
      </c>
    </row>
    <row r="9625" spans="1:1">
      <c r="A9625" s="11" t="str">
        <f t="shared" si="231"/>
        <v/>
      </c>
    </row>
    <row r="9626" spans="1:1">
      <c r="A9626" s="11" t="str">
        <f t="shared" si="231"/>
        <v/>
      </c>
    </row>
    <row r="9627" spans="1:1">
      <c r="A9627" s="11" t="str">
        <f t="shared" si="231"/>
        <v/>
      </c>
    </row>
    <row r="9628" spans="1:1">
      <c r="A9628" s="11" t="str">
        <f t="shared" si="231"/>
        <v/>
      </c>
    </row>
    <row r="9629" spans="1:1">
      <c r="A9629" s="11" t="str">
        <f t="shared" si="231"/>
        <v/>
      </c>
    </row>
    <row r="9630" spans="1:1">
      <c r="A9630" s="11" t="str">
        <f t="shared" si="231"/>
        <v/>
      </c>
    </row>
    <row r="9631" spans="1:1">
      <c r="A9631" s="11" t="str">
        <f t="shared" si="231"/>
        <v/>
      </c>
    </row>
    <row r="9632" spans="1:1">
      <c r="A9632" s="11" t="str">
        <f t="shared" si="231"/>
        <v/>
      </c>
    </row>
    <row r="9633" spans="1:1">
      <c r="A9633" s="11" t="str">
        <f t="shared" si="231"/>
        <v/>
      </c>
    </row>
    <row r="9634" spans="1:1">
      <c r="A9634" s="11" t="str">
        <f t="shared" si="231"/>
        <v/>
      </c>
    </row>
    <row r="9635" spans="1:1">
      <c r="A9635" s="11" t="str">
        <f t="shared" si="231"/>
        <v/>
      </c>
    </row>
    <row r="9636" spans="1:1">
      <c r="A9636" s="11" t="str">
        <f t="shared" si="231"/>
        <v/>
      </c>
    </row>
    <row r="9637" spans="1:1">
      <c r="A9637" s="11" t="str">
        <f t="shared" si="231"/>
        <v/>
      </c>
    </row>
    <row r="9638" spans="1:1">
      <c r="A9638" s="11" t="str">
        <f t="shared" si="231"/>
        <v/>
      </c>
    </row>
    <row r="9639" spans="1:1">
      <c r="A9639" s="11" t="str">
        <f t="shared" si="231"/>
        <v/>
      </c>
    </row>
    <row r="9640" spans="1:1">
      <c r="A9640" s="11" t="str">
        <f t="shared" si="231"/>
        <v/>
      </c>
    </row>
    <row r="9641" spans="1:1">
      <c r="A9641" s="11" t="str">
        <f t="shared" si="231"/>
        <v/>
      </c>
    </row>
    <row r="9642" spans="1:1">
      <c r="A9642" s="11" t="str">
        <f t="shared" si="231"/>
        <v/>
      </c>
    </row>
    <row r="9643" spans="1:1">
      <c r="A9643" s="11" t="str">
        <f t="shared" si="231"/>
        <v/>
      </c>
    </row>
    <row r="9644" spans="1:1">
      <c r="A9644" s="11" t="str">
        <f t="shared" si="231"/>
        <v/>
      </c>
    </row>
    <row r="9645" spans="1:1">
      <c r="A9645" s="11" t="str">
        <f t="shared" si="231"/>
        <v/>
      </c>
    </row>
    <row r="9646" spans="1:1">
      <c r="A9646" s="11" t="str">
        <f t="shared" si="231"/>
        <v/>
      </c>
    </row>
    <row r="9647" spans="1:1">
      <c r="A9647" s="11" t="str">
        <f t="shared" si="231"/>
        <v/>
      </c>
    </row>
    <row r="9648" spans="1:1">
      <c r="A9648" s="11" t="str">
        <f t="shared" si="231"/>
        <v/>
      </c>
    </row>
    <row r="9649" spans="1:1">
      <c r="A9649" s="11" t="str">
        <f t="shared" si="231"/>
        <v/>
      </c>
    </row>
    <row r="9650" spans="1:1">
      <c r="A9650" s="11" t="str">
        <f t="shared" si="231"/>
        <v/>
      </c>
    </row>
    <row r="9651" spans="1:1">
      <c r="A9651" s="11" t="str">
        <f t="shared" si="231"/>
        <v/>
      </c>
    </row>
    <row r="9652" spans="1:1">
      <c r="A9652" s="11" t="str">
        <f t="shared" si="231"/>
        <v/>
      </c>
    </row>
    <row r="9653" spans="1:1">
      <c r="A9653" s="11" t="str">
        <f t="shared" si="231"/>
        <v/>
      </c>
    </row>
    <row r="9654" spans="1:1">
      <c r="A9654" s="11" t="str">
        <f t="shared" si="231"/>
        <v/>
      </c>
    </row>
    <row r="9655" spans="1:1">
      <c r="A9655" s="11" t="str">
        <f t="shared" si="231"/>
        <v/>
      </c>
    </row>
    <row r="9656" spans="1:1">
      <c r="A9656" s="11" t="str">
        <f t="shared" si="231"/>
        <v/>
      </c>
    </row>
    <row r="9657" spans="1:1">
      <c r="A9657" s="11" t="str">
        <f t="shared" si="231"/>
        <v/>
      </c>
    </row>
    <row r="9658" spans="1:1">
      <c r="A9658" s="11" t="str">
        <f t="shared" si="231"/>
        <v/>
      </c>
    </row>
    <row r="9659" spans="1:1">
      <c r="A9659" s="11" t="str">
        <f t="shared" si="231"/>
        <v/>
      </c>
    </row>
    <row r="9660" spans="1:1">
      <c r="A9660" s="11" t="str">
        <f t="shared" si="231"/>
        <v/>
      </c>
    </row>
    <row r="9661" spans="1:1">
      <c r="A9661" s="11" t="str">
        <f t="shared" si="231"/>
        <v/>
      </c>
    </row>
    <row r="9662" spans="1:1">
      <c r="A9662" s="11" t="str">
        <f t="shared" si="231"/>
        <v/>
      </c>
    </row>
    <row r="9663" spans="1:1">
      <c r="A9663" s="11" t="str">
        <f t="shared" si="231"/>
        <v/>
      </c>
    </row>
    <row r="9664" spans="1:1">
      <c r="A9664" s="11" t="str">
        <f t="shared" si="231"/>
        <v/>
      </c>
    </row>
    <row r="9665" spans="1:1">
      <c r="A9665" s="11" t="str">
        <f t="shared" si="231"/>
        <v/>
      </c>
    </row>
    <row r="9666" spans="1:1">
      <c r="A9666" s="11" t="str">
        <f t="shared" si="231"/>
        <v/>
      </c>
    </row>
    <row r="9667" spans="1:1">
      <c r="A9667" s="11" t="str">
        <f t="shared" ref="A9667:A9730" si="232">B9667&amp;D9667</f>
        <v/>
      </c>
    </row>
    <row r="9668" spans="1:1">
      <c r="A9668" s="11" t="str">
        <f t="shared" si="232"/>
        <v/>
      </c>
    </row>
    <row r="9669" spans="1:1">
      <c r="A9669" s="11" t="str">
        <f t="shared" si="232"/>
        <v/>
      </c>
    </row>
    <row r="9670" spans="1:1">
      <c r="A9670" s="11" t="str">
        <f t="shared" si="232"/>
        <v/>
      </c>
    </row>
    <row r="9671" spans="1:1">
      <c r="A9671" s="11" t="str">
        <f t="shared" si="232"/>
        <v/>
      </c>
    </row>
    <row r="9672" spans="1:1">
      <c r="A9672" s="11" t="str">
        <f t="shared" si="232"/>
        <v/>
      </c>
    </row>
    <row r="9673" spans="1:1">
      <c r="A9673" s="11" t="str">
        <f t="shared" si="232"/>
        <v/>
      </c>
    </row>
    <row r="9674" spans="1:1">
      <c r="A9674" s="11" t="str">
        <f t="shared" si="232"/>
        <v/>
      </c>
    </row>
    <row r="9675" spans="1:1">
      <c r="A9675" s="11" t="str">
        <f t="shared" si="232"/>
        <v/>
      </c>
    </row>
    <row r="9676" spans="1:1">
      <c r="A9676" s="11" t="str">
        <f t="shared" si="232"/>
        <v/>
      </c>
    </row>
    <row r="9677" spans="1:1">
      <c r="A9677" s="11" t="str">
        <f t="shared" si="232"/>
        <v/>
      </c>
    </row>
    <row r="9678" spans="1:1">
      <c r="A9678" s="11" t="str">
        <f t="shared" si="232"/>
        <v/>
      </c>
    </row>
    <row r="9679" spans="1:1">
      <c r="A9679" s="11" t="str">
        <f t="shared" si="232"/>
        <v/>
      </c>
    </row>
    <row r="9680" spans="1:1">
      <c r="A9680" s="11" t="str">
        <f t="shared" si="232"/>
        <v/>
      </c>
    </row>
    <row r="9681" spans="1:1">
      <c r="A9681" s="11" t="str">
        <f t="shared" si="232"/>
        <v/>
      </c>
    </row>
    <row r="9682" spans="1:1">
      <c r="A9682" s="11" t="str">
        <f t="shared" si="232"/>
        <v/>
      </c>
    </row>
    <row r="9683" spans="1:1">
      <c r="A9683" s="11" t="str">
        <f t="shared" si="232"/>
        <v/>
      </c>
    </row>
    <row r="9684" spans="1:1">
      <c r="A9684" s="11" t="str">
        <f t="shared" si="232"/>
        <v/>
      </c>
    </row>
    <row r="9685" spans="1:1">
      <c r="A9685" s="11" t="str">
        <f t="shared" si="232"/>
        <v/>
      </c>
    </row>
    <row r="9686" spans="1:1">
      <c r="A9686" s="11" t="str">
        <f t="shared" si="232"/>
        <v/>
      </c>
    </row>
    <row r="9687" spans="1:1">
      <c r="A9687" s="11" t="str">
        <f t="shared" si="232"/>
        <v/>
      </c>
    </row>
    <row r="9688" spans="1:1">
      <c r="A9688" s="11" t="str">
        <f t="shared" si="232"/>
        <v/>
      </c>
    </row>
    <row r="9689" spans="1:1">
      <c r="A9689" s="11" t="str">
        <f t="shared" si="232"/>
        <v/>
      </c>
    </row>
    <row r="9690" spans="1:1">
      <c r="A9690" s="11" t="str">
        <f t="shared" si="232"/>
        <v/>
      </c>
    </row>
    <row r="9691" spans="1:1">
      <c r="A9691" s="11" t="str">
        <f t="shared" si="232"/>
        <v/>
      </c>
    </row>
    <row r="9692" spans="1:1">
      <c r="A9692" s="11" t="str">
        <f t="shared" si="232"/>
        <v/>
      </c>
    </row>
    <row r="9693" spans="1:1">
      <c r="A9693" s="11" t="str">
        <f t="shared" si="232"/>
        <v/>
      </c>
    </row>
    <row r="9694" spans="1:1">
      <c r="A9694" s="11" t="str">
        <f t="shared" si="232"/>
        <v/>
      </c>
    </row>
    <row r="9695" spans="1:1">
      <c r="A9695" s="11" t="str">
        <f t="shared" si="232"/>
        <v/>
      </c>
    </row>
    <row r="9696" spans="1:1">
      <c r="A9696" s="11" t="str">
        <f t="shared" si="232"/>
        <v/>
      </c>
    </row>
    <row r="9697" spans="1:1">
      <c r="A9697" s="11" t="str">
        <f t="shared" si="232"/>
        <v/>
      </c>
    </row>
    <row r="9698" spans="1:1">
      <c r="A9698" s="11" t="str">
        <f t="shared" si="232"/>
        <v/>
      </c>
    </row>
    <row r="9699" spans="1:1">
      <c r="A9699" s="11" t="str">
        <f t="shared" si="232"/>
        <v/>
      </c>
    </row>
    <row r="9700" spans="1:1">
      <c r="A9700" s="11" t="str">
        <f t="shared" si="232"/>
        <v/>
      </c>
    </row>
    <row r="9701" spans="1:1">
      <c r="A9701" s="11" t="str">
        <f t="shared" si="232"/>
        <v/>
      </c>
    </row>
    <row r="9702" spans="1:1">
      <c r="A9702" s="11" t="str">
        <f t="shared" si="232"/>
        <v/>
      </c>
    </row>
    <row r="9703" spans="1:1">
      <c r="A9703" s="11" t="str">
        <f t="shared" si="232"/>
        <v/>
      </c>
    </row>
    <row r="9704" spans="1:1">
      <c r="A9704" s="11" t="str">
        <f t="shared" si="232"/>
        <v/>
      </c>
    </row>
    <row r="9705" spans="1:1">
      <c r="A9705" s="11" t="str">
        <f t="shared" si="232"/>
        <v/>
      </c>
    </row>
    <row r="9706" spans="1:1">
      <c r="A9706" s="11" t="str">
        <f t="shared" si="232"/>
        <v/>
      </c>
    </row>
    <row r="9707" spans="1:1">
      <c r="A9707" s="11" t="str">
        <f t="shared" si="232"/>
        <v/>
      </c>
    </row>
    <row r="9708" spans="1:1">
      <c r="A9708" s="11" t="str">
        <f t="shared" si="232"/>
        <v/>
      </c>
    </row>
    <row r="9709" spans="1:1">
      <c r="A9709" s="11" t="str">
        <f t="shared" si="232"/>
        <v/>
      </c>
    </row>
    <row r="9710" spans="1:1">
      <c r="A9710" s="11" t="str">
        <f t="shared" si="232"/>
        <v/>
      </c>
    </row>
    <row r="9711" spans="1:1">
      <c r="A9711" s="11" t="str">
        <f t="shared" si="232"/>
        <v/>
      </c>
    </row>
    <row r="9712" spans="1:1">
      <c r="A9712" s="11" t="str">
        <f t="shared" si="232"/>
        <v/>
      </c>
    </row>
    <row r="9713" spans="1:1">
      <c r="A9713" s="11" t="str">
        <f t="shared" si="232"/>
        <v/>
      </c>
    </row>
    <row r="9714" spans="1:1">
      <c r="A9714" s="11" t="str">
        <f t="shared" si="232"/>
        <v/>
      </c>
    </row>
    <row r="9715" spans="1:1">
      <c r="A9715" s="11" t="str">
        <f t="shared" si="232"/>
        <v/>
      </c>
    </row>
    <row r="9716" spans="1:1">
      <c r="A9716" s="11" t="str">
        <f t="shared" si="232"/>
        <v/>
      </c>
    </row>
    <row r="9717" spans="1:1">
      <c r="A9717" s="11" t="str">
        <f t="shared" si="232"/>
        <v/>
      </c>
    </row>
    <row r="9718" spans="1:1">
      <c r="A9718" s="11" t="str">
        <f t="shared" si="232"/>
        <v/>
      </c>
    </row>
    <row r="9719" spans="1:1">
      <c r="A9719" s="11" t="str">
        <f t="shared" si="232"/>
        <v/>
      </c>
    </row>
    <row r="9720" spans="1:1">
      <c r="A9720" s="11" t="str">
        <f t="shared" si="232"/>
        <v/>
      </c>
    </row>
    <row r="9721" spans="1:1">
      <c r="A9721" s="11" t="str">
        <f t="shared" si="232"/>
        <v/>
      </c>
    </row>
    <row r="9722" spans="1:1">
      <c r="A9722" s="11" t="str">
        <f t="shared" si="232"/>
        <v/>
      </c>
    </row>
    <row r="9723" spans="1:1">
      <c r="A9723" s="11" t="str">
        <f t="shared" si="232"/>
        <v/>
      </c>
    </row>
    <row r="9724" spans="1:1">
      <c r="A9724" s="11" t="str">
        <f t="shared" si="232"/>
        <v/>
      </c>
    </row>
    <row r="9725" spans="1:1">
      <c r="A9725" s="11" t="str">
        <f t="shared" si="232"/>
        <v/>
      </c>
    </row>
    <row r="9726" spans="1:1">
      <c r="A9726" s="11" t="str">
        <f t="shared" si="232"/>
        <v/>
      </c>
    </row>
    <row r="9727" spans="1:1">
      <c r="A9727" s="11" t="str">
        <f t="shared" si="232"/>
        <v/>
      </c>
    </row>
    <row r="9728" spans="1:1">
      <c r="A9728" s="11" t="str">
        <f t="shared" si="232"/>
        <v/>
      </c>
    </row>
    <row r="9729" spans="1:1">
      <c r="A9729" s="11" t="str">
        <f t="shared" si="232"/>
        <v/>
      </c>
    </row>
    <row r="9730" spans="1:1">
      <c r="A9730" s="11" t="str">
        <f t="shared" si="232"/>
        <v/>
      </c>
    </row>
    <row r="9731" spans="1:1">
      <c r="A9731" s="11" t="str">
        <f t="shared" ref="A9731:A9794" si="233">B9731&amp;D9731</f>
        <v/>
      </c>
    </row>
    <row r="9732" spans="1:1">
      <c r="A9732" s="11" t="str">
        <f t="shared" si="233"/>
        <v/>
      </c>
    </row>
    <row r="9733" spans="1:1">
      <c r="A9733" s="11" t="str">
        <f t="shared" si="233"/>
        <v/>
      </c>
    </row>
    <row r="9734" spans="1:1">
      <c r="A9734" s="11" t="str">
        <f t="shared" si="233"/>
        <v/>
      </c>
    </row>
    <row r="9735" spans="1:1">
      <c r="A9735" s="11" t="str">
        <f t="shared" si="233"/>
        <v/>
      </c>
    </row>
    <row r="9736" spans="1:1">
      <c r="A9736" s="11" t="str">
        <f t="shared" si="233"/>
        <v/>
      </c>
    </row>
    <row r="9737" spans="1:1">
      <c r="A9737" s="11" t="str">
        <f t="shared" si="233"/>
        <v/>
      </c>
    </row>
    <row r="9738" spans="1:1">
      <c r="A9738" s="11" t="str">
        <f t="shared" si="233"/>
        <v/>
      </c>
    </row>
    <row r="9739" spans="1:1">
      <c r="A9739" s="11" t="str">
        <f t="shared" si="233"/>
        <v/>
      </c>
    </row>
    <row r="9740" spans="1:1">
      <c r="A9740" s="11" t="str">
        <f t="shared" si="233"/>
        <v/>
      </c>
    </row>
    <row r="9741" spans="1:1">
      <c r="A9741" s="11" t="str">
        <f t="shared" si="233"/>
        <v/>
      </c>
    </row>
    <row r="9742" spans="1:1">
      <c r="A9742" s="11" t="str">
        <f t="shared" si="233"/>
        <v/>
      </c>
    </row>
    <row r="9743" spans="1:1">
      <c r="A9743" s="11" t="str">
        <f t="shared" si="233"/>
        <v/>
      </c>
    </row>
    <row r="9744" spans="1:1">
      <c r="A9744" s="11" t="str">
        <f t="shared" si="233"/>
        <v/>
      </c>
    </row>
    <row r="9745" spans="1:1">
      <c r="A9745" s="11" t="str">
        <f t="shared" si="233"/>
        <v/>
      </c>
    </row>
    <row r="9746" spans="1:1">
      <c r="A9746" s="11" t="str">
        <f t="shared" si="233"/>
        <v/>
      </c>
    </row>
    <row r="9747" spans="1:1">
      <c r="A9747" s="11" t="str">
        <f t="shared" si="233"/>
        <v/>
      </c>
    </row>
    <row r="9748" spans="1:1">
      <c r="A9748" s="11" t="str">
        <f t="shared" si="233"/>
        <v/>
      </c>
    </row>
    <row r="9749" spans="1:1">
      <c r="A9749" s="11" t="str">
        <f t="shared" si="233"/>
        <v/>
      </c>
    </row>
    <row r="9750" spans="1:1">
      <c r="A9750" s="11" t="str">
        <f t="shared" si="233"/>
        <v/>
      </c>
    </row>
    <row r="9751" spans="1:1">
      <c r="A9751" s="11" t="str">
        <f t="shared" si="233"/>
        <v/>
      </c>
    </row>
    <row r="9752" spans="1:1">
      <c r="A9752" s="11" t="str">
        <f t="shared" si="233"/>
        <v/>
      </c>
    </row>
    <row r="9753" spans="1:1">
      <c r="A9753" s="11" t="str">
        <f t="shared" si="233"/>
        <v/>
      </c>
    </row>
    <row r="9754" spans="1:1">
      <c r="A9754" s="11" t="str">
        <f t="shared" si="233"/>
        <v/>
      </c>
    </row>
    <row r="9755" spans="1:1">
      <c r="A9755" s="11" t="str">
        <f t="shared" si="233"/>
        <v/>
      </c>
    </row>
    <row r="9756" spans="1:1">
      <c r="A9756" s="11" t="str">
        <f t="shared" si="233"/>
        <v/>
      </c>
    </row>
    <row r="9757" spans="1:1">
      <c r="A9757" s="11" t="str">
        <f t="shared" si="233"/>
        <v/>
      </c>
    </row>
    <row r="9758" spans="1:1">
      <c r="A9758" s="11" t="str">
        <f t="shared" si="233"/>
        <v/>
      </c>
    </row>
    <row r="9759" spans="1:1">
      <c r="A9759" s="11" t="str">
        <f t="shared" si="233"/>
        <v/>
      </c>
    </row>
    <row r="9760" spans="1:1">
      <c r="A9760" s="11" t="str">
        <f t="shared" si="233"/>
        <v/>
      </c>
    </row>
    <row r="9761" spans="1:1">
      <c r="A9761" s="11" t="str">
        <f t="shared" si="233"/>
        <v/>
      </c>
    </row>
    <row r="9762" spans="1:1">
      <c r="A9762" s="11" t="str">
        <f t="shared" si="233"/>
        <v/>
      </c>
    </row>
    <row r="9763" spans="1:1">
      <c r="A9763" s="11" t="str">
        <f t="shared" si="233"/>
        <v/>
      </c>
    </row>
    <row r="9764" spans="1:1">
      <c r="A9764" s="11" t="str">
        <f t="shared" si="233"/>
        <v/>
      </c>
    </row>
    <row r="9765" spans="1:1">
      <c r="A9765" s="11" t="str">
        <f t="shared" si="233"/>
        <v/>
      </c>
    </row>
    <row r="9766" spans="1:1">
      <c r="A9766" s="11" t="str">
        <f t="shared" si="233"/>
        <v/>
      </c>
    </row>
    <row r="9767" spans="1:1">
      <c r="A9767" s="11" t="str">
        <f t="shared" si="233"/>
        <v/>
      </c>
    </row>
    <row r="9768" spans="1:1">
      <c r="A9768" s="11" t="str">
        <f t="shared" si="233"/>
        <v/>
      </c>
    </row>
    <row r="9769" spans="1:1">
      <c r="A9769" s="11" t="str">
        <f t="shared" si="233"/>
        <v/>
      </c>
    </row>
    <row r="9770" spans="1:1">
      <c r="A9770" s="11" t="str">
        <f t="shared" si="233"/>
        <v/>
      </c>
    </row>
    <row r="9771" spans="1:1">
      <c r="A9771" s="11" t="str">
        <f t="shared" si="233"/>
        <v/>
      </c>
    </row>
    <row r="9772" spans="1:1">
      <c r="A9772" s="11" t="str">
        <f t="shared" si="233"/>
        <v/>
      </c>
    </row>
    <row r="9773" spans="1:1">
      <c r="A9773" s="11" t="str">
        <f t="shared" si="233"/>
        <v/>
      </c>
    </row>
    <row r="9774" spans="1:1">
      <c r="A9774" s="11" t="str">
        <f t="shared" si="233"/>
        <v/>
      </c>
    </row>
    <row r="9775" spans="1:1">
      <c r="A9775" s="11" t="str">
        <f t="shared" si="233"/>
        <v/>
      </c>
    </row>
    <row r="9776" spans="1:1">
      <c r="A9776" s="11" t="str">
        <f t="shared" si="233"/>
        <v/>
      </c>
    </row>
    <row r="9777" spans="1:1">
      <c r="A9777" s="11" t="str">
        <f t="shared" si="233"/>
        <v/>
      </c>
    </row>
    <row r="9778" spans="1:1">
      <c r="A9778" s="11" t="str">
        <f t="shared" si="233"/>
        <v/>
      </c>
    </row>
    <row r="9779" spans="1:1">
      <c r="A9779" s="11" t="str">
        <f t="shared" si="233"/>
        <v/>
      </c>
    </row>
    <row r="9780" spans="1:1">
      <c r="A9780" s="11" t="str">
        <f t="shared" si="233"/>
        <v/>
      </c>
    </row>
    <row r="9781" spans="1:1">
      <c r="A9781" s="11" t="str">
        <f t="shared" si="233"/>
        <v/>
      </c>
    </row>
    <row r="9782" spans="1:1">
      <c r="A9782" s="11" t="str">
        <f t="shared" si="233"/>
        <v/>
      </c>
    </row>
    <row r="9783" spans="1:1">
      <c r="A9783" s="11" t="str">
        <f t="shared" si="233"/>
        <v/>
      </c>
    </row>
    <row r="9784" spans="1:1">
      <c r="A9784" s="11" t="str">
        <f t="shared" si="233"/>
        <v/>
      </c>
    </row>
    <row r="9785" spans="1:1">
      <c r="A9785" s="11" t="str">
        <f t="shared" si="233"/>
        <v/>
      </c>
    </row>
    <row r="9786" spans="1:1">
      <c r="A9786" s="11" t="str">
        <f t="shared" si="233"/>
        <v/>
      </c>
    </row>
    <row r="9787" spans="1:1">
      <c r="A9787" s="11" t="str">
        <f t="shared" si="233"/>
        <v/>
      </c>
    </row>
    <row r="9788" spans="1:1">
      <c r="A9788" s="11" t="str">
        <f t="shared" si="233"/>
        <v/>
      </c>
    </row>
    <row r="9789" spans="1:1">
      <c r="A9789" s="11" t="str">
        <f t="shared" si="233"/>
        <v/>
      </c>
    </row>
    <row r="9790" spans="1:1">
      <c r="A9790" s="11" t="str">
        <f t="shared" si="233"/>
        <v/>
      </c>
    </row>
    <row r="9791" spans="1:1">
      <c r="A9791" s="11" t="str">
        <f t="shared" si="233"/>
        <v/>
      </c>
    </row>
    <row r="9792" spans="1:1">
      <c r="A9792" s="11" t="str">
        <f t="shared" si="233"/>
        <v/>
      </c>
    </row>
    <row r="9793" spans="1:1">
      <c r="A9793" s="11" t="str">
        <f t="shared" si="233"/>
        <v/>
      </c>
    </row>
    <row r="9794" spans="1:1">
      <c r="A9794" s="11" t="str">
        <f t="shared" si="233"/>
        <v/>
      </c>
    </row>
    <row r="9795" spans="1:1">
      <c r="A9795" s="11" t="str">
        <f t="shared" ref="A9795:A9858" si="234">B9795&amp;D9795</f>
        <v/>
      </c>
    </row>
    <row r="9796" spans="1:1">
      <c r="A9796" s="11" t="str">
        <f t="shared" si="234"/>
        <v/>
      </c>
    </row>
    <row r="9797" spans="1:1">
      <c r="A9797" s="11" t="str">
        <f t="shared" si="234"/>
        <v/>
      </c>
    </row>
    <row r="9798" spans="1:1">
      <c r="A9798" s="11" t="str">
        <f t="shared" si="234"/>
        <v/>
      </c>
    </row>
    <row r="9799" spans="1:1">
      <c r="A9799" s="11" t="str">
        <f t="shared" si="234"/>
        <v/>
      </c>
    </row>
    <row r="9800" spans="1:1">
      <c r="A9800" s="11" t="str">
        <f t="shared" si="234"/>
        <v/>
      </c>
    </row>
    <row r="9801" spans="1:1">
      <c r="A9801" s="11" t="str">
        <f t="shared" si="234"/>
        <v/>
      </c>
    </row>
    <row r="9802" spans="1:1">
      <c r="A9802" s="11" t="str">
        <f t="shared" si="234"/>
        <v/>
      </c>
    </row>
    <row r="9803" spans="1:1">
      <c r="A9803" s="11" t="str">
        <f t="shared" si="234"/>
        <v/>
      </c>
    </row>
    <row r="9804" spans="1:1">
      <c r="A9804" s="11" t="str">
        <f t="shared" si="234"/>
        <v/>
      </c>
    </row>
    <row r="9805" spans="1:1">
      <c r="A9805" s="11" t="str">
        <f t="shared" si="234"/>
        <v/>
      </c>
    </row>
    <row r="9806" spans="1:1">
      <c r="A9806" s="11" t="str">
        <f t="shared" si="234"/>
        <v/>
      </c>
    </row>
    <row r="9807" spans="1:1">
      <c r="A9807" s="11" t="str">
        <f t="shared" si="234"/>
        <v/>
      </c>
    </row>
    <row r="9808" spans="1:1">
      <c r="A9808" s="11" t="str">
        <f t="shared" si="234"/>
        <v/>
      </c>
    </row>
    <row r="9809" spans="1:1">
      <c r="A9809" s="11" t="str">
        <f t="shared" si="234"/>
        <v/>
      </c>
    </row>
    <row r="9810" spans="1:1">
      <c r="A9810" s="11" t="str">
        <f t="shared" si="234"/>
        <v/>
      </c>
    </row>
    <row r="9811" spans="1:1">
      <c r="A9811" s="11" t="str">
        <f t="shared" si="234"/>
        <v/>
      </c>
    </row>
    <row r="9812" spans="1:1">
      <c r="A9812" s="11" t="str">
        <f t="shared" si="234"/>
        <v/>
      </c>
    </row>
    <row r="9813" spans="1:1">
      <c r="A9813" s="11" t="str">
        <f t="shared" si="234"/>
        <v/>
      </c>
    </row>
    <row r="9814" spans="1:1">
      <c r="A9814" s="11" t="str">
        <f t="shared" si="234"/>
        <v/>
      </c>
    </row>
    <row r="9815" spans="1:1">
      <c r="A9815" s="11" t="str">
        <f t="shared" si="234"/>
        <v/>
      </c>
    </row>
    <row r="9816" spans="1:1">
      <c r="A9816" s="11" t="str">
        <f t="shared" si="234"/>
        <v/>
      </c>
    </row>
    <row r="9817" spans="1:1">
      <c r="A9817" s="11" t="str">
        <f t="shared" si="234"/>
        <v/>
      </c>
    </row>
    <row r="9818" spans="1:1">
      <c r="A9818" s="11" t="str">
        <f t="shared" si="234"/>
        <v/>
      </c>
    </row>
    <row r="9819" spans="1:1">
      <c r="A9819" s="11" t="str">
        <f t="shared" si="234"/>
        <v/>
      </c>
    </row>
    <row r="9820" spans="1:1">
      <c r="A9820" s="11" t="str">
        <f t="shared" si="234"/>
        <v/>
      </c>
    </row>
    <row r="9821" spans="1:1">
      <c r="A9821" s="11" t="str">
        <f t="shared" si="234"/>
        <v/>
      </c>
    </row>
    <row r="9822" spans="1:1">
      <c r="A9822" s="11" t="str">
        <f t="shared" si="234"/>
        <v/>
      </c>
    </row>
    <row r="9823" spans="1:1">
      <c r="A9823" s="11" t="str">
        <f t="shared" si="234"/>
        <v/>
      </c>
    </row>
    <row r="9824" spans="1:1">
      <c r="A9824" s="11" t="str">
        <f t="shared" si="234"/>
        <v/>
      </c>
    </row>
    <row r="9825" spans="1:1">
      <c r="A9825" s="11" t="str">
        <f t="shared" si="234"/>
        <v/>
      </c>
    </row>
    <row r="9826" spans="1:1">
      <c r="A9826" s="11" t="str">
        <f t="shared" si="234"/>
        <v/>
      </c>
    </row>
    <row r="9827" spans="1:1">
      <c r="A9827" s="11" t="str">
        <f t="shared" si="234"/>
        <v/>
      </c>
    </row>
    <row r="9828" spans="1:1">
      <c r="A9828" s="11" t="str">
        <f t="shared" si="234"/>
        <v/>
      </c>
    </row>
    <row r="9829" spans="1:1">
      <c r="A9829" s="11" t="str">
        <f t="shared" si="234"/>
        <v/>
      </c>
    </row>
    <row r="9830" spans="1:1">
      <c r="A9830" s="11" t="str">
        <f t="shared" si="234"/>
        <v/>
      </c>
    </row>
    <row r="9831" spans="1:1">
      <c r="A9831" s="11" t="str">
        <f t="shared" si="234"/>
        <v/>
      </c>
    </row>
    <row r="9832" spans="1:1">
      <c r="A9832" s="11" t="str">
        <f t="shared" si="234"/>
        <v/>
      </c>
    </row>
    <row r="9833" spans="1:1">
      <c r="A9833" s="11" t="str">
        <f t="shared" si="234"/>
        <v/>
      </c>
    </row>
    <row r="9834" spans="1:1">
      <c r="A9834" s="11" t="str">
        <f t="shared" si="234"/>
        <v/>
      </c>
    </row>
    <row r="9835" spans="1:1">
      <c r="A9835" s="11" t="str">
        <f t="shared" si="234"/>
        <v/>
      </c>
    </row>
    <row r="9836" spans="1:1">
      <c r="A9836" s="11" t="str">
        <f t="shared" si="234"/>
        <v/>
      </c>
    </row>
    <row r="9837" spans="1:1">
      <c r="A9837" s="11" t="str">
        <f t="shared" si="234"/>
        <v/>
      </c>
    </row>
    <row r="9838" spans="1:1">
      <c r="A9838" s="11" t="str">
        <f t="shared" si="234"/>
        <v/>
      </c>
    </row>
    <row r="9839" spans="1:1">
      <c r="A9839" s="11" t="str">
        <f t="shared" si="234"/>
        <v/>
      </c>
    </row>
    <row r="9840" spans="1:1">
      <c r="A9840" s="11" t="str">
        <f t="shared" si="234"/>
        <v/>
      </c>
    </row>
    <row r="9841" spans="1:1">
      <c r="A9841" s="11" t="str">
        <f t="shared" si="234"/>
        <v/>
      </c>
    </row>
    <row r="9842" spans="1:1">
      <c r="A9842" s="11" t="str">
        <f t="shared" si="234"/>
        <v/>
      </c>
    </row>
    <row r="9843" spans="1:1">
      <c r="A9843" s="11" t="str">
        <f t="shared" si="234"/>
        <v/>
      </c>
    </row>
    <row r="9844" spans="1:1">
      <c r="A9844" s="11" t="str">
        <f t="shared" si="234"/>
        <v/>
      </c>
    </row>
    <row r="9845" spans="1:1">
      <c r="A9845" s="11" t="str">
        <f t="shared" si="234"/>
        <v/>
      </c>
    </row>
    <row r="9846" spans="1:1">
      <c r="A9846" s="11" t="str">
        <f t="shared" si="234"/>
        <v/>
      </c>
    </row>
    <row r="9847" spans="1:1">
      <c r="A9847" s="11" t="str">
        <f t="shared" si="234"/>
        <v/>
      </c>
    </row>
    <row r="9848" spans="1:1">
      <c r="A9848" s="11" t="str">
        <f t="shared" si="234"/>
        <v/>
      </c>
    </row>
    <row r="9849" spans="1:1">
      <c r="A9849" s="11" t="str">
        <f t="shared" si="234"/>
        <v/>
      </c>
    </row>
    <row r="9850" spans="1:1">
      <c r="A9850" s="11" t="str">
        <f t="shared" si="234"/>
        <v/>
      </c>
    </row>
    <row r="9851" spans="1:1">
      <c r="A9851" s="11" t="str">
        <f t="shared" si="234"/>
        <v/>
      </c>
    </row>
    <row r="9852" spans="1:1">
      <c r="A9852" s="11" t="str">
        <f t="shared" si="234"/>
        <v/>
      </c>
    </row>
    <row r="9853" spans="1:1">
      <c r="A9853" s="11" t="str">
        <f t="shared" si="234"/>
        <v/>
      </c>
    </row>
    <row r="9854" spans="1:1">
      <c r="A9854" s="11" t="str">
        <f t="shared" si="234"/>
        <v/>
      </c>
    </row>
    <row r="9855" spans="1:1">
      <c r="A9855" s="11" t="str">
        <f t="shared" si="234"/>
        <v/>
      </c>
    </row>
    <row r="9856" spans="1:1">
      <c r="A9856" s="11" t="str">
        <f t="shared" si="234"/>
        <v/>
      </c>
    </row>
    <row r="9857" spans="1:1">
      <c r="A9857" s="11" t="str">
        <f t="shared" si="234"/>
        <v/>
      </c>
    </row>
    <row r="9858" spans="1:1">
      <c r="A9858" s="11" t="str">
        <f t="shared" si="234"/>
        <v/>
      </c>
    </row>
    <row r="9859" spans="1:1">
      <c r="A9859" s="11" t="str">
        <f t="shared" ref="A9859:A9922" si="235">B9859&amp;D9859</f>
        <v/>
      </c>
    </row>
    <row r="9860" spans="1:1">
      <c r="A9860" s="11" t="str">
        <f t="shared" si="235"/>
        <v/>
      </c>
    </row>
    <row r="9861" spans="1:1">
      <c r="A9861" s="11" t="str">
        <f t="shared" si="235"/>
        <v/>
      </c>
    </row>
    <row r="9862" spans="1:1">
      <c r="A9862" s="11" t="str">
        <f t="shared" si="235"/>
        <v/>
      </c>
    </row>
    <row r="9863" spans="1:1">
      <c r="A9863" s="11" t="str">
        <f t="shared" si="235"/>
        <v/>
      </c>
    </row>
    <row r="9864" spans="1:1">
      <c r="A9864" s="11" t="str">
        <f t="shared" si="235"/>
        <v/>
      </c>
    </row>
    <row r="9865" spans="1:1">
      <c r="A9865" s="11" t="str">
        <f t="shared" si="235"/>
        <v/>
      </c>
    </row>
    <row r="9866" spans="1:1">
      <c r="A9866" s="11" t="str">
        <f t="shared" si="235"/>
        <v/>
      </c>
    </row>
    <row r="9867" spans="1:1">
      <c r="A9867" s="11" t="str">
        <f t="shared" si="235"/>
        <v/>
      </c>
    </row>
    <row r="9868" spans="1:1">
      <c r="A9868" s="11" t="str">
        <f t="shared" si="235"/>
        <v/>
      </c>
    </row>
    <row r="9869" spans="1:1">
      <c r="A9869" s="11" t="str">
        <f t="shared" si="235"/>
        <v/>
      </c>
    </row>
    <row r="9870" spans="1:1">
      <c r="A9870" s="11" t="str">
        <f t="shared" si="235"/>
        <v/>
      </c>
    </row>
    <row r="9871" spans="1:1">
      <c r="A9871" s="11" t="str">
        <f t="shared" si="235"/>
        <v/>
      </c>
    </row>
    <row r="9872" spans="1:1">
      <c r="A9872" s="11" t="str">
        <f t="shared" si="235"/>
        <v/>
      </c>
    </row>
    <row r="9873" spans="1:1">
      <c r="A9873" s="11" t="str">
        <f t="shared" si="235"/>
        <v/>
      </c>
    </row>
    <row r="9874" spans="1:1">
      <c r="A9874" s="11" t="str">
        <f t="shared" si="235"/>
        <v/>
      </c>
    </row>
    <row r="9875" spans="1:1">
      <c r="A9875" s="11" t="str">
        <f t="shared" si="235"/>
        <v/>
      </c>
    </row>
    <row r="9876" spans="1:1">
      <c r="A9876" s="11" t="str">
        <f t="shared" si="235"/>
        <v/>
      </c>
    </row>
    <row r="9877" spans="1:1">
      <c r="A9877" s="11" t="str">
        <f t="shared" si="235"/>
        <v/>
      </c>
    </row>
    <row r="9878" spans="1:1">
      <c r="A9878" s="11" t="str">
        <f t="shared" si="235"/>
        <v/>
      </c>
    </row>
    <row r="9879" spans="1:1">
      <c r="A9879" s="11" t="str">
        <f t="shared" si="235"/>
        <v/>
      </c>
    </row>
    <row r="9880" spans="1:1">
      <c r="A9880" s="11" t="str">
        <f t="shared" si="235"/>
        <v/>
      </c>
    </row>
    <row r="9881" spans="1:1">
      <c r="A9881" s="11" t="str">
        <f t="shared" si="235"/>
        <v/>
      </c>
    </row>
    <row r="9882" spans="1:1">
      <c r="A9882" s="11" t="str">
        <f t="shared" si="235"/>
        <v/>
      </c>
    </row>
    <row r="9883" spans="1:1">
      <c r="A9883" s="11" t="str">
        <f t="shared" si="235"/>
        <v/>
      </c>
    </row>
    <row r="9884" spans="1:1">
      <c r="A9884" s="11" t="str">
        <f t="shared" si="235"/>
        <v/>
      </c>
    </row>
    <row r="9885" spans="1:1">
      <c r="A9885" s="11" t="str">
        <f t="shared" si="235"/>
        <v/>
      </c>
    </row>
    <row r="9886" spans="1:1">
      <c r="A9886" s="11" t="str">
        <f t="shared" si="235"/>
        <v/>
      </c>
    </row>
    <row r="9887" spans="1:1">
      <c r="A9887" s="11" t="str">
        <f t="shared" si="235"/>
        <v/>
      </c>
    </row>
    <row r="9888" spans="1:1">
      <c r="A9888" s="11" t="str">
        <f t="shared" si="235"/>
        <v/>
      </c>
    </row>
    <row r="9889" spans="1:1">
      <c r="A9889" s="11" t="str">
        <f t="shared" si="235"/>
        <v/>
      </c>
    </row>
    <row r="9890" spans="1:1">
      <c r="A9890" s="11" t="str">
        <f t="shared" si="235"/>
        <v/>
      </c>
    </row>
    <row r="9891" spans="1:1">
      <c r="A9891" s="11" t="str">
        <f t="shared" si="235"/>
        <v/>
      </c>
    </row>
    <row r="9892" spans="1:1">
      <c r="A9892" s="11" t="str">
        <f t="shared" si="235"/>
        <v/>
      </c>
    </row>
    <row r="9893" spans="1:1">
      <c r="A9893" s="11" t="str">
        <f t="shared" si="235"/>
        <v/>
      </c>
    </row>
    <row r="9894" spans="1:1">
      <c r="A9894" s="11" t="str">
        <f t="shared" si="235"/>
        <v/>
      </c>
    </row>
    <row r="9895" spans="1:1">
      <c r="A9895" s="11" t="str">
        <f t="shared" si="235"/>
        <v/>
      </c>
    </row>
    <row r="9896" spans="1:1">
      <c r="A9896" s="11" t="str">
        <f t="shared" si="235"/>
        <v/>
      </c>
    </row>
    <row r="9897" spans="1:1">
      <c r="A9897" s="11" t="str">
        <f t="shared" si="235"/>
        <v/>
      </c>
    </row>
    <row r="9898" spans="1:1">
      <c r="A9898" s="11" t="str">
        <f t="shared" si="235"/>
        <v/>
      </c>
    </row>
    <row r="9899" spans="1:1">
      <c r="A9899" s="11" t="str">
        <f t="shared" si="235"/>
        <v/>
      </c>
    </row>
    <row r="9900" spans="1:1">
      <c r="A9900" s="11" t="str">
        <f t="shared" si="235"/>
        <v/>
      </c>
    </row>
    <row r="9901" spans="1:1">
      <c r="A9901" s="11" t="str">
        <f t="shared" si="235"/>
        <v/>
      </c>
    </row>
    <row r="9902" spans="1:1">
      <c r="A9902" s="11" t="str">
        <f t="shared" si="235"/>
        <v/>
      </c>
    </row>
    <row r="9903" spans="1:1">
      <c r="A9903" s="11" t="str">
        <f t="shared" si="235"/>
        <v/>
      </c>
    </row>
    <row r="9904" spans="1:1">
      <c r="A9904" s="11" t="str">
        <f t="shared" si="235"/>
        <v/>
      </c>
    </row>
    <row r="9905" spans="1:1">
      <c r="A9905" s="11" t="str">
        <f t="shared" si="235"/>
        <v/>
      </c>
    </row>
    <row r="9906" spans="1:1">
      <c r="A9906" s="11" t="str">
        <f t="shared" si="235"/>
        <v/>
      </c>
    </row>
    <row r="9907" spans="1:1">
      <c r="A9907" s="11" t="str">
        <f t="shared" si="235"/>
        <v/>
      </c>
    </row>
    <row r="9908" spans="1:1">
      <c r="A9908" s="11" t="str">
        <f t="shared" si="235"/>
        <v/>
      </c>
    </row>
    <row r="9909" spans="1:1">
      <c r="A9909" s="11" t="str">
        <f t="shared" si="235"/>
        <v/>
      </c>
    </row>
    <row r="9910" spans="1:1">
      <c r="A9910" s="11" t="str">
        <f t="shared" si="235"/>
        <v/>
      </c>
    </row>
    <row r="9911" spans="1:1">
      <c r="A9911" s="11" t="str">
        <f t="shared" si="235"/>
        <v/>
      </c>
    </row>
    <row r="9912" spans="1:1">
      <c r="A9912" s="11" t="str">
        <f t="shared" si="235"/>
        <v/>
      </c>
    </row>
    <row r="9913" spans="1:1">
      <c r="A9913" s="11" t="str">
        <f t="shared" si="235"/>
        <v/>
      </c>
    </row>
    <row r="9914" spans="1:1">
      <c r="A9914" s="11" t="str">
        <f t="shared" si="235"/>
        <v/>
      </c>
    </row>
    <row r="9915" spans="1:1">
      <c r="A9915" s="11" t="str">
        <f t="shared" si="235"/>
        <v/>
      </c>
    </row>
    <row r="9916" spans="1:1">
      <c r="A9916" s="11" t="str">
        <f t="shared" si="235"/>
        <v/>
      </c>
    </row>
    <row r="9917" spans="1:1">
      <c r="A9917" s="11" t="str">
        <f t="shared" si="235"/>
        <v/>
      </c>
    </row>
    <row r="9918" spans="1:1">
      <c r="A9918" s="11" t="str">
        <f t="shared" si="235"/>
        <v/>
      </c>
    </row>
    <row r="9919" spans="1:1">
      <c r="A9919" s="11" t="str">
        <f t="shared" si="235"/>
        <v/>
      </c>
    </row>
    <row r="9920" spans="1:1">
      <c r="A9920" s="11" t="str">
        <f t="shared" si="235"/>
        <v/>
      </c>
    </row>
    <row r="9921" spans="1:1">
      <c r="A9921" s="11" t="str">
        <f t="shared" si="235"/>
        <v/>
      </c>
    </row>
    <row r="9922" spans="1:1">
      <c r="A9922" s="11" t="str">
        <f t="shared" si="235"/>
        <v/>
      </c>
    </row>
    <row r="9923" spans="1:1">
      <c r="A9923" s="11" t="str">
        <f t="shared" ref="A9923:A9986" si="236">B9923&amp;D9923</f>
        <v/>
      </c>
    </row>
    <row r="9924" spans="1:1">
      <c r="A9924" s="11" t="str">
        <f t="shared" si="236"/>
        <v/>
      </c>
    </row>
    <row r="9925" spans="1:1">
      <c r="A9925" s="11" t="str">
        <f t="shared" si="236"/>
        <v/>
      </c>
    </row>
    <row r="9926" spans="1:1">
      <c r="A9926" s="11" t="str">
        <f t="shared" si="236"/>
        <v/>
      </c>
    </row>
    <row r="9927" spans="1:1">
      <c r="A9927" s="11" t="str">
        <f t="shared" si="236"/>
        <v/>
      </c>
    </row>
    <row r="9928" spans="1:1">
      <c r="A9928" s="11" t="str">
        <f t="shared" si="236"/>
        <v/>
      </c>
    </row>
    <row r="9929" spans="1:1">
      <c r="A9929" s="11" t="str">
        <f t="shared" si="236"/>
        <v/>
      </c>
    </row>
    <row r="9930" spans="1:1">
      <c r="A9930" s="11" t="str">
        <f t="shared" si="236"/>
        <v/>
      </c>
    </row>
    <row r="9931" spans="1:1">
      <c r="A9931" s="11" t="str">
        <f t="shared" si="236"/>
        <v/>
      </c>
    </row>
    <row r="9932" spans="1:1">
      <c r="A9932" s="11" t="str">
        <f t="shared" si="236"/>
        <v/>
      </c>
    </row>
    <row r="9933" spans="1:1">
      <c r="A9933" s="11" t="str">
        <f t="shared" si="236"/>
        <v/>
      </c>
    </row>
    <row r="9934" spans="1:1">
      <c r="A9934" s="11" t="str">
        <f t="shared" si="236"/>
        <v/>
      </c>
    </row>
    <row r="9935" spans="1:1">
      <c r="A9935" s="11" t="str">
        <f t="shared" si="236"/>
        <v/>
      </c>
    </row>
    <row r="9936" spans="1:1">
      <c r="A9936" s="11" t="str">
        <f t="shared" si="236"/>
        <v/>
      </c>
    </row>
    <row r="9937" spans="1:1">
      <c r="A9937" s="11" t="str">
        <f t="shared" si="236"/>
        <v/>
      </c>
    </row>
    <row r="9938" spans="1:1">
      <c r="A9938" s="11" t="str">
        <f t="shared" si="236"/>
        <v/>
      </c>
    </row>
    <row r="9939" spans="1:1">
      <c r="A9939" s="11" t="str">
        <f t="shared" si="236"/>
        <v/>
      </c>
    </row>
    <row r="9940" spans="1:1">
      <c r="A9940" s="11" t="str">
        <f t="shared" si="236"/>
        <v/>
      </c>
    </row>
    <row r="9941" spans="1:1">
      <c r="A9941" s="11" t="str">
        <f t="shared" si="236"/>
        <v/>
      </c>
    </row>
    <row r="9942" spans="1:1">
      <c r="A9942" s="11" t="str">
        <f t="shared" si="236"/>
        <v/>
      </c>
    </row>
    <row r="9943" spans="1:1">
      <c r="A9943" s="11" t="str">
        <f t="shared" si="236"/>
        <v/>
      </c>
    </row>
    <row r="9944" spans="1:1">
      <c r="A9944" s="11" t="str">
        <f t="shared" si="236"/>
        <v/>
      </c>
    </row>
    <row r="9945" spans="1:1">
      <c r="A9945" s="11" t="str">
        <f t="shared" si="236"/>
        <v/>
      </c>
    </row>
    <row r="9946" spans="1:1">
      <c r="A9946" s="11" t="str">
        <f t="shared" si="236"/>
        <v/>
      </c>
    </row>
    <row r="9947" spans="1:1">
      <c r="A9947" s="11" t="str">
        <f t="shared" si="236"/>
        <v/>
      </c>
    </row>
    <row r="9948" spans="1:1">
      <c r="A9948" s="11" t="str">
        <f t="shared" si="236"/>
        <v/>
      </c>
    </row>
    <row r="9949" spans="1:1">
      <c r="A9949" s="11" t="str">
        <f t="shared" si="236"/>
        <v/>
      </c>
    </row>
    <row r="9950" spans="1:1">
      <c r="A9950" s="11" t="str">
        <f t="shared" si="236"/>
        <v/>
      </c>
    </row>
    <row r="9951" spans="1:1">
      <c r="A9951" s="11" t="str">
        <f t="shared" si="236"/>
        <v/>
      </c>
    </row>
    <row r="9952" spans="1:1">
      <c r="A9952" s="11" t="str">
        <f t="shared" si="236"/>
        <v/>
      </c>
    </row>
    <row r="9953" spans="1:1">
      <c r="A9953" s="11" t="str">
        <f t="shared" si="236"/>
        <v/>
      </c>
    </row>
    <row r="9954" spans="1:1">
      <c r="A9954" s="11" t="str">
        <f t="shared" si="236"/>
        <v/>
      </c>
    </row>
    <row r="9955" spans="1:1">
      <c r="A9955" s="11" t="str">
        <f t="shared" si="236"/>
        <v/>
      </c>
    </row>
    <row r="9956" spans="1:1">
      <c r="A9956" s="11" t="str">
        <f t="shared" si="236"/>
        <v/>
      </c>
    </row>
    <row r="9957" spans="1:1">
      <c r="A9957" s="11" t="str">
        <f t="shared" si="236"/>
        <v/>
      </c>
    </row>
    <row r="9958" spans="1:1">
      <c r="A9958" s="11" t="str">
        <f t="shared" si="236"/>
        <v/>
      </c>
    </row>
    <row r="9959" spans="1:1">
      <c r="A9959" s="11" t="str">
        <f t="shared" si="236"/>
        <v/>
      </c>
    </row>
    <row r="9960" spans="1:1">
      <c r="A9960" s="11" t="str">
        <f t="shared" si="236"/>
        <v/>
      </c>
    </row>
    <row r="9961" spans="1:1">
      <c r="A9961" s="11" t="str">
        <f t="shared" si="236"/>
        <v/>
      </c>
    </row>
    <row r="9962" spans="1:1">
      <c r="A9962" s="11" t="str">
        <f t="shared" si="236"/>
        <v/>
      </c>
    </row>
    <row r="9963" spans="1:1">
      <c r="A9963" s="11" t="str">
        <f t="shared" si="236"/>
        <v/>
      </c>
    </row>
    <row r="9964" spans="1:1">
      <c r="A9964" s="11" t="str">
        <f t="shared" si="236"/>
        <v/>
      </c>
    </row>
    <row r="9965" spans="1:1">
      <c r="A9965" s="11" t="str">
        <f t="shared" si="236"/>
        <v/>
      </c>
    </row>
    <row r="9966" spans="1:1">
      <c r="A9966" s="11" t="str">
        <f t="shared" si="236"/>
        <v/>
      </c>
    </row>
    <row r="9967" spans="1:1">
      <c r="A9967" s="11" t="str">
        <f t="shared" si="236"/>
        <v/>
      </c>
    </row>
    <row r="9968" spans="1:1">
      <c r="A9968" s="11" t="str">
        <f t="shared" si="236"/>
        <v/>
      </c>
    </row>
    <row r="9969" spans="1:1">
      <c r="A9969" s="11" t="str">
        <f t="shared" si="236"/>
        <v/>
      </c>
    </row>
    <row r="9970" spans="1:1">
      <c r="A9970" s="11" t="str">
        <f t="shared" si="236"/>
        <v/>
      </c>
    </row>
    <row r="9971" spans="1:1">
      <c r="A9971" s="11" t="str">
        <f t="shared" si="236"/>
        <v/>
      </c>
    </row>
    <row r="9972" spans="1:1">
      <c r="A9972" s="11" t="str">
        <f t="shared" si="236"/>
        <v/>
      </c>
    </row>
    <row r="9973" spans="1:1">
      <c r="A9973" s="11" t="str">
        <f t="shared" si="236"/>
        <v/>
      </c>
    </row>
    <row r="9974" spans="1:1">
      <c r="A9974" s="11" t="str">
        <f t="shared" si="236"/>
        <v/>
      </c>
    </row>
    <row r="9975" spans="1:1">
      <c r="A9975" s="11" t="str">
        <f t="shared" si="236"/>
        <v/>
      </c>
    </row>
    <row r="9976" spans="1:1">
      <c r="A9976" s="11" t="str">
        <f t="shared" si="236"/>
        <v/>
      </c>
    </row>
    <row r="9977" spans="1:1">
      <c r="A9977" s="11" t="str">
        <f t="shared" si="236"/>
        <v/>
      </c>
    </row>
    <row r="9978" spans="1:1">
      <c r="A9978" s="11" t="str">
        <f t="shared" si="236"/>
        <v/>
      </c>
    </row>
    <row r="9979" spans="1:1">
      <c r="A9979" s="11" t="str">
        <f t="shared" si="236"/>
        <v/>
      </c>
    </row>
    <row r="9980" spans="1:1">
      <c r="A9980" s="11" t="str">
        <f t="shared" si="236"/>
        <v/>
      </c>
    </row>
    <row r="9981" spans="1:1">
      <c r="A9981" s="11" t="str">
        <f t="shared" si="236"/>
        <v/>
      </c>
    </row>
    <row r="9982" spans="1:1">
      <c r="A9982" s="11" t="str">
        <f t="shared" si="236"/>
        <v/>
      </c>
    </row>
    <row r="9983" spans="1:1">
      <c r="A9983" s="11" t="str">
        <f t="shared" si="236"/>
        <v/>
      </c>
    </row>
    <row r="9984" spans="1:1">
      <c r="A9984" s="11" t="str">
        <f t="shared" si="236"/>
        <v/>
      </c>
    </row>
    <row r="9985" spans="1:1">
      <c r="A9985" s="11" t="str">
        <f t="shared" si="236"/>
        <v/>
      </c>
    </row>
    <row r="9986" spans="1:1">
      <c r="A9986" s="11" t="str">
        <f t="shared" si="236"/>
        <v/>
      </c>
    </row>
    <row r="9987" spans="1:1">
      <c r="A9987" s="11" t="str">
        <f t="shared" ref="A9987:A10050" si="237">B9987&amp;D9987</f>
        <v/>
      </c>
    </row>
    <row r="9988" spans="1:1">
      <c r="A9988" s="11" t="str">
        <f t="shared" si="237"/>
        <v/>
      </c>
    </row>
    <row r="9989" spans="1:1">
      <c r="A9989" s="11" t="str">
        <f t="shared" si="237"/>
        <v/>
      </c>
    </row>
    <row r="9990" spans="1:1">
      <c r="A9990" s="11" t="str">
        <f t="shared" si="237"/>
        <v/>
      </c>
    </row>
    <row r="9991" spans="1:1">
      <c r="A9991" s="11" t="str">
        <f t="shared" si="237"/>
        <v/>
      </c>
    </row>
    <row r="9992" spans="1:1">
      <c r="A9992" s="11" t="str">
        <f t="shared" si="237"/>
        <v/>
      </c>
    </row>
    <row r="9993" spans="1:1">
      <c r="A9993" s="11" t="str">
        <f t="shared" si="237"/>
        <v/>
      </c>
    </row>
    <row r="9994" spans="1:1">
      <c r="A9994" s="11" t="str">
        <f t="shared" si="237"/>
        <v/>
      </c>
    </row>
    <row r="9995" spans="1:1">
      <c r="A9995" s="11" t="str">
        <f t="shared" si="237"/>
        <v/>
      </c>
    </row>
    <row r="9996" spans="1:1">
      <c r="A9996" s="11" t="str">
        <f t="shared" si="237"/>
        <v/>
      </c>
    </row>
    <row r="9997" spans="1:1">
      <c r="A9997" s="11" t="str">
        <f t="shared" si="237"/>
        <v/>
      </c>
    </row>
    <row r="9998" spans="1:1">
      <c r="A9998" s="11" t="str">
        <f t="shared" si="237"/>
        <v/>
      </c>
    </row>
    <row r="9999" spans="1:1">
      <c r="A9999" s="11" t="str">
        <f t="shared" si="237"/>
        <v/>
      </c>
    </row>
    <row r="10000" spans="1:1">
      <c r="A10000" s="11" t="str">
        <f t="shared" si="237"/>
        <v/>
      </c>
    </row>
    <row r="10001" spans="1:1">
      <c r="A10001" s="11" t="str">
        <f t="shared" si="237"/>
        <v/>
      </c>
    </row>
    <row r="10002" spans="1:1">
      <c r="A10002" s="11" t="str">
        <f t="shared" si="237"/>
        <v/>
      </c>
    </row>
    <row r="10003" spans="1:1">
      <c r="A10003" s="11" t="str">
        <f t="shared" si="237"/>
        <v/>
      </c>
    </row>
    <row r="10004" spans="1:1">
      <c r="A10004" s="11" t="str">
        <f t="shared" si="237"/>
        <v/>
      </c>
    </row>
    <row r="10005" spans="1:1">
      <c r="A10005" s="11" t="str">
        <f t="shared" si="237"/>
        <v/>
      </c>
    </row>
    <row r="10006" spans="1:1">
      <c r="A10006" s="11" t="str">
        <f t="shared" si="237"/>
        <v/>
      </c>
    </row>
    <row r="10007" spans="1:1">
      <c r="A10007" s="11" t="str">
        <f t="shared" si="237"/>
        <v/>
      </c>
    </row>
    <row r="10008" spans="1:1">
      <c r="A10008" s="11" t="str">
        <f t="shared" si="237"/>
        <v/>
      </c>
    </row>
    <row r="10009" spans="1:1">
      <c r="A10009" s="11" t="str">
        <f t="shared" si="237"/>
        <v/>
      </c>
    </row>
    <row r="10010" spans="1:1">
      <c r="A10010" s="11" t="str">
        <f t="shared" si="237"/>
        <v/>
      </c>
    </row>
    <row r="10011" spans="1:1">
      <c r="A10011" s="11" t="str">
        <f t="shared" si="237"/>
        <v/>
      </c>
    </row>
    <row r="10012" spans="1:1">
      <c r="A10012" s="11" t="str">
        <f t="shared" si="237"/>
        <v/>
      </c>
    </row>
    <row r="10013" spans="1:1">
      <c r="A10013" s="11" t="str">
        <f t="shared" si="237"/>
        <v/>
      </c>
    </row>
    <row r="10014" spans="1:1">
      <c r="A10014" s="11" t="str">
        <f t="shared" si="237"/>
        <v/>
      </c>
    </row>
    <row r="10015" spans="1:1">
      <c r="A10015" s="11" t="str">
        <f t="shared" si="237"/>
        <v/>
      </c>
    </row>
    <row r="10016" spans="1:1">
      <c r="A10016" s="11" t="str">
        <f t="shared" si="237"/>
        <v/>
      </c>
    </row>
    <row r="10017" spans="1:1">
      <c r="A10017" s="11" t="str">
        <f t="shared" si="237"/>
        <v/>
      </c>
    </row>
    <row r="10018" spans="1:1">
      <c r="A10018" s="11" t="str">
        <f t="shared" si="237"/>
        <v/>
      </c>
    </row>
    <row r="10019" spans="1:1">
      <c r="A10019" s="11" t="str">
        <f t="shared" si="237"/>
        <v/>
      </c>
    </row>
    <row r="10020" spans="1:1">
      <c r="A10020" s="11" t="str">
        <f t="shared" si="237"/>
        <v/>
      </c>
    </row>
    <row r="10021" spans="1:1">
      <c r="A10021" s="11" t="str">
        <f t="shared" si="237"/>
        <v/>
      </c>
    </row>
    <row r="10022" spans="1:1">
      <c r="A10022" s="11" t="str">
        <f t="shared" si="237"/>
        <v/>
      </c>
    </row>
    <row r="10023" spans="1:1">
      <c r="A10023" s="11" t="str">
        <f t="shared" si="237"/>
        <v/>
      </c>
    </row>
    <row r="10024" spans="1:1">
      <c r="A10024" s="11" t="str">
        <f t="shared" si="237"/>
        <v/>
      </c>
    </row>
    <row r="10025" spans="1:1">
      <c r="A10025" s="11" t="str">
        <f t="shared" si="237"/>
        <v/>
      </c>
    </row>
    <row r="10026" spans="1:1">
      <c r="A10026" s="11" t="str">
        <f t="shared" si="237"/>
        <v/>
      </c>
    </row>
    <row r="10027" spans="1:1">
      <c r="A10027" s="11" t="str">
        <f t="shared" si="237"/>
        <v/>
      </c>
    </row>
    <row r="10028" spans="1:1">
      <c r="A10028" s="11" t="str">
        <f t="shared" si="237"/>
        <v/>
      </c>
    </row>
    <row r="10029" spans="1:1">
      <c r="A10029" s="11" t="str">
        <f t="shared" si="237"/>
        <v/>
      </c>
    </row>
    <row r="10030" spans="1:1">
      <c r="A10030" s="11" t="str">
        <f t="shared" si="237"/>
        <v/>
      </c>
    </row>
    <row r="10031" spans="1:1">
      <c r="A10031" s="11" t="str">
        <f t="shared" si="237"/>
        <v/>
      </c>
    </row>
    <row r="10032" spans="1:1">
      <c r="A10032" s="11" t="str">
        <f t="shared" si="237"/>
        <v/>
      </c>
    </row>
    <row r="10033" spans="1:1">
      <c r="A10033" s="11" t="str">
        <f t="shared" si="237"/>
        <v/>
      </c>
    </row>
    <row r="10034" spans="1:1">
      <c r="A10034" s="11" t="str">
        <f t="shared" si="237"/>
        <v/>
      </c>
    </row>
    <row r="10035" spans="1:1">
      <c r="A10035" s="11" t="str">
        <f t="shared" si="237"/>
        <v/>
      </c>
    </row>
    <row r="10036" spans="1:1">
      <c r="A10036" s="11" t="str">
        <f t="shared" si="237"/>
        <v/>
      </c>
    </row>
    <row r="10037" spans="1:1">
      <c r="A10037" s="11" t="str">
        <f t="shared" si="237"/>
        <v/>
      </c>
    </row>
    <row r="10038" spans="1:1">
      <c r="A10038" s="11" t="str">
        <f t="shared" si="237"/>
        <v/>
      </c>
    </row>
    <row r="10039" spans="1:1">
      <c r="A10039" s="11" t="str">
        <f t="shared" si="237"/>
        <v/>
      </c>
    </row>
    <row r="10040" spans="1:1">
      <c r="A10040" s="11" t="str">
        <f t="shared" si="237"/>
        <v/>
      </c>
    </row>
    <row r="10041" spans="1:1">
      <c r="A10041" s="11" t="str">
        <f t="shared" si="237"/>
        <v/>
      </c>
    </row>
    <row r="10042" spans="1:1">
      <c r="A10042" s="11" t="str">
        <f t="shared" si="237"/>
        <v/>
      </c>
    </row>
    <row r="10043" spans="1:1">
      <c r="A10043" s="11" t="str">
        <f t="shared" si="237"/>
        <v/>
      </c>
    </row>
    <row r="10044" spans="1:1">
      <c r="A10044" s="11" t="str">
        <f t="shared" si="237"/>
        <v/>
      </c>
    </row>
    <row r="10045" spans="1:1">
      <c r="A10045" s="11" t="str">
        <f t="shared" si="237"/>
        <v/>
      </c>
    </row>
    <row r="10046" spans="1:1">
      <c r="A10046" s="11" t="str">
        <f t="shared" si="237"/>
        <v/>
      </c>
    </row>
    <row r="10047" spans="1:1">
      <c r="A10047" s="11" t="str">
        <f t="shared" si="237"/>
        <v/>
      </c>
    </row>
    <row r="10048" spans="1:1">
      <c r="A10048" s="11" t="str">
        <f t="shared" si="237"/>
        <v/>
      </c>
    </row>
    <row r="10049" spans="1:1">
      <c r="A10049" s="11" t="str">
        <f t="shared" si="237"/>
        <v/>
      </c>
    </row>
    <row r="10050" spans="1:1">
      <c r="A10050" s="11" t="str">
        <f t="shared" si="237"/>
        <v/>
      </c>
    </row>
    <row r="10051" spans="1:1">
      <c r="A10051" s="11" t="str">
        <f t="shared" ref="A10051:A10054" si="238">B10051&amp;D10051</f>
        <v/>
      </c>
    </row>
    <row r="10052" spans="1:1">
      <c r="A10052" s="11" t="str">
        <f t="shared" si="238"/>
        <v/>
      </c>
    </row>
    <row r="10053" spans="1:1">
      <c r="A10053" s="11" t="str">
        <f t="shared" si="238"/>
        <v/>
      </c>
    </row>
    <row r="10054" spans="1:1">
      <c r="A10054" s="11" t="str">
        <f t="shared" si="238"/>
        <v/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U1586"/>
  <sheetViews>
    <sheetView showGridLines="0" topLeftCell="A311" zoomScale="85" zoomScaleNormal="85" zoomScalePageLayoutView="85" workbookViewId="0">
      <selection activeCell="A4" sqref="A4:C357"/>
    </sheetView>
  </sheetViews>
  <sheetFormatPr baseColWidth="10" defaultColWidth="8.83203125" defaultRowHeight="14" x14ac:dyDescent="0"/>
  <cols>
    <col min="1" max="1" width="37.5" bestFit="1" customWidth="1"/>
    <col min="2" max="2" width="23.5" customWidth="1"/>
    <col min="3" max="3" width="9.33203125" customWidth="1"/>
    <col min="4" max="4" width="8.83203125" style="207"/>
  </cols>
  <sheetData>
    <row r="1" spans="1:21">
      <c r="A1" s="1" t="s">
        <v>149</v>
      </c>
    </row>
    <row r="2" spans="1:21">
      <c r="F2" s="208" t="str">
        <f>IFERROR(VLOOKUP("ERROR",E:E,1,0),"")</f>
        <v/>
      </c>
      <c r="G2" s="209" t="s">
        <v>150</v>
      </c>
      <c r="I2" s="1" t="s">
        <v>1070</v>
      </c>
      <c r="L2" s="1" t="s">
        <v>1070</v>
      </c>
      <c r="O2" s="1" t="s">
        <v>1071</v>
      </c>
    </row>
    <row r="3" spans="1:21">
      <c r="A3" s="204" t="s">
        <v>98</v>
      </c>
      <c r="B3" s="204" t="s">
        <v>99</v>
      </c>
      <c r="C3" s="204" t="s">
        <v>147</v>
      </c>
      <c r="L3" t="s">
        <v>1068</v>
      </c>
      <c r="M3" t="s">
        <v>1069</v>
      </c>
      <c r="O3" s="205" t="s">
        <v>82</v>
      </c>
      <c r="P3" s="205"/>
      <c r="Q3" s="205"/>
      <c r="R3" s="205"/>
      <c r="S3" s="205"/>
      <c r="T3" s="205"/>
      <c r="U3" s="205" t="s">
        <v>1072</v>
      </c>
    </row>
    <row r="4" spans="1:21">
      <c r="A4" t="s">
        <v>112</v>
      </c>
      <c r="B4" t="s">
        <v>113</v>
      </c>
      <c r="C4" t="s">
        <v>146</v>
      </c>
      <c r="D4" s="207">
        <f t="shared" ref="D4:D67" si="0">IF(A4=A3,2,0)</f>
        <v>0</v>
      </c>
      <c r="E4" t="str">
        <f>IF(SUMIFS(D:D,A:A,A4)&lt;&gt;2,"ERROR","")</f>
        <v/>
      </c>
      <c r="I4" t="str">
        <f>+A4</f>
        <v>05-15873181</v>
      </c>
      <c r="J4" t="str">
        <f>+E4</f>
        <v/>
      </c>
      <c r="L4" t="s">
        <v>103</v>
      </c>
      <c r="M4" t="s">
        <v>1066</v>
      </c>
      <c r="O4" t="s">
        <v>130</v>
      </c>
      <c r="U4" t="s">
        <v>145</v>
      </c>
    </row>
    <row r="5" spans="1:21">
      <c r="A5" t="s">
        <v>112</v>
      </c>
      <c r="B5" t="s">
        <v>113</v>
      </c>
      <c r="C5" t="s">
        <v>145</v>
      </c>
      <c r="D5" s="207">
        <f t="shared" si="0"/>
        <v>2</v>
      </c>
      <c r="E5" t="str">
        <f t="shared" ref="E5:E68" si="1">IF(SUMIFS(D:D,A:A,A5)&lt;&gt;2,"ERROR","")</f>
        <v/>
      </c>
      <c r="I5" t="str">
        <f t="shared" ref="I5:I68" si="2">+A5</f>
        <v>05-15873181</v>
      </c>
      <c r="J5" t="str">
        <f t="shared" ref="J5:J68" si="3">+E5</f>
        <v/>
      </c>
      <c r="L5" t="s">
        <v>103</v>
      </c>
      <c r="M5" t="s">
        <v>1066</v>
      </c>
      <c r="O5" t="s">
        <v>148</v>
      </c>
      <c r="U5" t="s">
        <v>145</v>
      </c>
    </row>
    <row r="6" spans="1:21">
      <c r="A6" t="s">
        <v>127</v>
      </c>
      <c r="B6" t="s">
        <v>128</v>
      </c>
      <c r="C6" t="s">
        <v>146</v>
      </c>
      <c r="D6" s="207">
        <f t="shared" si="0"/>
        <v>0</v>
      </c>
      <c r="E6" t="str">
        <f t="shared" si="1"/>
        <v/>
      </c>
      <c r="I6" t="str">
        <f t="shared" si="2"/>
        <v>05-27007655</v>
      </c>
      <c r="J6" t="str">
        <f t="shared" si="3"/>
        <v/>
      </c>
      <c r="L6" t="s">
        <v>107</v>
      </c>
      <c r="M6" t="s">
        <v>1066</v>
      </c>
      <c r="O6" t="s">
        <v>312</v>
      </c>
      <c r="U6" t="s">
        <v>145</v>
      </c>
    </row>
    <row r="7" spans="1:21">
      <c r="A7" t="s">
        <v>127</v>
      </c>
      <c r="B7" t="s">
        <v>128</v>
      </c>
      <c r="C7" t="s">
        <v>145</v>
      </c>
      <c r="D7" s="207">
        <f t="shared" si="0"/>
        <v>2</v>
      </c>
      <c r="E7" t="str">
        <f t="shared" si="1"/>
        <v/>
      </c>
      <c r="I7" t="str">
        <f t="shared" si="2"/>
        <v>05-27007655</v>
      </c>
      <c r="J7" t="str">
        <f t="shared" si="3"/>
        <v/>
      </c>
      <c r="L7" t="s">
        <v>107</v>
      </c>
      <c r="M7" t="s">
        <v>1066</v>
      </c>
      <c r="O7" t="s">
        <v>330</v>
      </c>
      <c r="U7" t="s">
        <v>145</v>
      </c>
    </row>
    <row r="8" spans="1:21">
      <c r="A8" t="s">
        <v>137</v>
      </c>
      <c r="B8" t="s">
        <v>138</v>
      </c>
      <c r="C8" t="s">
        <v>146</v>
      </c>
      <c r="D8" s="207">
        <f t="shared" si="0"/>
        <v>0</v>
      </c>
      <c r="E8" t="str">
        <f t="shared" si="1"/>
        <v/>
      </c>
      <c r="I8" t="str">
        <f t="shared" si="2"/>
        <v>05-30244858</v>
      </c>
      <c r="J8" t="str">
        <f t="shared" si="3"/>
        <v/>
      </c>
      <c r="L8" t="s">
        <v>108</v>
      </c>
      <c r="M8" t="s">
        <v>1066</v>
      </c>
      <c r="O8" t="s">
        <v>331</v>
      </c>
      <c r="U8" t="s">
        <v>145</v>
      </c>
    </row>
    <row r="9" spans="1:21">
      <c r="A9" t="s">
        <v>137</v>
      </c>
      <c r="B9" t="s">
        <v>138</v>
      </c>
      <c r="C9" t="s">
        <v>145</v>
      </c>
      <c r="D9" s="207">
        <f t="shared" si="0"/>
        <v>2</v>
      </c>
      <c r="E9" t="str">
        <f t="shared" si="1"/>
        <v/>
      </c>
      <c r="I9" t="str">
        <f t="shared" si="2"/>
        <v>05-30244858</v>
      </c>
      <c r="J9" t="str">
        <f t="shared" si="3"/>
        <v/>
      </c>
      <c r="L9" t="s">
        <v>108</v>
      </c>
      <c r="M9" t="s">
        <v>1066</v>
      </c>
      <c r="O9" t="s">
        <v>362</v>
      </c>
      <c r="U9" t="s">
        <v>145</v>
      </c>
    </row>
    <row r="10" spans="1:21">
      <c r="A10" t="s">
        <v>139</v>
      </c>
      <c r="B10" t="s">
        <v>140</v>
      </c>
      <c r="C10" t="s">
        <v>146</v>
      </c>
      <c r="D10" s="207">
        <f t="shared" si="0"/>
        <v>0</v>
      </c>
      <c r="E10" t="str">
        <f t="shared" si="1"/>
        <v/>
      </c>
      <c r="I10" t="str">
        <f t="shared" si="2"/>
        <v>05-30248928</v>
      </c>
      <c r="J10" t="str">
        <f t="shared" si="3"/>
        <v/>
      </c>
      <c r="L10" t="s">
        <v>109</v>
      </c>
      <c r="M10" t="s">
        <v>1066</v>
      </c>
      <c r="O10" t="s">
        <v>383</v>
      </c>
      <c r="U10" t="s">
        <v>145</v>
      </c>
    </row>
    <row r="11" spans="1:21">
      <c r="A11" t="s">
        <v>139</v>
      </c>
      <c r="B11" t="s">
        <v>140</v>
      </c>
      <c r="C11" t="s">
        <v>145</v>
      </c>
      <c r="D11" s="207">
        <f t="shared" si="0"/>
        <v>2</v>
      </c>
      <c r="E11" t="str">
        <f t="shared" si="1"/>
        <v/>
      </c>
      <c r="I11" t="str">
        <f t="shared" si="2"/>
        <v>05-30248928</v>
      </c>
      <c r="J11" t="str">
        <f t="shared" si="3"/>
        <v/>
      </c>
      <c r="L11" t="s">
        <v>109</v>
      </c>
      <c r="M11" t="s">
        <v>1066</v>
      </c>
      <c r="O11" t="s">
        <v>385</v>
      </c>
      <c r="U11" t="s">
        <v>145</v>
      </c>
    </row>
    <row r="12" spans="1:21">
      <c r="A12" t="s">
        <v>141</v>
      </c>
      <c r="B12" t="s">
        <v>142</v>
      </c>
      <c r="C12" t="s">
        <v>146</v>
      </c>
      <c r="D12" s="207">
        <f t="shared" si="0"/>
        <v>0</v>
      </c>
      <c r="E12" t="str">
        <f t="shared" si="1"/>
        <v/>
      </c>
      <c r="I12" t="str">
        <f t="shared" si="2"/>
        <v>05-30287365</v>
      </c>
      <c r="J12" t="str">
        <f t="shared" si="3"/>
        <v/>
      </c>
      <c r="L12" t="s">
        <v>110</v>
      </c>
      <c r="M12" t="s">
        <v>1066</v>
      </c>
      <c r="O12" t="s">
        <v>472</v>
      </c>
      <c r="U12" t="s">
        <v>145</v>
      </c>
    </row>
    <row r="13" spans="1:21">
      <c r="A13" t="s">
        <v>141</v>
      </c>
      <c r="B13" t="s">
        <v>142</v>
      </c>
      <c r="C13" t="s">
        <v>145</v>
      </c>
      <c r="D13" s="207">
        <f t="shared" si="0"/>
        <v>2</v>
      </c>
      <c r="E13" t="str">
        <f t="shared" si="1"/>
        <v/>
      </c>
      <c r="I13" t="str">
        <f t="shared" si="2"/>
        <v>05-30287365</v>
      </c>
      <c r="J13" t="str">
        <f t="shared" si="3"/>
        <v/>
      </c>
      <c r="L13" t="s">
        <v>110</v>
      </c>
      <c r="M13" t="s">
        <v>1066</v>
      </c>
      <c r="O13" t="s">
        <v>477</v>
      </c>
      <c r="U13" t="s">
        <v>145</v>
      </c>
    </row>
    <row r="14" spans="1:21">
      <c r="A14" t="s">
        <v>152</v>
      </c>
      <c r="B14" t="s">
        <v>153</v>
      </c>
      <c r="C14" t="s">
        <v>146</v>
      </c>
      <c r="D14" s="207">
        <f t="shared" si="0"/>
        <v>0</v>
      </c>
      <c r="E14" t="str">
        <f t="shared" si="1"/>
        <v/>
      </c>
      <c r="I14" t="str">
        <f t="shared" si="2"/>
        <v>05-30319330</v>
      </c>
      <c r="J14" t="str">
        <f t="shared" si="3"/>
        <v/>
      </c>
      <c r="L14" t="s">
        <v>111</v>
      </c>
      <c r="M14" t="s">
        <v>1066</v>
      </c>
      <c r="O14" t="s">
        <v>479</v>
      </c>
      <c r="U14" t="s">
        <v>145</v>
      </c>
    </row>
    <row r="15" spans="1:21">
      <c r="A15" t="s">
        <v>152</v>
      </c>
      <c r="B15" t="s">
        <v>153</v>
      </c>
      <c r="C15" t="s">
        <v>145</v>
      </c>
      <c r="D15" s="207">
        <f t="shared" si="0"/>
        <v>2</v>
      </c>
      <c r="E15" t="str">
        <f t="shared" si="1"/>
        <v/>
      </c>
      <c r="I15" t="str">
        <f t="shared" si="2"/>
        <v>05-30319330</v>
      </c>
      <c r="J15" t="str">
        <f t="shared" si="3"/>
        <v/>
      </c>
      <c r="L15" t="s">
        <v>111</v>
      </c>
      <c r="M15" t="s">
        <v>1066</v>
      </c>
      <c r="O15" t="s">
        <v>480</v>
      </c>
      <c r="U15" t="s">
        <v>145</v>
      </c>
    </row>
    <row r="16" spans="1:21">
      <c r="A16" t="s">
        <v>154</v>
      </c>
      <c r="B16" t="s">
        <v>155</v>
      </c>
      <c r="C16" t="s">
        <v>146</v>
      </c>
      <c r="D16" s="207">
        <f t="shared" si="0"/>
        <v>0</v>
      </c>
      <c r="E16" t="str">
        <f t="shared" si="1"/>
        <v/>
      </c>
      <c r="I16" t="str">
        <f t="shared" si="2"/>
        <v>05-30322941</v>
      </c>
      <c r="J16" t="str">
        <f t="shared" si="3"/>
        <v/>
      </c>
      <c r="L16" t="s">
        <v>112</v>
      </c>
      <c r="M16" t="s">
        <v>1066</v>
      </c>
      <c r="O16" t="s">
        <v>481</v>
      </c>
      <c r="U16" t="s">
        <v>145</v>
      </c>
    </row>
    <row r="17" spans="1:21">
      <c r="A17" t="s">
        <v>154</v>
      </c>
      <c r="B17" t="s">
        <v>155</v>
      </c>
      <c r="C17" t="s">
        <v>145</v>
      </c>
      <c r="D17" s="207">
        <f t="shared" si="0"/>
        <v>2</v>
      </c>
      <c r="E17" t="str">
        <f t="shared" si="1"/>
        <v/>
      </c>
      <c r="I17" t="str">
        <f t="shared" si="2"/>
        <v>05-30322941</v>
      </c>
      <c r="J17" t="str">
        <f t="shared" si="3"/>
        <v/>
      </c>
      <c r="L17" t="s">
        <v>112</v>
      </c>
      <c r="M17" t="s">
        <v>1066</v>
      </c>
      <c r="O17" t="s">
        <v>490</v>
      </c>
      <c r="U17" t="s">
        <v>145</v>
      </c>
    </row>
    <row r="18" spans="1:21">
      <c r="A18" t="s">
        <v>157</v>
      </c>
      <c r="B18" t="s">
        <v>158</v>
      </c>
      <c r="C18" t="s">
        <v>146</v>
      </c>
      <c r="D18" s="207">
        <f t="shared" si="0"/>
        <v>0</v>
      </c>
      <c r="E18" t="str">
        <f t="shared" si="1"/>
        <v/>
      </c>
      <c r="I18" t="str">
        <f t="shared" si="2"/>
        <v>05-30388930</v>
      </c>
      <c r="J18" t="str">
        <f t="shared" si="3"/>
        <v/>
      </c>
      <c r="L18" t="s">
        <v>114</v>
      </c>
      <c r="M18" t="s">
        <v>1066</v>
      </c>
      <c r="O18" t="s">
        <v>531</v>
      </c>
      <c r="U18" t="s">
        <v>145</v>
      </c>
    </row>
    <row r="19" spans="1:21">
      <c r="A19" t="s">
        <v>157</v>
      </c>
      <c r="B19" t="s">
        <v>158</v>
      </c>
      <c r="C19" t="s">
        <v>145</v>
      </c>
      <c r="D19" s="207">
        <f t="shared" si="0"/>
        <v>2</v>
      </c>
      <c r="E19" t="str">
        <f t="shared" si="1"/>
        <v/>
      </c>
      <c r="I19" t="str">
        <f t="shared" si="2"/>
        <v>05-30388930</v>
      </c>
      <c r="J19" t="str">
        <f t="shared" si="3"/>
        <v/>
      </c>
      <c r="L19" t="s">
        <v>114</v>
      </c>
      <c r="M19" t="s">
        <v>1066</v>
      </c>
      <c r="O19" t="s">
        <v>544</v>
      </c>
      <c r="U19" t="s">
        <v>145</v>
      </c>
    </row>
    <row r="20" spans="1:21">
      <c r="A20" t="s">
        <v>162</v>
      </c>
      <c r="B20" t="s">
        <v>163</v>
      </c>
      <c r="C20" t="s">
        <v>146</v>
      </c>
      <c r="D20" s="207">
        <f t="shared" si="0"/>
        <v>0</v>
      </c>
      <c r="E20" t="str">
        <f t="shared" si="1"/>
        <v/>
      </c>
      <c r="I20" t="str">
        <f t="shared" si="2"/>
        <v>05-30547975</v>
      </c>
      <c r="J20" t="str">
        <f t="shared" si="3"/>
        <v/>
      </c>
      <c r="L20" t="s">
        <v>115</v>
      </c>
      <c r="M20" t="s">
        <v>1066</v>
      </c>
      <c r="O20" t="s">
        <v>554</v>
      </c>
      <c r="U20" t="s">
        <v>145</v>
      </c>
    </row>
    <row r="21" spans="1:21">
      <c r="A21" t="s">
        <v>162</v>
      </c>
      <c r="B21" t="s">
        <v>163</v>
      </c>
      <c r="C21" t="s">
        <v>145</v>
      </c>
      <c r="D21" s="207">
        <f t="shared" si="0"/>
        <v>2</v>
      </c>
      <c r="E21" t="str">
        <f t="shared" si="1"/>
        <v/>
      </c>
      <c r="I21" t="str">
        <f t="shared" si="2"/>
        <v>05-30547975</v>
      </c>
      <c r="J21" t="str">
        <f t="shared" si="3"/>
        <v/>
      </c>
      <c r="L21" t="s">
        <v>115</v>
      </c>
      <c r="M21" t="s">
        <v>1066</v>
      </c>
      <c r="O21" t="s">
        <v>559</v>
      </c>
      <c r="U21" t="s">
        <v>145</v>
      </c>
    </row>
    <row r="22" spans="1:21">
      <c r="A22" t="s">
        <v>165</v>
      </c>
      <c r="B22" t="s">
        <v>166</v>
      </c>
      <c r="C22" t="s">
        <v>146</v>
      </c>
      <c r="D22" s="207">
        <f t="shared" si="0"/>
        <v>0</v>
      </c>
      <c r="E22" t="str">
        <f t="shared" si="1"/>
        <v/>
      </c>
      <c r="I22" t="str">
        <f t="shared" si="2"/>
        <v>05-30553129</v>
      </c>
      <c r="J22" t="str">
        <f t="shared" si="3"/>
        <v/>
      </c>
      <c r="L22" t="s">
        <v>116</v>
      </c>
      <c r="M22" t="s">
        <v>1066</v>
      </c>
      <c r="O22" t="s">
        <v>570</v>
      </c>
      <c r="U22" t="s">
        <v>145</v>
      </c>
    </row>
    <row r="23" spans="1:21">
      <c r="A23" t="s">
        <v>165</v>
      </c>
      <c r="B23" t="s">
        <v>166</v>
      </c>
      <c r="C23" t="s">
        <v>145</v>
      </c>
      <c r="D23" s="207">
        <f t="shared" si="0"/>
        <v>2</v>
      </c>
      <c r="E23" t="str">
        <f t="shared" si="1"/>
        <v/>
      </c>
      <c r="I23" t="str">
        <f t="shared" si="2"/>
        <v>05-30553129</v>
      </c>
      <c r="J23" t="str">
        <f t="shared" si="3"/>
        <v/>
      </c>
      <c r="L23" t="s">
        <v>116</v>
      </c>
      <c r="M23" t="s">
        <v>1066</v>
      </c>
      <c r="O23" t="s">
        <v>571</v>
      </c>
      <c r="U23" t="s">
        <v>145</v>
      </c>
    </row>
    <row r="24" spans="1:21">
      <c r="A24" t="s">
        <v>177</v>
      </c>
      <c r="B24" t="s">
        <v>178</v>
      </c>
      <c r="C24" t="s">
        <v>146</v>
      </c>
      <c r="D24" s="207">
        <f t="shared" si="0"/>
        <v>0</v>
      </c>
      <c r="E24" t="str">
        <f t="shared" si="1"/>
        <v/>
      </c>
      <c r="I24" t="str">
        <f t="shared" si="2"/>
        <v>05-30896369</v>
      </c>
      <c r="J24" t="str">
        <f t="shared" si="3"/>
        <v/>
      </c>
      <c r="L24" t="s">
        <v>117</v>
      </c>
      <c r="M24" t="s">
        <v>1066</v>
      </c>
      <c r="O24" t="s">
        <v>572</v>
      </c>
      <c r="U24" t="s">
        <v>145</v>
      </c>
    </row>
    <row r="25" spans="1:21">
      <c r="A25" t="s">
        <v>177</v>
      </c>
      <c r="B25" t="s">
        <v>178</v>
      </c>
      <c r="C25" t="s">
        <v>145</v>
      </c>
      <c r="D25" s="207">
        <f t="shared" si="0"/>
        <v>2</v>
      </c>
      <c r="E25" t="str">
        <f t="shared" si="1"/>
        <v/>
      </c>
      <c r="I25" t="str">
        <f t="shared" si="2"/>
        <v>05-30896369</v>
      </c>
      <c r="J25" t="str">
        <f t="shared" si="3"/>
        <v/>
      </c>
      <c r="L25" t="s">
        <v>117</v>
      </c>
      <c r="M25" t="s">
        <v>1066</v>
      </c>
      <c r="O25" t="s">
        <v>587</v>
      </c>
      <c r="U25" t="s">
        <v>145</v>
      </c>
    </row>
    <row r="26" spans="1:21">
      <c r="A26" t="s">
        <v>186</v>
      </c>
      <c r="B26" t="s">
        <v>187</v>
      </c>
      <c r="C26" t="s">
        <v>146</v>
      </c>
      <c r="D26" s="207">
        <f t="shared" si="0"/>
        <v>0</v>
      </c>
      <c r="E26" t="str">
        <f t="shared" si="1"/>
        <v/>
      </c>
      <c r="I26" t="str">
        <f t="shared" si="2"/>
        <v>05-31006750</v>
      </c>
      <c r="J26" t="str">
        <f t="shared" si="3"/>
        <v/>
      </c>
      <c r="L26" t="s">
        <v>118</v>
      </c>
      <c r="M26" t="s">
        <v>1066</v>
      </c>
      <c r="O26" t="s">
        <v>607</v>
      </c>
      <c r="U26" t="s">
        <v>145</v>
      </c>
    </row>
    <row r="27" spans="1:21">
      <c r="A27" t="s">
        <v>186</v>
      </c>
      <c r="B27" t="s">
        <v>187</v>
      </c>
      <c r="C27" t="s">
        <v>145</v>
      </c>
      <c r="D27" s="207">
        <f t="shared" si="0"/>
        <v>2</v>
      </c>
      <c r="E27" t="str">
        <f t="shared" si="1"/>
        <v/>
      </c>
      <c r="I27" t="str">
        <f t="shared" si="2"/>
        <v>05-31006750</v>
      </c>
      <c r="J27" t="str">
        <f t="shared" si="3"/>
        <v/>
      </c>
      <c r="L27" t="s">
        <v>118</v>
      </c>
      <c r="M27" t="s">
        <v>1066</v>
      </c>
    </row>
    <row r="28" spans="1:21">
      <c r="A28" t="s">
        <v>199</v>
      </c>
      <c r="B28" t="s">
        <v>200</v>
      </c>
      <c r="C28" t="s">
        <v>146</v>
      </c>
      <c r="D28" s="207">
        <f t="shared" si="0"/>
        <v>0</v>
      </c>
      <c r="E28" t="str">
        <f t="shared" si="1"/>
        <v/>
      </c>
      <c r="I28" t="str">
        <f t="shared" si="2"/>
        <v>05-42143260</v>
      </c>
      <c r="J28" t="str">
        <f t="shared" si="3"/>
        <v/>
      </c>
      <c r="L28" t="s">
        <v>119</v>
      </c>
      <c r="M28" t="s">
        <v>1066</v>
      </c>
    </row>
    <row r="29" spans="1:21">
      <c r="A29" t="s">
        <v>199</v>
      </c>
      <c r="B29" t="s">
        <v>200</v>
      </c>
      <c r="C29" t="s">
        <v>145</v>
      </c>
      <c r="D29" s="207">
        <f t="shared" si="0"/>
        <v>2</v>
      </c>
      <c r="E29" t="str">
        <f t="shared" si="1"/>
        <v/>
      </c>
      <c r="I29" t="str">
        <f t="shared" si="2"/>
        <v>05-42143260</v>
      </c>
      <c r="J29" t="str">
        <f t="shared" si="3"/>
        <v/>
      </c>
      <c r="L29" t="s">
        <v>119</v>
      </c>
      <c r="M29" t="s">
        <v>1066</v>
      </c>
    </row>
    <row r="30" spans="1:21">
      <c r="A30" t="s">
        <v>202</v>
      </c>
      <c r="B30" t="s">
        <v>203</v>
      </c>
      <c r="C30" t="s">
        <v>146</v>
      </c>
      <c r="D30" s="207">
        <f t="shared" si="0"/>
        <v>0</v>
      </c>
      <c r="E30" t="str">
        <f t="shared" si="1"/>
        <v/>
      </c>
      <c r="I30" t="str">
        <f t="shared" si="2"/>
        <v>05-42147965</v>
      </c>
      <c r="J30" t="str">
        <f t="shared" si="3"/>
        <v/>
      </c>
      <c r="L30" t="s">
        <v>120</v>
      </c>
      <c r="M30" t="s">
        <v>1066</v>
      </c>
    </row>
    <row r="31" spans="1:21">
      <c r="A31" t="s">
        <v>202</v>
      </c>
      <c r="B31" t="s">
        <v>203</v>
      </c>
      <c r="C31" t="s">
        <v>145</v>
      </c>
      <c r="D31" s="207">
        <f t="shared" si="0"/>
        <v>2</v>
      </c>
      <c r="E31" t="str">
        <f t="shared" si="1"/>
        <v/>
      </c>
      <c r="I31" t="str">
        <f t="shared" si="2"/>
        <v>05-42147965</v>
      </c>
      <c r="J31" t="str">
        <f t="shared" si="3"/>
        <v/>
      </c>
      <c r="L31" t="s">
        <v>120</v>
      </c>
      <c r="M31" t="s">
        <v>1066</v>
      </c>
    </row>
    <row r="32" spans="1:21">
      <c r="A32" t="s">
        <v>204</v>
      </c>
      <c r="B32" t="s">
        <v>205</v>
      </c>
      <c r="C32" t="s">
        <v>146</v>
      </c>
      <c r="D32" s="207">
        <f t="shared" si="0"/>
        <v>0</v>
      </c>
      <c r="E32" t="str">
        <f t="shared" si="1"/>
        <v/>
      </c>
      <c r="I32" t="str">
        <f t="shared" si="2"/>
        <v>05-42154992</v>
      </c>
      <c r="J32" t="str">
        <f t="shared" si="3"/>
        <v/>
      </c>
      <c r="L32" t="s">
        <v>121</v>
      </c>
      <c r="M32" t="s">
        <v>1066</v>
      </c>
    </row>
    <row r="33" spans="1:13">
      <c r="A33" t="s">
        <v>204</v>
      </c>
      <c r="B33" t="s">
        <v>205</v>
      </c>
      <c r="C33" t="s">
        <v>145</v>
      </c>
      <c r="D33" s="207">
        <f t="shared" si="0"/>
        <v>2</v>
      </c>
      <c r="E33" t="str">
        <f t="shared" si="1"/>
        <v/>
      </c>
      <c r="I33" t="str">
        <f t="shared" si="2"/>
        <v>05-42154992</v>
      </c>
      <c r="J33" t="str">
        <f t="shared" si="3"/>
        <v/>
      </c>
      <c r="L33" t="s">
        <v>121</v>
      </c>
      <c r="M33" t="s">
        <v>1066</v>
      </c>
    </row>
    <row r="34" spans="1:13">
      <c r="A34" t="s">
        <v>208</v>
      </c>
      <c r="B34" t="s">
        <v>209</v>
      </c>
      <c r="C34" t="s">
        <v>146</v>
      </c>
      <c r="D34" s="207">
        <f t="shared" si="0"/>
        <v>0</v>
      </c>
      <c r="E34" t="str">
        <f t="shared" si="1"/>
        <v/>
      </c>
      <c r="I34" t="str">
        <f t="shared" si="2"/>
        <v>05-42200653</v>
      </c>
      <c r="J34" t="str">
        <f t="shared" si="3"/>
        <v/>
      </c>
      <c r="L34" t="s">
        <v>122</v>
      </c>
      <c r="M34" t="s">
        <v>1066</v>
      </c>
    </row>
    <row r="35" spans="1:13">
      <c r="A35" t="s">
        <v>208</v>
      </c>
      <c r="B35" t="s">
        <v>209</v>
      </c>
      <c r="C35" t="s">
        <v>145</v>
      </c>
      <c r="D35" s="207">
        <f t="shared" si="0"/>
        <v>2</v>
      </c>
      <c r="E35" t="str">
        <f t="shared" si="1"/>
        <v/>
      </c>
      <c r="I35" t="str">
        <f t="shared" si="2"/>
        <v>05-42200653</v>
      </c>
      <c r="J35" t="str">
        <f t="shared" si="3"/>
        <v/>
      </c>
      <c r="L35" t="s">
        <v>122</v>
      </c>
      <c r="M35" t="s">
        <v>1066</v>
      </c>
    </row>
    <row r="36" spans="1:13">
      <c r="A36" t="s">
        <v>213</v>
      </c>
      <c r="B36" t="s">
        <v>214</v>
      </c>
      <c r="C36" t="s">
        <v>146</v>
      </c>
      <c r="D36" s="207">
        <f t="shared" si="0"/>
        <v>0</v>
      </c>
      <c r="E36" t="str">
        <f t="shared" si="1"/>
        <v/>
      </c>
      <c r="I36" t="str">
        <f t="shared" si="2"/>
        <v>05-43036558</v>
      </c>
      <c r="J36" t="str">
        <f t="shared" si="3"/>
        <v/>
      </c>
      <c r="L36" t="s">
        <v>123</v>
      </c>
      <c r="M36" t="s">
        <v>1066</v>
      </c>
    </row>
    <row r="37" spans="1:13">
      <c r="A37" t="s">
        <v>213</v>
      </c>
      <c r="B37" t="s">
        <v>214</v>
      </c>
      <c r="C37" t="s">
        <v>145</v>
      </c>
      <c r="D37" s="207">
        <f t="shared" si="0"/>
        <v>2</v>
      </c>
      <c r="E37" t="str">
        <f t="shared" si="1"/>
        <v/>
      </c>
      <c r="I37" t="str">
        <f t="shared" si="2"/>
        <v>05-43036558</v>
      </c>
      <c r="J37" t="str">
        <f t="shared" si="3"/>
        <v/>
      </c>
      <c r="L37" t="s">
        <v>123</v>
      </c>
      <c r="M37" t="s">
        <v>1066</v>
      </c>
    </row>
    <row r="38" spans="1:13">
      <c r="A38" t="s">
        <v>220</v>
      </c>
      <c r="B38" t="s">
        <v>221</v>
      </c>
      <c r="C38" t="s">
        <v>146</v>
      </c>
      <c r="D38" s="207">
        <f t="shared" si="0"/>
        <v>0</v>
      </c>
      <c r="E38" t="str">
        <f t="shared" si="1"/>
        <v/>
      </c>
      <c r="I38" t="str">
        <f t="shared" si="2"/>
        <v>05-44797573</v>
      </c>
      <c r="J38" t="str">
        <f t="shared" si="3"/>
        <v/>
      </c>
      <c r="L38" t="s">
        <v>124</v>
      </c>
      <c r="M38" t="s">
        <v>1066</v>
      </c>
    </row>
    <row r="39" spans="1:13">
      <c r="A39" t="s">
        <v>220</v>
      </c>
      <c r="B39" t="s">
        <v>221</v>
      </c>
      <c r="C39" t="s">
        <v>145</v>
      </c>
      <c r="D39" s="207">
        <f t="shared" si="0"/>
        <v>2</v>
      </c>
      <c r="E39" t="str">
        <f t="shared" si="1"/>
        <v/>
      </c>
      <c r="I39" t="str">
        <f t="shared" si="2"/>
        <v>05-44797573</v>
      </c>
      <c r="J39" t="str">
        <f t="shared" si="3"/>
        <v/>
      </c>
      <c r="L39" t="s">
        <v>124</v>
      </c>
      <c r="M39" t="s">
        <v>1066</v>
      </c>
    </row>
    <row r="40" spans="1:13">
      <c r="A40" t="s">
        <v>223</v>
      </c>
      <c r="B40" t="s">
        <v>224</v>
      </c>
      <c r="C40" t="s">
        <v>146</v>
      </c>
      <c r="D40" s="207">
        <f t="shared" si="0"/>
        <v>0</v>
      </c>
      <c r="E40" t="str">
        <f t="shared" si="1"/>
        <v/>
      </c>
      <c r="I40" t="str">
        <f t="shared" si="2"/>
        <v>05-45284052</v>
      </c>
      <c r="J40" t="str">
        <f t="shared" si="3"/>
        <v/>
      </c>
      <c r="L40" t="s">
        <v>125</v>
      </c>
      <c r="M40" t="s">
        <v>1066</v>
      </c>
    </row>
    <row r="41" spans="1:13">
      <c r="A41" t="s">
        <v>223</v>
      </c>
      <c r="B41" t="s">
        <v>224</v>
      </c>
      <c r="C41" t="s">
        <v>145</v>
      </c>
      <c r="D41" s="207">
        <f t="shared" si="0"/>
        <v>2</v>
      </c>
      <c r="E41" t="str">
        <f t="shared" si="1"/>
        <v/>
      </c>
      <c r="I41" t="str">
        <f t="shared" si="2"/>
        <v>05-45284052</v>
      </c>
      <c r="J41" t="str">
        <f t="shared" si="3"/>
        <v/>
      </c>
      <c r="L41" t="s">
        <v>125</v>
      </c>
      <c r="M41" t="s">
        <v>1066</v>
      </c>
    </row>
    <row r="42" spans="1:13">
      <c r="A42" t="s">
        <v>227</v>
      </c>
      <c r="B42" t="s">
        <v>228</v>
      </c>
      <c r="C42" t="s">
        <v>146</v>
      </c>
      <c r="D42" s="207">
        <f t="shared" si="0"/>
        <v>0</v>
      </c>
      <c r="E42" t="str">
        <f t="shared" si="1"/>
        <v/>
      </c>
      <c r="I42" t="str">
        <f t="shared" si="2"/>
        <v>05-48601546</v>
      </c>
      <c r="J42" t="str">
        <f t="shared" si="3"/>
        <v/>
      </c>
      <c r="L42" t="s">
        <v>126</v>
      </c>
      <c r="M42" t="s">
        <v>1066</v>
      </c>
    </row>
    <row r="43" spans="1:13">
      <c r="A43" t="s">
        <v>227</v>
      </c>
      <c r="B43" t="s">
        <v>228</v>
      </c>
      <c r="C43" t="s">
        <v>145</v>
      </c>
      <c r="D43" s="207">
        <f t="shared" si="0"/>
        <v>2</v>
      </c>
      <c r="E43" t="str">
        <f t="shared" si="1"/>
        <v/>
      </c>
      <c r="I43" t="str">
        <f t="shared" si="2"/>
        <v>05-48601546</v>
      </c>
      <c r="J43" t="str">
        <f t="shared" si="3"/>
        <v/>
      </c>
      <c r="L43" t="s">
        <v>126</v>
      </c>
      <c r="M43" t="s">
        <v>1066</v>
      </c>
    </row>
    <row r="44" spans="1:13">
      <c r="A44" t="s">
        <v>229</v>
      </c>
      <c r="B44" t="s">
        <v>230</v>
      </c>
      <c r="C44" t="s">
        <v>146</v>
      </c>
      <c r="D44" s="207">
        <f t="shared" si="0"/>
        <v>0</v>
      </c>
      <c r="E44" t="str">
        <f t="shared" si="1"/>
        <v/>
      </c>
      <c r="I44" t="str">
        <f t="shared" si="2"/>
        <v>05-48607670</v>
      </c>
      <c r="J44" t="str">
        <f t="shared" si="3"/>
        <v/>
      </c>
      <c r="L44" t="s">
        <v>127</v>
      </c>
      <c r="M44" t="s">
        <v>1066</v>
      </c>
    </row>
    <row r="45" spans="1:13">
      <c r="A45" t="s">
        <v>229</v>
      </c>
      <c r="B45" t="s">
        <v>230</v>
      </c>
      <c r="C45" t="s">
        <v>145</v>
      </c>
      <c r="D45" s="207">
        <f t="shared" si="0"/>
        <v>2</v>
      </c>
      <c r="E45" t="str">
        <f t="shared" si="1"/>
        <v/>
      </c>
      <c r="I45" t="str">
        <f t="shared" si="2"/>
        <v>05-48607670</v>
      </c>
      <c r="J45" t="str">
        <f t="shared" si="3"/>
        <v/>
      </c>
      <c r="L45" t="s">
        <v>127</v>
      </c>
      <c r="M45" t="s">
        <v>1066</v>
      </c>
    </row>
    <row r="46" spans="1:13">
      <c r="A46" t="s">
        <v>254</v>
      </c>
      <c r="B46" t="s">
        <v>255</v>
      </c>
      <c r="C46" t="s">
        <v>146</v>
      </c>
      <c r="D46" s="207">
        <f t="shared" si="0"/>
        <v>0</v>
      </c>
      <c r="E46" t="str">
        <f t="shared" si="1"/>
        <v/>
      </c>
      <c r="I46" t="str">
        <f t="shared" si="2"/>
        <v>05-61375440</v>
      </c>
      <c r="J46" t="str">
        <f t="shared" si="3"/>
        <v/>
      </c>
      <c r="L46" t="s">
        <v>129</v>
      </c>
      <c r="M46" t="s">
        <v>1066</v>
      </c>
    </row>
    <row r="47" spans="1:13">
      <c r="A47" t="s">
        <v>254</v>
      </c>
      <c r="B47" t="s">
        <v>255</v>
      </c>
      <c r="C47" t="s">
        <v>145</v>
      </c>
      <c r="D47" s="207">
        <f t="shared" si="0"/>
        <v>2</v>
      </c>
      <c r="E47" t="str">
        <f t="shared" si="1"/>
        <v/>
      </c>
      <c r="I47" t="str">
        <f t="shared" si="2"/>
        <v>05-61375440</v>
      </c>
      <c r="J47" t="str">
        <f t="shared" si="3"/>
        <v/>
      </c>
      <c r="L47" t="s">
        <v>129</v>
      </c>
      <c r="M47" t="s">
        <v>1066</v>
      </c>
    </row>
    <row r="48" spans="1:13">
      <c r="A48" t="s">
        <v>268</v>
      </c>
      <c r="B48" t="s">
        <v>269</v>
      </c>
      <c r="C48" t="s">
        <v>146</v>
      </c>
      <c r="D48" s="207">
        <f t="shared" si="0"/>
        <v>0</v>
      </c>
      <c r="E48" t="str">
        <f t="shared" si="1"/>
        <v/>
      </c>
      <c r="I48" t="str">
        <f t="shared" si="2"/>
        <v>05-67618714</v>
      </c>
      <c r="J48" t="str">
        <f t="shared" si="3"/>
        <v/>
      </c>
      <c r="L48" t="s">
        <v>130</v>
      </c>
      <c r="M48" t="s">
        <v>1067</v>
      </c>
    </row>
    <row r="49" spans="1:13">
      <c r="A49" t="s">
        <v>268</v>
      </c>
      <c r="B49" t="s">
        <v>269</v>
      </c>
      <c r="C49" t="s">
        <v>145</v>
      </c>
      <c r="D49" s="207">
        <f t="shared" si="0"/>
        <v>2</v>
      </c>
      <c r="E49" t="str">
        <f t="shared" si="1"/>
        <v/>
      </c>
      <c r="I49" t="str">
        <f t="shared" si="2"/>
        <v>05-67618714</v>
      </c>
      <c r="J49" t="str">
        <f t="shared" si="3"/>
        <v/>
      </c>
      <c r="L49" t="s">
        <v>131</v>
      </c>
      <c r="M49" t="s">
        <v>1066</v>
      </c>
    </row>
    <row r="50" spans="1:13">
      <c r="A50" t="s">
        <v>276</v>
      </c>
      <c r="B50" t="s">
        <v>277</v>
      </c>
      <c r="C50" t="s">
        <v>146</v>
      </c>
      <c r="D50" s="207">
        <f t="shared" si="0"/>
        <v>0</v>
      </c>
      <c r="E50" t="str">
        <f t="shared" si="1"/>
        <v/>
      </c>
      <c r="I50" t="str">
        <f t="shared" si="2"/>
        <v>05-71839846</v>
      </c>
      <c r="J50" t="str">
        <f t="shared" si="3"/>
        <v/>
      </c>
      <c r="L50" t="s">
        <v>131</v>
      </c>
      <c r="M50" t="s">
        <v>1066</v>
      </c>
    </row>
    <row r="51" spans="1:13">
      <c r="A51" t="s">
        <v>276</v>
      </c>
      <c r="B51" t="s">
        <v>277</v>
      </c>
      <c r="C51" t="s">
        <v>145</v>
      </c>
      <c r="D51" s="207">
        <f t="shared" si="0"/>
        <v>2</v>
      </c>
      <c r="E51" t="str">
        <f t="shared" si="1"/>
        <v/>
      </c>
      <c r="I51" t="str">
        <f t="shared" si="2"/>
        <v>05-71839846</v>
      </c>
      <c r="J51" t="str">
        <f t="shared" si="3"/>
        <v/>
      </c>
      <c r="L51" t="s">
        <v>132</v>
      </c>
      <c r="M51" t="s">
        <v>1066</v>
      </c>
    </row>
    <row r="52" spans="1:13">
      <c r="A52" t="s">
        <v>287</v>
      </c>
      <c r="B52" t="s">
        <v>288</v>
      </c>
      <c r="C52" t="s">
        <v>146</v>
      </c>
      <c r="D52" s="207">
        <f t="shared" si="0"/>
        <v>0</v>
      </c>
      <c r="E52" t="str">
        <f t="shared" si="1"/>
        <v/>
      </c>
      <c r="I52" t="str">
        <f t="shared" si="2"/>
        <v>05-73173447</v>
      </c>
      <c r="J52" t="str">
        <f t="shared" si="3"/>
        <v/>
      </c>
      <c r="L52" t="s">
        <v>132</v>
      </c>
      <c r="M52" t="s">
        <v>1066</v>
      </c>
    </row>
    <row r="53" spans="1:13">
      <c r="A53" t="s">
        <v>287</v>
      </c>
      <c r="B53" t="s">
        <v>288</v>
      </c>
      <c r="C53" t="s">
        <v>145</v>
      </c>
      <c r="D53" s="207">
        <f t="shared" si="0"/>
        <v>2</v>
      </c>
      <c r="E53" t="str">
        <f t="shared" si="1"/>
        <v/>
      </c>
      <c r="I53" t="str">
        <f t="shared" si="2"/>
        <v>05-73173447</v>
      </c>
      <c r="J53" t="str">
        <f t="shared" si="3"/>
        <v/>
      </c>
      <c r="L53" t="s">
        <v>134</v>
      </c>
      <c r="M53" t="s">
        <v>1066</v>
      </c>
    </row>
    <row r="54" spans="1:13">
      <c r="A54" t="s">
        <v>294</v>
      </c>
      <c r="B54" t="s">
        <v>295</v>
      </c>
      <c r="C54" t="s">
        <v>146</v>
      </c>
      <c r="D54" s="207">
        <f t="shared" si="0"/>
        <v>0</v>
      </c>
      <c r="E54" t="str">
        <f t="shared" si="1"/>
        <v/>
      </c>
      <c r="I54" t="str">
        <f t="shared" si="2"/>
        <v>05-74103386</v>
      </c>
      <c r="J54" t="str">
        <f t="shared" si="3"/>
        <v/>
      </c>
      <c r="L54" t="s">
        <v>134</v>
      </c>
      <c r="M54" t="s">
        <v>1066</v>
      </c>
    </row>
    <row r="55" spans="1:13">
      <c r="A55" t="s">
        <v>294</v>
      </c>
      <c r="B55" t="s">
        <v>295</v>
      </c>
      <c r="C55" t="s">
        <v>145</v>
      </c>
      <c r="D55" s="207">
        <f t="shared" si="0"/>
        <v>2</v>
      </c>
      <c r="E55" t="str">
        <f t="shared" si="1"/>
        <v/>
      </c>
      <c r="I55" t="str">
        <f t="shared" si="2"/>
        <v>05-74103386</v>
      </c>
      <c r="J55" t="str">
        <f t="shared" si="3"/>
        <v/>
      </c>
      <c r="L55" t="s">
        <v>135</v>
      </c>
      <c r="M55" t="s">
        <v>1066</v>
      </c>
    </row>
    <row r="56" spans="1:13">
      <c r="A56" t="s">
        <v>296</v>
      </c>
      <c r="B56" t="s">
        <v>297</v>
      </c>
      <c r="C56" t="s">
        <v>146</v>
      </c>
      <c r="D56" s="207">
        <f t="shared" si="0"/>
        <v>0</v>
      </c>
      <c r="E56" t="str">
        <f t="shared" si="1"/>
        <v/>
      </c>
      <c r="I56" t="str">
        <f t="shared" si="2"/>
        <v>05-75008479</v>
      </c>
      <c r="J56" t="str">
        <f t="shared" si="3"/>
        <v/>
      </c>
      <c r="L56" t="s">
        <v>135</v>
      </c>
      <c r="M56" t="s">
        <v>1066</v>
      </c>
    </row>
    <row r="57" spans="1:13">
      <c r="A57" t="s">
        <v>296</v>
      </c>
      <c r="B57" t="s">
        <v>297</v>
      </c>
      <c r="C57" t="s">
        <v>145</v>
      </c>
      <c r="D57" s="207">
        <f t="shared" si="0"/>
        <v>2</v>
      </c>
      <c r="E57" t="str">
        <f t="shared" si="1"/>
        <v/>
      </c>
      <c r="I57" t="str">
        <f t="shared" si="2"/>
        <v>05-75008479</v>
      </c>
      <c r="J57" t="str">
        <f t="shared" si="3"/>
        <v/>
      </c>
      <c r="L57" t="s">
        <v>136</v>
      </c>
      <c r="M57" t="s">
        <v>1066</v>
      </c>
    </row>
    <row r="58" spans="1:13">
      <c r="A58" t="s">
        <v>298</v>
      </c>
      <c r="B58" t="s">
        <v>299</v>
      </c>
      <c r="C58" t="s">
        <v>146</v>
      </c>
      <c r="D58" s="207">
        <f t="shared" si="0"/>
        <v>0</v>
      </c>
      <c r="E58" t="str">
        <f t="shared" si="1"/>
        <v/>
      </c>
      <c r="I58" t="str">
        <f t="shared" si="2"/>
        <v>05-75515177</v>
      </c>
      <c r="J58" t="str">
        <f t="shared" si="3"/>
        <v/>
      </c>
      <c r="L58" t="s">
        <v>136</v>
      </c>
      <c r="M58" t="s">
        <v>1066</v>
      </c>
    </row>
    <row r="59" spans="1:13">
      <c r="A59" t="s">
        <v>298</v>
      </c>
      <c r="B59" t="s">
        <v>299</v>
      </c>
      <c r="C59" t="s">
        <v>145</v>
      </c>
      <c r="D59" s="207">
        <f t="shared" si="0"/>
        <v>2</v>
      </c>
      <c r="E59" t="str">
        <f t="shared" si="1"/>
        <v/>
      </c>
      <c r="I59" t="str">
        <f t="shared" si="2"/>
        <v>05-75515177</v>
      </c>
      <c r="J59" t="str">
        <f t="shared" si="3"/>
        <v/>
      </c>
      <c r="L59" t="s">
        <v>137</v>
      </c>
      <c r="M59" t="s">
        <v>1066</v>
      </c>
    </row>
    <row r="60" spans="1:13">
      <c r="A60" t="s">
        <v>300</v>
      </c>
      <c r="B60" t="s">
        <v>301</v>
      </c>
      <c r="C60" t="s">
        <v>146</v>
      </c>
      <c r="D60" s="207">
        <f t="shared" si="0"/>
        <v>0</v>
      </c>
      <c r="E60" t="str">
        <f t="shared" si="1"/>
        <v/>
      </c>
      <c r="I60" t="str">
        <f t="shared" si="2"/>
        <v>05-75655167</v>
      </c>
      <c r="J60" t="str">
        <f t="shared" si="3"/>
        <v/>
      </c>
      <c r="L60" t="s">
        <v>137</v>
      </c>
      <c r="M60" t="s">
        <v>1066</v>
      </c>
    </row>
    <row r="61" spans="1:13">
      <c r="A61" t="s">
        <v>300</v>
      </c>
      <c r="B61" t="s">
        <v>301</v>
      </c>
      <c r="C61" t="s">
        <v>145</v>
      </c>
      <c r="D61" s="207">
        <f t="shared" si="0"/>
        <v>2</v>
      </c>
      <c r="E61" t="str">
        <f t="shared" si="1"/>
        <v/>
      </c>
      <c r="I61" t="str">
        <f t="shared" si="2"/>
        <v>05-75655167</v>
      </c>
      <c r="J61" t="str">
        <f t="shared" si="3"/>
        <v/>
      </c>
      <c r="L61" t="s">
        <v>139</v>
      </c>
      <c r="M61" t="s">
        <v>1066</v>
      </c>
    </row>
    <row r="62" spans="1:13">
      <c r="A62" t="s">
        <v>303</v>
      </c>
      <c r="B62" t="s">
        <v>304</v>
      </c>
      <c r="C62" t="s">
        <v>146</v>
      </c>
      <c r="D62" s="207">
        <f t="shared" si="0"/>
        <v>0</v>
      </c>
      <c r="E62" t="str">
        <f t="shared" si="1"/>
        <v/>
      </c>
      <c r="I62" t="str">
        <f t="shared" si="2"/>
        <v>05-77616933</v>
      </c>
      <c r="J62" t="str">
        <f t="shared" si="3"/>
        <v/>
      </c>
      <c r="L62" t="s">
        <v>139</v>
      </c>
      <c r="M62" t="s">
        <v>1066</v>
      </c>
    </row>
    <row r="63" spans="1:13">
      <c r="A63" t="s">
        <v>303</v>
      </c>
      <c r="B63" t="s">
        <v>304</v>
      </c>
      <c r="C63" t="s">
        <v>145</v>
      </c>
      <c r="D63" s="207">
        <f t="shared" si="0"/>
        <v>2</v>
      </c>
      <c r="E63" t="str">
        <f t="shared" si="1"/>
        <v/>
      </c>
      <c r="I63" t="str">
        <f t="shared" si="2"/>
        <v>05-77616933</v>
      </c>
      <c r="J63" t="str">
        <f t="shared" si="3"/>
        <v/>
      </c>
      <c r="L63" t="s">
        <v>141</v>
      </c>
      <c r="M63" t="s">
        <v>1066</v>
      </c>
    </row>
    <row r="64" spans="1:13">
      <c r="A64" t="s">
        <v>306</v>
      </c>
      <c r="B64" t="s">
        <v>307</v>
      </c>
      <c r="C64" t="s">
        <v>146</v>
      </c>
      <c r="D64" s="207">
        <f t="shared" si="0"/>
        <v>0</v>
      </c>
      <c r="E64" t="str">
        <f t="shared" si="1"/>
        <v/>
      </c>
      <c r="I64" t="str">
        <f t="shared" si="2"/>
        <v>05-77704629</v>
      </c>
      <c r="J64" t="str">
        <f t="shared" si="3"/>
        <v/>
      </c>
      <c r="L64" t="s">
        <v>141</v>
      </c>
      <c r="M64" t="s">
        <v>1066</v>
      </c>
    </row>
    <row r="65" spans="1:13">
      <c r="A65" t="s">
        <v>306</v>
      </c>
      <c r="B65" t="s">
        <v>307</v>
      </c>
      <c r="C65" t="s">
        <v>145</v>
      </c>
      <c r="D65" s="207">
        <f t="shared" si="0"/>
        <v>2</v>
      </c>
      <c r="E65" t="str">
        <f t="shared" si="1"/>
        <v/>
      </c>
      <c r="I65" t="str">
        <f t="shared" si="2"/>
        <v>05-77704629</v>
      </c>
      <c r="J65" t="str">
        <f t="shared" si="3"/>
        <v/>
      </c>
      <c r="L65" t="s">
        <v>148</v>
      </c>
      <c r="M65" t="s">
        <v>1067</v>
      </c>
    </row>
    <row r="66" spans="1:13">
      <c r="A66" t="s">
        <v>314</v>
      </c>
      <c r="B66" t="s">
        <v>315</v>
      </c>
      <c r="C66" t="s">
        <v>146</v>
      </c>
      <c r="D66" s="207">
        <f t="shared" si="0"/>
        <v>0</v>
      </c>
      <c r="E66" t="str">
        <f t="shared" si="1"/>
        <v/>
      </c>
      <c r="I66" t="str">
        <f t="shared" si="2"/>
        <v>05-79424372</v>
      </c>
      <c r="J66" t="str">
        <f t="shared" si="3"/>
        <v/>
      </c>
      <c r="L66" t="s">
        <v>151</v>
      </c>
      <c r="M66" t="s">
        <v>1066</v>
      </c>
    </row>
    <row r="67" spans="1:13">
      <c r="A67" t="s">
        <v>314</v>
      </c>
      <c r="B67" t="s">
        <v>315</v>
      </c>
      <c r="C67" t="s">
        <v>145</v>
      </c>
      <c r="D67" s="207">
        <f t="shared" si="0"/>
        <v>2</v>
      </c>
      <c r="E67" t="str">
        <f t="shared" si="1"/>
        <v/>
      </c>
      <c r="I67" t="str">
        <f t="shared" si="2"/>
        <v>05-79424372</v>
      </c>
      <c r="J67" t="str">
        <f t="shared" si="3"/>
        <v/>
      </c>
      <c r="L67" t="s">
        <v>151</v>
      </c>
      <c r="M67" t="s">
        <v>1066</v>
      </c>
    </row>
    <row r="68" spans="1:13">
      <c r="A68" t="s">
        <v>316</v>
      </c>
      <c r="B68" t="s">
        <v>317</v>
      </c>
      <c r="C68" t="s">
        <v>146</v>
      </c>
      <c r="D68" s="207">
        <f t="shared" ref="D68:D131" si="4">IF(A68=A67,2,0)</f>
        <v>0</v>
      </c>
      <c r="E68" t="str">
        <f t="shared" si="1"/>
        <v/>
      </c>
      <c r="I68" t="str">
        <f t="shared" si="2"/>
        <v>05-79532963</v>
      </c>
      <c r="J68" t="str">
        <f t="shared" si="3"/>
        <v/>
      </c>
      <c r="L68" t="s">
        <v>152</v>
      </c>
      <c r="M68" t="s">
        <v>1066</v>
      </c>
    </row>
    <row r="69" spans="1:13">
      <c r="A69" t="s">
        <v>316</v>
      </c>
      <c r="B69" t="s">
        <v>317</v>
      </c>
      <c r="C69" t="s">
        <v>145</v>
      </c>
      <c r="D69" s="207">
        <f t="shared" si="4"/>
        <v>2</v>
      </c>
      <c r="E69" t="str">
        <f t="shared" ref="E69:E132" si="5">IF(SUMIFS(D:D,A:A,A69)&lt;&gt;2,"ERROR","")</f>
        <v/>
      </c>
      <c r="I69" t="str">
        <f t="shared" ref="I69:I132" si="6">+A69</f>
        <v>05-79532963</v>
      </c>
      <c r="J69" t="str">
        <f t="shared" ref="J69:J132" si="7">+E69</f>
        <v/>
      </c>
      <c r="L69" t="s">
        <v>152</v>
      </c>
      <c r="M69" t="s">
        <v>1066</v>
      </c>
    </row>
    <row r="70" spans="1:13">
      <c r="A70" t="s">
        <v>319</v>
      </c>
      <c r="B70" t="s">
        <v>320</v>
      </c>
      <c r="C70" t="s">
        <v>146</v>
      </c>
      <c r="D70" s="207">
        <f t="shared" si="4"/>
        <v>0</v>
      </c>
      <c r="E70" t="str">
        <f t="shared" si="5"/>
        <v/>
      </c>
      <c r="I70" t="str">
        <f t="shared" si="6"/>
        <v>05-79912680</v>
      </c>
      <c r="J70" t="str">
        <f t="shared" si="7"/>
        <v/>
      </c>
      <c r="L70" t="s">
        <v>154</v>
      </c>
      <c r="M70" t="s">
        <v>1066</v>
      </c>
    </row>
    <row r="71" spans="1:13">
      <c r="A71" t="s">
        <v>319</v>
      </c>
      <c r="B71" t="s">
        <v>320</v>
      </c>
      <c r="C71" t="s">
        <v>145</v>
      </c>
      <c r="D71" s="207">
        <f t="shared" si="4"/>
        <v>2</v>
      </c>
      <c r="E71" t="str">
        <f t="shared" si="5"/>
        <v/>
      </c>
      <c r="I71" t="str">
        <f t="shared" si="6"/>
        <v>05-79912680</v>
      </c>
      <c r="J71" t="str">
        <f t="shared" si="7"/>
        <v/>
      </c>
      <c r="L71" t="s">
        <v>154</v>
      </c>
      <c r="M71" t="s">
        <v>1066</v>
      </c>
    </row>
    <row r="72" spans="1:13">
      <c r="A72" t="s">
        <v>323</v>
      </c>
      <c r="B72" t="s">
        <v>324</v>
      </c>
      <c r="C72" t="s">
        <v>146</v>
      </c>
      <c r="D72" s="207">
        <f t="shared" si="4"/>
        <v>0</v>
      </c>
      <c r="E72" t="str">
        <f t="shared" si="5"/>
        <v/>
      </c>
      <c r="I72" t="str">
        <f t="shared" si="6"/>
        <v>05-80052982</v>
      </c>
      <c r="J72" t="str">
        <f t="shared" si="7"/>
        <v/>
      </c>
      <c r="L72" t="s">
        <v>156</v>
      </c>
      <c r="M72" t="s">
        <v>1066</v>
      </c>
    </row>
    <row r="73" spans="1:13">
      <c r="A73" t="s">
        <v>323</v>
      </c>
      <c r="B73" t="s">
        <v>324</v>
      </c>
      <c r="C73" t="s">
        <v>145</v>
      </c>
      <c r="D73" s="207">
        <f t="shared" si="4"/>
        <v>2</v>
      </c>
      <c r="E73" t="str">
        <f t="shared" si="5"/>
        <v/>
      </c>
      <c r="I73" t="str">
        <f t="shared" si="6"/>
        <v>05-80052982</v>
      </c>
      <c r="J73" t="str">
        <f t="shared" si="7"/>
        <v/>
      </c>
      <c r="L73" t="s">
        <v>156</v>
      </c>
      <c r="M73" t="s">
        <v>1066</v>
      </c>
    </row>
    <row r="74" spans="1:13">
      <c r="A74" t="s">
        <v>325</v>
      </c>
      <c r="B74" t="s">
        <v>326</v>
      </c>
      <c r="C74" t="s">
        <v>146</v>
      </c>
      <c r="D74" s="207">
        <f t="shared" si="4"/>
        <v>0</v>
      </c>
      <c r="E74" t="str">
        <f t="shared" si="5"/>
        <v/>
      </c>
      <c r="I74" t="str">
        <f t="shared" si="6"/>
        <v>05-80061898</v>
      </c>
      <c r="J74" t="str">
        <f t="shared" si="7"/>
        <v/>
      </c>
      <c r="L74" t="s">
        <v>157</v>
      </c>
      <c r="M74" t="s">
        <v>1066</v>
      </c>
    </row>
    <row r="75" spans="1:13">
      <c r="A75" t="s">
        <v>325</v>
      </c>
      <c r="B75" t="s">
        <v>326</v>
      </c>
      <c r="C75" t="s">
        <v>145</v>
      </c>
      <c r="D75" s="207">
        <f t="shared" si="4"/>
        <v>2</v>
      </c>
      <c r="E75" t="str">
        <f t="shared" si="5"/>
        <v/>
      </c>
      <c r="I75" t="str">
        <f t="shared" si="6"/>
        <v>05-80061898</v>
      </c>
      <c r="J75" t="str">
        <f t="shared" si="7"/>
        <v/>
      </c>
      <c r="L75" t="s">
        <v>157</v>
      </c>
      <c r="M75" t="s">
        <v>1066</v>
      </c>
    </row>
    <row r="76" spans="1:13">
      <c r="A76" t="s">
        <v>13</v>
      </c>
      <c r="B76" t="s">
        <v>9</v>
      </c>
      <c r="C76" t="s">
        <v>146</v>
      </c>
      <c r="D76" s="207">
        <f t="shared" si="4"/>
        <v>0</v>
      </c>
      <c r="E76" t="str">
        <f t="shared" si="5"/>
        <v/>
      </c>
      <c r="I76" t="str">
        <f t="shared" si="6"/>
        <v>05-80165891</v>
      </c>
      <c r="J76" t="str">
        <f t="shared" si="7"/>
        <v/>
      </c>
      <c r="L76" t="s">
        <v>159</v>
      </c>
      <c r="M76" t="s">
        <v>1066</v>
      </c>
    </row>
    <row r="77" spans="1:13">
      <c r="A77" t="s">
        <v>13</v>
      </c>
      <c r="B77" t="s">
        <v>9</v>
      </c>
      <c r="C77" t="s">
        <v>145</v>
      </c>
      <c r="D77" s="207">
        <f t="shared" si="4"/>
        <v>2</v>
      </c>
      <c r="E77" t="str">
        <f t="shared" si="5"/>
        <v/>
      </c>
      <c r="I77" t="str">
        <f t="shared" si="6"/>
        <v>05-80165891</v>
      </c>
      <c r="J77" t="str">
        <f t="shared" si="7"/>
        <v/>
      </c>
      <c r="L77" t="s">
        <v>159</v>
      </c>
      <c r="M77" t="s">
        <v>1066</v>
      </c>
    </row>
    <row r="78" spans="1:13">
      <c r="A78" t="s">
        <v>327</v>
      </c>
      <c r="B78" t="s">
        <v>328</v>
      </c>
      <c r="C78" t="s">
        <v>146</v>
      </c>
      <c r="D78" s="207">
        <f t="shared" si="4"/>
        <v>0</v>
      </c>
      <c r="E78" t="str">
        <f t="shared" si="5"/>
        <v/>
      </c>
      <c r="I78" t="str">
        <f t="shared" si="6"/>
        <v>05-80537333</v>
      </c>
      <c r="J78" t="str">
        <f t="shared" si="7"/>
        <v/>
      </c>
      <c r="L78" t="s">
        <v>160</v>
      </c>
      <c r="M78" t="s">
        <v>1066</v>
      </c>
    </row>
    <row r="79" spans="1:13">
      <c r="A79" t="s">
        <v>327</v>
      </c>
      <c r="B79" t="s">
        <v>328</v>
      </c>
      <c r="C79" t="s">
        <v>145</v>
      </c>
      <c r="D79" s="207">
        <f t="shared" si="4"/>
        <v>2</v>
      </c>
      <c r="E79" t="str">
        <f t="shared" si="5"/>
        <v/>
      </c>
      <c r="I79" t="str">
        <f t="shared" si="6"/>
        <v>05-80537333</v>
      </c>
      <c r="J79" t="str">
        <f t="shared" si="7"/>
        <v/>
      </c>
      <c r="L79" t="s">
        <v>160</v>
      </c>
      <c r="M79" t="s">
        <v>1066</v>
      </c>
    </row>
    <row r="80" spans="1:13">
      <c r="A80" t="s">
        <v>333</v>
      </c>
      <c r="B80" t="s">
        <v>334</v>
      </c>
      <c r="C80" t="s">
        <v>146</v>
      </c>
      <c r="D80" s="207">
        <f t="shared" si="4"/>
        <v>0</v>
      </c>
      <c r="E80" t="str">
        <f t="shared" si="5"/>
        <v/>
      </c>
      <c r="I80" t="str">
        <f t="shared" si="6"/>
        <v>05-81070446</v>
      </c>
      <c r="J80" t="str">
        <f t="shared" si="7"/>
        <v/>
      </c>
      <c r="L80" t="s">
        <v>161</v>
      </c>
      <c r="M80" t="s">
        <v>1066</v>
      </c>
    </row>
    <row r="81" spans="1:13">
      <c r="A81" t="s">
        <v>333</v>
      </c>
      <c r="B81" t="s">
        <v>334</v>
      </c>
      <c r="C81" t="s">
        <v>145</v>
      </c>
      <c r="D81" s="207">
        <f t="shared" si="4"/>
        <v>2</v>
      </c>
      <c r="E81" t="str">
        <f t="shared" si="5"/>
        <v/>
      </c>
      <c r="I81" t="str">
        <f t="shared" si="6"/>
        <v>05-81070446</v>
      </c>
      <c r="J81" t="str">
        <f t="shared" si="7"/>
        <v/>
      </c>
      <c r="L81" t="s">
        <v>161</v>
      </c>
      <c r="M81" t="s">
        <v>1066</v>
      </c>
    </row>
    <row r="82" spans="1:13">
      <c r="A82" t="s">
        <v>335</v>
      </c>
      <c r="B82" t="s">
        <v>336</v>
      </c>
      <c r="C82" t="s">
        <v>146</v>
      </c>
      <c r="D82" s="207">
        <f t="shared" si="4"/>
        <v>0</v>
      </c>
      <c r="E82" t="str">
        <f t="shared" si="5"/>
        <v/>
      </c>
      <c r="I82" t="str">
        <f t="shared" si="6"/>
        <v>05-81270365</v>
      </c>
      <c r="J82" t="str">
        <f t="shared" si="7"/>
        <v/>
      </c>
      <c r="L82" t="s">
        <v>162</v>
      </c>
      <c r="M82" t="s">
        <v>1066</v>
      </c>
    </row>
    <row r="83" spans="1:13">
      <c r="A83" t="s">
        <v>335</v>
      </c>
      <c r="B83" t="s">
        <v>336</v>
      </c>
      <c r="C83" t="s">
        <v>145</v>
      </c>
      <c r="D83" s="207">
        <f t="shared" si="4"/>
        <v>2</v>
      </c>
      <c r="E83" t="str">
        <f t="shared" si="5"/>
        <v/>
      </c>
      <c r="I83" t="str">
        <f t="shared" si="6"/>
        <v>05-81270365</v>
      </c>
      <c r="J83" t="str">
        <f t="shared" si="7"/>
        <v/>
      </c>
      <c r="L83" t="s">
        <v>162</v>
      </c>
      <c r="M83" t="s">
        <v>1066</v>
      </c>
    </row>
    <row r="84" spans="1:13">
      <c r="A84" t="s">
        <v>342</v>
      </c>
      <c r="B84" t="s">
        <v>343</v>
      </c>
      <c r="C84" t="s">
        <v>146</v>
      </c>
      <c r="D84" s="207">
        <f t="shared" si="4"/>
        <v>0</v>
      </c>
      <c r="E84" t="str">
        <f t="shared" si="5"/>
        <v/>
      </c>
      <c r="I84" t="str">
        <f t="shared" si="6"/>
        <v>05-82595050</v>
      </c>
      <c r="J84" t="str">
        <f t="shared" si="7"/>
        <v/>
      </c>
      <c r="L84" t="s">
        <v>165</v>
      </c>
      <c r="M84" t="s">
        <v>1066</v>
      </c>
    </row>
    <row r="85" spans="1:13">
      <c r="A85" t="s">
        <v>342</v>
      </c>
      <c r="B85" t="s">
        <v>343</v>
      </c>
      <c r="C85" t="s">
        <v>145</v>
      </c>
      <c r="D85" s="207">
        <f t="shared" si="4"/>
        <v>2</v>
      </c>
      <c r="E85" t="str">
        <f t="shared" si="5"/>
        <v/>
      </c>
      <c r="I85" t="str">
        <f t="shared" si="6"/>
        <v>05-82595050</v>
      </c>
      <c r="J85" t="str">
        <f t="shared" si="7"/>
        <v/>
      </c>
      <c r="L85" t="s">
        <v>165</v>
      </c>
      <c r="M85" t="s">
        <v>1066</v>
      </c>
    </row>
    <row r="86" spans="1:13">
      <c r="A86" t="s">
        <v>344</v>
      </c>
      <c r="B86" t="s">
        <v>345</v>
      </c>
      <c r="C86" t="s">
        <v>146</v>
      </c>
      <c r="D86" s="207">
        <f t="shared" si="4"/>
        <v>0</v>
      </c>
      <c r="E86" t="str">
        <f t="shared" si="5"/>
        <v/>
      </c>
      <c r="I86" t="str">
        <f t="shared" si="6"/>
        <v>05-82644064</v>
      </c>
      <c r="J86" t="str">
        <f t="shared" si="7"/>
        <v/>
      </c>
      <c r="L86" t="s">
        <v>167</v>
      </c>
      <c r="M86" t="s">
        <v>1066</v>
      </c>
    </row>
    <row r="87" spans="1:13">
      <c r="A87" t="s">
        <v>344</v>
      </c>
      <c r="B87" t="s">
        <v>345</v>
      </c>
      <c r="C87" t="s">
        <v>145</v>
      </c>
      <c r="D87" s="207">
        <f t="shared" si="4"/>
        <v>2</v>
      </c>
      <c r="E87" t="str">
        <f t="shared" si="5"/>
        <v/>
      </c>
      <c r="I87" t="str">
        <f t="shared" si="6"/>
        <v>05-82644064</v>
      </c>
      <c r="J87" t="str">
        <f t="shared" si="7"/>
        <v/>
      </c>
      <c r="L87" t="s">
        <v>167</v>
      </c>
      <c r="M87" t="s">
        <v>1066</v>
      </c>
    </row>
    <row r="88" spans="1:13">
      <c r="A88" t="s">
        <v>353</v>
      </c>
      <c r="B88" t="s">
        <v>354</v>
      </c>
      <c r="C88" t="s">
        <v>146</v>
      </c>
      <c r="D88" s="207">
        <f t="shared" si="4"/>
        <v>0</v>
      </c>
      <c r="E88" t="str">
        <f t="shared" si="5"/>
        <v/>
      </c>
      <c r="I88" t="str">
        <f t="shared" si="6"/>
        <v>05-85128093</v>
      </c>
      <c r="J88" t="str">
        <f t="shared" si="7"/>
        <v/>
      </c>
      <c r="L88" t="s">
        <v>168</v>
      </c>
      <c r="M88" t="s">
        <v>1066</v>
      </c>
    </row>
    <row r="89" spans="1:13">
      <c r="A89" t="s">
        <v>353</v>
      </c>
      <c r="B89" t="s">
        <v>354</v>
      </c>
      <c r="C89" t="s">
        <v>145</v>
      </c>
      <c r="D89" s="207">
        <f t="shared" si="4"/>
        <v>2</v>
      </c>
      <c r="E89" t="str">
        <f t="shared" si="5"/>
        <v/>
      </c>
      <c r="I89" t="str">
        <f t="shared" si="6"/>
        <v>05-85128093</v>
      </c>
      <c r="J89" t="str">
        <f t="shared" si="7"/>
        <v/>
      </c>
      <c r="L89" t="s">
        <v>168</v>
      </c>
      <c r="M89" t="s">
        <v>1066</v>
      </c>
    </row>
    <row r="90" spans="1:13">
      <c r="A90" t="s">
        <v>355</v>
      </c>
      <c r="B90" t="s">
        <v>356</v>
      </c>
      <c r="C90" t="s">
        <v>146</v>
      </c>
      <c r="D90" s="207">
        <f t="shared" si="4"/>
        <v>0</v>
      </c>
      <c r="E90" t="str">
        <f t="shared" si="5"/>
        <v/>
      </c>
      <c r="I90" t="str">
        <f t="shared" si="6"/>
        <v>05-85297612</v>
      </c>
      <c r="J90" t="str">
        <f t="shared" si="7"/>
        <v/>
      </c>
      <c r="L90" t="s">
        <v>169</v>
      </c>
      <c r="M90" t="s">
        <v>1066</v>
      </c>
    </row>
    <row r="91" spans="1:13">
      <c r="A91" t="s">
        <v>355</v>
      </c>
      <c r="B91" t="s">
        <v>356</v>
      </c>
      <c r="C91" t="s">
        <v>145</v>
      </c>
      <c r="D91" s="207">
        <f t="shared" si="4"/>
        <v>2</v>
      </c>
      <c r="E91" t="str">
        <f t="shared" si="5"/>
        <v/>
      </c>
      <c r="I91" t="str">
        <f t="shared" si="6"/>
        <v>05-85297612</v>
      </c>
      <c r="J91" t="str">
        <f t="shared" si="7"/>
        <v/>
      </c>
      <c r="L91" t="s">
        <v>169</v>
      </c>
      <c r="M91" t="s">
        <v>1066</v>
      </c>
    </row>
    <row r="92" spans="1:13">
      <c r="A92" t="s">
        <v>357</v>
      </c>
      <c r="B92" t="s">
        <v>358</v>
      </c>
      <c r="C92" t="s">
        <v>146</v>
      </c>
      <c r="D92" s="207">
        <f t="shared" si="4"/>
        <v>0</v>
      </c>
      <c r="E92" t="str">
        <f t="shared" si="5"/>
        <v/>
      </c>
      <c r="I92" t="str">
        <f t="shared" si="6"/>
        <v>05-85439801</v>
      </c>
      <c r="J92" t="str">
        <f t="shared" si="7"/>
        <v/>
      </c>
      <c r="L92" t="s">
        <v>170</v>
      </c>
      <c r="M92" t="s">
        <v>1066</v>
      </c>
    </row>
    <row r="93" spans="1:13">
      <c r="A93" t="s">
        <v>357</v>
      </c>
      <c r="B93" t="s">
        <v>358</v>
      </c>
      <c r="C93" t="s">
        <v>145</v>
      </c>
      <c r="D93" s="207">
        <f t="shared" si="4"/>
        <v>2</v>
      </c>
      <c r="E93" t="str">
        <f t="shared" si="5"/>
        <v/>
      </c>
      <c r="I93" t="str">
        <f t="shared" si="6"/>
        <v>05-85439801</v>
      </c>
      <c r="J93" t="str">
        <f t="shared" si="7"/>
        <v/>
      </c>
      <c r="L93" t="s">
        <v>170</v>
      </c>
      <c r="M93" t="s">
        <v>1066</v>
      </c>
    </row>
    <row r="94" spans="1:13">
      <c r="A94" t="s">
        <v>360</v>
      </c>
      <c r="B94" t="s">
        <v>361</v>
      </c>
      <c r="C94" t="s">
        <v>146</v>
      </c>
      <c r="D94" s="207">
        <f t="shared" si="4"/>
        <v>0</v>
      </c>
      <c r="E94" t="str">
        <f t="shared" si="5"/>
        <v/>
      </c>
      <c r="I94" t="str">
        <f t="shared" si="6"/>
        <v>05-85986633</v>
      </c>
      <c r="J94" t="str">
        <f t="shared" si="7"/>
        <v/>
      </c>
      <c r="L94" t="s">
        <v>171</v>
      </c>
      <c r="M94" t="s">
        <v>1066</v>
      </c>
    </row>
    <row r="95" spans="1:13">
      <c r="A95" t="s">
        <v>360</v>
      </c>
      <c r="B95" t="s">
        <v>361</v>
      </c>
      <c r="C95" t="s">
        <v>145</v>
      </c>
      <c r="D95" s="207">
        <f t="shared" si="4"/>
        <v>2</v>
      </c>
      <c r="E95" t="str">
        <f t="shared" si="5"/>
        <v/>
      </c>
      <c r="I95" t="str">
        <f t="shared" si="6"/>
        <v>05-85986633</v>
      </c>
      <c r="J95" t="str">
        <f t="shared" si="7"/>
        <v/>
      </c>
      <c r="L95" t="s">
        <v>171</v>
      </c>
      <c r="M95" t="s">
        <v>1066</v>
      </c>
    </row>
    <row r="96" spans="1:13">
      <c r="A96" t="s">
        <v>369</v>
      </c>
      <c r="B96" t="s">
        <v>370</v>
      </c>
      <c r="C96" t="s">
        <v>146</v>
      </c>
      <c r="D96" s="207">
        <f t="shared" si="4"/>
        <v>0</v>
      </c>
      <c r="E96" t="str">
        <f t="shared" si="5"/>
        <v/>
      </c>
      <c r="I96" t="str">
        <f t="shared" si="6"/>
        <v>05-87132894</v>
      </c>
      <c r="J96" t="str">
        <f t="shared" si="7"/>
        <v/>
      </c>
      <c r="L96" t="s">
        <v>172</v>
      </c>
      <c r="M96" t="s">
        <v>1066</v>
      </c>
    </row>
    <row r="97" spans="1:13">
      <c r="A97" t="s">
        <v>369</v>
      </c>
      <c r="B97" t="s">
        <v>370</v>
      </c>
      <c r="C97" t="s">
        <v>145</v>
      </c>
      <c r="D97" s="207">
        <f t="shared" si="4"/>
        <v>2</v>
      </c>
      <c r="E97" t="str">
        <f t="shared" si="5"/>
        <v/>
      </c>
      <c r="I97" t="str">
        <f t="shared" si="6"/>
        <v>05-87132894</v>
      </c>
      <c r="J97" t="str">
        <f t="shared" si="7"/>
        <v/>
      </c>
      <c r="L97" t="s">
        <v>172</v>
      </c>
      <c r="M97" t="s">
        <v>1066</v>
      </c>
    </row>
    <row r="98" spans="1:13">
      <c r="A98" t="s">
        <v>373</v>
      </c>
      <c r="B98" t="s">
        <v>374</v>
      </c>
      <c r="C98" t="s">
        <v>146</v>
      </c>
      <c r="D98" s="207">
        <f t="shared" si="4"/>
        <v>0</v>
      </c>
      <c r="E98" t="str">
        <f t="shared" si="5"/>
        <v/>
      </c>
      <c r="I98" t="str">
        <f t="shared" si="6"/>
        <v>05-87416510</v>
      </c>
      <c r="J98" t="str">
        <f t="shared" si="7"/>
        <v/>
      </c>
      <c r="L98" t="s">
        <v>173</v>
      </c>
      <c r="M98" t="s">
        <v>1066</v>
      </c>
    </row>
    <row r="99" spans="1:13">
      <c r="A99" t="s">
        <v>373</v>
      </c>
      <c r="B99" t="s">
        <v>374</v>
      </c>
      <c r="C99" t="s">
        <v>145</v>
      </c>
      <c r="D99" s="207">
        <f t="shared" si="4"/>
        <v>2</v>
      </c>
      <c r="E99" t="str">
        <f t="shared" si="5"/>
        <v/>
      </c>
      <c r="I99" t="str">
        <f t="shared" si="6"/>
        <v>05-87416510</v>
      </c>
      <c r="J99" t="str">
        <f t="shared" si="7"/>
        <v/>
      </c>
      <c r="L99" t="s">
        <v>173</v>
      </c>
      <c r="M99" t="s">
        <v>1066</v>
      </c>
    </row>
    <row r="100" spans="1:13">
      <c r="A100" t="s">
        <v>376</v>
      </c>
      <c r="B100" t="s">
        <v>377</v>
      </c>
      <c r="C100" t="s">
        <v>146</v>
      </c>
      <c r="D100" s="207">
        <f t="shared" si="4"/>
        <v>0</v>
      </c>
      <c r="E100" t="str">
        <f t="shared" si="5"/>
        <v/>
      </c>
      <c r="I100" t="str">
        <f t="shared" si="6"/>
        <v>05-87523232</v>
      </c>
      <c r="J100" t="str">
        <f t="shared" si="7"/>
        <v/>
      </c>
      <c r="L100" t="s">
        <v>174</v>
      </c>
      <c r="M100" t="s">
        <v>1066</v>
      </c>
    </row>
    <row r="101" spans="1:13">
      <c r="A101" t="s">
        <v>376</v>
      </c>
      <c r="B101" t="s">
        <v>377</v>
      </c>
      <c r="C101" t="s">
        <v>145</v>
      </c>
      <c r="D101" s="207">
        <f t="shared" si="4"/>
        <v>2</v>
      </c>
      <c r="E101" t="str">
        <f t="shared" si="5"/>
        <v/>
      </c>
      <c r="I101" t="str">
        <f t="shared" si="6"/>
        <v>05-87523232</v>
      </c>
      <c r="J101" t="str">
        <f t="shared" si="7"/>
        <v/>
      </c>
      <c r="L101" t="s">
        <v>174</v>
      </c>
      <c r="M101" t="s">
        <v>1066</v>
      </c>
    </row>
    <row r="102" spans="1:13">
      <c r="A102" t="s">
        <v>379</v>
      </c>
      <c r="B102" t="s">
        <v>380</v>
      </c>
      <c r="C102" t="s">
        <v>146</v>
      </c>
      <c r="D102" s="207">
        <f t="shared" si="4"/>
        <v>0</v>
      </c>
      <c r="E102" t="str">
        <f t="shared" si="5"/>
        <v/>
      </c>
      <c r="I102" t="str">
        <f t="shared" si="6"/>
        <v>05-87718003</v>
      </c>
      <c r="J102" t="str">
        <f t="shared" si="7"/>
        <v/>
      </c>
      <c r="L102" t="s">
        <v>175</v>
      </c>
      <c r="M102" t="s">
        <v>1066</v>
      </c>
    </row>
    <row r="103" spans="1:13">
      <c r="A103" t="s">
        <v>379</v>
      </c>
      <c r="B103" t="s">
        <v>380</v>
      </c>
      <c r="C103" t="s">
        <v>145</v>
      </c>
      <c r="D103" s="207">
        <f t="shared" si="4"/>
        <v>2</v>
      </c>
      <c r="E103" t="str">
        <f t="shared" si="5"/>
        <v/>
      </c>
      <c r="I103" t="str">
        <f t="shared" si="6"/>
        <v>05-87718003</v>
      </c>
      <c r="J103" t="str">
        <f t="shared" si="7"/>
        <v/>
      </c>
      <c r="L103" t="s">
        <v>175</v>
      </c>
      <c r="M103" t="s">
        <v>1066</v>
      </c>
    </row>
    <row r="104" spans="1:13">
      <c r="A104" t="s">
        <v>391</v>
      </c>
      <c r="B104" t="s">
        <v>392</v>
      </c>
      <c r="C104" t="s">
        <v>146</v>
      </c>
      <c r="D104" s="207">
        <f t="shared" si="4"/>
        <v>0</v>
      </c>
      <c r="E104" t="str">
        <f t="shared" si="5"/>
        <v/>
      </c>
      <c r="I104" t="str">
        <f t="shared" si="6"/>
        <v>05-88501695</v>
      </c>
      <c r="J104" t="str">
        <f t="shared" si="7"/>
        <v/>
      </c>
      <c r="L104" t="s">
        <v>176</v>
      </c>
      <c r="M104" t="s">
        <v>1066</v>
      </c>
    </row>
    <row r="105" spans="1:13">
      <c r="A105" t="s">
        <v>391</v>
      </c>
      <c r="B105" t="s">
        <v>392</v>
      </c>
      <c r="C105" t="s">
        <v>145</v>
      </c>
      <c r="D105" s="207">
        <f t="shared" si="4"/>
        <v>2</v>
      </c>
      <c r="E105" t="str">
        <f t="shared" si="5"/>
        <v/>
      </c>
      <c r="I105" t="str">
        <f t="shared" si="6"/>
        <v>05-88501695</v>
      </c>
      <c r="J105" t="str">
        <f t="shared" si="7"/>
        <v/>
      </c>
      <c r="L105" t="s">
        <v>176</v>
      </c>
      <c r="M105" t="s">
        <v>1066</v>
      </c>
    </row>
    <row r="106" spans="1:13">
      <c r="A106" t="s">
        <v>393</v>
      </c>
      <c r="B106" t="s">
        <v>394</v>
      </c>
      <c r="C106" t="s">
        <v>146</v>
      </c>
      <c r="D106" s="207">
        <f t="shared" si="4"/>
        <v>0</v>
      </c>
      <c r="E106" t="str">
        <f t="shared" si="5"/>
        <v/>
      </c>
      <c r="I106" t="str">
        <f t="shared" si="6"/>
        <v>05-88766195</v>
      </c>
      <c r="J106" t="str">
        <f t="shared" si="7"/>
        <v/>
      </c>
      <c r="L106" t="s">
        <v>177</v>
      </c>
      <c r="M106" t="s">
        <v>1066</v>
      </c>
    </row>
    <row r="107" spans="1:13">
      <c r="A107" t="s">
        <v>393</v>
      </c>
      <c r="B107" t="s">
        <v>394</v>
      </c>
      <c r="C107" t="s">
        <v>145</v>
      </c>
      <c r="D107" s="207">
        <f t="shared" si="4"/>
        <v>2</v>
      </c>
      <c r="E107" t="str">
        <f t="shared" si="5"/>
        <v/>
      </c>
      <c r="I107" t="str">
        <f t="shared" si="6"/>
        <v>05-88766195</v>
      </c>
      <c r="J107" t="str">
        <f t="shared" si="7"/>
        <v/>
      </c>
      <c r="L107" t="s">
        <v>177</v>
      </c>
      <c r="M107" t="s">
        <v>1066</v>
      </c>
    </row>
    <row r="108" spans="1:13">
      <c r="A108" t="s">
        <v>402</v>
      </c>
      <c r="B108" t="s">
        <v>403</v>
      </c>
      <c r="C108" t="s">
        <v>146</v>
      </c>
      <c r="D108" s="207">
        <f t="shared" si="4"/>
        <v>0</v>
      </c>
      <c r="E108" t="str">
        <f t="shared" si="5"/>
        <v/>
      </c>
      <c r="I108" t="str">
        <f t="shared" si="6"/>
        <v>05-89831955</v>
      </c>
      <c r="J108" t="str">
        <f t="shared" si="7"/>
        <v/>
      </c>
      <c r="L108" t="s">
        <v>179</v>
      </c>
      <c r="M108" t="s">
        <v>1066</v>
      </c>
    </row>
    <row r="109" spans="1:13">
      <c r="A109" t="s">
        <v>402</v>
      </c>
      <c r="B109" t="s">
        <v>403</v>
      </c>
      <c r="C109" t="s">
        <v>145</v>
      </c>
      <c r="D109" s="207">
        <f t="shared" si="4"/>
        <v>2</v>
      </c>
      <c r="E109" t="str">
        <f t="shared" si="5"/>
        <v/>
      </c>
      <c r="I109" t="str">
        <f t="shared" si="6"/>
        <v>05-89831955</v>
      </c>
      <c r="J109" t="str">
        <f t="shared" si="7"/>
        <v/>
      </c>
      <c r="L109" t="s">
        <v>179</v>
      </c>
      <c r="M109" t="s">
        <v>1066</v>
      </c>
    </row>
    <row r="110" spans="1:13">
      <c r="A110" t="s">
        <v>406</v>
      </c>
      <c r="B110" t="s">
        <v>407</v>
      </c>
      <c r="C110" t="s">
        <v>146</v>
      </c>
      <c r="D110" s="207">
        <f t="shared" si="4"/>
        <v>0</v>
      </c>
      <c r="E110" t="str">
        <f t="shared" si="5"/>
        <v/>
      </c>
      <c r="I110" t="str">
        <f t="shared" si="6"/>
        <v>05-90169575</v>
      </c>
      <c r="J110" t="str">
        <f t="shared" si="7"/>
        <v/>
      </c>
      <c r="L110" t="s">
        <v>180</v>
      </c>
      <c r="M110" t="s">
        <v>1066</v>
      </c>
    </row>
    <row r="111" spans="1:13">
      <c r="A111" t="s">
        <v>406</v>
      </c>
      <c r="B111" t="s">
        <v>407</v>
      </c>
      <c r="C111" t="s">
        <v>145</v>
      </c>
      <c r="D111" s="207">
        <f t="shared" si="4"/>
        <v>2</v>
      </c>
      <c r="E111" t="str">
        <f t="shared" si="5"/>
        <v/>
      </c>
      <c r="I111" t="str">
        <f t="shared" si="6"/>
        <v>05-90169575</v>
      </c>
      <c r="J111" t="str">
        <f t="shared" si="7"/>
        <v/>
      </c>
      <c r="L111" t="s">
        <v>180</v>
      </c>
      <c r="M111" t="s">
        <v>1066</v>
      </c>
    </row>
    <row r="112" spans="1:13">
      <c r="A112" t="s">
        <v>410</v>
      </c>
      <c r="B112" t="s">
        <v>411</v>
      </c>
      <c r="C112" t="s">
        <v>146</v>
      </c>
      <c r="D112" s="207">
        <f t="shared" si="4"/>
        <v>0</v>
      </c>
      <c r="E112" t="str">
        <f t="shared" si="5"/>
        <v/>
      </c>
      <c r="I112" t="str">
        <f t="shared" si="6"/>
        <v>05-90908866</v>
      </c>
      <c r="J112" t="str">
        <f t="shared" si="7"/>
        <v/>
      </c>
      <c r="L112" t="s">
        <v>181</v>
      </c>
      <c r="M112" t="s">
        <v>1066</v>
      </c>
    </row>
    <row r="113" spans="1:13">
      <c r="A113" t="s">
        <v>410</v>
      </c>
      <c r="B113" t="s">
        <v>411</v>
      </c>
      <c r="C113" t="s">
        <v>145</v>
      </c>
      <c r="D113" s="207">
        <f t="shared" si="4"/>
        <v>2</v>
      </c>
      <c r="E113" t="str">
        <f t="shared" si="5"/>
        <v/>
      </c>
      <c r="I113" t="str">
        <f t="shared" si="6"/>
        <v>05-90908866</v>
      </c>
      <c r="J113" t="str">
        <f t="shared" si="7"/>
        <v/>
      </c>
      <c r="L113" t="s">
        <v>181</v>
      </c>
      <c r="M113" t="s">
        <v>1066</v>
      </c>
    </row>
    <row r="114" spans="1:13">
      <c r="A114" t="s">
        <v>413</v>
      </c>
      <c r="B114" t="s">
        <v>414</v>
      </c>
      <c r="C114" t="s">
        <v>146</v>
      </c>
      <c r="D114" s="207">
        <f t="shared" si="4"/>
        <v>0</v>
      </c>
      <c r="E114" t="str">
        <f t="shared" si="5"/>
        <v/>
      </c>
      <c r="I114" t="str">
        <f t="shared" si="6"/>
        <v>05-90913646</v>
      </c>
      <c r="J114" t="str">
        <f t="shared" si="7"/>
        <v/>
      </c>
      <c r="L114" t="s">
        <v>182</v>
      </c>
      <c r="M114" t="s">
        <v>1066</v>
      </c>
    </row>
    <row r="115" spans="1:13">
      <c r="A115" t="s">
        <v>413</v>
      </c>
      <c r="B115" t="s">
        <v>414</v>
      </c>
      <c r="C115" t="s">
        <v>145</v>
      </c>
      <c r="D115" s="207">
        <f t="shared" si="4"/>
        <v>2</v>
      </c>
      <c r="E115" t="str">
        <f t="shared" si="5"/>
        <v/>
      </c>
      <c r="I115" t="str">
        <f t="shared" si="6"/>
        <v>05-90913646</v>
      </c>
      <c r="J115" t="str">
        <f t="shared" si="7"/>
        <v/>
      </c>
      <c r="L115" t="s">
        <v>182</v>
      </c>
      <c r="M115" t="s">
        <v>1066</v>
      </c>
    </row>
    <row r="116" spans="1:13">
      <c r="A116" t="s">
        <v>422</v>
      </c>
      <c r="B116" t="s">
        <v>423</v>
      </c>
      <c r="C116" t="s">
        <v>146</v>
      </c>
      <c r="D116" s="207">
        <f t="shared" si="4"/>
        <v>0</v>
      </c>
      <c r="E116" t="str">
        <f t="shared" si="5"/>
        <v/>
      </c>
      <c r="I116" t="str">
        <f t="shared" si="6"/>
        <v>05-92571644</v>
      </c>
      <c r="J116" t="str">
        <f t="shared" si="7"/>
        <v/>
      </c>
      <c r="L116" t="s">
        <v>183</v>
      </c>
      <c r="M116" t="s">
        <v>1066</v>
      </c>
    </row>
    <row r="117" spans="1:13">
      <c r="A117" t="s">
        <v>422</v>
      </c>
      <c r="B117" t="s">
        <v>423</v>
      </c>
      <c r="C117" t="s">
        <v>145</v>
      </c>
      <c r="D117" s="207">
        <f t="shared" si="4"/>
        <v>2</v>
      </c>
      <c r="E117" t="str">
        <f t="shared" si="5"/>
        <v/>
      </c>
      <c r="I117" t="str">
        <f t="shared" si="6"/>
        <v>05-92571644</v>
      </c>
      <c r="J117" t="str">
        <f t="shared" si="7"/>
        <v/>
      </c>
      <c r="L117" t="s">
        <v>183</v>
      </c>
      <c r="M117" t="s">
        <v>1066</v>
      </c>
    </row>
    <row r="118" spans="1:13">
      <c r="A118" t="s">
        <v>425</v>
      </c>
      <c r="B118" t="s">
        <v>426</v>
      </c>
      <c r="C118" t="s">
        <v>146</v>
      </c>
      <c r="D118" s="207">
        <f t="shared" si="4"/>
        <v>0</v>
      </c>
      <c r="E118" t="str">
        <f t="shared" si="5"/>
        <v/>
      </c>
      <c r="I118" t="str">
        <f t="shared" si="6"/>
        <v>05-92739969</v>
      </c>
      <c r="J118" t="str">
        <f t="shared" si="7"/>
        <v/>
      </c>
      <c r="L118" t="s">
        <v>184</v>
      </c>
      <c r="M118" t="s">
        <v>1066</v>
      </c>
    </row>
    <row r="119" spans="1:13">
      <c r="A119" t="s">
        <v>425</v>
      </c>
      <c r="B119" t="s">
        <v>426</v>
      </c>
      <c r="C119" t="s">
        <v>145</v>
      </c>
      <c r="D119" s="207">
        <f t="shared" si="4"/>
        <v>2</v>
      </c>
      <c r="E119" t="str">
        <f t="shared" si="5"/>
        <v/>
      </c>
      <c r="I119" t="str">
        <f t="shared" si="6"/>
        <v>05-92739969</v>
      </c>
      <c r="J119" t="str">
        <f t="shared" si="7"/>
        <v/>
      </c>
      <c r="L119" t="s">
        <v>184</v>
      </c>
      <c r="M119" t="s">
        <v>1066</v>
      </c>
    </row>
    <row r="120" spans="1:13">
      <c r="A120" t="s">
        <v>427</v>
      </c>
      <c r="B120" t="s">
        <v>428</v>
      </c>
      <c r="C120" t="s">
        <v>146</v>
      </c>
      <c r="D120" s="207">
        <f t="shared" si="4"/>
        <v>0</v>
      </c>
      <c r="E120" t="str">
        <f t="shared" si="5"/>
        <v/>
      </c>
      <c r="I120" t="str">
        <f t="shared" si="6"/>
        <v>05-92742064</v>
      </c>
      <c r="J120" t="str">
        <f t="shared" si="7"/>
        <v/>
      </c>
      <c r="L120" t="s">
        <v>185</v>
      </c>
      <c r="M120" t="s">
        <v>1066</v>
      </c>
    </row>
    <row r="121" spans="1:13">
      <c r="A121" t="s">
        <v>427</v>
      </c>
      <c r="B121" t="s">
        <v>428</v>
      </c>
      <c r="C121" t="s">
        <v>145</v>
      </c>
      <c r="D121" s="207">
        <f t="shared" si="4"/>
        <v>2</v>
      </c>
      <c r="E121" t="str">
        <f t="shared" si="5"/>
        <v/>
      </c>
      <c r="I121" t="str">
        <f t="shared" si="6"/>
        <v>05-92742064</v>
      </c>
      <c r="J121" t="str">
        <f t="shared" si="7"/>
        <v/>
      </c>
      <c r="L121" t="s">
        <v>185</v>
      </c>
      <c r="M121" t="s">
        <v>1066</v>
      </c>
    </row>
    <row r="122" spans="1:13">
      <c r="A122" t="s">
        <v>429</v>
      </c>
      <c r="B122" t="s">
        <v>430</v>
      </c>
      <c r="C122" t="s">
        <v>146</v>
      </c>
      <c r="D122" s="207">
        <f t="shared" si="4"/>
        <v>0</v>
      </c>
      <c r="E122" t="str">
        <f t="shared" si="5"/>
        <v/>
      </c>
      <c r="I122" t="str">
        <f t="shared" si="6"/>
        <v>05-93965969</v>
      </c>
      <c r="J122" t="str">
        <f t="shared" si="7"/>
        <v/>
      </c>
      <c r="L122" t="s">
        <v>186</v>
      </c>
      <c r="M122" t="s">
        <v>1066</v>
      </c>
    </row>
    <row r="123" spans="1:13">
      <c r="A123" t="s">
        <v>429</v>
      </c>
      <c r="B123" t="s">
        <v>430</v>
      </c>
      <c r="C123" t="s">
        <v>145</v>
      </c>
      <c r="D123" s="207">
        <f t="shared" si="4"/>
        <v>2</v>
      </c>
      <c r="E123" t="str">
        <f t="shared" si="5"/>
        <v/>
      </c>
      <c r="I123" t="str">
        <f t="shared" si="6"/>
        <v>05-93965969</v>
      </c>
      <c r="J123" t="str">
        <f t="shared" si="7"/>
        <v/>
      </c>
      <c r="L123" t="s">
        <v>186</v>
      </c>
      <c r="M123" t="s">
        <v>1066</v>
      </c>
    </row>
    <row r="124" spans="1:13">
      <c r="A124" t="s">
        <v>431</v>
      </c>
      <c r="B124" t="s">
        <v>432</v>
      </c>
      <c r="C124" t="s">
        <v>146</v>
      </c>
      <c r="D124" s="207">
        <f t="shared" si="4"/>
        <v>0</v>
      </c>
      <c r="E124" t="str">
        <f t="shared" si="5"/>
        <v/>
      </c>
      <c r="I124" t="str">
        <f t="shared" si="6"/>
        <v>05-94124839</v>
      </c>
      <c r="J124" t="str">
        <f t="shared" si="7"/>
        <v/>
      </c>
      <c r="L124" t="s">
        <v>188</v>
      </c>
      <c r="M124" t="s">
        <v>1066</v>
      </c>
    </row>
    <row r="125" spans="1:13">
      <c r="A125" t="s">
        <v>431</v>
      </c>
      <c r="B125" t="s">
        <v>432</v>
      </c>
      <c r="C125" t="s">
        <v>145</v>
      </c>
      <c r="D125" s="207">
        <f t="shared" si="4"/>
        <v>2</v>
      </c>
      <c r="E125" t="str">
        <f t="shared" si="5"/>
        <v/>
      </c>
      <c r="I125" t="str">
        <f t="shared" si="6"/>
        <v>05-94124839</v>
      </c>
      <c r="J125" t="str">
        <f t="shared" si="7"/>
        <v/>
      </c>
      <c r="L125" t="s">
        <v>188</v>
      </c>
      <c r="M125" t="s">
        <v>1066</v>
      </c>
    </row>
    <row r="126" spans="1:13">
      <c r="A126" t="s">
        <v>433</v>
      </c>
      <c r="B126" t="s">
        <v>434</v>
      </c>
      <c r="C126" t="s">
        <v>146</v>
      </c>
      <c r="D126" s="207">
        <f t="shared" si="4"/>
        <v>0</v>
      </c>
      <c r="E126" t="str">
        <f t="shared" si="5"/>
        <v/>
      </c>
      <c r="I126" t="str">
        <f t="shared" si="6"/>
        <v>05-94151813</v>
      </c>
      <c r="J126" t="str">
        <f t="shared" si="7"/>
        <v/>
      </c>
      <c r="L126" t="s">
        <v>189</v>
      </c>
      <c r="M126" t="s">
        <v>1066</v>
      </c>
    </row>
    <row r="127" spans="1:13">
      <c r="A127" t="s">
        <v>433</v>
      </c>
      <c r="B127" t="s">
        <v>434</v>
      </c>
      <c r="C127" t="s">
        <v>145</v>
      </c>
      <c r="D127" s="207">
        <f t="shared" si="4"/>
        <v>2</v>
      </c>
      <c r="E127" t="str">
        <f t="shared" si="5"/>
        <v/>
      </c>
      <c r="I127" t="str">
        <f t="shared" si="6"/>
        <v>05-94151813</v>
      </c>
      <c r="J127" t="str">
        <f t="shared" si="7"/>
        <v/>
      </c>
      <c r="L127" t="s">
        <v>189</v>
      </c>
      <c r="M127" t="s">
        <v>1066</v>
      </c>
    </row>
    <row r="128" spans="1:13">
      <c r="A128" t="s">
        <v>448</v>
      </c>
      <c r="B128" t="s">
        <v>449</v>
      </c>
      <c r="C128" t="s">
        <v>146</v>
      </c>
      <c r="D128" s="207">
        <f t="shared" si="4"/>
        <v>0</v>
      </c>
      <c r="E128" t="str">
        <f t="shared" si="5"/>
        <v/>
      </c>
      <c r="I128" t="str">
        <f t="shared" si="6"/>
        <v>05-96462328</v>
      </c>
      <c r="J128" t="str">
        <f t="shared" si="7"/>
        <v/>
      </c>
      <c r="L128" t="s">
        <v>190</v>
      </c>
      <c r="M128" t="s">
        <v>1066</v>
      </c>
    </row>
    <row r="129" spans="1:13">
      <c r="A129" t="s">
        <v>448</v>
      </c>
      <c r="B129" t="s">
        <v>449</v>
      </c>
      <c r="C129" t="s">
        <v>145</v>
      </c>
      <c r="D129" s="207">
        <f t="shared" si="4"/>
        <v>2</v>
      </c>
      <c r="E129" t="str">
        <f t="shared" si="5"/>
        <v/>
      </c>
      <c r="I129" t="str">
        <f t="shared" si="6"/>
        <v>05-96462328</v>
      </c>
      <c r="J129" t="str">
        <f t="shared" si="7"/>
        <v/>
      </c>
      <c r="L129" t="s">
        <v>190</v>
      </c>
      <c r="M129" t="s">
        <v>1066</v>
      </c>
    </row>
    <row r="130" spans="1:13">
      <c r="A130" t="s">
        <v>453</v>
      </c>
      <c r="B130" t="s">
        <v>454</v>
      </c>
      <c r="C130" t="s">
        <v>146</v>
      </c>
      <c r="D130" s="207">
        <f t="shared" si="4"/>
        <v>0</v>
      </c>
      <c r="E130" t="str">
        <f t="shared" si="5"/>
        <v/>
      </c>
      <c r="I130" t="str">
        <f t="shared" si="6"/>
        <v>05-96491474</v>
      </c>
      <c r="J130" t="str">
        <f t="shared" si="7"/>
        <v/>
      </c>
      <c r="L130" t="s">
        <v>191</v>
      </c>
      <c r="M130" t="s">
        <v>1066</v>
      </c>
    </row>
    <row r="131" spans="1:13">
      <c r="A131" t="s">
        <v>453</v>
      </c>
      <c r="B131" t="s">
        <v>454</v>
      </c>
      <c r="C131" t="s">
        <v>145</v>
      </c>
      <c r="D131" s="207">
        <f t="shared" si="4"/>
        <v>2</v>
      </c>
      <c r="E131" t="str">
        <f t="shared" si="5"/>
        <v/>
      </c>
      <c r="I131" t="str">
        <f t="shared" si="6"/>
        <v>05-96491474</v>
      </c>
      <c r="J131" t="str">
        <f t="shared" si="7"/>
        <v/>
      </c>
      <c r="L131" t="s">
        <v>191</v>
      </c>
      <c r="M131" t="s">
        <v>1066</v>
      </c>
    </row>
    <row r="132" spans="1:13">
      <c r="A132" t="s">
        <v>457</v>
      </c>
      <c r="B132" t="s">
        <v>458</v>
      </c>
      <c r="C132" t="s">
        <v>146</v>
      </c>
      <c r="D132" s="207">
        <f t="shared" ref="D132:D195" si="8">IF(A132=A131,2,0)</f>
        <v>0</v>
      </c>
      <c r="E132" t="str">
        <f t="shared" si="5"/>
        <v/>
      </c>
      <c r="I132" t="str">
        <f t="shared" si="6"/>
        <v>05-96641611</v>
      </c>
      <c r="J132" t="str">
        <f t="shared" si="7"/>
        <v/>
      </c>
      <c r="L132" t="s">
        <v>192</v>
      </c>
      <c r="M132" t="s">
        <v>1066</v>
      </c>
    </row>
    <row r="133" spans="1:13">
      <c r="A133" t="s">
        <v>457</v>
      </c>
      <c r="B133" t="s">
        <v>458</v>
      </c>
      <c r="C133" t="s">
        <v>145</v>
      </c>
      <c r="D133" s="207">
        <f t="shared" si="8"/>
        <v>2</v>
      </c>
      <c r="E133" t="str">
        <f t="shared" ref="E133:E196" si="9">IF(SUMIFS(D:D,A:A,A133)&lt;&gt;2,"ERROR","")</f>
        <v/>
      </c>
      <c r="I133" t="str">
        <f t="shared" ref="I133:I196" si="10">+A133</f>
        <v>05-96641611</v>
      </c>
      <c r="J133" t="str">
        <f t="shared" ref="J133:J196" si="11">+E133</f>
        <v/>
      </c>
      <c r="L133" t="s">
        <v>192</v>
      </c>
      <c r="M133" t="s">
        <v>1066</v>
      </c>
    </row>
    <row r="134" spans="1:13">
      <c r="A134" t="s">
        <v>469</v>
      </c>
      <c r="B134" t="s">
        <v>470</v>
      </c>
      <c r="C134" t="s">
        <v>146</v>
      </c>
      <c r="D134" s="207">
        <f t="shared" si="8"/>
        <v>0</v>
      </c>
      <c r="E134" t="str">
        <f t="shared" si="9"/>
        <v/>
      </c>
      <c r="I134" t="str">
        <f t="shared" si="10"/>
        <v>05-97937205</v>
      </c>
      <c r="J134" t="str">
        <f t="shared" si="11"/>
        <v/>
      </c>
      <c r="L134" t="s">
        <v>193</v>
      </c>
      <c r="M134" t="s">
        <v>1066</v>
      </c>
    </row>
    <row r="135" spans="1:13">
      <c r="A135" t="s">
        <v>469</v>
      </c>
      <c r="B135" t="s">
        <v>470</v>
      </c>
      <c r="C135" t="s">
        <v>145</v>
      </c>
      <c r="D135" s="207">
        <f t="shared" si="8"/>
        <v>2</v>
      </c>
      <c r="E135" t="str">
        <f t="shared" si="9"/>
        <v/>
      </c>
      <c r="I135" t="str">
        <f t="shared" si="10"/>
        <v>05-97937205</v>
      </c>
      <c r="J135" t="str">
        <f t="shared" si="11"/>
        <v/>
      </c>
      <c r="L135" t="s">
        <v>193</v>
      </c>
      <c r="M135" t="s">
        <v>1066</v>
      </c>
    </row>
    <row r="136" spans="1:13">
      <c r="A136" t="s">
        <v>483</v>
      </c>
      <c r="B136" t="s">
        <v>484</v>
      </c>
      <c r="C136" t="s">
        <v>146</v>
      </c>
      <c r="D136" s="207">
        <f t="shared" si="8"/>
        <v>0</v>
      </c>
      <c r="E136" t="str">
        <f t="shared" si="9"/>
        <v/>
      </c>
      <c r="I136" t="str">
        <f t="shared" si="10"/>
        <v>06-10075898</v>
      </c>
      <c r="J136" t="str">
        <f t="shared" si="11"/>
        <v/>
      </c>
      <c r="L136" t="s">
        <v>194</v>
      </c>
      <c r="M136" t="s">
        <v>1066</v>
      </c>
    </row>
    <row r="137" spans="1:13">
      <c r="A137" t="s">
        <v>483</v>
      </c>
      <c r="B137" t="s">
        <v>484</v>
      </c>
      <c r="C137" t="s">
        <v>145</v>
      </c>
      <c r="D137" s="207">
        <f t="shared" si="8"/>
        <v>2</v>
      </c>
      <c r="E137" t="str">
        <f t="shared" si="9"/>
        <v/>
      </c>
      <c r="I137" t="str">
        <f t="shared" si="10"/>
        <v>06-10075898</v>
      </c>
      <c r="J137" t="str">
        <f t="shared" si="11"/>
        <v/>
      </c>
      <c r="L137" t="s">
        <v>194</v>
      </c>
      <c r="M137" t="s">
        <v>1066</v>
      </c>
    </row>
    <row r="138" spans="1:13">
      <c r="A138" t="s">
        <v>493</v>
      </c>
      <c r="B138" t="s">
        <v>494</v>
      </c>
      <c r="C138" t="s">
        <v>146</v>
      </c>
      <c r="D138" s="207">
        <f t="shared" si="8"/>
        <v>0</v>
      </c>
      <c r="E138" t="str">
        <f t="shared" si="9"/>
        <v/>
      </c>
      <c r="I138" t="str">
        <f t="shared" si="10"/>
        <v>06-10216806</v>
      </c>
      <c r="J138" t="str">
        <f t="shared" si="11"/>
        <v/>
      </c>
      <c r="L138" t="s">
        <v>195</v>
      </c>
      <c r="M138" t="s">
        <v>1066</v>
      </c>
    </row>
    <row r="139" spans="1:13">
      <c r="A139" t="s">
        <v>493</v>
      </c>
      <c r="B139" t="s">
        <v>494</v>
      </c>
      <c r="C139" t="s">
        <v>145</v>
      </c>
      <c r="D139" s="207">
        <f t="shared" si="8"/>
        <v>2</v>
      </c>
      <c r="E139" t="str">
        <f t="shared" si="9"/>
        <v/>
      </c>
      <c r="I139" t="str">
        <f t="shared" si="10"/>
        <v>06-10216806</v>
      </c>
      <c r="J139" t="str">
        <f t="shared" si="11"/>
        <v/>
      </c>
      <c r="L139" t="s">
        <v>195</v>
      </c>
      <c r="M139" t="s">
        <v>1066</v>
      </c>
    </row>
    <row r="140" spans="1:13">
      <c r="A140" t="s">
        <v>514</v>
      </c>
      <c r="B140" t="s">
        <v>515</v>
      </c>
      <c r="C140" t="s">
        <v>146</v>
      </c>
      <c r="D140" s="207">
        <f t="shared" si="8"/>
        <v>0</v>
      </c>
      <c r="E140" t="str">
        <f t="shared" si="9"/>
        <v/>
      </c>
      <c r="I140" t="str">
        <f t="shared" si="10"/>
        <v>06-10490633</v>
      </c>
      <c r="J140" t="str">
        <f t="shared" si="11"/>
        <v/>
      </c>
      <c r="L140" t="s">
        <v>196</v>
      </c>
      <c r="M140" t="s">
        <v>1066</v>
      </c>
    </row>
    <row r="141" spans="1:13">
      <c r="A141" t="s">
        <v>514</v>
      </c>
      <c r="B141" t="s">
        <v>515</v>
      </c>
      <c r="C141" t="s">
        <v>145</v>
      </c>
      <c r="D141" s="207">
        <f t="shared" si="8"/>
        <v>2</v>
      </c>
      <c r="E141" t="str">
        <f t="shared" si="9"/>
        <v/>
      </c>
      <c r="I141" t="str">
        <f t="shared" si="10"/>
        <v>06-10490633</v>
      </c>
      <c r="J141" t="str">
        <f t="shared" si="11"/>
        <v/>
      </c>
      <c r="L141" t="s">
        <v>196</v>
      </c>
      <c r="M141" t="s">
        <v>1066</v>
      </c>
    </row>
    <row r="142" spans="1:13">
      <c r="A142" t="s">
        <v>612</v>
      </c>
      <c r="B142" t="s">
        <v>613</v>
      </c>
      <c r="C142" t="s">
        <v>146</v>
      </c>
      <c r="D142" s="207">
        <f t="shared" si="8"/>
        <v>0</v>
      </c>
      <c r="E142" t="str">
        <f t="shared" si="9"/>
        <v/>
      </c>
      <c r="I142" t="str">
        <f t="shared" si="10"/>
        <v>15-13798823</v>
      </c>
      <c r="J142" t="str">
        <f t="shared" si="11"/>
        <v/>
      </c>
      <c r="L142" t="s">
        <v>197</v>
      </c>
      <c r="M142" t="s">
        <v>1066</v>
      </c>
    </row>
    <row r="143" spans="1:13">
      <c r="A143" t="s">
        <v>612</v>
      </c>
      <c r="B143" t="s">
        <v>613</v>
      </c>
      <c r="C143" t="s">
        <v>145</v>
      </c>
      <c r="D143" s="207">
        <f t="shared" si="8"/>
        <v>2</v>
      </c>
      <c r="E143" t="str">
        <f t="shared" si="9"/>
        <v/>
      </c>
      <c r="I143" t="str">
        <f t="shared" si="10"/>
        <v>15-13798823</v>
      </c>
      <c r="J143" t="str">
        <f t="shared" si="11"/>
        <v/>
      </c>
      <c r="L143" t="s">
        <v>197</v>
      </c>
      <c r="M143" t="s">
        <v>1066</v>
      </c>
    </row>
    <row r="144" spans="1:13">
      <c r="A144" t="s">
        <v>616</v>
      </c>
      <c r="B144" t="s">
        <v>617</v>
      </c>
      <c r="C144" t="s">
        <v>146</v>
      </c>
      <c r="D144" s="207">
        <f t="shared" si="8"/>
        <v>0</v>
      </c>
      <c r="E144" t="str">
        <f t="shared" si="9"/>
        <v/>
      </c>
      <c r="I144" t="str">
        <f t="shared" si="10"/>
        <v>15-19414446</v>
      </c>
      <c r="J144" t="str">
        <f t="shared" si="11"/>
        <v/>
      </c>
      <c r="L144" t="s">
        <v>198</v>
      </c>
      <c r="M144" t="s">
        <v>1066</v>
      </c>
    </row>
    <row r="145" spans="1:13">
      <c r="A145" t="s">
        <v>616</v>
      </c>
      <c r="B145" t="s">
        <v>617</v>
      </c>
      <c r="C145" t="s">
        <v>145</v>
      </c>
      <c r="D145" s="207">
        <f t="shared" si="8"/>
        <v>2</v>
      </c>
      <c r="E145" t="str">
        <f t="shared" si="9"/>
        <v/>
      </c>
      <c r="I145" t="str">
        <f t="shared" si="10"/>
        <v>15-19414446</v>
      </c>
      <c r="J145" t="str">
        <f t="shared" si="11"/>
        <v/>
      </c>
      <c r="L145" t="s">
        <v>198</v>
      </c>
      <c r="M145" t="s">
        <v>1066</v>
      </c>
    </row>
    <row r="146" spans="1:13">
      <c r="A146" t="s">
        <v>622</v>
      </c>
      <c r="B146" t="s">
        <v>623</v>
      </c>
      <c r="C146" t="s">
        <v>146</v>
      </c>
      <c r="D146" s="207">
        <f t="shared" si="8"/>
        <v>0</v>
      </c>
      <c r="E146" t="str">
        <f t="shared" si="9"/>
        <v/>
      </c>
      <c r="I146" t="str">
        <f t="shared" si="10"/>
        <v>15-22917446</v>
      </c>
      <c r="J146" t="str">
        <f t="shared" si="11"/>
        <v/>
      </c>
      <c r="L146" t="s">
        <v>199</v>
      </c>
      <c r="M146" t="s">
        <v>1066</v>
      </c>
    </row>
    <row r="147" spans="1:13">
      <c r="A147" t="s">
        <v>622</v>
      </c>
      <c r="B147" t="s">
        <v>623</v>
      </c>
      <c r="C147" t="s">
        <v>145</v>
      </c>
      <c r="D147" s="207">
        <f t="shared" si="8"/>
        <v>2</v>
      </c>
      <c r="E147" t="str">
        <f t="shared" si="9"/>
        <v/>
      </c>
      <c r="I147" t="str">
        <f t="shared" si="10"/>
        <v>15-22917446</v>
      </c>
      <c r="J147" t="str">
        <f t="shared" si="11"/>
        <v/>
      </c>
      <c r="L147" t="s">
        <v>199</v>
      </c>
      <c r="M147" t="s">
        <v>1066</v>
      </c>
    </row>
    <row r="148" spans="1:13">
      <c r="A148" t="s">
        <v>627</v>
      </c>
      <c r="B148" t="s">
        <v>628</v>
      </c>
      <c r="C148" t="s">
        <v>146</v>
      </c>
      <c r="D148" s="207">
        <f t="shared" si="8"/>
        <v>0</v>
      </c>
      <c r="E148" t="str">
        <f t="shared" si="9"/>
        <v/>
      </c>
      <c r="I148" t="str">
        <f t="shared" si="10"/>
        <v>15-25838726</v>
      </c>
      <c r="J148" t="str">
        <f t="shared" si="11"/>
        <v/>
      </c>
      <c r="L148" t="s">
        <v>201</v>
      </c>
      <c r="M148" t="s">
        <v>1066</v>
      </c>
    </row>
    <row r="149" spans="1:13">
      <c r="A149" t="s">
        <v>627</v>
      </c>
      <c r="B149" t="s">
        <v>628</v>
      </c>
      <c r="C149" t="s">
        <v>145</v>
      </c>
      <c r="D149" s="207">
        <f t="shared" si="8"/>
        <v>2</v>
      </c>
      <c r="E149" t="str">
        <f t="shared" si="9"/>
        <v/>
      </c>
      <c r="I149" t="str">
        <f t="shared" si="10"/>
        <v>15-25838726</v>
      </c>
      <c r="J149" t="str">
        <f t="shared" si="11"/>
        <v/>
      </c>
      <c r="L149" t="s">
        <v>201</v>
      </c>
      <c r="M149" t="s">
        <v>1066</v>
      </c>
    </row>
    <row r="150" spans="1:13">
      <c r="A150" t="s">
        <v>632</v>
      </c>
      <c r="B150" t="s">
        <v>633</v>
      </c>
      <c r="C150" t="s">
        <v>146</v>
      </c>
      <c r="D150" s="207">
        <f t="shared" si="8"/>
        <v>0</v>
      </c>
      <c r="E150" t="str">
        <f t="shared" si="9"/>
        <v/>
      </c>
      <c r="I150" t="str">
        <f t="shared" si="10"/>
        <v>15-30194240</v>
      </c>
      <c r="J150" t="str">
        <f t="shared" si="11"/>
        <v/>
      </c>
      <c r="L150" t="s">
        <v>202</v>
      </c>
      <c r="M150" t="s">
        <v>1066</v>
      </c>
    </row>
    <row r="151" spans="1:13">
      <c r="A151" t="s">
        <v>632</v>
      </c>
      <c r="B151" t="s">
        <v>633</v>
      </c>
      <c r="C151" t="s">
        <v>145</v>
      </c>
      <c r="D151" s="207">
        <f t="shared" si="8"/>
        <v>2</v>
      </c>
      <c r="E151" t="str">
        <f t="shared" si="9"/>
        <v/>
      </c>
      <c r="I151" t="str">
        <f t="shared" si="10"/>
        <v>15-30194240</v>
      </c>
      <c r="J151" t="str">
        <f t="shared" si="11"/>
        <v/>
      </c>
      <c r="L151" t="s">
        <v>202</v>
      </c>
      <c r="M151" t="s">
        <v>1066</v>
      </c>
    </row>
    <row r="152" spans="1:13">
      <c r="A152" t="s">
        <v>634</v>
      </c>
      <c r="B152" t="s">
        <v>635</v>
      </c>
      <c r="C152" t="s">
        <v>146</v>
      </c>
      <c r="D152" s="207">
        <f t="shared" si="8"/>
        <v>0</v>
      </c>
      <c r="E152" t="str">
        <f t="shared" si="9"/>
        <v/>
      </c>
      <c r="I152" t="str">
        <f t="shared" si="10"/>
        <v>15-30200383</v>
      </c>
      <c r="J152" t="str">
        <f t="shared" si="11"/>
        <v/>
      </c>
      <c r="L152" t="s">
        <v>204</v>
      </c>
      <c r="M152" t="s">
        <v>1066</v>
      </c>
    </row>
    <row r="153" spans="1:13">
      <c r="A153" t="s">
        <v>634</v>
      </c>
      <c r="B153" t="s">
        <v>635</v>
      </c>
      <c r="C153" t="s">
        <v>145</v>
      </c>
      <c r="D153" s="207">
        <f t="shared" si="8"/>
        <v>2</v>
      </c>
      <c r="E153" t="str">
        <f t="shared" si="9"/>
        <v/>
      </c>
      <c r="I153" t="str">
        <f t="shared" si="10"/>
        <v>15-30200383</v>
      </c>
      <c r="J153" t="str">
        <f t="shared" si="11"/>
        <v/>
      </c>
      <c r="L153" t="s">
        <v>204</v>
      </c>
      <c r="M153" t="s">
        <v>1066</v>
      </c>
    </row>
    <row r="154" spans="1:13">
      <c r="A154" t="s">
        <v>636</v>
      </c>
      <c r="B154" t="s">
        <v>637</v>
      </c>
      <c r="C154" t="s">
        <v>146</v>
      </c>
      <c r="D154" s="207">
        <f t="shared" si="8"/>
        <v>0</v>
      </c>
      <c r="E154" t="str">
        <f t="shared" si="9"/>
        <v/>
      </c>
      <c r="I154" t="str">
        <f t="shared" si="10"/>
        <v>15-30215431</v>
      </c>
      <c r="J154" t="str">
        <f t="shared" si="11"/>
        <v/>
      </c>
      <c r="L154" t="s">
        <v>206</v>
      </c>
      <c r="M154" t="s">
        <v>1066</v>
      </c>
    </row>
    <row r="155" spans="1:13">
      <c r="A155" t="s">
        <v>636</v>
      </c>
      <c r="B155" t="s">
        <v>637</v>
      </c>
      <c r="C155" t="s">
        <v>145</v>
      </c>
      <c r="D155" s="207">
        <f t="shared" si="8"/>
        <v>2</v>
      </c>
      <c r="E155" t="str">
        <f t="shared" si="9"/>
        <v/>
      </c>
      <c r="I155" t="str">
        <f t="shared" si="10"/>
        <v>15-30215431</v>
      </c>
      <c r="J155" t="str">
        <f t="shared" si="11"/>
        <v/>
      </c>
      <c r="L155" t="s">
        <v>206</v>
      </c>
      <c r="M155" t="s">
        <v>1066</v>
      </c>
    </row>
    <row r="156" spans="1:13">
      <c r="A156" t="s">
        <v>638</v>
      </c>
      <c r="B156" t="s">
        <v>639</v>
      </c>
      <c r="C156" t="s">
        <v>146</v>
      </c>
      <c r="D156" s="207">
        <f t="shared" si="8"/>
        <v>0</v>
      </c>
      <c r="E156" t="str">
        <f t="shared" si="9"/>
        <v/>
      </c>
      <c r="I156" t="str">
        <f t="shared" si="10"/>
        <v>15-30216418</v>
      </c>
      <c r="J156" t="str">
        <f t="shared" si="11"/>
        <v/>
      </c>
      <c r="L156" t="s">
        <v>207</v>
      </c>
      <c r="M156" t="s">
        <v>1066</v>
      </c>
    </row>
    <row r="157" spans="1:13">
      <c r="A157" t="s">
        <v>638</v>
      </c>
      <c r="B157" t="s">
        <v>639</v>
      </c>
      <c r="C157" t="s">
        <v>145</v>
      </c>
      <c r="D157" s="207">
        <f t="shared" si="8"/>
        <v>2</v>
      </c>
      <c r="E157" t="str">
        <f t="shared" si="9"/>
        <v/>
      </c>
      <c r="I157" t="str">
        <f t="shared" si="10"/>
        <v>15-30216418</v>
      </c>
      <c r="J157" t="str">
        <f t="shared" si="11"/>
        <v/>
      </c>
      <c r="L157" t="s">
        <v>207</v>
      </c>
      <c r="M157" t="s">
        <v>1066</v>
      </c>
    </row>
    <row r="158" spans="1:13">
      <c r="A158" t="s">
        <v>640</v>
      </c>
      <c r="B158" t="s">
        <v>641</v>
      </c>
      <c r="C158" t="s">
        <v>146</v>
      </c>
      <c r="D158" s="207">
        <f t="shared" si="8"/>
        <v>0</v>
      </c>
      <c r="E158" t="str">
        <f t="shared" si="9"/>
        <v/>
      </c>
      <c r="I158" t="str">
        <f t="shared" si="10"/>
        <v>15-30227515</v>
      </c>
      <c r="J158" t="str">
        <f t="shared" si="11"/>
        <v/>
      </c>
      <c r="L158" t="s">
        <v>208</v>
      </c>
      <c r="M158" t="s">
        <v>1066</v>
      </c>
    </row>
    <row r="159" spans="1:13">
      <c r="A159" t="s">
        <v>640</v>
      </c>
      <c r="B159" t="s">
        <v>641</v>
      </c>
      <c r="C159" t="s">
        <v>145</v>
      </c>
      <c r="D159" s="207">
        <f t="shared" si="8"/>
        <v>2</v>
      </c>
      <c r="E159" t="str">
        <f t="shared" si="9"/>
        <v/>
      </c>
      <c r="I159" t="str">
        <f t="shared" si="10"/>
        <v>15-30227515</v>
      </c>
      <c r="J159" t="str">
        <f t="shared" si="11"/>
        <v/>
      </c>
      <c r="L159" t="s">
        <v>208</v>
      </c>
      <c r="M159" t="s">
        <v>1066</v>
      </c>
    </row>
    <row r="160" spans="1:13">
      <c r="A160" t="s">
        <v>643</v>
      </c>
      <c r="B160" t="s">
        <v>644</v>
      </c>
      <c r="C160" t="s">
        <v>146</v>
      </c>
      <c r="D160" s="207">
        <f t="shared" si="8"/>
        <v>0</v>
      </c>
      <c r="E160" t="str">
        <f t="shared" si="9"/>
        <v/>
      </c>
      <c r="I160" t="str">
        <f t="shared" si="10"/>
        <v>15-30242459</v>
      </c>
      <c r="J160" t="str">
        <f t="shared" si="11"/>
        <v/>
      </c>
      <c r="L160" t="s">
        <v>210</v>
      </c>
      <c r="M160" t="s">
        <v>1066</v>
      </c>
    </row>
    <row r="161" spans="1:13">
      <c r="A161" t="s">
        <v>643</v>
      </c>
      <c r="B161" t="s">
        <v>644</v>
      </c>
      <c r="C161" t="s">
        <v>145</v>
      </c>
      <c r="D161" s="207">
        <f t="shared" si="8"/>
        <v>2</v>
      </c>
      <c r="E161" t="str">
        <f t="shared" si="9"/>
        <v/>
      </c>
      <c r="I161" t="str">
        <f t="shared" si="10"/>
        <v>15-30242459</v>
      </c>
      <c r="J161" t="str">
        <f t="shared" si="11"/>
        <v/>
      </c>
      <c r="L161" t="s">
        <v>210</v>
      </c>
      <c r="M161" t="s">
        <v>1066</v>
      </c>
    </row>
    <row r="162" spans="1:13">
      <c r="A162" t="s">
        <v>645</v>
      </c>
      <c r="B162" t="s">
        <v>646</v>
      </c>
      <c r="C162" t="s">
        <v>146</v>
      </c>
      <c r="D162" s="207">
        <f t="shared" si="8"/>
        <v>0</v>
      </c>
      <c r="E162" t="str">
        <f t="shared" si="9"/>
        <v/>
      </c>
      <c r="I162" t="str">
        <f t="shared" si="10"/>
        <v>15-30246529</v>
      </c>
      <c r="J162" t="str">
        <f t="shared" si="11"/>
        <v/>
      </c>
      <c r="L162" t="s">
        <v>211</v>
      </c>
      <c r="M162" t="s">
        <v>1066</v>
      </c>
    </row>
    <row r="163" spans="1:13">
      <c r="A163" t="s">
        <v>645</v>
      </c>
      <c r="B163" t="s">
        <v>646</v>
      </c>
      <c r="C163" t="s">
        <v>145</v>
      </c>
      <c r="D163" s="207">
        <f t="shared" si="8"/>
        <v>2</v>
      </c>
      <c r="E163" t="str">
        <f t="shared" si="9"/>
        <v/>
      </c>
      <c r="I163" t="str">
        <f t="shared" si="10"/>
        <v>15-30246529</v>
      </c>
      <c r="J163" t="str">
        <f t="shared" si="11"/>
        <v/>
      </c>
      <c r="L163" t="s">
        <v>211</v>
      </c>
      <c r="M163" t="s">
        <v>1066</v>
      </c>
    </row>
    <row r="164" spans="1:13">
      <c r="A164" t="s">
        <v>647</v>
      </c>
      <c r="B164" t="s">
        <v>648</v>
      </c>
      <c r="C164" t="s">
        <v>146</v>
      </c>
      <c r="D164" s="207">
        <f t="shared" si="8"/>
        <v>0</v>
      </c>
      <c r="E164" t="str">
        <f t="shared" si="9"/>
        <v/>
      </c>
      <c r="I164" t="str">
        <f t="shared" si="10"/>
        <v>15-30257819</v>
      </c>
      <c r="J164" t="str">
        <f t="shared" si="11"/>
        <v/>
      </c>
      <c r="L164" t="s">
        <v>212</v>
      </c>
      <c r="M164" t="s">
        <v>1066</v>
      </c>
    </row>
    <row r="165" spans="1:13">
      <c r="A165" t="s">
        <v>647</v>
      </c>
      <c r="B165" t="s">
        <v>648</v>
      </c>
      <c r="C165" t="s">
        <v>145</v>
      </c>
      <c r="D165" s="207">
        <f t="shared" si="8"/>
        <v>2</v>
      </c>
      <c r="E165" t="str">
        <f t="shared" si="9"/>
        <v/>
      </c>
      <c r="I165" t="str">
        <f t="shared" si="10"/>
        <v>15-30257819</v>
      </c>
      <c r="J165" t="str">
        <f t="shared" si="11"/>
        <v/>
      </c>
      <c r="L165" t="s">
        <v>212</v>
      </c>
      <c r="M165" t="s">
        <v>1066</v>
      </c>
    </row>
    <row r="166" spans="1:13">
      <c r="A166" t="s">
        <v>649</v>
      </c>
      <c r="B166" t="s">
        <v>650</v>
      </c>
      <c r="C166" t="s">
        <v>146</v>
      </c>
      <c r="D166" s="207">
        <f t="shared" si="8"/>
        <v>0</v>
      </c>
      <c r="E166" t="str">
        <f t="shared" si="9"/>
        <v/>
      </c>
      <c r="I166" t="str">
        <f t="shared" si="10"/>
        <v>15-30265414</v>
      </c>
      <c r="J166" t="str">
        <f t="shared" si="11"/>
        <v/>
      </c>
      <c r="L166" t="s">
        <v>213</v>
      </c>
      <c r="M166" t="s">
        <v>1066</v>
      </c>
    </row>
    <row r="167" spans="1:13">
      <c r="A167" t="s">
        <v>649</v>
      </c>
      <c r="B167" t="s">
        <v>650</v>
      </c>
      <c r="C167" t="s">
        <v>145</v>
      </c>
      <c r="D167" s="207">
        <f t="shared" si="8"/>
        <v>2</v>
      </c>
      <c r="E167" t="str">
        <f t="shared" si="9"/>
        <v/>
      </c>
      <c r="I167" t="str">
        <f t="shared" si="10"/>
        <v>15-30265414</v>
      </c>
      <c r="J167" t="str">
        <f t="shared" si="11"/>
        <v/>
      </c>
      <c r="L167" t="s">
        <v>213</v>
      </c>
      <c r="M167" t="s">
        <v>1066</v>
      </c>
    </row>
    <row r="168" spans="1:13">
      <c r="A168" t="s">
        <v>656</v>
      </c>
      <c r="B168" t="s">
        <v>657</v>
      </c>
      <c r="C168" t="s">
        <v>146</v>
      </c>
      <c r="D168" s="207">
        <f t="shared" si="8"/>
        <v>0</v>
      </c>
      <c r="E168" t="str">
        <f t="shared" si="9"/>
        <v/>
      </c>
      <c r="I168" t="str">
        <f t="shared" si="10"/>
        <v>15-30506140</v>
      </c>
      <c r="J168" t="str">
        <f t="shared" si="11"/>
        <v/>
      </c>
      <c r="L168" t="s">
        <v>215</v>
      </c>
      <c r="M168" t="s">
        <v>1066</v>
      </c>
    </row>
    <row r="169" spans="1:13">
      <c r="A169" t="s">
        <v>656</v>
      </c>
      <c r="B169" t="s">
        <v>657</v>
      </c>
      <c r="C169" t="s">
        <v>145</v>
      </c>
      <c r="D169" s="207">
        <f t="shared" si="8"/>
        <v>2</v>
      </c>
      <c r="E169" t="str">
        <f t="shared" si="9"/>
        <v/>
      </c>
      <c r="I169" t="str">
        <f t="shared" si="10"/>
        <v>15-30506140</v>
      </c>
      <c r="J169" t="str">
        <f t="shared" si="11"/>
        <v/>
      </c>
      <c r="L169" t="s">
        <v>215</v>
      </c>
      <c r="M169" t="s">
        <v>1066</v>
      </c>
    </row>
    <row r="170" spans="1:13">
      <c r="A170" t="s">
        <v>658</v>
      </c>
      <c r="B170" t="s">
        <v>659</v>
      </c>
      <c r="C170" t="s">
        <v>146</v>
      </c>
      <c r="D170" s="207">
        <f t="shared" si="8"/>
        <v>0</v>
      </c>
      <c r="E170" t="str">
        <f t="shared" si="9"/>
        <v/>
      </c>
      <c r="I170" t="str">
        <f t="shared" si="10"/>
        <v>15-30527408</v>
      </c>
      <c r="J170" t="str">
        <f t="shared" si="11"/>
        <v/>
      </c>
      <c r="L170" t="s">
        <v>216</v>
      </c>
      <c r="M170" t="s">
        <v>1066</v>
      </c>
    </row>
    <row r="171" spans="1:13">
      <c r="A171" t="s">
        <v>658</v>
      </c>
      <c r="B171" t="s">
        <v>659</v>
      </c>
      <c r="C171" t="s">
        <v>145</v>
      </c>
      <c r="D171" s="207">
        <f t="shared" si="8"/>
        <v>2</v>
      </c>
      <c r="E171" t="str">
        <f t="shared" si="9"/>
        <v/>
      </c>
      <c r="I171" t="str">
        <f t="shared" si="10"/>
        <v>15-30527408</v>
      </c>
      <c r="J171" t="str">
        <f t="shared" si="11"/>
        <v/>
      </c>
      <c r="L171" t="s">
        <v>216</v>
      </c>
      <c r="M171" t="s">
        <v>1066</v>
      </c>
    </row>
    <row r="172" spans="1:13">
      <c r="A172" t="s">
        <v>660</v>
      </c>
      <c r="B172" t="s">
        <v>661</v>
      </c>
      <c r="C172" t="s">
        <v>146</v>
      </c>
      <c r="D172" s="207">
        <f t="shared" si="8"/>
        <v>0</v>
      </c>
      <c r="E172" t="str">
        <f t="shared" si="9"/>
        <v/>
      </c>
      <c r="I172" t="str">
        <f t="shared" si="10"/>
        <v>15-30594668</v>
      </c>
      <c r="J172" t="str">
        <f t="shared" si="11"/>
        <v/>
      </c>
      <c r="L172" t="s">
        <v>217</v>
      </c>
      <c r="M172" t="s">
        <v>1066</v>
      </c>
    </row>
    <row r="173" spans="1:13">
      <c r="A173" t="s">
        <v>660</v>
      </c>
      <c r="B173" t="s">
        <v>661</v>
      </c>
      <c r="C173" t="s">
        <v>145</v>
      </c>
      <c r="D173" s="207">
        <f t="shared" si="8"/>
        <v>2</v>
      </c>
      <c r="E173" t="str">
        <f t="shared" si="9"/>
        <v/>
      </c>
      <c r="I173" t="str">
        <f t="shared" si="10"/>
        <v>15-30594668</v>
      </c>
      <c r="J173" t="str">
        <f t="shared" si="11"/>
        <v/>
      </c>
      <c r="L173" t="s">
        <v>217</v>
      </c>
      <c r="M173" t="s">
        <v>1066</v>
      </c>
    </row>
    <row r="174" spans="1:13">
      <c r="A174" t="s">
        <v>662</v>
      </c>
      <c r="B174" t="s">
        <v>663</v>
      </c>
      <c r="C174" t="s">
        <v>146</v>
      </c>
      <c r="D174" s="207">
        <f t="shared" si="8"/>
        <v>0</v>
      </c>
      <c r="E174" t="str">
        <f t="shared" si="9"/>
        <v/>
      </c>
      <c r="I174" t="str">
        <f t="shared" si="10"/>
        <v>15-30603429</v>
      </c>
      <c r="J174" t="str">
        <f t="shared" si="11"/>
        <v/>
      </c>
      <c r="L174" t="s">
        <v>218</v>
      </c>
      <c r="M174" t="s">
        <v>1066</v>
      </c>
    </row>
    <row r="175" spans="1:13">
      <c r="A175" t="s">
        <v>662</v>
      </c>
      <c r="B175" t="s">
        <v>663</v>
      </c>
      <c r="C175" t="s">
        <v>145</v>
      </c>
      <c r="D175" s="207">
        <f t="shared" si="8"/>
        <v>2</v>
      </c>
      <c r="E175" t="str">
        <f t="shared" si="9"/>
        <v/>
      </c>
      <c r="I175" t="str">
        <f t="shared" si="10"/>
        <v>15-30603429</v>
      </c>
      <c r="J175" t="str">
        <f t="shared" si="11"/>
        <v/>
      </c>
      <c r="L175" t="s">
        <v>218</v>
      </c>
      <c r="M175" t="s">
        <v>1066</v>
      </c>
    </row>
    <row r="176" spans="1:13">
      <c r="A176" t="s">
        <v>664</v>
      </c>
      <c r="B176" t="s">
        <v>665</v>
      </c>
      <c r="C176" t="s">
        <v>146</v>
      </c>
      <c r="D176" s="207">
        <f t="shared" si="8"/>
        <v>0</v>
      </c>
      <c r="E176" t="str">
        <f t="shared" si="9"/>
        <v/>
      </c>
      <c r="I176" t="str">
        <f t="shared" si="10"/>
        <v>15-30680851</v>
      </c>
      <c r="J176" t="str">
        <f t="shared" si="11"/>
        <v/>
      </c>
      <c r="L176" t="s">
        <v>219</v>
      </c>
      <c r="M176" t="s">
        <v>1066</v>
      </c>
    </row>
    <row r="177" spans="1:13">
      <c r="A177" t="s">
        <v>664</v>
      </c>
      <c r="B177" t="s">
        <v>665</v>
      </c>
      <c r="C177" t="s">
        <v>145</v>
      </c>
      <c r="D177" s="207">
        <f t="shared" si="8"/>
        <v>2</v>
      </c>
      <c r="E177" t="str">
        <f t="shared" si="9"/>
        <v/>
      </c>
      <c r="I177" t="str">
        <f t="shared" si="10"/>
        <v>15-30680851</v>
      </c>
      <c r="J177" t="str">
        <f t="shared" si="11"/>
        <v/>
      </c>
      <c r="L177" t="s">
        <v>219</v>
      </c>
      <c r="M177" t="s">
        <v>1066</v>
      </c>
    </row>
    <row r="178" spans="1:13">
      <c r="A178" t="s">
        <v>669</v>
      </c>
      <c r="B178" t="s">
        <v>670</v>
      </c>
      <c r="C178" t="s">
        <v>146</v>
      </c>
      <c r="D178" s="207">
        <f t="shared" si="8"/>
        <v>0</v>
      </c>
      <c r="E178" t="str">
        <f t="shared" si="9"/>
        <v/>
      </c>
      <c r="I178" t="str">
        <f t="shared" si="10"/>
        <v>15-30744838</v>
      </c>
      <c r="J178" t="str">
        <f t="shared" si="11"/>
        <v/>
      </c>
      <c r="L178" t="s">
        <v>220</v>
      </c>
      <c r="M178" t="s">
        <v>1066</v>
      </c>
    </row>
    <row r="179" spans="1:13">
      <c r="A179" t="s">
        <v>669</v>
      </c>
      <c r="B179" t="s">
        <v>670</v>
      </c>
      <c r="C179" t="s">
        <v>145</v>
      </c>
      <c r="D179" s="207">
        <f t="shared" si="8"/>
        <v>2</v>
      </c>
      <c r="E179" t="str">
        <f t="shared" si="9"/>
        <v/>
      </c>
      <c r="I179" t="str">
        <f t="shared" si="10"/>
        <v>15-30744838</v>
      </c>
      <c r="J179" t="str">
        <f t="shared" si="11"/>
        <v/>
      </c>
      <c r="L179" t="s">
        <v>220</v>
      </c>
      <c r="M179" t="s">
        <v>1066</v>
      </c>
    </row>
    <row r="180" spans="1:13">
      <c r="A180" t="s">
        <v>672</v>
      </c>
      <c r="B180" t="s">
        <v>673</v>
      </c>
      <c r="C180" t="s">
        <v>146</v>
      </c>
      <c r="D180" s="207">
        <f t="shared" si="8"/>
        <v>0</v>
      </c>
      <c r="E180" t="str">
        <f t="shared" si="9"/>
        <v/>
      </c>
      <c r="I180" t="str">
        <f t="shared" si="10"/>
        <v>15-30762627</v>
      </c>
      <c r="J180" t="str">
        <f t="shared" si="11"/>
        <v/>
      </c>
      <c r="L180" t="s">
        <v>222</v>
      </c>
      <c r="M180" t="s">
        <v>1066</v>
      </c>
    </row>
    <row r="181" spans="1:13">
      <c r="A181" t="s">
        <v>672</v>
      </c>
      <c r="B181" t="s">
        <v>673</v>
      </c>
      <c r="C181" t="s">
        <v>145</v>
      </c>
      <c r="D181" s="207">
        <f t="shared" si="8"/>
        <v>2</v>
      </c>
      <c r="E181" t="str">
        <f t="shared" si="9"/>
        <v/>
      </c>
      <c r="I181" t="str">
        <f t="shared" si="10"/>
        <v>15-30762627</v>
      </c>
      <c r="J181" t="str">
        <f t="shared" si="11"/>
        <v/>
      </c>
      <c r="L181" t="s">
        <v>222</v>
      </c>
      <c r="M181" t="s">
        <v>1066</v>
      </c>
    </row>
    <row r="182" spans="1:13">
      <c r="A182" t="s">
        <v>676</v>
      </c>
      <c r="B182" t="s">
        <v>677</v>
      </c>
      <c r="C182" t="s">
        <v>146</v>
      </c>
      <c r="D182" s="207">
        <f t="shared" si="8"/>
        <v>0</v>
      </c>
      <c r="E182" t="str">
        <f t="shared" si="9"/>
        <v/>
      </c>
      <c r="I182" t="str">
        <f t="shared" si="10"/>
        <v>15-30844017</v>
      </c>
      <c r="J182" t="str">
        <f t="shared" si="11"/>
        <v/>
      </c>
      <c r="L182" t="s">
        <v>223</v>
      </c>
      <c r="M182" t="s">
        <v>1066</v>
      </c>
    </row>
    <row r="183" spans="1:13">
      <c r="A183" t="s">
        <v>676</v>
      </c>
      <c r="B183" t="s">
        <v>677</v>
      </c>
      <c r="C183" t="s">
        <v>145</v>
      </c>
      <c r="D183" s="207">
        <f t="shared" si="8"/>
        <v>2</v>
      </c>
      <c r="E183" t="str">
        <f t="shared" si="9"/>
        <v/>
      </c>
      <c r="I183" t="str">
        <f t="shared" si="10"/>
        <v>15-30844017</v>
      </c>
      <c r="J183" t="str">
        <f t="shared" si="11"/>
        <v/>
      </c>
      <c r="L183" t="s">
        <v>223</v>
      </c>
      <c r="M183" t="s">
        <v>1066</v>
      </c>
    </row>
    <row r="184" spans="1:13">
      <c r="A184" t="s">
        <v>686</v>
      </c>
      <c r="B184" t="s">
        <v>687</v>
      </c>
      <c r="C184" t="s">
        <v>146</v>
      </c>
      <c r="D184" s="207">
        <f t="shared" si="8"/>
        <v>0</v>
      </c>
      <c r="E184" t="str">
        <f t="shared" si="9"/>
        <v/>
      </c>
      <c r="I184" t="str">
        <f t="shared" si="10"/>
        <v>15-30922360</v>
      </c>
      <c r="J184" t="str">
        <f t="shared" si="11"/>
        <v/>
      </c>
      <c r="L184" t="s">
        <v>225</v>
      </c>
      <c r="M184" t="s">
        <v>1066</v>
      </c>
    </row>
    <row r="185" spans="1:13">
      <c r="A185" t="s">
        <v>686</v>
      </c>
      <c r="B185" t="s">
        <v>687</v>
      </c>
      <c r="C185" t="s">
        <v>145</v>
      </c>
      <c r="D185" s="207">
        <f t="shared" si="8"/>
        <v>2</v>
      </c>
      <c r="E185" t="str">
        <f t="shared" si="9"/>
        <v/>
      </c>
      <c r="I185" t="str">
        <f t="shared" si="10"/>
        <v>15-30922360</v>
      </c>
      <c r="J185" t="str">
        <f t="shared" si="11"/>
        <v/>
      </c>
      <c r="L185" t="s">
        <v>225</v>
      </c>
      <c r="M185" t="s">
        <v>1066</v>
      </c>
    </row>
    <row r="186" spans="1:13">
      <c r="A186" t="s">
        <v>691</v>
      </c>
      <c r="B186" t="s">
        <v>692</v>
      </c>
      <c r="C186" t="s">
        <v>146</v>
      </c>
      <c r="D186" s="207">
        <f t="shared" si="8"/>
        <v>0</v>
      </c>
      <c r="E186" t="str">
        <f t="shared" si="9"/>
        <v/>
      </c>
      <c r="I186" t="str">
        <f t="shared" si="10"/>
        <v>15-30980788</v>
      </c>
      <c r="J186" t="str">
        <f t="shared" si="11"/>
        <v/>
      </c>
      <c r="L186" t="s">
        <v>226</v>
      </c>
      <c r="M186" t="s">
        <v>1066</v>
      </c>
    </row>
    <row r="187" spans="1:13">
      <c r="A187" t="s">
        <v>691</v>
      </c>
      <c r="B187" t="s">
        <v>692</v>
      </c>
      <c r="C187" t="s">
        <v>145</v>
      </c>
      <c r="D187" s="207">
        <f t="shared" si="8"/>
        <v>2</v>
      </c>
      <c r="E187" t="str">
        <f t="shared" si="9"/>
        <v/>
      </c>
      <c r="I187" t="str">
        <f t="shared" si="10"/>
        <v>15-30980788</v>
      </c>
      <c r="J187" t="str">
        <f t="shared" si="11"/>
        <v/>
      </c>
      <c r="L187" t="s">
        <v>226</v>
      </c>
      <c r="M187" t="s">
        <v>1066</v>
      </c>
    </row>
    <row r="188" spans="1:13">
      <c r="A188" t="s">
        <v>693</v>
      </c>
      <c r="B188" t="s">
        <v>694</v>
      </c>
      <c r="C188" t="s">
        <v>146</v>
      </c>
      <c r="D188" s="207">
        <f t="shared" si="8"/>
        <v>0</v>
      </c>
      <c r="E188" t="str">
        <f t="shared" si="9"/>
        <v/>
      </c>
      <c r="I188" t="str">
        <f t="shared" si="10"/>
        <v>15-30986588</v>
      </c>
      <c r="J188" t="str">
        <f t="shared" si="11"/>
        <v/>
      </c>
      <c r="L188" t="s">
        <v>227</v>
      </c>
      <c r="M188" t="s">
        <v>1066</v>
      </c>
    </row>
    <row r="189" spans="1:13">
      <c r="A189" t="s">
        <v>693</v>
      </c>
      <c r="B189" t="s">
        <v>694</v>
      </c>
      <c r="C189" t="s">
        <v>145</v>
      </c>
      <c r="D189" s="207">
        <f t="shared" si="8"/>
        <v>2</v>
      </c>
      <c r="E189" t="str">
        <f t="shared" si="9"/>
        <v/>
      </c>
      <c r="I189" t="str">
        <f t="shared" si="10"/>
        <v>15-30986588</v>
      </c>
      <c r="J189" t="str">
        <f t="shared" si="11"/>
        <v/>
      </c>
      <c r="L189" t="s">
        <v>227</v>
      </c>
      <c r="M189" t="s">
        <v>1066</v>
      </c>
    </row>
    <row r="190" spans="1:13">
      <c r="A190" t="s">
        <v>717</v>
      </c>
      <c r="B190" t="s">
        <v>718</v>
      </c>
      <c r="C190" t="s">
        <v>146</v>
      </c>
      <c r="D190" s="207">
        <f t="shared" si="8"/>
        <v>0</v>
      </c>
      <c r="E190" t="str">
        <f t="shared" si="9"/>
        <v/>
      </c>
      <c r="I190" t="str">
        <f t="shared" si="10"/>
        <v>15-42180907</v>
      </c>
      <c r="J190" t="str">
        <f t="shared" si="11"/>
        <v/>
      </c>
      <c r="L190" t="s">
        <v>229</v>
      </c>
      <c r="M190" t="s">
        <v>1066</v>
      </c>
    </row>
    <row r="191" spans="1:13">
      <c r="A191" t="s">
        <v>717</v>
      </c>
      <c r="B191" t="s">
        <v>718</v>
      </c>
      <c r="C191" t="s">
        <v>145</v>
      </c>
      <c r="D191" s="207">
        <f t="shared" si="8"/>
        <v>2</v>
      </c>
      <c r="E191" t="str">
        <f t="shared" si="9"/>
        <v/>
      </c>
      <c r="I191" t="str">
        <f t="shared" si="10"/>
        <v>15-42180907</v>
      </c>
      <c r="J191" t="str">
        <f t="shared" si="11"/>
        <v/>
      </c>
      <c r="L191" t="s">
        <v>229</v>
      </c>
      <c r="M191" t="s">
        <v>1066</v>
      </c>
    </row>
    <row r="192" spans="1:13">
      <c r="A192" t="s">
        <v>719</v>
      </c>
      <c r="B192" t="s">
        <v>720</v>
      </c>
      <c r="C192" t="s">
        <v>146</v>
      </c>
      <c r="D192" s="207">
        <f t="shared" si="8"/>
        <v>0</v>
      </c>
      <c r="E192" t="str">
        <f t="shared" si="9"/>
        <v/>
      </c>
      <c r="I192" t="str">
        <f t="shared" si="10"/>
        <v>15-42203453</v>
      </c>
      <c r="J192" t="str">
        <f t="shared" si="11"/>
        <v/>
      </c>
      <c r="L192" t="s">
        <v>231</v>
      </c>
      <c r="M192" t="s">
        <v>1066</v>
      </c>
    </row>
    <row r="193" spans="1:13">
      <c r="A193" t="s">
        <v>719</v>
      </c>
      <c r="B193" t="s">
        <v>720</v>
      </c>
      <c r="C193" t="s">
        <v>145</v>
      </c>
      <c r="D193" s="207">
        <f t="shared" si="8"/>
        <v>2</v>
      </c>
      <c r="E193" t="str">
        <f t="shared" si="9"/>
        <v/>
      </c>
      <c r="I193" t="str">
        <f t="shared" si="10"/>
        <v>15-42203453</v>
      </c>
      <c r="J193" t="str">
        <f t="shared" si="11"/>
        <v/>
      </c>
      <c r="L193" t="s">
        <v>231</v>
      </c>
      <c r="M193" t="s">
        <v>1066</v>
      </c>
    </row>
    <row r="194" spans="1:13">
      <c r="A194" t="s">
        <v>721</v>
      </c>
      <c r="B194" t="s">
        <v>722</v>
      </c>
      <c r="C194" t="s">
        <v>146</v>
      </c>
      <c r="D194" s="207">
        <f t="shared" si="8"/>
        <v>0</v>
      </c>
      <c r="E194" t="str">
        <f t="shared" si="9"/>
        <v/>
      </c>
      <c r="I194" t="str">
        <f t="shared" si="10"/>
        <v>15-42210219</v>
      </c>
      <c r="J194" t="str">
        <f t="shared" si="11"/>
        <v/>
      </c>
      <c r="L194" t="s">
        <v>232</v>
      </c>
      <c r="M194" t="s">
        <v>1066</v>
      </c>
    </row>
    <row r="195" spans="1:13">
      <c r="A195" t="s">
        <v>721</v>
      </c>
      <c r="B195" t="s">
        <v>722</v>
      </c>
      <c r="C195" t="s">
        <v>145</v>
      </c>
      <c r="D195" s="207">
        <f t="shared" si="8"/>
        <v>2</v>
      </c>
      <c r="E195" t="str">
        <f t="shared" si="9"/>
        <v/>
      </c>
      <c r="I195" t="str">
        <f t="shared" si="10"/>
        <v>15-42210219</v>
      </c>
      <c r="J195" t="str">
        <f t="shared" si="11"/>
        <v/>
      </c>
      <c r="L195" t="s">
        <v>232</v>
      </c>
      <c r="M195" t="s">
        <v>1066</v>
      </c>
    </row>
    <row r="196" spans="1:13">
      <c r="A196" t="s">
        <v>723</v>
      </c>
      <c r="B196" t="s">
        <v>724</v>
      </c>
      <c r="C196" t="s">
        <v>146</v>
      </c>
      <c r="D196" s="207">
        <f t="shared" ref="D196:D259" si="12">IF(A196=A195,2,0)</f>
        <v>0</v>
      </c>
      <c r="E196" t="str">
        <f t="shared" si="9"/>
        <v/>
      </c>
      <c r="I196" t="str">
        <f t="shared" si="10"/>
        <v>15-42302752</v>
      </c>
      <c r="J196" t="str">
        <f t="shared" si="11"/>
        <v/>
      </c>
      <c r="L196" t="s">
        <v>233</v>
      </c>
      <c r="M196" t="s">
        <v>1066</v>
      </c>
    </row>
    <row r="197" spans="1:13">
      <c r="A197" t="s">
        <v>723</v>
      </c>
      <c r="B197" t="s">
        <v>724</v>
      </c>
      <c r="C197" t="s">
        <v>145</v>
      </c>
      <c r="D197" s="207">
        <f t="shared" si="12"/>
        <v>2</v>
      </c>
      <c r="E197" t="str">
        <f t="shared" ref="E197:E260" si="13">IF(SUMIFS(D:D,A:A,A197)&lt;&gt;2,"ERROR","")</f>
        <v/>
      </c>
      <c r="I197" t="str">
        <f t="shared" ref="I197:I260" si="14">+A197</f>
        <v>15-42302752</v>
      </c>
      <c r="J197" t="str">
        <f t="shared" ref="J197:J260" si="15">+E197</f>
        <v/>
      </c>
      <c r="L197" t="s">
        <v>233</v>
      </c>
      <c r="M197" t="s">
        <v>1066</v>
      </c>
    </row>
    <row r="198" spans="1:13">
      <c r="A198" t="s">
        <v>737</v>
      </c>
      <c r="B198" t="s">
        <v>738</v>
      </c>
      <c r="C198" t="s">
        <v>146</v>
      </c>
      <c r="D198" s="207">
        <f t="shared" si="12"/>
        <v>0</v>
      </c>
      <c r="E198" t="str">
        <f t="shared" si="13"/>
        <v/>
      </c>
      <c r="I198" t="str">
        <f t="shared" si="14"/>
        <v>15-52001162</v>
      </c>
      <c r="J198" t="str">
        <f t="shared" si="15"/>
        <v/>
      </c>
      <c r="L198" t="s">
        <v>234</v>
      </c>
      <c r="M198" t="s">
        <v>1066</v>
      </c>
    </row>
    <row r="199" spans="1:13">
      <c r="A199" t="s">
        <v>737</v>
      </c>
      <c r="B199" t="s">
        <v>738</v>
      </c>
      <c r="C199" t="s">
        <v>145</v>
      </c>
      <c r="D199" s="207">
        <f t="shared" si="12"/>
        <v>2</v>
      </c>
      <c r="E199" t="str">
        <f t="shared" si="13"/>
        <v/>
      </c>
      <c r="I199" t="str">
        <f t="shared" si="14"/>
        <v>15-52001162</v>
      </c>
      <c r="J199" t="str">
        <f t="shared" si="15"/>
        <v/>
      </c>
      <c r="L199" t="s">
        <v>234</v>
      </c>
      <c r="M199" t="s">
        <v>1066</v>
      </c>
    </row>
    <row r="200" spans="1:13">
      <c r="A200" t="s">
        <v>755</v>
      </c>
      <c r="B200" t="s">
        <v>756</v>
      </c>
      <c r="C200" t="s">
        <v>146</v>
      </c>
      <c r="D200" s="207">
        <f t="shared" si="12"/>
        <v>0</v>
      </c>
      <c r="E200" t="str">
        <f t="shared" si="13"/>
        <v/>
      </c>
      <c r="I200" t="str">
        <f t="shared" si="14"/>
        <v>15-66335288</v>
      </c>
      <c r="J200" t="str">
        <f t="shared" si="15"/>
        <v/>
      </c>
      <c r="L200" t="s">
        <v>235</v>
      </c>
      <c r="M200" t="s">
        <v>1066</v>
      </c>
    </row>
    <row r="201" spans="1:13">
      <c r="A201" t="s">
        <v>755</v>
      </c>
      <c r="B201" t="s">
        <v>756</v>
      </c>
      <c r="C201" t="s">
        <v>145</v>
      </c>
      <c r="D201" s="207">
        <f t="shared" si="12"/>
        <v>2</v>
      </c>
      <c r="E201" t="str">
        <f t="shared" si="13"/>
        <v/>
      </c>
      <c r="I201" t="str">
        <f t="shared" si="14"/>
        <v>15-66335288</v>
      </c>
      <c r="J201" t="str">
        <f t="shared" si="15"/>
        <v/>
      </c>
      <c r="L201" t="s">
        <v>235</v>
      </c>
      <c r="M201" t="s">
        <v>1066</v>
      </c>
    </row>
    <row r="202" spans="1:13">
      <c r="A202" t="s">
        <v>757</v>
      </c>
      <c r="B202" t="s">
        <v>758</v>
      </c>
      <c r="C202" t="s">
        <v>146</v>
      </c>
      <c r="D202" s="207">
        <f t="shared" si="12"/>
        <v>0</v>
      </c>
      <c r="E202" t="str">
        <f t="shared" si="13"/>
        <v/>
      </c>
      <c r="I202" t="str">
        <f t="shared" si="14"/>
        <v>15-66686669</v>
      </c>
      <c r="J202" t="str">
        <f t="shared" si="15"/>
        <v/>
      </c>
      <c r="L202" t="s">
        <v>236</v>
      </c>
      <c r="M202" t="s">
        <v>1066</v>
      </c>
    </row>
    <row r="203" spans="1:13">
      <c r="A203" t="s">
        <v>757</v>
      </c>
      <c r="B203" t="s">
        <v>758</v>
      </c>
      <c r="C203" t="s">
        <v>145</v>
      </c>
      <c r="D203" s="207">
        <f t="shared" si="12"/>
        <v>2</v>
      </c>
      <c r="E203" t="str">
        <f t="shared" si="13"/>
        <v/>
      </c>
      <c r="I203" t="str">
        <f t="shared" si="14"/>
        <v>15-66686669</v>
      </c>
      <c r="J203" t="str">
        <f t="shared" si="15"/>
        <v/>
      </c>
      <c r="L203" t="s">
        <v>236</v>
      </c>
      <c r="M203" t="s">
        <v>1066</v>
      </c>
    </row>
    <row r="204" spans="1:13">
      <c r="A204" t="s">
        <v>760</v>
      </c>
      <c r="B204" t="s">
        <v>761</v>
      </c>
      <c r="C204" t="s">
        <v>146</v>
      </c>
      <c r="D204" s="207">
        <f t="shared" si="12"/>
        <v>0</v>
      </c>
      <c r="E204" t="str">
        <f t="shared" si="13"/>
        <v/>
      </c>
      <c r="I204" t="str">
        <f t="shared" si="14"/>
        <v>15-67581064</v>
      </c>
      <c r="J204" t="str">
        <f t="shared" si="15"/>
        <v/>
      </c>
      <c r="L204" t="s">
        <v>237</v>
      </c>
      <c r="M204" t="s">
        <v>1066</v>
      </c>
    </row>
    <row r="205" spans="1:13">
      <c r="A205" t="s">
        <v>760</v>
      </c>
      <c r="B205" t="s">
        <v>761</v>
      </c>
      <c r="C205" t="s">
        <v>145</v>
      </c>
      <c r="D205" s="207">
        <f t="shared" si="12"/>
        <v>2</v>
      </c>
      <c r="E205" t="str">
        <f t="shared" si="13"/>
        <v/>
      </c>
      <c r="I205" t="str">
        <f t="shared" si="14"/>
        <v>15-67581064</v>
      </c>
      <c r="J205" t="str">
        <f t="shared" si="15"/>
        <v/>
      </c>
      <c r="L205" t="s">
        <v>237</v>
      </c>
      <c r="M205" t="s">
        <v>1066</v>
      </c>
    </row>
    <row r="206" spans="1:13">
      <c r="A206" t="s">
        <v>776</v>
      </c>
      <c r="B206" t="s">
        <v>777</v>
      </c>
      <c r="C206" t="s">
        <v>146</v>
      </c>
      <c r="D206" s="207">
        <f t="shared" si="12"/>
        <v>0</v>
      </c>
      <c r="E206" t="str">
        <f t="shared" si="13"/>
        <v/>
      </c>
      <c r="I206" t="str">
        <f t="shared" si="14"/>
        <v>15-73139024</v>
      </c>
      <c r="J206" t="str">
        <f t="shared" si="15"/>
        <v/>
      </c>
      <c r="L206" t="s">
        <v>238</v>
      </c>
      <c r="M206" t="s">
        <v>1066</v>
      </c>
    </row>
    <row r="207" spans="1:13">
      <c r="A207" t="s">
        <v>776</v>
      </c>
      <c r="B207" t="s">
        <v>777</v>
      </c>
      <c r="C207" t="s">
        <v>145</v>
      </c>
      <c r="D207" s="207">
        <f t="shared" si="12"/>
        <v>2</v>
      </c>
      <c r="E207" t="str">
        <f t="shared" si="13"/>
        <v/>
      </c>
      <c r="I207" t="str">
        <f t="shared" si="14"/>
        <v>15-73139024</v>
      </c>
      <c r="J207" t="str">
        <f t="shared" si="15"/>
        <v/>
      </c>
      <c r="L207" t="s">
        <v>238</v>
      </c>
      <c r="M207" t="s">
        <v>1066</v>
      </c>
    </row>
    <row r="208" spans="1:13">
      <c r="A208" t="s">
        <v>786</v>
      </c>
      <c r="B208" t="s">
        <v>787</v>
      </c>
      <c r="C208" t="s">
        <v>146</v>
      </c>
      <c r="D208" s="207">
        <f t="shared" si="12"/>
        <v>0</v>
      </c>
      <c r="E208" t="str">
        <f t="shared" si="13"/>
        <v/>
      </c>
      <c r="I208" t="str">
        <f t="shared" si="14"/>
        <v>15-75427198</v>
      </c>
      <c r="J208" t="str">
        <f t="shared" si="15"/>
        <v/>
      </c>
      <c r="L208" t="s">
        <v>239</v>
      </c>
      <c r="M208" t="s">
        <v>1066</v>
      </c>
    </row>
    <row r="209" spans="1:13">
      <c r="A209" t="s">
        <v>786</v>
      </c>
      <c r="B209" t="s">
        <v>787</v>
      </c>
      <c r="C209" t="s">
        <v>145</v>
      </c>
      <c r="D209" s="207">
        <f t="shared" si="12"/>
        <v>2</v>
      </c>
      <c r="E209" t="str">
        <f t="shared" si="13"/>
        <v/>
      </c>
      <c r="I209" t="str">
        <f t="shared" si="14"/>
        <v>15-75427198</v>
      </c>
      <c r="J209" t="str">
        <f t="shared" si="15"/>
        <v/>
      </c>
      <c r="L209" t="s">
        <v>239</v>
      </c>
      <c r="M209" t="s">
        <v>1066</v>
      </c>
    </row>
    <row r="210" spans="1:13">
      <c r="A210" t="s">
        <v>796</v>
      </c>
      <c r="B210" t="s">
        <v>797</v>
      </c>
      <c r="C210" t="s">
        <v>146</v>
      </c>
      <c r="D210" s="207">
        <f t="shared" si="12"/>
        <v>0</v>
      </c>
      <c r="E210" t="str">
        <f t="shared" si="13"/>
        <v/>
      </c>
      <c r="I210" t="str">
        <f t="shared" si="14"/>
        <v>15-77818868</v>
      </c>
      <c r="J210" t="str">
        <f t="shared" si="15"/>
        <v/>
      </c>
      <c r="L210" t="s">
        <v>240</v>
      </c>
      <c r="M210" t="s">
        <v>1066</v>
      </c>
    </row>
    <row r="211" spans="1:13">
      <c r="A211" t="s">
        <v>796</v>
      </c>
      <c r="B211" t="s">
        <v>797</v>
      </c>
      <c r="C211" t="s">
        <v>145</v>
      </c>
      <c r="D211" s="207">
        <f t="shared" si="12"/>
        <v>2</v>
      </c>
      <c r="E211" t="str">
        <f t="shared" si="13"/>
        <v/>
      </c>
      <c r="I211" t="str">
        <f t="shared" si="14"/>
        <v>15-77818868</v>
      </c>
      <c r="J211" t="str">
        <f t="shared" si="15"/>
        <v/>
      </c>
      <c r="L211" t="s">
        <v>240</v>
      </c>
      <c r="M211" t="s">
        <v>1066</v>
      </c>
    </row>
    <row r="212" spans="1:13">
      <c r="A212" t="s">
        <v>802</v>
      </c>
      <c r="B212" t="s">
        <v>803</v>
      </c>
      <c r="C212" t="s">
        <v>146</v>
      </c>
      <c r="D212" s="207">
        <f t="shared" si="12"/>
        <v>0</v>
      </c>
      <c r="E212" t="str">
        <f t="shared" si="13"/>
        <v/>
      </c>
      <c r="I212" t="str">
        <f t="shared" si="14"/>
        <v>15-79196588</v>
      </c>
      <c r="J212" t="str">
        <f t="shared" si="15"/>
        <v/>
      </c>
      <c r="L212" t="s">
        <v>241</v>
      </c>
      <c r="M212" t="s">
        <v>1066</v>
      </c>
    </row>
    <row r="213" spans="1:13">
      <c r="A213" t="s">
        <v>802</v>
      </c>
      <c r="B213" t="s">
        <v>803</v>
      </c>
      <c r="C213" t="s">
        <v>145</v>
      </c>
      <c r="D213" s="207">
        <f t="shared" si="12"/>
        <v>2</v>
      </c>
      <c r="E213" t="str">
        <f t="shared" si="13"/>
        <v/>
      </c>
      <c r="I213" t="str">
        <f t="shared" si="14"/>
        <v>15-79196588</v>
      </c>
      <c r="J213" t="str">
        <f t="shared" si="15"/>
        <v/>
      </c>
      <c r="L213" t="s">
        <v>241</v>
      </c>
      <c r="M213" t="s">
        <v>1066</v>
      </c>
    </row>
    <row r="214" spans="1:13">
      <c r="A214" t="s">
        <v>805</v>
      </c>
      <c r="B214" t="s">
        <v>806</v>
      </c>
      <c r="C214" t="s">
        <v>146</v>
      </c>
      <c r="D214" s="207">
        <f t="shared" si="12"/>
        <v>0</v>
      </c>
      <c r="E214" t="str">
        <f t="shared" si="13"/>
        <v/>
      </c>
      <c r="I214" t="str">
        <f t="shared" si="14"/>
        <v>15-79905951</v>
      </c>
      <c r="J214" t="str">
        <f t="shared" si="15"/>
        <v/>
      </c>
      <c r="L214" t="s">
        <v>242</v>
      </c>
      <c r="M214" t="s">
        <v>1066</v>
      </c>
    </row>
    <row r="215" spans="1:13">
      <c r="A215" t="s">
        <v>805</v>
      </c>
      <c r="B215" t="s">
        <v>806</v>
      </c>
      <c r="C215" t="s">
        <v>145</v>
      </c>
      <c r="D215" s="207">
        <f t="shared" si="12"/>
        <v>2</v>
      </c>
      <c r="E215" t="str">
        <f t="shared" si="13"/>
        <v/>
      </c>
      <c r="I215" t="str">
        <f t="shared" si="14"/>
        <v>15-79905951</v>
      </c>
      <c r="J215" t="str">
        <f t="shared" si="15"/>
        <v/>
      </c>
      <c r="L215" t="s">
        <v>242</v>
      </c>
      <c r="M215" t="s">
        <v>1066</v>
      </c>
    </row>
    <row r="216" spans="1:13">
      <c r="A216" t="s">
        <v>807</v>
      </c>
      <c r="B216" t="s">
        <v>808</v>
      </c>
      <c r="C216" t="s">
        <v>146</v>
      </c>
      <c r="D216" s="207">
        <f t="shared" si="12"/>
        <v>0</v>
      </c>
      <c r="E216" t="str">
        <f t="shared" si="13"/>
        <v/>
      </c>
      <c r="I216" t="str">
        <f t="shared" si="14"/>
        <v>15-79915178</v>
      </c>
      <c r="J216" t="str">
        <f t="shared" si="15"/>
        <v/>
      </c>
      <c r="L216" t="s">
        <v>243</v>
      </c>
      <c r="M216" t="s">
        <v>1066</v>
      </c>
    </row>
    <row r="217" spans="1:13">
      <c r="A217" t="s">
        <v>807</v>
      </c>
      <c r="B217" t="s">
        <v>808</v>
      </c>
      <c r="C217" t="s">
        <v>145</v>
      </c>
      <c r="D217" s="207">
        <f t="shared" si="12"/>
        <v>2</v>
      </c>
      <c r="E217" t="str">
        <f t="shared" si="13"/>
        <v/>
      </c>
      <c r="I217" t="str">
        <f t="shared" si="14"/>
        <v>15-79915178</v>
      </c>
      <c r="J217" t="str">
        <f t="shared" si="15"/>
        <v/>
      </c>
      <c r="L217" t="s">
        <v>243</v>
      </c>
      <c r="M217" t="s">
        <v>1066</v>
      </c>
    </row>
    <row r="218" spans="1:13">
      <c r="A218" t="s">
        <v>809</v>
      </c>
      <c r="B218" t="s">
        <v>810</v>
      </c>
      <c r="C218" t="s">
        <v>146</v>
      </c>
      <c r="D218" s="207">
        <f t="shared" si="12"/>
        <v>0</v>
      </c>
      <c r="E218" t="str">
        <f t="shared" si="13"/>
        <v/>
      </c>
      <c r="I218" t="str">
        <f t="shared" si="14"/>
        <v>15-79937457</v>
      </c>
      <c r="J218" t="str">
        <f t="shared" si="15"/>
        <v/>
      </c>
      <c r="L218" t="s">
        <v>244</v>
      </c>
      <c r="M218" t="s">
        <v>1066</v>
      </c>
    </row>
    <row r="219" spans="1:13">
      <c r="A219" t="s">
        <v>809</v>
      </c>
      <c r="B219" t="s">
        <v>810</v>
      </c>
      <c r="C219" t="s">
        <v>145</v>
      </c>
      <c r="D219" s="207">
        <f t="shared" si="12"/>
        <v>2</v>
      </c>
      <c r="E219" t="str">
        <f t="shared" si="13"/>
        <v/>
      </c>
      <c r="I219" t="str">
        <f t="shared" si="14"/>
        <v>15-79937457</v>
      </c>
      <c r="J219" t="str">
        <f t="shared" si="15"/>
        <v/>
      </c>
      <c r="L219" t="s">
        <v>244</v>
      </c>
      <c r="M219" t="s">
        <v>1066</v>
      </c>
    </row>
    <row r="220" spans="1:13">
      <c r="A220" t="s">
        <v>811</v>
      </c>
      <c r="B220" t="s">
        <v>812</v>
      </c>
      <c r="C220" t="s">
        <v>146</v>
      </c>
      <c r="D220" s="207">
        <f t="shared" si="12"/>
        <v>0</v>
      </c>
      <c r="E220" t="str">
        <f t="shared" si="13"/>
        <v/>
      </c>
      <c r="I220" t="str">
        <f t="shared" si="14"/>
        <v>15-79939712</v>
      </c>
      <c r="J220" t="str">
        <f t="shared" si="15"/>
        <v/>
      </c>
      <c r="L220" t="s">
        <v>245</v>
      </c>
      <c r="M220" t="s">
        <v>1066</v>
      </c>
    </row>
    <row r="221" spans="1:13">
      <c r="A221" t="s">
        <v>811</v>
      </c>
      <c r="B221" t="s">
        <v>812</v>
      </c>
      <c r="C221" t="s">
        <v>145</v>
      </c>
      <c r="D221" s="207">
        <f t="shared" si="12"/>
        <v>2</v>
      </c>
      <c r="E221" t="str">
        <f t="shared" si="13"/>
        <v/>
      </c>
      <c r="I221" t="str">
        <f t="shared" si="14"/>
        <v>15-79939712</v>
      </c>
      <c r="J221" t="str">
        <f t="shared" si="15"/>
        <v/>
      </c>
      <c r="L221" t="s">
        <v>245</v>
      </c>
      <c r="M221" t="s">
        <v>1066</v>
      </c>
    </row>
    <row r="222" spans="1:13">
      <c r="A222" t="s">
        <v>813</v>
      </c>
      <c r="B222" t="s">
        <v>814</v>
      </c>
      <c r="C222" t="s">
        <v>146</v>
      </c>
      <c r="D222" s="207">
        <f t="shared" si="12"/>
        <v>0</v>
      </c>
      <c r="E222" t="str">
        <f t="shared" si="13"/>
        <v/>
      </c>
      <c r="I222" t="str">
        <f t="shared" si="14"/>
        <v>15-79982286</v>
      </c>
      <c r="J222" t="str">
        <f t="shared" si="15"/>
        <v/>
      </c>
      <c r="L222" t="s">
        <v>246</v>
      </c>
      <c r="M222" t="s">
        <v>1066</v>
      </c>
    </row>
    <row r="223" spans="1:13">
      <c r="A223" t="s">
        <v>813</v>
      </c>
      <c r="B223" t="s">
        <v>814</v>
      </c>
      <c r="C223" t="s">
        <v>145</v>
      </c>
      <c r="D223" s="207">
        <f t="shared" si="12"/>
        <v>2</v>
      </c>
      <c r="E223" t="str">
        <f t="shared" si="13"/>
        <v/>
      </c>
      <c r="I223" t="str">
        <f t="shared" si="14"/>
        <v>15-79982286</v>
      </c>
      <c r="J223" t="str">
        <f t="shared" si="15"/>
        <v/>
      </c>
      <c r="L223" t="s">
        <v>246</v>
      </c>
      <c r="M223" t="s">
        <v>1066</v>
      </c>
    </row>
    <row r="224" spans="1:13">
      <c r="A224" t="s">
        <v>815</v>
      </c>
      <c r="B224" t="s">
        <v>816</v>
      </c>
      <c r="C224" t="s">
        <v>146</v>
      </c>
      <c r="D224" s="207">
        <f t="shared" si="12"/>
        <v>0</v>
      </c>
      <c r="E224" t="str">
        <f t="shared" si="13"/>
        <v/>
      </c>
      <c r="I224" t="str">
        <f t="shared" si="14"/>
        <v>15-80018194</v>
      </c>
      <c r="J224" t="str">
        <f t="shared" si="15"/>
        <v/>
      </c>
      <c r="L224" t="s">
        <v>247</v>
      </c>
      <c r="M224" t="s">
        <v>1066</v>
      </c>
    </row>
    <row r="225" spans="1:13">
      <c r="A225" t="s">
        <v>815</v>
      </c>
      <c r="B225" t="s">
        <v>816</v>
      </c>
      <c r="C225" t="s">
        <v>145</v>
      </c>
      <c r="D225" s="207">
        <f t="shared" si="12"/>
        <v>2</v>
      </c>
      <c r="E225" t="str">
        <f t="shared" si="13"/>
        <v/>
      </c>
      <c r="I225" t="str">
        <f t="shared" si="14"/>
        <v>15-80018194</v>
      </c>
      <c r="J225" t="str">
        <f t="shared" si="15"/>
        <v/>
      </c>
      <c r="L225" t="s">
        <v>247</v>
      </c>
      <c r="M225" t="s">
        <v>1066</v>
      </c>
    </row>
    <row r="226" spans="1:13">
      <c r="A226" t="s">
        <v>818</v>
      </c>
      <c r="B226" t="s">
        <v>819</v>
      </c>
      <c r="C226" t="s">
        <v>146</v>
      </c>
      <c r="D226" s="207">
        <f t="shared" si="12"/>
        <v>0</v>
      </c>
      <c r="E226" t="str">
        <f t="shared" si="13"/>
        <v/>
      </c>
      <c r="I226" t="str">
        <f t="shared" si="14"/>
        <v>15-80058734</v>
      </c>
      <c r="J226" t="str">
        <f t="shared" si="15"/>
        <v/>
      </c>
      <c r="L226" t="s">
        <v>248</v>
      </c>
      <c r="M226" t="s">
        <v>1066</v>
      </c>
    </row>
    <row r="227" spans="1:13">
      <c r="A227" t="s">
        <v>818</v>
      </c>
      <c r="B227" t="s">
        <v>819</v>
      </c>
      <c r="C227" t="s">
        <v>145</v>
      </c>
      <c r="D227" s="207">
        <f t="shared" si="12"/>
        <v>2</v>
      </c>
      <c r="E227" t="str">
        <f t="shared" si="13"/>
        <v/>
      </c>
      <c r="I227" t="str">
        <f t="shared" si="14"/>
        <v>15-80058734</v>
      </c>
      <c r="J227" t="str">
        <f t="shared" si="15"/>
        <v/>
      </c>
      <c r="L227" t="s">
        <v>248</v>
      </c>
      <c r="M227" t="s">
        <v>1066</v>
      </c>
    </row>
    <row r="228" spans="1:13">
      <c r="A228" t="s">
        <v>820</v>
      </c>
      <c r="B228" t="s">
        <v>821</v>
      </c>
      <c r="C228" t="s">
        <v>146</v>
      </c>
      <c r="D228" s="207">
        <f t="shared" si="12"/>
        <v>0</v>
      </c>
      <c r="E228" t="str">
        <f t="shared" si="13"/>
        <v/>
      </c>
      <c r="I228" t="str">
        <f t="shared" si="14"/>
        <v>15-80064911</v>
      </c>
      <c r="J228" t="str">
        <f t="shared" si="15"/>
        <v/>
      </c>
      <c r="L228" t="s">
        <v>249</v>
      </c>
      <c r="M228" t="s">
        <v>1066</v>
      </c>
    </row>
    <row r="229" spans="1:13">
      <c r="A229" t="s">
        <v>820</v>
      </c>
      <c r="B229" t="s">
        <v>821</v>
      </c>
      <c r="C229" t="s">
        <v>145</v>
      </c>
      <c r="D229" s="207">
        <f t="shared" si="12"/>
        <v>2</v>
      </c>
      <c r="E229" t="str">
        <f t="shared" si="13"/>
        <v/>
      </c>
      <c r="I229" t="str">
        <f t="shared" si="14"/>
        <v>15-80064911</v>
      </c>
      <c r="J229" t="str">
        <f t="shared" si="15"/>
        <v/>
      </c>
      <c r="L229" t="s">
        <v>249</v>
      </c>
      <c r="M229" t="s">
        <v>1066</v>
      </c>
    </row>
    <row r="230" spans="1:13">
      <c r="A230" t="s">
        <v>822</v>
      </c>
      <c r="B230" t="s">
        <v>823</v>
      </c>
      <c r="C230" t="s">
        <v>146</v>
      </c>
      <c r="D230" s="207">
        <f t="shared" si="12"/>
        <v>0</v>
      </c>
      <c r="E230" t="str">
        <f t="shared" si="13"/>
        <v/>
      </c>
      <c r="I230" t="str">
        <f t="shared" si="14"/>
        <v>15-80144875</v>
      </c>
      <c r="J230" t="str">
        <f t="shared" si="15"/>
        <v/>
      </c>
      <c r="L230" t="s">
        <v>250</v>
      </c>
      <c r="M230" t="s">
        <v>1066</v>
      </c>
    </row>
    <row r="231" spans="1:13">
      <c r="A231" t="s">
        <v>822</v>
      </c>
      <c r="B231" t="s">
        <v>823</v>
      </c>
      <c r="C231" t="s">
        <v>145</v>
      </c>
      <c r="D231" s="207">
        <f t="shared" si="12"/>
        <v>2</v>
      </c>
      <c r="E231" t="str">
        <f t="shared" si="13"/>
        <v/>
      </c>
      <c r="I231" t="str">
        <f t="shared" si="14"/>
        <v>15-80144875</v>
      </c>
      <c r="J231" t="str">
        <f t="shared" si="15"/>
        <v/>
      </c>
      <c r="L231" t="s">
        <v>250</v>
      </c>
      <c r="M231" t="s">
        <v>1066</v>
      </c>
    </row>
    <row r="232" spans="1:13">
      <c r="A232" t="s">
        <v>824</v>
      </c>
      <c r="B232" t="s">
        <v>825</v>
      </c>
      <c r="C232" t="s">
        <v>146</v>
      </c>
      <c r="D232" s="207">
        <f t="shared" si="12"/>
        <v>0</v>
      </c>
      <c r="E232" t="str">
        <f t="shared" si="13"/>
        <v/>
      </c>
      <c r="I232" t="str">
        <f t="shared" si="14"/>
        <v>15-80256019</v>
      </c>
      <c r="J232" t="str">
        <f t="shared" si="15"/>
        <v/>
      </c>
      <c r="L232" t="s">
        <v>251</v>
      </c>
      <c r="M232" t="s">
        <v>1066</v>
      </c>
    </row>
    <row r="233" spans="1:13">
      <c r="A233" t="s">
        <v>824</v>
      </c>
      <c r="B233" t="s">
        <v>825</v>
      </c>
      <c r="C233" t="s">
        <v>145</v>
      </c>
      <c r="D233" s="207">
        <f t="shared" si="12"/>
        <v>2</v>
      </c>
      <c r="E233" t="str">
        <f t="shared" si="13"/>
        <v/>
      </c>
      <c r="I233" t="str">
        <f t="shared" si="14"/>
        <v>15-80256019</v>
      </c>
      <c r="J233" t="str">
        <f t="shared" si="15"/>
        <v/>
      </c>
      <c r="L233" t="s">
        <v>251</v>
      </c>
      <c r="M233" t="s">
        <v>1066</v>
      </c>
    </row>
    <row r="234" spans="1:13">
      <c r="A234" t="s">
        <v>832</v>
      </c>
      <c r="B234" t="s">
        <v>833</v>
      </c>
      <c r="C234" t="s">
        <v>146</v>
      </c>
      <c r="D234" s="207">
        <f t="shared" si="12"/>
        <v>0</v>
      </c>
      <c r="E234" t="str">
        <f t="shared" si="13"/>
        <v/>
      </c>
      <c r="I234" t="str">
        <f t="shared" si="14"/>
        <v>15-82509247</v>
      </c>
      <c r="J234" t="str">
        <f t="shared" si="15"/>
        <v/>
      </c>
      <c r="L234" t="s">
        <v>252</v>
      </c>
      <c r="M234" t="s">
        <v>1066</v>
      </c>
    </row>
    <row r="235" spans="1:13">
      <c r="A235" t="s">
        <v>832</v>
      </c>
      <c r="B235" t="s">
        <v>833</v>
      </c>
      <c r="C235" t="s">
        <v>145</v>
      </c>
      <c r="D235" s="207">
        <f t="shared" si="12"/>
        <v>2</v>
      </c>
      <c r="E235" t="str">
        <f t="shared" si="13"/>
        <v/>
      </c>
      <c r="I235" t="str">
        <f t="shared" si="14"/>
        <v>15-82509247</v>
      </c>
      <c r="J235" t="str">
        <f t="shared" si="15"/>
        <v/>
      </c>
      <c r="L235" t="s">
        <v>252</v>
      </c>
      <c r="M235" t="s">
        <v>1066</v>
      </c>
    </row>
    <row r="236" spans="1:13">
      <c r="A236" t="s">
        <v>835</v>
      </c>
      <c r="B236" t="s">
        <v>836</v>
      </c>
      <c r="C236" t="s">
        <v>146</v>
      </c>
      <c r="D236" s="207">
        <f t="shared" si="12"/>
        <v>0</v>
      </c>
      <c r="E236" t="str">
        <f t="shared" si="13"/>
        <v/>
      </c>
      <c r="I236" t="str">
        <f t="shared" si="14"/>
        <v>15-82552874</v>
      </c>
      <c r="J236" t="str">
        <f t="shared" si="15"/>
        <v/>
      </c>
      <c r="L236" t="s">
        <v>253</v>
      </c>
      <c r="M236" t="s">
        <v>1066</v>
      </c>
    </row>
    <row r="237" spans="1:13">
      <c r="A237" t="s">
        <v>835</v>
      </c>
      <c r="B237" t="s">
        <v>836</v>
      </c>
      <c r="C237" t="s">
        <v>145</v>
      </c>
      <c r="D237" s="207">
        <f t="shared" si="12"/>
        <v>2</v>
      </c>
      <c r="E237" t="str">
        <f t="shared" si="13"/>
        <v/>
      </c>
      <c r="I237" t="str">
        <f t="shared" si="14"/>
        <v>15-82552874</v>
      </c>
      <c r="J237" t="str">
        <f t="shared" si="15"/>
        <v/>
      </c>
      <c r="L237" t="s">
        <v>253</v>
      </c>
      <c r="M237" t="s">
        <v>1066</v>
      </c>
    </row>
    <row r="238" spans="1:13">
      <c r="A238" t="s">
        <v>841</v>
      </c>
      <c r="B238" t="s">
        <v>842</v>
      </c>
      <c r="C238" t="s">
        <v>146</v>
      </c>
      <c r="D238" s="207">
        <f t="shared" si="12"/>
        <v>0</v>
      </c>
      <c r="E238" t="str">
        <f t="shared" si="13"/>
        <v/>
      </c>
      <c r="I238" t="str">
        <f t="shared" si="14"/>
        <v>15-83904421</v>
      </c>
      <c r="J238" t="str">
        <f t="shared" si="15"/>
        <v/>
      </c>
      <c r="L238" t="s">
        <v>254</v>
      </c>
      <c r="M238" t="s">
        <v>1066</v>
      </c>
    </row>
    <row r="239" spans="1:13">
      <c r="A239" t="s">
        <v>841</v>
      </c>
      <c r="B239" t="s">
        <v>842</v>
      </c>
      <c r="C239" t="s">
        <v>145</v>
      </c>
      <c r="D239" s="207">
        <f t="shared" si="12"/>
        <v>2</v>
      </c>
      <c r="E239" t="str">
        <f t="shared" si="13"/>
        <v/>
      </c>
      <c r="I239" t="str">
        <f t="shared" si="14"/>
        <v>15-83904421</v>
      </c>
      <c r="J239" t="str">
        <f t="shared" si="15"/>
        <v/>
      </c>
      <c r="L239" t="s">
        <v>254</v>
      </c>
      <c r="M239" t="s">
        <v>1066</v>
      </c>
    </row>
    <row r="240" spans="1:13">
      <c r="A240" t="s">
        <v>844</v>
      </c>
      <c r="B240" t="s">
        <v>845</v>
      </c>
      <c r="C240" t="s">
        <v>146</v>
      </c>
      <c r="D240" s="207">
        <f t="shared" si="12"/>
        <v>0</v>
      </c>
      <c r="E240" t="str">
        <f t="shared" si="13"/>
        <v/>
      </c>
      <c r="I240" t="str">
        <f t="shared" si="14"/>
        <v>15-84416833</v>
      </c>
      <c r="J240" t="str">
        <f t="shared" si="15"/>
        <v/>
      </c>
      <c r="L240" t="s">
        <v>256</v>
      </c>
      <c r="M240" t="s">
        <v>1066</v>
      </c>
    </row>
    <row r="241" spans="1:13">
      <c r="A241" t="s">
        <v>844</v>
      </c>
      <c r="B241" t="s">
        <v>845</v>
      </c>
      <c r="C241" t="s">
        <v>145</v>
      </c>
      <c r="D241" s="207">
        <f t="shared" si="12"/>
        <v>2</v>
      </c>
      <c r="E241" t="str">
        <f t="shared" si="13"/>
        <v/>
      </c>
      <c r="I241" t="str">
        <f t="shared" si="14"/>
        <v>15-84416833</v>
      </c>
      <c r="J241" t="str">
        <f t="shared" si="15"/>
        <v/>
      </c>
      <c r="L241" t="s">
        <v>256</v>
      </c>
      <c r="M241" t="s">
        <v>1066</v>
      </c>
    </row>
    <row r="242" spans="1:13">
      <c r="A242" t="s">
        <v>850</v>
      </c>
      <c r="B242" t="s">
        <v>851</v>
      </c>
      <c r="C242" t="s">
        <v>146</v>
      </c>
      <c r="D242" s="207">
        <f t="shared" si="12"/>
        <v>0</v>
      </c>
      <c r="E242" t="str">
        <f t="shared" si="13"/>
        <v/>
      </c>
      <c r="I242" t="str">
        <f t="shared" si="14"/>
        <v>15-85292670</v>
      </c>
      <c r="J242" t="str">
        <f t="shared" si="15"/>
        <v/>
      </c>
      <c r="L242" t="s">
        <v>257</v>
      </c>
      <c r="M242" t="s">
        <v>1066</v>
      </c>
    </row>
    <row r="243" spans="1:13">
      <c r="A243" t="s">
        <v>850</v>
      </c>
      <c r="B243" t="s">
        <v>851</v>
      </c>
      <c r="C243" t="s">
        <v>145</v>
      </c>
      <c r="D243" s="207">
        <f t="shared" si="12"/>
        <v>2</v>
      </c>
      <c r="E243" t="str">
        <f t="shared" si="13"/>
        <v/>
      </c>
      <c r="I243" t="str">
        <f t="shared" si="14"/>
        <v>15-85292670</v>
      </c>
      <c r="J243" t="str">
        <f t="shared" si="15"/>
        <v/>
      </c>
      <c r="L243" t="s">
        <v>257</v>
      </c>
      <c r="M243" t="s">
        <v>1066</v>
      </c>
    </row>
    <row r="244" spans="1:13">
      <c r="A244" t="s">
        <v>854</v>
      </c>
      <c r="B244" t="s">
        <v>855</v>
      </c>
      <c r="C244" t="s">
        <v>146</v>
      </c>
      <c r="D244" s="207">
        <f t="shared" si="12"/>
        <v>0</v>
      </c>
      <c r="E244" t="str">
        <f t="shared" si="13"/>
        <v/>
      </c>
      <c r="I244" t="str">
        <f t="shared" si="14"/>
        <v>15-86253049</v>
      </c>
      <c r="J244" t="str">
        <f t="shared" si="15"/>
        <v/>
      </c>
      <c r="L244" t="s">
        <v>258</v>
      </c>
      <c r="M244" t="s">
        <v>1066</v>
      </c>
    </row>
    <row r="245" spans="1:13">
      <c r="A245" t="s">
        <v>854</v>
      </c>
      <c r="B245" t="s">
        <v>855</v>
      </c>
      <c r="C245" t="s">
        <v>145</v>
      </c>
      <c r="D245" s="207">
        <f t="shared" si="12"/>
        <v>2</v>
      </c>
      <c r="E245" t="str">
        <f t="shared" si="13"/>
        <v/>
      </c>
      <c r="I245" t="str">
        <f t="shared" si="14"/>
        <v>15-86253049</v>
      </c>
      <c r="J245" t="str">
        <f t="shared" si="15"/>
        <v/>
      </c>
      <c r="L245" t="s">
        <v>258</v>
      </c>
      <c r="M245" t="s">
        <v>1066</v>
      </c>
    </row>
    <row r="246" spans="1:13">
      <c r="A246" t="s">
        <v>860</v>
      </c>
      <c r="B246" t="s">
        <v>861</v>
      </c>
      <c r="C246" t="s">
        <v>146</v>
      </c>
      <c r="D246" s="207">
        <f t="shared" si="12"/>
        <v>0</v>
      </c>
      <c r="E246" t="str">
        <f t="shared" si="13"/>
        <v/>
      </c>
      <c r="I246" t="str">
        <f t="shared" si="14"/>
        <v>15-86607145</v>
      </c>
      <c r="J246" t="str">
        <f t="shared" si="15"/>
        <v/>
      </c>
      <c r="L246" t="s">
        <v>259</v>
      </c>
      <c r="M246" t="s">
        <v>1066</v>
      </c>
    </row>
    <row r="247" spans="1:13">
      <c r="A247" t="s">
        <v>860</v>
      </c>
      <c r="B247" t="s">
        <v>861</v>
      </c>
      <c r="C247" t="s">
        <v>145</v>
      </c>
      <c r="D247" s="207">
        <f t="shared" si="12"/>
        <v>2</v>
      </c>
      <c r="E247" t="str">
        <f t="shared" si="13"/>
        <v/>
      </c>
      <c r="I247" t="str">
        <f t="shared" si="14"/>
        <v>15-86607145</v>
      </c>
      <c r="J247" t="str">
        <f t="shared" si="15"/>
        <v/>
      </c>
      <c r="L247" t="s">
        <v>259</v>
      </c>
      <c r="M247" t="s">
        <v>1066</v>
      </c>
    </row>
    <row r="248" spans="1:13">
      <c r="A248" t="s">
        <v>864</v>
      </c>
      <c r="B248" t="s">
        <v>865</v>
      </c>
      <c r="C248" t="s">
        <v>146</v>
      </c>
      <c r="D248" s="207">
        <f t="shared" si="12"/>
        <v>0</v>
      </c>
      <c r="E248" t="str">
        <f t="shared" si="13"/>
        <v/>
      </c>
      <c r="I248" t="str">
        <f t="shared" si="14"/>
        <v>15-87012869</v>
      </c>
      <c r="J248" t="str">
        <f t="shared" si="15"/>
        <v/>
      </c>
      <c r="L248" t="s">
        <v>260</v>
      </c>
      <c r="M248" t="s">
        <v>1066</v>
      </c>
    </row>
    <row r="249" spans="1:13">
      <c r="A249" t="s">
        <v>864</v>
      </c>
      <c r="B249" t="s">
        <v>865</v>
      </c>
      <c r="C249" t="s">
        <v>145</v>
      </c>
      <c r="D249" s="207">
        <f t="shared" si="12"/>
        <v>2</v>
      </c>
      <c r="E249" t="str">
        <f t="shared" si="13"/>
        <v/>
      </c>
      <c r="I249" t="str">
        <f t="shared" si="14"/>
        <v>15-87012869</v>
      </c>
      <c r="J249" t="str">
        <f t="shared" si="15"/>
        <v/>
      </c>
      <c r="L249" t="s">
        <v>260</v>
      </c>
      <c r="M249" t="s">
        <v>1066</v>
      </c>
    </row>
    <row r="250" spans="1:13">
      <c r="A250" t="s">
        <v>867</v>
      </c>
      <c r="B250" t="s">
        <v>868</v>
      </c>
      <c r="C250" t="s">
        <v>146</v>
      </c>
      <c r="D250" s="207">
        <f t="shared" si="12"/>
        <v>0</v>
      </c>
      <c r="E250" t="str">
        <f t="shared" si="13"/>
        <v/>
      </c>
      <c r="I250" t="str">
        <f t="shared" si="14"/>
        <v>15-87153836</v>
      </c>
      <c r="J250" t="str">
        <f t="shared" si="15"/>
        <v/>
      </c>
      <c r="L250" t="s">
        <v>261</v>
      </c>
      <c r="M250" t="s">
        <v>1066</v>
      </c>
    </row>
    <row r="251" spans="1:13">
      <c r="A251" t="s">
        <v>867</v>
      </c>
      <c r="B251" t="s">
        <v>868</v>
      </c>
      <c r="C251" t="s">
        <v>145</v>
      </c>
      <c r="D251" s="207">
        <f t="shared" si="12"/>
        <v>2</v>
      </c>
      <c r="E251" t="str">
        <f t="shared" si="13"/>
        <v/>
      </c>
      <c r="I251" t="str">
        <f t="shared" si="14"/>
        <v>15-87153836</v>
      </c>
      <c r="J251" t="str">
        <f t="shared" si="15"/>
        <v/>
      </c>
      <c r="L251" t="s">
        <v>261</v>
      </c>
      <c r="M251" t="s">
        <v>1066</v>
      </c>
    </row>
    <row r="252" spans="1:13">
      <c r="A252" t="s">
        <v>890</v>
      </c>
      <c r="B252" t="s">
        <v>891</v>
      </c>
      <c r="C252" t="s">
        <v>146</v>
      </c>
      <c r="D252" s="207">
        <f t="shared" si="12"/>
        <v>0</v>
      </c>
      <c r="E252" t="str">
        <f t="shared" si="13"/>
        <v/>
      </c>
      <c r="I252" t="str">
        <f t="shared" si="14"/>
        <v>15-89228123</v>
      </c>
      <c r="J252" t="str">
        <f t="shared" si="15"/>
        <v/>
      </c>
      <c r="L252" t="s">
        <v>262</v>
      </c>
      <c r="M252" t="s">
        <v>1066</v>
      </c>
    </row>
    <row r="253" spans="1:13">
      <c r="A253" t="s">
        <v>890</v>
      </c>
      <c r="B253" t="s">
        <v>891</v>
      </c>
      <c r="C253" t="s">
        <v>145</v>
      </c>
      <c r="D253" s="207">
        <f t="shared" si="12"/>
        <v>2</v>
      </c>
      <c r="E253" t="str">
        <f t="shared" si="13"/>
        <v/>
      </c>
      <c r="I253" t="str">
        <f t="shared" si="14"/>
        <v>15-89228123</v>
      </c>
      <c r="J253" t="str">
        <f t="shared" si="15"/>
        <v/>
      </c>
      <c r="L253" t="s">
        <v>262</v>
      </c>
      <c r="M253" t="s">
        <v>1066</v>
      </c>
    </row>
    <row r="254" spans="1:13">
      <c r="A254" t="s">
        <v>896</v>
      </c>
      <c r="B254" t="s">
        <v>897</v>
      </c>
      <c r="C254" t="s">
        <v>146</v>
      </c>
      <c r="D254" s="207">
        <f t="shared" si="12"/>
        <v>0</v>
      </c>
      <c r="E254" t="str">
        <f t="shared" si="13"/>
        <v/>
      </c>
      <c r="I254" t="str">
        <f t="shared" si="14"/>
        <v>15-89929552</v>
      </c>
      <c r="J254" t="str">
        <f t="shared" si="15"/>
        <v/>
      </c>
      <c r="L254" t="s">
        <v>263</v>
      </c>
      <c r="M254" t="s">
        <v>1066</v>
      </c>
    </row>
    <row r="255" spans="1:13">
      <c r="A255" t="s">
        <v>896</v>
      </c>
      <c r="B255" t="s">
        <v>897</v>
      </c>
      <c r="C255" t="s">
        <v>145</v>
      </c>
      <c r="D255" s="207">
        <f t="shared" si="12"/>
        <v>2</v>
      </c>
      <c r="E255" t="str">
        <f t="shared" si="13"/>
        <v/>
      </c>
      <c r="I255" t="str">
        <f t="shared" si="14"/>
        <v>15-89929552</v>
      </c>
      <c r="J255" t="str">
        <f t="shared" si="15"/>
        <v/>
      </c>
      <c r="L255" t="s">
        <v>263</v>
      </c>
      <c r="M255" t="s">
        <v>1066</v>
      </c>
    </row>
    <row r="256" spans="1:13">
      <c r="A256" t="s">
        <v>907</v>
      </c>
      <c r="B256" t="s">
        <v>908</v>
      </c>
      <c r="C256" t="s">
        <v>146</v>
      </c>
      <c r="D256" s="207">
        <f t="shared" si="12"/>
        <v>0</v>
      </c>
      <c r="E256" t="str">
        <f t="shared" si="13"/>
        <v/>
      </c>
      <c r="I256" t="str">
        <f t="shared" si="14"/>
        <v>15-91224922</v>
      </c>
      <c r="J256" t="str">
        <f t="shared" si="15"/>
        <v/>
      </c>
      <c r="L256" t="s">
        <v>264</v>
      </c>
      <c r="M256" t="s">
        <v>1066</v>
      </c>
    </row>
    <row r="257" spans="1:13">
      <c r="A257" t="s">
        <v>907</v>
      </c>
      <c r="B257" t="s">
        <v>908</v>
      </c>
      <c r="C257" t="s">
        <v>145</v>
      </c>
      <c r="D257" s="207">
        <f t="shared" si="12"/>
        <v>2</v>
      </c>
      <c r="E257" t="str">
        <f t="shared" si="13"/>
        <v/>
      </c>
      <c r="I257" t="str">
        <f t="shared" si="14"/>
        <v>15-91224922</v>
      </c>
      <c r="J257" t="str">
        <f t="shared" si="15"/>
        <v/>
      </c>
      <c r="L257" t="s">
        <v>264</v>
      </c>
      <c r="M257" t="s">
        <v>1066</v>
      </c>
    </row>
    <row r="258" spans="1:13">
      <c r="A258" t="s">
        <v>909</v>
      </c>
      <c r="B258" t="s">
        <v>910</v>
      </c>
      <c r="C258" t="s">
        <v>146</v>
      </c>
      <c r="D258" s="207">
        <f t="shared" si="12"/>
        <v>0</v>
      </c>
      <c r="E258" t="str">
        <f t="shared" si="13"/>
        <v/>
      </c>
      <c r="I258" t="str">
        <f t="shared" si="14"/>
        <v>15-91651197</v>
      </c>
      <c r="J258" t="str">
        <f t="shared" si="15"/>
        <v/>
      </c>
      <c r="L258" t="s">
        <v>265</v>
      </c>
      <c r="M258" t="s">
        <v>1066</v>
      </c>
    </row>
    <row r="259" spans="1:13">
      <c r="A259" t="s">
        <v>909</v>
      </c>
      <c r="B259" t="s">
        <v>910</v>
      </c>
      <c r="C259" t="s">
        <v>145</v>
      </c>
      <c r="D259" s="207">
        <f t="shared" si="12"/>
        <v>2</v>
      </c>
      <c r="E259" t="str">
        <f t="shared" si="13"/>
        <v/>
      </c>
      <c r="I259" t="str">
        <f t="shared" si="14"/>
        <v>15-91651197</v>
      </c>
      <c r="J259" t="str">
        <f t="shared" si="15"/>
        <v/>
      </c>
      <c r="L259" t="s">
        <v>265</v>
      </c>
      <c r="M259" t="s">
        <v>1066</v>
      </c>
    </row>
    <row r="260" spans="1:13">
      <c r="A260" t="s">
        <v>914</v>
      </c>
      <c r="B260" t="s">
        <v>915</v>
      </c>
      <c r="C260" t="s">
        <v>146</v>
      </c>
      <c r="D260" s="207">
        <f t="shared" ref="D260:D323" si="16">IF(A260=A259,2,0)</f>
        <v>0</v>
      </c>
      <c r="E260" t="str">
        <f t="shared" si="13"/>
        <v/>
      </c>
      <c r="I260" t="str">
        <f t="shared" si="14"/>
        <v>15-92311533</v>
      </c>
      <c r="J260" t="str">
        <f t="shared" si="15"/>
        <v/>
      </c>
      <c r="L260" t="s">
        <v>266</v>
      </c>
      <c r="M260" t="s">
        <v>1066</v>
      </c>
    </row>
    <row r="261" spans="1:13">
      <c r="A261" t="s">
        <v>914</v>
      </c>
      <c r="B261" t="s">
        <v>915</v>
      </c>
      <c r="C261" t="s">
        <v>145</v>
      </c>
      <c r="D261" s="207">
        <f t="shared" si="16"/>
        <v>2</v>
      </c>
      <c r="E261" t="str">
        <f t="shared" ref="E261:E324" si="17">IF(SUMIFS(D:D,A:A,A261)&lt;&gt;2,"ERROR","")</f>
        <v/>
      </c>
      <c r="I261" t="str">
        <f t="shared" ref="I261:I324" si="18">+A261</f>
        <v>15-92311533</v>
      </c>
      <c r="J261" t="str">
        <f t="shared" ref="J261:J324" si="19">+E261</f>
        <v/>
      </c>
      <c r="L261" t="s">
        <v>266</v>
      </c>
      <c r="M261" t="s">
        <v>1066</v>
      </c>
    </row>
    <row r="262" spans="1:13">
      <c r="A262" t="s">
        <v>917</v>
      </c>
      <c r="B262" t="s">
        <v>918</v>
      </c>
      <c r="C262" t="s">
        <v>146</v>
      </c>
      <c r="D262" s="207">
        <f t="shared" si="16"/>
        <v>0</v>
      </c>
      <c r="E262" t="str">
        <f t="shared" si="17"/>
        <v/>
      </c>
      <c r="I262" t="str">
        <f t="shared" si="18"/>
        <v>15-92414559</v>
      </c>
      <c r="J262" t="str">
        <f t="shared" si="19"/>
        <v/>
      </c>
      <c r="L262" t="s">
        <v>267</v>
      </c>
      <c r="M262" t="s">
        <v>1066</v>
      </c>
    </row>
    <row r="263" spans="1:13">
      <c r="A263" t="s">
        <v>917</v>
      </c>
      <c r="B263" t="s">
        <v>918</v>
      </c>
      <c r="C263" t="s">
        <v>145</v>
      </c>
      <c r="D263" s="207">
        <f t="shared" si="16"/>
        <v>2</v>
      </c>
      <c r="E263" t="str">
        <f t="shared" si="17"/>
        <v/>
      </c>
      <c r="I263" t="str">
        <f t="shared" si="18"/>
        <v>15-92414559</v>
      </c>
      <c r="J263" t="str">
        <f t="shared" si="19"/>
        <v/>
      </c>
      <c r="L263" t="s">
        <v>267</v>
      </c>
      <c r="M263" t="s">
        <v>1066</v>
      </c>
    </row>
    <row r="264" spans="1:13">
      <c r="A264" t="s">
        <v>919</v>
      </c>
      <c r="B264" t="s">
        <v>920</v>
      </c>
      <c r="C264" t="s">
        <v>146</v>
      </c>
      <c r="D264" s="207">
        <f t="shared" si="16"/>
        <v>0</v>
      </c>
      <c r="E264" t="str">
        <f t="shared" si="17"/>
        <v/>
      </c>
      <c r="I264" t="str">
        <f t="shared" si="18"/>
        <v>15-92508926</v>
      </c>
      <c r="J264" t="str">
        <f t="shared" si="19"/>
        <v/>
      </c>
      <c r="L264" t="s">
        <v>268</v>
      </c>
      <c r="M264" t="s">
        <v>1066</v>
      </c>
    </row>
    <row r="265" spans="1:13">
      <c r="A265" t="s">
        <v>919</v>
      </c>
      <c r="B265" t="s">
        <v>920</v>
      </c>
      <c r="C265" t="s">
        <v>145</v>
      </c>
      <c r="D265" s="207">
        <f t="shared" si="16"/>
        <v>2</v>
      </c>
      <c r="E265" t="str">
        <f t="shared" si="17"/>
        <v/>
      </c>
      <c r="I265" t="str">
        <f t="shared" si="18"/>
        <v>15-92508926</v>
      </c>
      <c r="J265" t="str">
        <f t="shared" si="19"/>
        <v/>
      </c>
      <c r="L265" t="s">
        <v>268</v>
      </c>
      <c r="M265" t="s">
        <v>1066</v>
      </c>
    </row>
    <row r="266" spans="1:13">
      <c r="A266" t="s">
        <v>922</v>
      </c>
      <c r="B266" t="s">
        <v>923</v>
      </c>
      <c r="C266" t="s">
        <v>146</v>
      </c>
      <c r="D266" s="207">
        <f t="shared" si="16"/>
        <v>0</v>
      </c>
      <c r="E266" t="str">
        <f t="shared" si="17"/>
        <v/>
      </c>
      <c r="I266" t="str">
        <f t="shared" si="18"/>
        <v>15-92662271</v>
      </c>
      <c r="J266" t="str">
        <f t="shared" si="19"/>
        <v/>
      </c>
      <c r="L266" t="s">
        <v>270</v>
      </c>
      <c r="M266" t="s">
        <v>1066</v>
      </c>
    </row>
    <row r="267" spans="1:13">
      <c r="A267" t="s">
        <v>922</v>
      </c>
      <c r="B267" t="s">
        <v>923</v>
      </c>
      <c r="C267" t="s">
        <v>145</v>
      </c>
      <c r="D267" s="207">
        <f t="shared" si="16"/>
        <v>2</v>
      </c>
      <c r="E267" t="str">
        <f t="shared" si="17"/>
        <v/>
      </c>
      <c r="I267" t="str">
        <f t="shared" si="18"/>
        <v>15-92662271</v>
      </c>
      <c r="J267" t="str">
        <f t="shared" si="19"/>
        <v/>
      </c>
      <c r="L267" t="s">
        <v>270</v>
      </c>
      <c r="M267" t="s">
        <v>1066</v>
      </c>
    </row>
    <row r="268" spans="1:13">
      <c r="A268" t="s">
        <v>924</v>
      </c>
      <c r="B268" t="s">
        <v>925</v>
      </c>
      <c r="C268" t="s">
        <v>146</v>
      </c>
      <c r="D268" s="207">
        <f t="shared" si="16"/>
        <v>0</v>
      </c>
      <c r="E268" t="str">
        <f t="shared" si="17"/>
        <v/>
      </c>
      <c r="I268" t="str">
        <f t="shared" si="18"/>
        <v>15-92666578</v>
      </c>
      <c r="J268" t="str">
        <f t="shared" si="19"/>
        <v/>
      </c>
      <c r="L268" t="s">
        <v>271</v>
      </c>
      <c r="M268" t="s">
        <v>1066</v>
      </c>
    </row>
    <row r="269" spans="1:13">
      <c r="A269" t="s">
        <v>924</v>
      </c>
      <c r="B269" t="s">
        <v>925</v>
      </c>
      <c r="C269" t="s">
        <v>145</v>
      </c>
      <c r="D269" s="207">
        <f t="shared" si="16"/>
        <v>2</v>
      </c>
      <c r="E269" t="str">
        <f t="shared" si="17"/>
        <v/>
      </c>
      <c r="I269" t="str">
        <f t="shared" si="18"/>
        <v>15-92666578</v>
      </c>
      <c r="J269" t="str">
        <f t="shared" si="19"/>
        <v/>
      </c>
      <c r="L269" t="s">
        <v>271</v>
      </c>
      <c r="M269" t="s">
        <v>1066</v>
      </c>
    </row>
    <row r="270" spans="1:13">
      <c r="A270" t="s">
        <v>932</v>
      </c>
      <c r="B270" t="s">
        <v>933</v>
      </c>
      <c r="C270" t="s">
        <v>146</v>
      </c>
      <c r="D270" s="207">
        <f t="shared" si="16"/>
        <v>0</v>
      </c>
      <c r="E270" t="str">
        <f t="shared" si="17"/>
        <v/>
      </c>
      <c r="I270" t="str">
        <f t="shared" si="18"/>
        <v>15-95219740</v>
      </c>
      <c r="J270" t="str">
        <f t="shared" si="19"/>
        <v/>
      </c>
      <c r="L270" t="s">
        <v>272</v>
      </c>
      <c r="M270" t="s">
        <v>1066</v>
      </c>
    </row>
    <row r="271" spans="1:13">
      <c r="A271" t="s">
        <v>932</v>
      </c>
      <c r="B271" t="s">
        <v>933</v>
      </c>
      <c r="C271" t="s">
        <v>145</v>
      </c>
      <c r="D271" s="207">
        <f t="shared" si="16"/>
        <v>2</v>
      </c>
      <c r="E271" t="str">
        <f t="shared" si="17"/>
        <v/>
      </c>
      <c r="I271" t="str">
        <f t="shared" si="18"/>
        <v>15-95219740</v>
      </c>
      <c r="J271" t="str">
        <f t="shared" si="19"/>
        <v/>
      </c>
      <c r="L271" t="s">
        <v>272</v>
      </c>
      <c r="M271" t="s">
        <v>1066</v>
      </c>
    </row>
    <row r="272" spans="1:13">
      <c r="A272" t="s">
        <v>934</v>
      </c>
      <c r="B272" t="s">
        <v>935</v>
      </c>
      <c r="C272" t="s">
        <v>146</v>
      </c>
      <c r="D272" s="207">
        <f t="shared" si="16"/>
        <v>0</v>
      </c>
      <c r="E272" t="str">
        <f t="shared" si="17"/>
        <v/>
      </c>
      <c r="I272" t="str">
        <f t="shared" si="18"/>
        <v>15-95227787</v>
      </c>
      <c r="J272" t="str">
        <f t="shared" si="19"/>
        <v/>
      </c>
      <c r="L272" t="s">
        <v>273</v>
      </c>
      <c r="M272" t="s">
        <v>1066</v>
      </c>
    </row>
    <row r="273" spans="1:13">
      <c r="A273" t="s">
        <v>934</v>
      </c>
      <c r="B273" t="s">
        <v>935</v>
      </c>
      <c r="C273" t="s">
        <v>145</v>
      </c>
      <c r="D273" s="207">
        <f t="shared" si="16"/>
        <v>2</v>
      </c>
      <c r="E273" t="str">
        <f t="shared" si="17"/>
        <v/>
      </c>
      <c r="I273" t="str">
        <f t="shared" si="18"/>
        <v>15-95227787</v>
      </c>
      <c r="J273" t="str">
        <f t="shared" si="19"/>
        <v/>
      </c>
      <c r="L273" t="s">
        <v>273</v>
      </c>
      <c r="M273" t="s">
        <v>1066</v>
      </c>
    </row>
    <row r="274" spans="1:13">
      <c r="A274" t="s">
        <v>941</v>
      </c>
      <c r="B274" t="s">
        <v>942</v>
      </c>
      <c r="C274" t="s">
        <v>146</v>
      </c>
      <c r="D274" s="207">
        <f t="shared" si="16"/>
        <v>0</v>
      </c>
      <c r="E274" t="str">
        <f t="shared" si="17"/>
        <v/>
      </c>
      <c r="I274" t="str">
        <f t="shared" si="18"/>
        <v>15-96059891</v>
      </c>
      <c r="J274" t="str">
        <f t="shared" si="19"/>
        <v/>
      </c>
      <c r="L274" t="s">
        <v>274</v>
      </c>
      <c r="M274" t="s">
        <v>1066</v>
      </c>
    </row>
    <row r="275" spans="1:13">
      <c r="A275" t="s">
        <v>941</v>
      </c>
      <c r="B275" t="s">
        <v>942</v>
      </c>
      <c r="C275" t="s">
        <v>145</v>
      </c>
      <c r="D275" s="207">
        <f t="shared" si="16"/>
        <v>2</v>
      </c>
      <c r="E275" t="str">
        <f t="shared" si="17"/>
        <v/>
      </c>
      <c r="I275" t="str">
        <f t="shared" si="18"/>
        <v>15-96059891</v>
      </c>
      <c r="J275" t="str">
        <f t="shared" si="19"/>
        <v/>
      </c>
      <c r="L275" t="s">
        <v>274</v>
      </c>
      <c r="M275" t="s">
        <v>1066</v>
      </c>
    </row>
    <row r="276" spans="1:13">
      <c r="A276" t="s">
        <v>952</v>
      </c>
      <c r="B276" t="s">
        <v>953</v>
      </c>
      <c r="C276" t="s">
        <v>146</v>
      </c>
      <c r="D276" s="207">
        <f t="shared" si="16"/>
        <v>0</v>
      </c>
      <c r="E276" t="str">
        <f t="shared" si="17"/>
        <v/>
      </c>
      <c r="I276" t="str">
        <f t="shared" si="18"/>
        <v>15-96636269</v>
      </c>
      <c r="J276" t="str">
        <f t="shared" si="19"/>
        <v/>
      </c>
      <c r="L276" t="s">
        <v>275</v>
      </c>
      <c r="M276" t="s">
        <v>1066</v>
      </c>
    </row>
    <row r="277" spans="1:13">
      <c r="A277" t="s">
        <v>952</v>
      </c>
      <c r="B277" t="s">
        <v>953</v>
      </c>
      <c r="C277" t="s">
        <v>145</v>
      </c>
      <c r="D277" s="207">
        <f t="shared" si="16"/>
        <v>2</v>
      </c>
      <c r="E277" t="str">
        <f t="shared" si="17"/>
        <v/>
      </c>
      <c r="I277" t="str">
        <f t="shared" si="18"/>
        <v>15-96636269</v>
      </c>
      <c r="J277" t="str">
        <f t="shared" si="19"/>
        <v/>
      </c>
      <c r="L277" t="s">
        <v>275</v>
      </c>
      <c r="M277" t="s">
        <v>1066</v>
      </c>
    </row>
    <row r="278" spans="1:13">
      <c r="A278" t="s">
        <v>966</v>
      </c>
      <c r="B278" t="s">
        <v>967</v>
      </c>
      <c r="C278" t="s">
        <v>146</v>
      </c>
      <c r="D278" s="207">
        <f t="shared" si="16"/>
        <v>0</v>
      </c>
      <c r="E278" t="str">
        <f t="shared" si="17"/>
        <v/>
      </c>
      <c r="I278" t="str">
        <f t="shared" si="18"/>
        <v>15-98579777</v>
      </c>
      <c r="J278" t="str">
        <f t="shared" si="19"/>
        <v/>
      </c>
      <c r="L278" t="s">
        <v>276</v>
      </c>
      <c r="M278" t="s">
        <v>1066</v>
      </c>
    </row>
    <row r="279" spans="1:13">
      <c r="A279" t="s">
        <v>966</v>
      </c>
      <c r="B279" t="s">
        <v>967</v>
      </c>
      <c r="C279" t="s">
        <v>145</v>
      </c>
      <c r="D279" s="207">
        <f t="shared" si="16"/>
        <v>2</v>
      </c>
      <c r="E279" t="str">
        <f t="shared" si="17"/>
        <v/>
      </c>
      <c r="I279" t="str">
        <f t="shared" si="18"/>
        <v>15-98579777</v>
      </c>
      <c r="J279" t="str">
        <f t="shared" si="19"/>
        <v/>
      </c>
      <c r="L279" t="s">
        <v>276</v>
      </c>
      <c r="M279" t="s">
        <v>1066</v>
      </c>
    </row>
    <row r="280" spans="1:13">
      <c r="A280" t="s">
        <v>979</v>
      </c>
      <c r="B280" t="s">
        <v>980</v>
      </c>
      <c r="C280" t="s">
        <v>146</v>
      </c>
      <c r="D280" s="207">
        <f t="shared" si="16"/>
        <v>0</v>
      </c>
      <c r="E280" t="str">
        <f t="shared" si="17"/>
        <v/>
      </c>
      <c r="I280" t="str">
        <f t="shared" si="18"/>
        <v>16-10097301</v>
      </c>
      <c r="J280" t="str">
        <f t="shared" si="19"/>
        <v/>
      </c>
      <c r="L280" t="s">
        <v>278</v>
      </c>
      <c r="M280" t="s">
        <v>1066</v>
      </c>
    </row>
    <row r="281" spans="1:13">
      <c r="A281" t="s">
        <v>979</v>
      </c>
      <c r="B281" t="s">
        <v>980</v>
      </c>
      <c r="C281" t="s">
        <v>145</v>
      </c>
      <c r="D281" s="207">
        <f t="shared" si="16"/>
        <v>2</v>
      </c>
      <c r="E281" t="str">
        <f t="shared" si="17"/>
        <v/>
      </c>
      <c r="I281" t="str">
        <f t="shared" si="18"/>
        <v>16-10097301</v>
      </c>
      <c r="J281" t="str">
        <f t="shared" si="19"/>
        <v/>
      </c>
      <c r="L281" t="s">
        <v>278</v>
      </c>
      <c r="M281" t="s">
        <v>1066</v>
      </c>
    </row>
    <row r="282" spans="1:13">
      <c r="A282" t="s">
        <v>1001</v>
      </c>
      <c r="B282" t="s">
        <v>158</v>
      </c>
      <c r="C282" t="s">
        <v>146</v>
      </c>
      <c r="D282" s="207">
        <f t="shared" si="16"/>
        <v>0</v>
      </c>
      <c r="E282" t="str">
        <f t="shared" si="17"/>
        <v/>
      </c>
      <c r="I282" t="str">
        <f t="shared" si="18"/>
        <v>16-10347437</v>
      </c>
      <c r="J282" t="str">
        <f t="shared" si="19"/>
        <v/>
      </c>
      <c r="L282" t="s">
        <v>279</v>
      </c>
      <c r="M282" t="s">
        <v>1066</v>
      </c>
    </row>
    <row r="283" spans="1:13">
      <c r="A283" t="s">
        <v>1001</v>
      </c>
      <c r="B283" t="s">
        <v>158</v>
      </c>
      <c r="C283" t="s">
        <v>145</v>
      </c>
      <c r="D283" s="207">
        <f t="shared" si="16"/>
        <v>2</v>
      </c>
      <c r="E283" t="str">
        <f t="shared" si="17"/>
        <v/>
      </c>
      <c r="I283" t="str">
        <f t="shared" si="18"/>
        <v>16-10347437</v>
      </c>
      <c r="J283" t="str">
        <f t="shared" si="19"/>
        <v/>
      </c>
      <c r="L283" t="s">
        <v>279</v>
      </c>
      <c r="M283" t="s">
        <v>1066</v>
      </c>
    </row>
    <row r="284" spans="1:13">
      <c r="A284" t="s">
        <v>1007</v>
      </c>
      <c r="B284" t="s">
        <v>1008</v>
      </c>
      <c r="C284" t="s">
        <v>146</v>
      </c>
      <c r="D284" s="207">
        <f t="shared" si="16"/>
        <v>0</v>
      </c>
      <c r="E284" t="str">
        <f t="shared" si="17"/>
        <v/>
      </c>
      <c r="I284" t="str">
        <f t="shared" si="18"/>
        <v>16-10422556</v>
      </c>
      <c r="J284" t="str">
        <f t="shared" si="19"/>
        <v/>
      </c>
      <c r="L284" t="s">
        <v>280</v>
      </c>
      <c r="M284" t="s">
        <v>1066</v>
      </c>
    </row>
    <row r="285" spans="1:13">
      <c r="A285" t="s">
        <v>1007</v>
      </c>
      <c r="B285" t="s">
        <v>1008</v>
      </c>
      <c r="C285" t="s">
        <v>145</v>
      </c>
      <c r="D285" s="207">
        <f t="shared" si="16"/>
        <v>2</v>
      </c>
      <c r="E285" t="str">
        <f t="shared" si="17"/>
        <v/>
      </c>
      <c r="I285" t="str">
        <f t="shared" si="18"/>
        <v>16-10422556</v>
      </c>
      <c r="J285" t="str">
        <f t="shared" si="19"/>
        <v/>
      </c>
      <c r="L285" t="s">
        <v>280</v>
      </c>
      <c r="M285" t="s">
        <v>1066</v>
      </c>
    </row>
    <row r="286" spans="1:13">
      <c r="A286" t="s">
        <v>1015</v>
      </c>
      <c r="B286" t="s">
        <v>1016</v>
      </c>
      <c r="C286" t="s">
        <v>146</v>
      </c>
      <c r="D286" s="207">
        <f t="shared" si="16"/>
        <v>0</v>
      </c>
      <c r="E286" t="str">
        <f t="shared" si="17"/>
        <v/>
      </c>
      <c r="I286" t="str">
        <f t="shared" si="18"/>
        <v>16-10497439</v>
      </c>
      <c r="J286" t="str">
        <f t="shared" si="19"/>
        <v/>
      </c>
      <c r="L286" t="s">
        <v>281</v>
      </c>
      <c r="M286" t="s">
        <v>1066</v>
      </c>
    </row>
    <row r="287" spans="1:13">
      <c r="A287" t="s">
        <v>1015</v>
      </c>
      <c r="B287" t="s">
        <v>1016</v>
      </c>
      <c r="C287" t="s">
        <v>145</v>
      </c>
      <c r="D287" s="207">
        <f t="shared" si="16"/>
        <v>2</v>
      </c>
      <c r="E287" t="str">
        <f t="shared" si="17"/>
        <v/>
      </c>
      <c r="I287" t="str">
        <f t="shared" si="18"/>
        <v>16-10497439</v>
      </c>
      <c r="J287" t="str">
        <f t="shared" si="19"/>
        <v/>
      </c>
      <c r="L287" t="s">
        <v>281</v>
      </c>
      <c r="M287" t="s">
        <v>1066</v>
      </c>
    </row>
    <row r="288" spans="1:13">
      <c r="A288" t="s">
        <v>1028</v>
      </c>
      <c r="B288" t="s">
        <v>1029</v>
      </c>
      <c r="C288" t="s">
        <v>146</v>
      </c>
      <c r="D288" s="207">
        <f t="shared" si="16"/>
        <v>0</v>
      </c>
      <c r="E288" t="str">
        <f t="shared" si="17"/>
        <v/>
      </c>
      <c r="I288" t="str">
        <f t="shared" si="18"/>
        <v>16-10626501</v>
      </c>
      <c r="J288" t="str">
        <f t="shared" si="19"/>
        <v/>
      </c>
      <c r="L288" t="s">
        <v>282</v>
      </c>
      <c r="M288" t="s">
        <v>1066</v>
      </c>
    </row>
    <row r="289" spans="1:13">
      <c r="A289" t="s">
        <v>1028</v>
      </c>
      <c r="B289" t="s">
        <v>1029</v>
      </c>
      <c r="C289" t="s">
        <v>145</v>
      </c>
      <c r="D289" s="207">
        <f t="shared" si="16"/>
        <v>2</v>
      </c>
      <c r="E289" t="str">
        <f t="shared" si="17"/>
        <v/>
      </c>
      <c r="I289" t="str">
        <f t="shared" si="18"/>
        <v>16-10626501</v>
      </c>
      <c r="J289" t="str">
        <f t="shared" si="19"/>
        <v/>
      </c>
      <c r="L289" t="s">
        <v>282</v>
      </c>
      <c r="M289" t="s">
        <v>1066</v>
      </c>
    </row>
    <row r="290" spans="1:13">
      <c r="A290" t="s">
        <v>1077</v>
      </c>
      <c r="B290" t="s">
        <v>1078</v>
      </c>
      <c r="C290" t="s">
        <v>146</v>
      </c>
      <c r="D290" s="207">
        <f t="shared" si="16"/>
        <v>0</v>
      </c>
      <c r="E290" t="str">
        <f t="shared" si="17"/>
        <v/>
      </c>
      <c r="I290" t="str">
        <f t="shared" si="18"/>
        <v>25-27060436</v>
      </c>
      <c r="J290" t="str">
        <f t="shared" si="19"/>
        <v/>
      </c>
      <c r="L290" t="s">
        <v>283</v>
      </c>
      <c r="M290" t="s">
        <v>1066</v>
      </c>
    </row>
    <row r="291" spans="1:13">
      <c r="A291" t="s">
        <v>1077</v>
      </c>
      <c r="B291" t="s">
        <v>1078</v>
      </c>
      <c r="C291" t="s">
        <v>145</v>
      </c>
      <c r="D291" s="207">
        <f t="shared" si="16"/>
        <v>2</v>
      </c>
      <c r="E291" t="str">
        <f t="shared" si="17"/>
        <v/>
      </c>
      <c r="I291" t="str">
        <f t="shared" si="18"/>
        <v>25-27060436</v>
      </c>
      <c r="J291" t="str">
        <f t="shared" si="19"/>
        <v/>
      </c>
      <c r="L291" t="s">
        <v>283</v>
      </c>
      <c r="M291" t="s">
        <v>1066</v>
      </c>
    </row>
    <row r="292" spans="1:13">
      <c r="A292" t="s">
        <v>1079</v>
      </c>
      <c r="B292" t="s">
        <v>1080</v>
      </c>
      <c r="C292" t="s">
        <v>146</v>
      </c>
      <c r="D292" s="207">
        <f t="shared" si="16"/>
        <v>0</v>
      </c>
      <c r="E292" t="str">
        <f t="shared" si="17"/>
        <v/>
      </c>
      <c r="I292" t="str">
        <f t="shared" si="18"/>
        <v>25-28188890</v>
      </c>
      <c r="J292" t="str">
        <f t="shared" si="19"/>
        <v/>
      </c>
      <c r="L292" t="s">
        <v>284</v>
      </c>
      <c r="M292" t="s">
        <v>1066</v>
      </c>
    </row>
    <row r="293" spans="1:13">
      <c r="A293" t="s">
        <v>1079</v>
      </c>
      <c r="B293" t="s">
        <v>1080</v>
      </c>
      <c r="C293" t="s">
        <v>145</v>
      </c>
      <c r="D293" s="207">
        <f t="shared" si="16"/>
        <v>2</v>
      </c>
      <c r="E293" t="str">
        <f t="shared" si="17"/>
        <v/>
      </c>
      <c r="I293" t="str">
        <f t="shared" si="18"/>
        <v>25-28188890</v>
      </c>
      <c r="J293" t="str">
        <f t="shared" si="19"/>
        <v/>
      </c>
      <c r="L293" t="s">
        <v>284</v>
      </c>
      <c r="M293" t="s">
        <v>1066</v>
      </c>
    </row>
    <row r="294" spans="1:13">
      <c r="A294" t="s">
        <v>1081</v>
      </c>
      <c r="B294" t="s">
        <v>1082</v>
      </c>
      <c r="C294" t="s">
        <v>146</v>
      </c>
      <c r="D294" s="207">
        <f t="shared" si="16"/>
        <v>0</v>
      </c>
      <c r="E294" t="str">
        <f t="shared" si="17"/>
        <v/>
      </c>
      <c r="I294" t="str">
        <f t="shared" si="18"/>
        <v>25-30253650</v>
      </c>
      <c r="J294" t="str">
        <f t="shared" si="19"/>
        <v/>
      </c>
      <c r="L294" t="s">
        <v>285</v>
      </c>
      <c r="M294" t="s">
        <v>1066</v>
      </c>
    </row>
    <row r="295" spans="1:13">
      <c r="A295" t="s">
        <v>1081</v>
      </c>
      <c r="B295" t="s">
        <v>1082</v>
      </c>
      <c r="C295" t="s">
        <v>145</v>
      </c>
      <c r="D295" s="207">
        <f t="shared" si="16"/>
        <v>2</v>
      </c>
      <c r="E295" t="str">
        <f t="shared" si="17"/>
        <v/>
      </c>
      <c r="I295" t="str">
        <f t="shared" si="18"/>
        <v>25-30253650</v>
      </c>
      <c r="J295" t="str">
        <f t="shared" si="19"/>
        <v/>
      </c>
      <c r="L295" t="s">
        <v>285</v>
      </c>
      <c r="M295" t="s">
        <v>1066</v>
      </c>
    </row>
    <row r="296" spans="1:13">
      <c r="A296" t="s">
        <v>1083</v>
      </c>
      <c r="B296" t="s">
        <v>1084</v>
      </c>
      <c r="C296" t="s">
        <v>146</v>
      </c>
      <c r="D296" s="207">
        <f t="shared" si="16"/>
        <v>0</v>
      </c>
      <c r="E296" t="str">
        <f t="shared" si="17"/>
        <v/>
      </c>
      <c r="I296" t="str">
        <f t="shared" si="18"/>
        <v>25-30255335</v>
      </c>
      <c r="J296" t="str">
        <f t="shared" si="19"/>
        <v/>
      </c>
      <c r="L296" t="s">
        <v>286</v>
      </c>
      <c r="M296" t="s">
        <v>1066</v>
      </c>
    </row>
    <row r="297" spans="1:13">
      <c r="A297" t="s">
        <v>1083</v>
      </c>
      <c r="B297" t="s">
        <v>1084</v>
      </c>
      <c r="C297" t="s">
        <v>145</v>
      </c>
      <c r="D297" s="207">
        <f t="shared" si="16"/>
        <v>2</v>
      </c>
      <c r="E297" t="str">
        <f t="shared" si="17"/>
        <v/>
      </c>
      <c r="I297" t="str">
        <f t="shared" si="18"/>
        <v>25-30255335</v>
      </c>
      <c r="J297" t="str">
        <f t="shared" si="19"/>
        <v/>
      </c>
      <c r="L297" t="s">
        <v>286</v>
      </c>
      <c r="M297" t="s">
        <v>1066</v>
      </c>
    </row>
    <row r="298" spans="1:13">
      <c r="A298" t="s">
        <v>1085</v>
      </c>
      <c r="B298" t="s">
        <v>1086</v>
      </c>
      <c r="C298" t="s">
        <v>146</v>
      </c>
      <c r="D298" s="207">
        <f t="shared" si="16"/>
        <v>0</v>
      </c>
      <c r="E298" t="str">
        <f t="shared" si="17"/>
        <v/>
      </c>
      <c r="I298" t="str">
        <f t="shared" si="18"/>
        <v>25-30259610</v>
      </c>
      <c r="J298" t="str">
        <f t="shared" si="19"/>
        <v/>
      </c>
      <c r="L298" t="s">
        <v>287</v>
      </c>
      <c r="M298" t="s">
        <v>1066</v>
      </c>
    </row>
    <row r="299" spans="1:13">
      <c r="A299" t="s">
        <v>1085</v>
      </c>
      <c r="B299" t="s">
        <v>1086</v>
      </c>
      <c r="C299" t="s">
        <v>145</v>
      </c>
      <c r="D299" s="207">
        <f t="shared" si="16"/>
        <v>2</v>
      </c>
      <c r="E299" t="str">
        <f t="shared" si="17"/>
        <v/>
      </c>
      <c r="I299" t="str">
        <f t="shared" si="18"/>
        <v>25-30259610</v>
      </c>
      <c r="J299" t="str">
        <f t="shared" si="19"/>
        <v/>
      </c>
      <c r="L299" t="s">
        <v>287</v>
      </c>
      <c r="M299" t="s">
        <v>1066</v>
      </c>
    </row>
    <row r="300" spans="1:13">
      <c r="A300" t="s">
        <v>1087</v>
      </c>
      <c r="B300" t="s">
        <v>1088</v>
      </c>
      <c r="C300" t="s">
        <v>146</v>
      </c>
      <c r="D300" s="207">
        <f t="shared" si="16"/>
        <v>0</v>
      </c>
      <c r="E300" t="str">
        <f t="shared" si="17"/>
        <v/>
      </c>
      <c r="I300" t="str">
        <f t="shared" si="18"/>
        <v>25-30272299</v>
      </c>
      <c r="J300" t="str">
        <f t="shared" si="19"/>
        <v/>
      </c>
      <c r="L300" t="s">
        <v>289</v>
      </c>
      <c r="M300" t="s">
        <v>1066</v>
      </c>
    </row>
    <row r="301" spans="1:13">
      <c r="A301" t="s">
        <v>1087</v>
      </c>
      <c r="B301" t="s">
        <v>1088</v>
      </c>
      <c r="C301" t="s">
        <v>145</v>
      </c>
      <c r="D301" s="207">
        <f t="shared" si="16"/>
        <v>2</v>
      </c>
      <c r="E301" t="str">
        <f t="shared" si="17"/>
        <v/>
      </c>
      <c r="I301" t="str">
        <f t="shared" si="18"/>
        <v>25-30272299</v>
      </c>
      <c r="J301" t="str">
        <f t="shared" si="19"/>
        <v/>
      </c>
      <c r="L301" t="s">
        <v>289</v>
      </c>
      <c r="M301" t="s">
        <v>1066</v>
      </c>
    </row>
    <row r="302" spans="1:13">
      <c r="A302" t="s">
        <v>1089</v>
      </c>
      <c r="B302" t="s">
        <v>1090</v>
      </c>
      <c r="C302" t="s">
        <v>146</v>
      </c>
      <c r="D302" s="207">
        <f t="shared" si="16"/>
        <v>0</v>
      </c>
      <c r="E302" t="str">
        <f t="shared" si="17"/>
        <v/>
      </c>
      <c r="I302" t="str">
        <f t="shared" si="18"/>
        <v>25-30276596</v>
      </c>
      <c r="J302" t="str">
        <f t="shared" si="19"/>
        <v/>
      </c>
      <c r="L302" t="s">
        <v>290</v>
      </c>
      <c r="M302" t="s">
        <v>1066</v>
      </c>
    </row>
    <row r="303" spans="1:13">
      <c r="A303" t="s">
        <v>1089</v>
      </c>
      <c r="B303" t="s">
        <v>1090</v>
      </c>
      <c r="C303" t="s">
        <v>145</v>
      </c>
      <c r="D303" s="207">
        <f t="shared" si="16"/>
        <v>2</v>
      </c>
      <c r="E303" t="str">
        <f t="shared" si="17"/>
        <v/>
      </c>
      <c r="I303" t="str">
        <f t="shared" si="18"/>
        <v>25-30276596</v>
      </c>
      <c r="J303" t="str">
        <f t="shared" si="19"/>
        <v/>
      </c>
      <c r="L303" t="s">
        <v>290</v>
      </c>
      <c r="M303" t="s">
        <v>1066</v>
      </c>
    </row>
    <row r="304" spans="1:13">
      <c r="A304" t="s">
        <v>1091</v>
      </c>
      <c r="B304" t="s">
        <v>1092</v>
      </c>
      <c r="C304" t="s">
        <v>146</v>
      </c>
      <c r="D304" s="207">
        <f t="shared" si="16"/>
        <v>0</v>
      </c>
      <c r="E304" t="str">
        <f t="shared" si="17"/>
        <v/>
      </c>
      <c r="I304" t="str">
        <f t="shared" si="18"/>
        <v>25-30297188</v>
      </c>
      <c r="J304" t="str">
        <f t="shared" si="19"/>
        <v/>
      </c>
      <c r="L304" t="s">
        <v>291</v>
      </c>
      <c r="M304" t="s">
        <v>1066</v>
      </c>
    </row>
    <row r="305" spans="1:13">
      <c r="A305" t="s">
        <v>1091</v>
      </c>
      <c r="B305" t="s">
        <v>1092</v>
      </c>
      <c r="C305" t="s">
        <v>145</v>
      </c>
      <c r="D305" s="207">
        <f t="shared" si="16"/>
        <v>2</v>
      </c>
      <c r="E305" t="str">
        <f t="shared" si="17"/>
        <v/>
      </c>
      <c r="I305" t="str">
        <f t="shared" si="18"/>
        <v>25-30297188</v>
      </c>
      <c r="J305" t="str">
        <f t="shared" si="19"/>
        <v/>
      </c>
      <c r="L305" t="s">
        <v>291</v>
      </c>
      <c r="M305" t="s">
        <v>1066</v>
      </c>
    </row>
    <row r="306" spans="1:13">
      <c r="A306" t="s">
        <v>1093</v>
      </c>
      <c r="B306" t="s">
        <v>1094</v>
      </c>
      <c r="C306" t="s">
        <v>146</v>
      </c>
      <c r="D306" s="207">
        <f t="shared" si="16"/>
        <v>0</v>
      </c>
      <c r="E306" t="str">
        <f t="shared" si="17"/>
        <v/>
      </c>
      <c r="I306" t="str">
        <f t="shared" si="18"/>
        <v>25-30385487</v>
      </c>
      <c r="J306" t="str">
        <f t="shared" si="19"/>
        <v/>
      </c>
      <c r="L306" t="s">
        <v>292</v>
      </c>
      <c r="M306" t="s">
        <v>1066</v>
      </c>
    </row>
    <row r="307" spans="1:13">
      <c r="A307" t="s">
        <v>1093</v>
      </c>
      <c r="B307" t="s">
        <v>1094</v>
      </c>
      <c r="C307" t="s">
        <v>145</v>
      </c>
      <c r="D307" s="207">
        <f t="shared" si="16"/>
        <v>2</v>
      </c>
      <c r="E307" t="str">
        <f t="shared" si="17"/>
        <v/>
      </c>
      <c r="I307" t="str">
        <f t="shared" si="18"/>
        <v>25-30385487</v>
      </c>
      <c r="J307" t="str">
        <f t="shared" si="19"/>
        <v/>
      </c>
      <c r="L307" t="s">
        <v>292</v>
      </c>
      <c r="M307" t="s">
        <v>1066</v>
      </c>
    </row>
    <row r="308" spans="1:13">
      <c r="A308" t="s">
        <v>1095</v>
      </c>
      <c r="B308" t="s">
        <v>1096</v>
      </c>
      <c r="C308" t="s">
        <v>146</v>
      </c>
      <c r="D308" s="207">
        <f t="shared" si="16"/>
        <v>0</v>
      </c>
      <c r="E308" t="str">
        <f t="shared" si="17"/>
        <v/>
      </c>
      <c r="I308" t="str">
        <f t="shared" si="18"/>
        <v>25-30562493</v>
      </c>
      <c r="J308" t="str">
        <f t="shared" si="19"/>
        <v/>
      </c>
      <c r="L308" t="s">
        <v>293</v>
      </c>
      <c r="M308" t="s">
        <v>1066</v>
      </c>
    </row>
    <row r="309" spans="1:13">
      <c r="A309" t="s">
        <v>1095</v>
      </c>
      <c r="B309" t="s">
        <v>1096</v>
      </c>
      <c r="C309" t="s">
        <v>145</v>
      </c>
      <c r="D309" s="207">
        <f t="shared" si="16"/>
        <v>2</v>
      </c>
      <c r="E309" t="str">
        <f t="shared" si="17"/>
        <v/>
      </c>
      <c r="I309" t="str">
        <f t="shared" si="18"/>
        <v>25-30562493</v>
      </c>
      <c r="J309" t="str">
        <f t="shared" si="19"/>
        <v/>
      </c>
      <c r="L309" t="s">
        <v>293</v>
      </c>
      <c r="M309" t="s">
        <v>1066</v>
      </c>
    </row>
    <row r="310" spans="1:13">
      <c r="A310" t="s">
        <v>1097</v>
      </c>
      <c r="B310" t="s">
        <v>1098</v>
      </c>
      <c r="C310" t="s">
        <v>146</v>
      </c>
      <c r="D310" s="207">
        <f t="shared" si="16"/>
        <v>0</v>
      </c>
      <c r="E310" t="str">
        <f t="shared" si="17"/>
        <v/>
      </c>
      <c r="I310" t="str">
        <f t="shared" si="18"/>
        <v>25-30606337</v>
      </c>
      <c r="J310" t="str">
        <f t="shared" si="19"/>
        <v/>
      </c>
      <c r="L310" t="s">
        <v>294</v>
      </c>
      <c r="M310" t="s">
        <v>1066</v>
      </c>
    </row>
    <row r="311" spans="1:13">
      <c r="A311" t="s">
        <v>1097</v>
      </c>
      <c r="B311" t="s">
        <v>1098</v>
      </c>
      <c r="C311" t="s">
        <v>145</v>
      </c>
      <c r="D311" s="207">
        <f t="shared" si="16"/>
        <v>2</v>
      </c>
      <c r="E311" t="str">
        <f t="shared" si="17"/>
        <v/>
      </c>
      <c r="I311" t="str">
        <f t="shared" si="18"/>
        <v>25-30606337</v>
      </c>
      <c r="J311" t="str">
        <f t="shared" si="19"/>
        <v/>
      </c>
      <c r="L311" t="s">
        <v>294</v>
      </c>
      <c r="M311" t="s">
        <v>1066</v>
      </c>
    </row>
    <row r="312" spans="1:13">
      <c r="A312" t="s">
        <v>1099</v>
      </c>
      <c r="B312" t="s">
        <v>1100</v>
      </c>
      <c r="C312" t="s">
        <v>146</v>
      </c>
      <c r="D312" s="207">
        <f t="shared" si="16"/>
        <v>0</v>
      </c>
      <c r="E312" t="str">
        <f t="shared" si="17"/>
        <v/>
      </c>
      <c r="I312" t="str">
        <f t="shared" si="18"/>
        <v>25-30657353</v>
      </c>
      <c r="J312" t="str">
        <f t="shared" si="19"/>
        <v/>
      </c>
      <c r="L312" t="s">
        <v>296</v>
      </c>
      <c r="M312" t="s">
        <v>1066</v>
      </c>
    </row>
    <row r="313" spans="1:13">
      <c r="A313" t="s">
        <v>1099</v>
      </c>
      <c r="B313" t="s">
        <v>1100</v>
      </c>
      <c r="C313" t="s">
        <v>145</v>
      </c>
      <c r="D313" s="207">
        <f t="shared" si="16"/>
        <v>2</v>
      </c>
      <c r="E313" t="str">
        <f t="shared" si="17"/>
        <v/>
      </c>
      <c r="I313" t="str">
        <f t="shared" si="18"/>
        <v>25-30657353</v>
      </c>
      <c r="J313" t="str">
        <f t="shared" si="19"/>
        <v/>
      </c>
      <c r="L313" t="s">
        <v>296</v>
      </c>
      <c r="M313" t="s">
        <v>1066</v>
      </c>
    </row>
    <row r="314" spans="1:13">
      <c r="A314" t="s">
        <v>1101</v>
      </c>
      <c r="B314" t="s">
        <v>1102</v>
      </c>
      <c r="C314" t="s">
        <v>146</v>
      </c>
      <c r="D314" s="207">
        <f t="shared" si="16"/>
        <v>0</v>
      </c>
      <c r="E314" t="str">
        <f t="shared" si="17"/>
        <v/>
      </c>
      <c r="I314" t="str">
        <f t="shared" si="18"/>
        <v>25-30795895</v>
      </c>
      <c r="J314" t="str">
        <f t="shared" si="19"/>
        <v/>
      </c>
      <c r="L314" t="s">
        <v>298</v>
      </c>
      <c r="M314" t="s">
        <v>1066</v>
      </c>
    </row>
    <row r="315" spans="1:13">
      <c r="A315" t="s">
        <v>1101</v>
      </c>
      <c r="B315" t="s">
        <v>1102</v>
      </c>
      <c r="C315" t="s">
        <v>145</v>
      </c>
      <c r="D315" s="207">
        <f t="shared" si="16"/>
        <v>2</v>
      </c>
      <c r="E315" t="str">
        <f t="shared" si="17"/>
        <v/>
      </c>
      <c r="I315" t="str">
        <f t="shared" si="18"/>
        <v>25-30795895</v>
      </c>
      <c r="J315" t="str">
        <f t="shared" si="19"/>
        <v/>
      </c>
      <c r="L315" t="s">
        <v>298</v>
      </c>
      <c r="M315" t="s">
        <v>1066</v>
      </c>
    </row>
    <row r="316" spans="1:13">
      <c r="A316" t="s">
        <v>1103</v>
      </c>
      <c r="B316" t="s">
        <v>1104</v>
      </c>
      <c r="C316" t="s">
        <v>146</v>
      </c>
      <c r="D316" s="207">
        <f t="shared" si="16"/>
        <v>0</v>
      </c>
      <c r="E316" t="str">
        <f t="shared" si="17"/>
        <v/>
      </c>
      <c r="I316" t="str">
        <f t="shared" si="18"/>
        <v>25-30826731</v>
      </c>
      <c r="J316" t="str">
        <f t="shared" si="19"/>
        <v/>
      </c>
      <c r="L316" t="s">
        <v>300</v>
      </c>
      <c r="M316" t="s">
        <v>1066</v>
      </c>
    </row>
    <row r="317" spans="1:13">
      <c r="A317" t="s">
        <v>1103</v>
      </c>
      <c r="B317" t="s">
        <v>1104</v>
      </c>
      <c r="C317" t="s">
        <v>145</v>
      </c>
      <c r="D317" s="207">
        <f t="shared" si="16"/>
        <v>2</v>
      </c>
      <c r="E317" t="str">
        <f t="shared" si="17"/>
        <v/>
      </c>
      <c r="I317" t="str">
        <f t="shared" si="18"/>
        <v>25-30826731</v>
      </c>
      <c r="J317" t="str">
        <f t="shared" si="19"/>
        <v/>
      </c>
      <c r="L317" t="s">
        <v>300</v>
      </c>
      <c r="M317" t="s">
        <v>1066</v>
      </c>
    </row>
    <row r="318" spans="1:13">
      <c r="A318" t="s">
        <v>1105</v>
      </c>
      <c r="B318" t="s">
        <v>1106</v>
      </c>
      <c r="C318" t="s">
        <v>146</v>
      </c>
      <c r="D318" s="207">
        <f t="shared" si="16"/>
        <v>0</v>
      </c>
      <c r="E318" t="str">
        <f t="shared" si="17"/>
        <v/>
      </c>
      <c r="I318" t="str">
        <f t="shared" si="18"/>
        <v>25-30836077</v>
      </c>
      <c r="J318" t="str">
        <f t="shared" si="19"/>
        <v/>
      </c>
      <c r="L318" t="s">
        <v>302</v>
      </c>
      <c r="M318" t="s">
        <v>1066</v>
      </c>
    </row>
    <row r="319" spans="1:13">
      <c r="A319" t="s">
        <v>1105</v>
      </c>
      <c r="B319" t="s">
        <v>1106</v>
      </c>
      <c r="C319" t="s">
        <v>145</v>
      </c>
      <c r="D319" s="207">
        <f t="shared" si="16"/>
        <v>2</v>
      </c>
      <c r="E319" t="str">
        <f t="shared" si="17"/>
        <v/>
      </c>
      <c r="I319" t="str">
        <f t="shared" si="18"/>
        <v>25-30836077</v>
      </c>
      <c r="J319" t="str">
        <f t="shared" si="19"/>
        <v/>
      </c>
      <c r="L319" t="s">
        <v>302</v>
      </c>
      <c r="M319" t="s">
        <v>1066</v>
      </c>
    </row>
    <row r="320" spans="1:13">
      <c r="A320" t="s">
        <v>1107</v>
      </c>
      <c r="B320" t="s">
        <v>1108</v>
      </c>
      <c r="C320" t="s">
        <v>146</v>
      </c>
      <c r="D320" s="207">
        <f t="shared" si="16"/>
        <v>0</v>
      </c>
      <c r="E320" t="str">
        <f t="shared" si="17"/>
        <v/>
      </c>
      <c r="I320" t="str">
        <f t="shared" si="18"/>
        <v>25-30908068</v>
      </c>
      <c r="J320" t="str">
        <f t="shared" si="19"/>
        <v/>
      </c>
      <c r="L320" t="s">
        <v>303</v>
      </c>
      <c r="M320" t="s">
        <v>1066</v>
      </c>
    </row>
    <row r="321" spans="1:13">
      <c r="A321" t="s">
        <v>1107</v>
      </c>
      <c r="B321" t="s">
        <v>1108</v>
      </c>
      <c r="C321" t="s">
        <v>145</v>
      </c>
      <c r="D321" s="207">
        <f t="shared" si="16"/>
        <v>2</v>
      </c>
      <c r="E321" t="str">
        <f t="shared" si="17"/>
        <v/>
      </c>
      <c r="I321" t="str">
        <f t="shared" si="18"/>
        <v>25-30908068</v>
      </c>
      <c r="J321" t="str">
        <f t="shared" si="19"/>
        <v/>
      </c>
      <c r="L321" t="s">
        <v>303</v>
      </c>
      <c r="M321" t="s">
        <v>1066</v>
      </c>
    </row>
    <row r="322" spans="1:13">
      <c r="A322" t="s">
        <v>1109</v>
      </c>
      <c r="B322" t="s">
        <v>1110</v>
      </c>
      <c r="C322" t="s">
        <v>146</v>
      </c>
      <c r="D322" s="207">
        <f t="shared" si="16"/>
        <v>0</v>
      </c>
      <c r="E322" t="str">
        <f t="shared" si="17"/>
        <v/>
      </c>
      <c r="I322" t="str">
        <f t="shared" si="18"/>
        <v>25-41648931</v>
      </c>
      <c r="J322" t="str">
        <f t="shared" si="19"/>
        <v/>
      </c>
      <c r="L322" t="s">
        <v>305</v>
      </c>
      <c r="M322" t="s">
        <v>1066</v>
      </c>
    </row>
    <row r="323" spans="1:13">
      <c r="A323" t="s">
        <v>1109</v>
      </c>
      <c r="B323" t="s">
        <v>1110</v>
      </c>
      <c r="C323" t="s">
        <v>145</v>
      </c>
      <c r="D323" s="207">
        <f t="shared" si="16"/>
        <v>2</v>
      </c>
      <c r="E323" t="str">
        <f t="shared" si="17"/>
        <v/>
      </c>
      <c r="I323" t="str">
        <f t="shared" si="18"/>
        <v>25-41648931</v>
      </c>
      <c r="J323" t="str">
        <f t="shared" si="19"/>
        <v/>
      </c>
      <c r="L323" t="s">
        <v>305</v>
      </c>
      <c r="M323" t="s">
        <v>1066</v>
      </c>
    </row>
    <row r="324" spans="1:13">
      <c r="A324" t="s">
        <v>1111</v>
      </c>
      <c r="B324" t="s">
        <v>1112</v>
      </c>
      <c r="C324" t="s">
        <v>146</v>
      </c>
      <c r="D324" s="207">
        <f t="shared" ref="D324:D357" si="20">IF(A324=A323,2,0)</f>
        <v>0</v>
      </c>
      <c r="E324" t="str">
        <f t="shared" si="17"/>
        <v/>
      </c>
      <c r="I324" t="str">
        <f t="shared" si="18"/>
        <v>25-42188917</v>
      </c>
      <c r="J324" t="str">
        <f t="shared" si="19"/>
        <v/>
      </c>
      <c r="L324" t="s">
        <v>306</v>
      </c>
      <c r="M324" t="s">
        <v>1066</v>
      </c>
    </row>
    <row r="325" spans="1:13">
      <c r="A325" t="s">
        <v>1111</v>
      </c>
      <c r="B325" t="s">
        <v>1112</v>
      </c>
      <c r="C325" t="s">
        <v>145</v>
      </c>
      <c r="D325" s="207">
        <f t="shared" si="20"/>
        <v>2</v>
      </c>
      <c r="E325" t="str">
        <f t="shared" ref="E325:E357" si="21">IF(SUMIFS(D:D,A:A,A325)&lt;&gt;2,"ERROR","")</f>
        <v/>
      </c>
      <c r="I325" t="str">
        <f t="shared" ref="I325:I388" si="22">+A325</f>
        <v>25-42188917</v>
      </c>
      <c r="J325" t="str">
        <f t="shared" ref="J325:J388" si="23">+E325</f>
        <v/>
      </c>
      <c r="L325" t="s">
        <v>306</v>
      </c>
      <c r="M325" t="s">
        <v>1066</v>
      </c>
    </row>
    <row r="326" spans="1:13">
      <c r="A326" t="s">
        <v>1113</v>
      </c>
      <c r="B326" t="s">
        <v>1114</v>
      </c>
      <c r="C326" t="s">
        <v>146</v>
      </c>
      <c r="D326" s="207">
        <f t="shared" si="20"/>
        <v>0</v>
      </c>
      <c r="E326" t="str">
        <f t="shared" si="21"/>
        <v/>
      </c>
      <c r="I326" t="str">
        <f t="shared" si="22"/>
        <v>25-42191249</v>
      </c>
      <c r="J326" t="str">
        <f t="shared" si="23"/>
        <v/>
      </c>
      <c r="L326" t="s">
        <v>308</v>
      </c>
      <c r="M326" t="s">
        <v>1066</v>
      </c>
    </row>
    <row r="327" spans="1:13">
      <c r="A327" t="s">
        <v>1113</v>
      </c>
      <c r="B327" t="s">
        <v>1114</v>
      </c>
      <c r="C327" t="s">
        <v>145</v>
      </c>
      <c r="D327" s="207">
        <f t="shared" si="20"/>
        <v>2</v>
      </c>
      <c r="E327" t="str">
        <f t="shared" si="21"/>
        <v/>
      </c>
      <c r="I327" t="str">
        <f t="shared" si="22"/>
        <v>25-42191249</v>
      </c>
      <c r="J327" t="str">
        <f t="shared" si="23"/>
        <v/>
      </c>
      <c r="L327" t="s">
        <v>308</v>
      </c>
      <c r="M327" t="s">
        <v>1066</v>
      </c>
    </row>
    <row r="328" spans="1:13">
      <c r="A328" t="s">
        <v>1115</v>
      </c>
      <c r="B328" t="s">
        <v>1116</v>
      </c>
      <c r="C328" t="s">
        <v>146</v>
      </c>
      <c r="D328" s="207">
        <f t="shared" si="20"/>
        <v>0</v>
      </c>
      <c r="E328" t="str">
        <f t="shared" si="21"/>
        <v/>
      </c>
      <c r="I328" t="str">
        <f t="shared" si="22"/>
        <v>25-44221106</v>
      </c>
      <c r="J328" t="str">
        <f t="shared" si="23"/>
        <v/>
      </c>
      <c r="L328" t="s">
        <v>309</v>
      </c>
      <c r="M328" t="s">
        <v>1066</v>
      </c>
    </row>
    <row r="329" spans="1:13">
      <c r="A329" t="s">
        <v>1115</v>
      </c>
      <c r="B329" t="s">
        <v>1116</v>
      </c>
      <c r="C329" t="s">
        <v>145</v>
      </c>
      <c r="D329" s="207">
        <f t="shared" si="20"/>
        <v>2</v>
      </c>
      <c r="E329" t="str">
        <f t="shared" si="21"/>
        <v/>
      </c>
      <c r="I329" t="str">
        <f t="shared" si="22"/>
        <v>25-44221106</v>
      </c>
      <c r="J329" t="str">
        <f t="shared" si="23"/>
        <v/>
      </c>
      <c r="L329" t="s">
        <v>309</v>
      </c>
      <c r="M329" t="s">
        <v>1066</v>
      </c>
    </row>
    <row r="330" spans="1:13">
      <c r="A330" t="s">
        <v>1117</v>
      </c>
      <c r="B330" t="s">
        <v>1118</v>
      </c>
      <c r="C330" t="s">
        <v>146</v>
      </c>
      <c r="D330" s="207">
        <f t="shared" si="20"/>
        <v>0</v>
      </c>
      <c r="E330" t="str">
        <f t="shared" si="21"/>
        <v/>
      </c>
      <c r="I330" t="str">
        <f t="shared" si="22"/>
        <v>25-45260575</v>
      </c>
      <c r="J330" t="str">
        <f t="shared" si="23"/>
        <v/>
      </c>
      <c r="L330" t="s">
        <v>310</v>
      </c>
      <c r="M330" t="s">
        <v>1066</v>
      </c>
    </row>
    <row r="331" spans="1:13">
      <c r="A331" t="s">
        <v>1117</v>
      </c>
      <c r="B331" t="s">
        <v>1118</v>
      </c>
      <c r="C331" t="s">
        <v>145</v>
      </c>
      <c r="D331" s="207">
        <f t="shared" si="20"/>
        <v>2</v>
      </c>
      <c r="E331" t="str">
        <f t="shared" si="21"/>
        <v/>
      </c>
      <c r="I331" t="str">
        <f t="shared" si="22"/>
        <v>25-45260575</v>
      </c>
      <c r="J331" t="str">
        <f t="shared" si="23"/>
        <v/>
      </c>
      <c r="L331" t="s">
        <v>310</v>
      </c>
      <c r="M331" t="s">
        <v>1066</v>
      </c>
    </row>
    <row r="332" spans="1:13">
      <c r="A332" t="s">
        <v>1119</v>
      </c>
      <c r="B332" t="s">
        <v>1120</v>
      </c>
      <c r="C332" t="s">
        <v>146</v>
      </c>
      <c r="D332" s="207">
        <f t="shared" si="20"/>
        <v>0</v>
      </c>
      <c r="E332" t="str">
        <f t="shared" si="21"/>
        <v/>
      </c>
      <c r="I332" t="str">
        <f t="shared" si="22"/>
        <v>25-45283972</v>
      </c>
      <c r="J332" t="str">
        <f t="shared" si="23"/>
        <v/>
      </c>
      <c r="L332" t="s">
        <v>311</v>
      </c>
      <c r="M332" t="s">
        <v>1066</v>
      </c>
    </row>
    <row r="333" spans="1:13">
      <c r="A333" t="s">
        <v>1119</v>
      </c>
      <c r="B333" t="s">
        <v>1120</v>
      </c>
      <c r="C333" t="s">
        <v>145</v>
      </c>
      <c r="D333" s="207">
        <f t="shared" si="20"/>
        <v>2</v>
      </c>
      <c r="E333" t="str">
        <f t="shared" si="21"/>
        <v/>
      </c>
      <c r="I333" t="str">
        <f t="shared" si="22"/>
        <v>25-45283972</v>
      </c>
      <c r="J333" t="str">
        <f t="shared" si="23"/>
        <v/>
      </c>
      <c r="L333" t="s">
        <v>311</v>
      </c>
      <c r="M333" t="s">
        <v>1066</v>
      </c>
    </row>
    <row r="334" spans="1:13">
      <c r="A334" t="s">
        <v>1121</v>
      </c>
      <c r="B334" t="s">
        <v>1122</v>
      </c>
      <c r="C334" t="s">
        <v>146</v>
      </c>
      <c r="D334" s="207">
        <f t="shared" si="20"/>
        <v>0</v>
      </c>
      <c r="E334" t="str">
        <f t="shared" si="21"/>
        <v/>
      </c>
      <c r="I334" t="str">
        <f t="shared" si="22"/>
        <v>25-66628293</v>
      </c>
      <c r="J334" t="str">
        <f t="shared" si="23"/>
        <v/>
      </c>
      <c r="L334" t="s">
        <v>312</v>
      </c>
      <c r="M334" t="s">
        <v>1067</v>
      </c>
    </row>
    <row r="335" spans="1:13">
      <c r="A335" t="s">
        <v>1121</v>
      </c>
      <c r="B335" t="s">
        <v>1122</v>
      </c>
      <c r="C335" t="s">
        <v>145</v>
      </c>
      <c r="D335" s="207">
        <f t="shared" si="20"/>
        <v>2</v>
      </c>
      <c r="E335" t="str">
        <f t="shared" si="21"/>
        <v/>
      </c>
      <c r="I335" t="str">
        <f t="shared" si="22"/>
        <v>25-66628293</v>
      </c>
      <c r="J335" t="str">
        <f t="shared" si="23"/>
        <v/>
      </c>
      <c r="L335" t="s">
        <v>313</v>
      </c>
      <c r="M335" t="s">
        <v>1066</v>
      </c>
    </row>
    <row r="336" spans="1:13">
      <c r="A336" t="s">
        <v>1123</v>
      </c>
      <c r="B336" t="s">
        <v>1124</v>
      </c>
      <c r="C336" t="s">
        <v>146</v>
      </c>
      <c r="D336" s="207">
        <f t="shared" si="20"/>
        <v>0</v>
      </c>
      <c r="E336" t="str">
        <f t="shared" si="21"/>
        <v/>
      </c>
      <c r="I336" t="str">
        <f t="shared" si="22"/>
        <v>25-66933353</v>
      </c>
      <c r="J336" t="str">
        <f t="shared" si="23"/>
        <v/>
      </c>
      <c r="L336" t="s">
        <v>313</v>
      </c>
      <c r="M336" t="s">
        <v>1066</v>
      </c>
    </row>
    <row r="337" spans="1:13">
      <c r="A337" t="s">
        <v>1123</v>
      </c>
      <c r="B337" t="s">
        <v>1124</v>
      </c>
      <c r="C337" t="s">
        <v>145</v>
      </c>
      <c r="D337" s="207">
        <f t="shared" si="20"/>
        <v>2</v>
      </c>
      <c r="E337" t="str">
        <f t="shared" si="21"/>
        <v/>
      </c>
      <c r="I337" t="str">
        <f t="shared" si="22"/>
        <v>25-66933353</v>
      </c>
      <c r="J337" t="str">
        <f t="shared" si="23"/>
        <v/>
      </c>
      <c r="L337" t="s">
        <v>314</v>
      </c>
      <c r="M337" t="s">
        <v>1066</v>
      </c>
    </row>
    <row r="338" spans="1:13">
      <c r="A338" t="s">
        <v>1125</v>
      </c>
      <c r="B338" t="s">
        <v>1126</v>
      </c>
      <c r="C338" t="s">
        <v>146</v>
      </c>
      <c r="D338" s="207">
        <f t="shared" si="20"/>
        <v>0</v>
      </c>
      <c r="E338" t="str">
        <f t="shared" si="21"/>
        <v/>
      </c>
      <c r="I338" t="str">
        <f t="shared" si="22"/>
        <v>25-72507405</v>
      </c>
      <c r="J338" t="str">
        <f t="shared" si="23"/>
        <v/>
      </c>
      <c r="L338" t="s">
        <v>314</v>
      </c>
      <c r="M338" t="s">
        <v>1066</v>
      </c>
    </row>
    <row r="339" spans="1:13">
      <c r="A339" t="s">
        <v>1125</v>
      </c>
      <c r="B339" t="s">
        <v>1126</v>
      </c>
      <c r="C339" t="s">
        <v>145</v>
      </c>
      <c r="D339" s="207">
        <f t="shared" si="20"/>
        <v>2</v>
      </c>
      <c r="E339" t="str">
        <f t="shared" si="21"/>
        <v/>
      </c>
      <c r="I339" t="str">
        <f t="shared" si="22"/>
        <v>25-72507405</v>
      </c>
      <c r="J339" t="str">
        <f t="shared" si="23"/>
        <v/>
      </c>
      <c r="L339" t="s">
        <v>316</v>
      </c>
      <c r="M339" t="s">
        <v>1066</v>
      </c>
    </row>
    <row r="340" spans="1:13">
      <c r="A340" t="s">
        <v>1127</v>
      </c>
      <c r="B340" t="s">
        <v>1128</v>
      </c>
      <c r="C340" t="s">
        <v>146</v>
      </c>
      <c r="D340" s="207">
        <f t="shared" si="20"/>
        <v>0</v>
      </c>
      <c r="E340" t="str">
        <f t="shared" si="21"/>
        <v/>
      </c>
      <c r="I340" t="str">
        <f t="shared" si="22"/>
        <v>25-73620648</v>
      </c>
      <c r="J340" t="str">
        <f t="shared" si="23"/>
        <v/>
      </c>
      <c r="L340" t="s">
        <v>316</v>
      </c>
      <c r="M340" t="s">
        <v>1066</v>
      </c>
    </row>
    <row r="341" spans="1:13">
      <c r="A341" t="s">
        <v>1127</v>
      </c>
      <c r="B341" t="s">
        <v>1128</v>
      </c>
      <c r="C341" t="s">
        <v>145</v>
      </c>
      <c r="D341" s="207">
        <f t="shared" si="20"/>
        <v>2</v>
      </c>
      <c r="E341" t="str">
        <f t="shared" si="21"/>
        <v/>
      </c>
      <c r="I341" t="str">
        <f t="shared" si="22"/>
        <v>25-73620648</v>
      </c>
      <c r="J341" t="str">
        <f t="shared" si="23"/>
        <v/>
      </c>
      <c r="L341" t="s">
        <v>318</v>
      </c>
      <c r="M341" t="s">
        <v>1066</v>
      </c>
    </row>
    <row r="342" spans="1:13">
      <c r="A342" t="s">
        <v>1129</v>
      </c>
      <c r="B342" t="s">
        <v>1130</v>
      </c>
      <c r="C342" t="s">
        <v>146</v>
      </c>
      <c r="D342" s="207">
        <f t="shared" si="20"/>
        <v>0</v>
      </c>
      <c r="E342" t="str">
        <f t="shared" si="21"/>
        <v/>
      </c>
      <c r="I342" t="str">
        <f t="shared" si="22"/>
        <v>25-75007281</v>
      </c>
      <c r="J342" t="str">
        <f t="shared" si="23"/>
        <v/>
      </c>
      <c r="L342" t="s">
        <v>318</v>
      </c>
      <c r="M342" t="s">
        <v>1066</v>
      </c>
    </row>
    <row r="343" spans="1:13">
      <c r="A343" t="s">
        <v>1129</v>
      </c>
      <c r="B343" t="s">
        <v>1130</v>
      </c>
      <c r="C343" t="s">
        <v>145</v>
      </c>
      <c r="D343" s="207">
        <f t="shared" si="20"/>
        <v>2</v>
      </c>
      <c r="E343" t="str">
        <f t="shared" si="21"/>
        <v/>
      </c>
      <c r="I343" t="str">
        <f t="shared" si="22"/>
        <v>25-75007281</v>
      </c>
      <c r="J343" t="str">
        <f t="shared" si="23"/>
        <v/>
      </c>
      <c r="L343" t="s">
        <v>319</v>
      </c>
      <c r="M343" t="s">
        <v>1066</v>
      </c>
    </row>
    <row r="344" spans="1:13">
      <c r="A344" t="s">
        <v>1131</v>
      </c>
      <c r="B344" t="s">
        <v>1132</v>
      </c>
      <c r="C344" t="s">
        <v>146</v>
      </c>
      <c r="D344" s="207">
        <f t="shared" si="20"/>
        <v>0</v>
      </c>
      <c r="E344" t="str">
        <f t="shared" si="21"/>
        <v/>
      </c>
      <c r="I344" t="str">
        <f t="shared" si="22"/>
        <v>25-75658328</v>
      </c>
      <c r="J344" t="str">
        <f t="shared" si="23"/>
        <v/>
      </c>
      <c r="L344" t="s">
        <v>319</v>
      </c>
      <c r="M344" t="s">
        <v>1066</v>
      </c>
    </row>
    <row r="345" spans="1:13">
      <c r="A345" t="s">
        <v>1131</v>
      </c>
      <c r="B345" t="s">
        <v>1132</v>
      </c>
      <c r="C345" t="s">
        <v>145</v>
      </c>
      <c r="D345" s="207">
        <f t="shared" si="20"/>
        <v>2</v>
      </c>
      <c r="E345" t="str">
        <f t="shared" si="21"/>
        <v/>
      </c>
      <c r="I345" t="str">
        <f t="shared" si="22"/>
        <v>25-75658328</v>
      </c>
      <c r="J345" t="str">
        <f t="shared" si="23"/>
        <v/>
      </c>
      <c r="L345" t="s">
        <v>321</v>
      </c>
      <c r="M345" t="s">
        <v>1066</v>
      </c>
    </row>
    <row r="346" spans="1:13">
      <c r="A346" t="s">
        <v>1133</v>
      </c>
      <c r="B346" t="s">
        <v>1134</v>
      </c>
      <c r="C346" t="s">
        <v>146</v>
      </c>
      <c r="D346" s="207">
        <f t="shared" si="20"/>
        <v>0</v>
      </c>
      <c r="E346" t="str">
        <f t="shared" si="21"/>
        <v/>
      </c>
      <c r="I346" t="str">
        <f t="shared" si="22"/>
        <v>25-77459677</v>
      </c>
      <c r="J346" t="str">
        <f t="shared" si="23"/>
        <v/>
      </c>
      <c r="L346" t="s">
        <v>321</v>
      </c>
      <c r="M346" t="s">
        <v>1066</v>
      </c>
    </row>
    <row r="347" spans="1:13">
      <c r="A347" t="s">
        <v>1133</v>
      </c>
      <c r="B347" t="s">
        <v>1134</v>
      </c>
      <c r="C347" t="s">
        <v>145</v>
      </c>
      <c r="D347" s="207">
        <f t="shared" si="20"/>
        <v>2</v>
      </c>
      <c r="E347" t="str">
        <f t="shared" si="21"/>
        <v/>
      </c>
      <c r="I347" t="str">
        <f t="shared" si="22"/>
        <v>25-77459677</v>
      </c>
      <c r="J347" t="str">
        <f t="shared" si="23"/>
        <v/>
      </c>
      <c r="L347" t="s">
        <v>322</v>
      </c>
      <c r="M347" t="s">
        <v>1066</v>
      </c>
    </row>
    <row r="348" spans="1:13">
      <c r="A348" t="s">
        <v>1135</v>
      </c>
      <c r="B348" t="s">
        <v>1136</v>
      </c>
      <c r="C348" t="s">
        <v>146</v>
      </c>
      <c r="D348" s="207">
        <f t="shared" si="20"/>
        <v>0</v>
      </c>
      <c r="E348" t="str">
        <f t="shared" si="21"/>
        <v/>
      </c>
      <c r="I348" t="str">
        <f t="shared" si="22"/>
        <v>25-79426727</v>
      </c>
      <c r="J348" t="str">
        <f t="shared" si="23"/>
        <v/>
      </c>
      <c r="L348" t="s">
        <v>322</v>
      </c>
      <c r="M348" t="s">
        <v>1066</v>
      </c>
    </row>
    <row r="349" spans="1:13">
      <c r="A349" t="s">
        <v>1135</v>
      </c>
      <c r="B349" t="s">
        <v>1136</v>
      </c>
      <c r="C349" t="s">
        <v>145</v>
      </c>
      <c r="D349" s="207">
        <f t="shared" si="20"/>
        <v>2</v>
      </c>
      <c r="E349" t="str">
        <f t="shared" si="21"/>
        <v/>
      </c>
      <c r="I349" t="str">
        <f t="shared" si="22"/>
        <v>25-79426727</v>
      </c>
      <c r="J349" t="str">
        <f t="shared" si="23"/>
        <v/>
      </c>
      <c r="L349" t="s">
        <v>323</v>
      </c>
      <c r="M349" t="s">
        <v>1066</v>
      </c>
    </row>
    <row r="350" spans="1:13">
      <c r="A350" t="s">
        <v>1137</v>
      </c>
      <c r="B350" t="s">
        <v>1138</v>
      </c>
      <c r="C350" t="s">
        <v>146</v>
      </c>
      <c r="D350" s="207">
        <f t="shared" si="20"/>
        <v>0</v>
      </c>
      <c r="E350" t="str">
        <f t="shared" si="21"/>
        <v/>
      </c>
      <c r="I350" t="str">
        <f t="shared" si="22"/>
        <v>25-79501954</v>
      </c>
      <c r="J350" t="str">
        <f t="shared" si="23"/>
        <v/>
      </c>
      <c r="L350" t="s">
        <v>323</v>
      </c>
      <c r="M350" t="s">
        <v>1066</v>
      </c>
    </row>
    <row r="351" spans="1:13">
      <c r="A351" t="s">
        <v>1137</v>
      </c>
      <c r="B351" t="s">
        <v>1138</v>
      </c>
      <c r="C351" t="s">
        <v>145</v>
      </c>
      <c r="D351" s="207">
        <f t="shared" si="20"/>
        <v>2</v>
      </c>
      <c r="E351" t="str">
        <f t="shared" si="21"/>
        <v/>
      </c>
      <c r="I351" t="str">
        <f t="shared" si="22"/>
        <v>25-79501954</v>
      </c>
      <c r="J351" t="str">
        <f t="shared" si="23"/>
        <v/>
      </c>
      <c r="L351" t="s">
        <v>325</v>
      </c>
      <c r="M351" t="s">
        <v>1066</v>
      </c>
    </row>
    <row r="352" spans="1:13">
      <c r="A352" t="s">
        <v>1139</v>
      </c>
      <c r="B352" t="s">
        <v>1140</v>
      </c>
      <c r="C352" t="s">
        <v>146</v>
      </c>
      <c r="D352" s="207">
        <f t="shared" si="20"/>
        <v>0</v>
      </c>
      <c r="E352" t="str">
        <f t="shared" si="21"/>
        <v/>
      </c>
      <c r="I352" t="str">
        <f t="shared" si="22"/>
        <v>25-79547792</v>
      </c>
      <c r="J352" t="str">
        <f t="shared" si="23"/>
        <v/>
      </c>
      <c r="L352" t="s">
        <v>325</v>
      </c>
      <c r="M352" t="s">
        <v>1066</v>
      </c>
    </row>
    <row r="353" spans="1:13">
      <c r="A353" t="s">
        <v>1139</v>
      </c>
      <c r="B353" t="s">
        <v>1140</v>
      </c>
      <c r="C353" t="s">
        <v>145</v>
      </c>
      <c r="D353" s="207">
        <f t="shared" si="20"/>
        <v>2</v>
      </c>
      <c r="E353" t="str">
        <f t="shared" si="21"/>
        <v/>
      </c>
      <c r="I353" t="str">
        <f t="shared" si="22"/>
        <v>25-79547792</v>
      </c>
      <c r="J353" t="str">
        <f t="shared" si="23"/>
        <v/>
      </c>
      <c r="L353" t="s">
        <v>13</v>
      </c>
      <c r="M353" t="s">
        <v>1066</v>
      </c>
    </row>
    <row r="354" spans="1:13">
      <c r="A354" t="s">
        <v>1141</v>
      </c>
      <c r="B354" t="s">
        <v>1142</v>
      </c>
      <c r="C354" t="s">
        <v>146</v>
      </c>
      <c r="D354" s="207">
        <f t="shared" si="20"/>
        <v>0</v>
      </c>
      <c r="E354" t="str">
        <f t="shared" si="21"/>
        <v/>
      </c>
      <c r="I354" t="str">
        <f t="shared" si="22"/>
        <v>25-79830573</v>
      </c>
      <c r="J354" t="str">
        <f t="shared" si="23"/>
        <v/>
      </c>
      <c r="L354" t="s">
        <v>13</v>
      </c>
      <c r="M354" t="s">
        <v>1066</v>
      </c>
    </row>
    <row r="355" spans="1:13">
      <c r="A355" t="s">
        <v>1141</v>
      </c>
      <c r="B355" t="s">
        <v>1142</v>
      </c>
      <c r="C355" t="s">
        <v>145</v>
      </c>
      <c r="D355" s="207">
        <f t="shared" si="20"/>
        <v>2</v>
      </c>
      <c r="E355" t="str">
        <f t="shared" si="21"/>
        <v/>
      </c>
      <c r="I355" t="str">
        <f t="shared" si="22"/>
        <v>25-79830573</v>
      </c>
      <c r="J355" t="str">
        <f t="shared" si="23"/>
        <v/>
      </c>
      <c r="L355" t="s">
        <v>327</v>
      </c>
      <c r="M355" t="s">
        <v>1066</v>
      </c>
    </row>
    <row r="356" spans="1:13">
      <c r="A356" t="s">
        <v>1143</v>
      </c>
      <c r="B356" t="s">
        <v>1144</v>
      </c>
      <c r="C356" t="s">
        <v>146</v>
      </c>
      <c r="D356" s="207">
        <f t="shared" si="20"/>
        <v>0</v>
      </c>
      <c r="E356" t="str">
        <f t="shared" si="21"/>
        <v/>
      </c>
      <c r="I356" t="str">
        <f t="shared" si="22"/>
        <v>25-79907428</v>
      </c>
      <c r="J356" t="str">
        <f t="shared" si="23"/>
        <v/>
      </c>
      <c r="L356" t="s">
        <v>327</v>
      </c>
      <c r="M356" t="s">
        <v>1066</v>
      </c>
    </row>
    <row r="357" spans="1:13">
      <c r="A357" t="s">
        <v>1143</v>
      </c>
      <c r="B357" t="s">
        <v>1144</v>
      </c>
      <c r="C357" t="s">
        <v>145</v>
      </c>
      <c r="D357" s="207">
        <f t="shared" si="20"/>
        <v>2</v>
      </c>
      <c r="E357" t="str">
        <f t="shared" si="21"/>
        <v/>
      </c>
      <c r="I357" t="str">
        <f t="shared" si="22"/>
        <v>25-79907428</v>
      </c>
      <c r="J357" t="str">
        <f t="shared" si="23"/>
        <v/>
      </c>
      <c r="L357" t="s">
        <v>329</v>
      </c>
      <c r="M357" t="s">
        <v>1066</v>
      </c>
    </row>
    <row r="358" spans="1:13">
      <c r="A358" t="s">
        <v>144</v>
      </c>
      <c r="I358" t="str">
        <f t="shared" si="22"/>
        <v>Grand Total</v>
      </c>
      <c r="J358">
        <f t="shared" si="23"/>
        <v>0</v>
      </c>
      <c r="L358" t="s">
        <v>329</v>
      </c>
      <c r="M358" t="s">
        <v>1066</v>
      </c>
    </row>
    <row r="359" spans="1:13">
      <c r="I359">
        <f t="shared" si="22"/>
        <v>0</v>
      </c>
      <c r="J359">
        <f t="shared" si="23"/>
        <v>0</v>
      </c>
      <c r="L359" t="s">
        <v>330</v>
      </c>
      <c r="M359" t="s">
        <v>1067</v>
      </c>
    </row>
    <row r="360" spans="1:13">
      <c r="I360">
        <f t="shared" si="22"/>
        <v>0</v>
      </c>
      <c r="J360">
        <f t="shared" si="23"/>
        <v>0</v>
      </c>
      <c r="L360" t="s">
        <v>331</v>
      </c>
      <c r="M360" t="s">
        <v>1067</v>
      </c>
    </row>
    <row r="361" spans="1:13">
      <c r="I361">
        <f t="shared" si="22"/>
        <v>0</v>
      </c>
      <c r="J361">
        <f t="shared" si="23"/>
        <v>0</v>
      </c>
      <c r="L361" t="s">
        <v>332</v>
      </c>
      <c r="M361" t="s">
        <v>1066</v>
      </c>
    </row>
    <row r="362" spans="1:13">
      <c r="I362">
        <f t="shared" si="22"/>
        <v>0</v>
      </c>
      <c r="J362">
        <f t="shared" si="23"/>
        <v>0</v>
      </c>
      <c r="L362" t="s">
        <v>332</v>
      </c>
      <c r="M362" t="s">
        <v>1066</v>
      </c>
    </row>
    <row r="363" spans="1:13">
      <c r="I363">
        <f t="shared" si="22"/>
        <v>0</v>
      </c>
      <c r="J363">
        <f t="shared" si="23"/>
        <v>0</v>
      </c>
      <c r="L363" t="s">
        <v>333</v>
      </c>
      <c r="M363" t="s">
        <v>1066</v>
      </c>
    </row>
    <row r="364" spans="1:13">
      <c r="I364">
        <f t="shared" si="22"/>
        <v>0</v>
      </c>
      <c r="J364">
        <f t="shared" si="23"/>
        <v>0</v>
      </c>
      <c r="L364" t="s">
        <v>333</v>
      </c>
      <c r="M364" t="s">
        <v>1066</v>
      </c>
    </row>
    <row r="365" spans="1:13">
      <c r="I365">
        <f t="shared" si="22"/>
        <v>0</v>
      </c>
      <c r="J365">
        <f t="shared" si="23"/>
        <v>0</v>
      </c>
      <c r="L365" t="s">
        <v>335</v>
      </c>
      <c r="M365" t="s">
        <v>1066</v>
      </c>
    </row>
    <row r="366" spans="1:13">
      <c r="I366">
        <f t="shared" si="22"/>
        <v>0</v>
      </c>
      <c r="J366">
        <f t="shared" si="23"/>
        <v>0</v>
      </c>
      <c r="L366" t="s">
        <v>335</v>
      </c>
      <c r="M366" t="s">
        <v>1066</v>
      </c>
    </row>
    <row r="367" spans="1:13">
      <c r="I367">
        <f t="shared" si="22"/>
        <v>0</v>
      </c>
      <c r="J367">
        <f t="shared" si="23"/>
        <v>0</v>
      </c>
      <c r="L367" t="s">
        <v>337</v>
      </c>
      <c r="M367" t="s">
        <v>1066</v>
      </c>
    </row>
    <row r="368" spans="1:13">
      <c r="I368">
        <f t="shared" si="22"/>
        <v>0</v>
      </c>
      <c r="J368">
        <f t="shared" si="23"/>
        <v>0</v>
      </c>
      <c r="L368" t="s">
        <v>337</v>
      </c>
      <c r="M368" t="s">
        <v>1066</v>
      </c>
    </row>
    <row r="369" spans="9:13">
      <c r="I369">
        <f t="shared" si="22"/>
        <v>0</v>
      </c>
      <c r="J369">
        <f t="shared" si="23"/>
        <v>0</v>
      </c>
      <c r="L369" t="s">
        <v>338</v>
      </c>
      <c r="M369" t="s">
        <v>1066</v>
      </c>
    </row>
    <row r="370" spans="9:13">
      <c r="I370">
        <f t="shared" si="22"/>
        <v>0</v>
      </c>
      <c r="J370">
        <f t="shared" si="23"/>
        <v>0</v>
      </c>
      <c r="L370" t="s">
        <v>338</v>
      </c>
      <c r="M370" t="s">
        <v>1066</v>
      </c>
    </row>
    <row r="371" spans="9:13">
      <c r="I371">
        <f t="shared" si="22"/>
        <v>0</v>
      </c>
      <c r="J371">
        <f t="shared" si="23"/>
        <v>0</v>
      </c>
      <c r="L371" t="s">
        <v>339</v>
      </c>
      <c r="M371" t="s">
        <v>1066</v>
      </c>
    </row>
    <row r="372" spans="9:13">
      <c r="I372">
        <f t="shared" si="22"/>
        <v>0</v>
      </c>
      <c r="J372">
        <f t="shared" si="23"/>
        <v>0</v>
      </c>
      <c r="L372" t="s">
        <v>339</v>
      </c>
      <c r="M372" t="s">
        <v>1066</v>
      </c>
    </row>
    <row r="373" spans="9:13">
      <c r="I373">
        <f t="shared" si="22"/>
        <v>0</v>
      </c>
      <c r="J373">
        <f t="shared" si="23"/>
        <v>0</v>
      </c>
      <c r="L373" t="s">
        <v>340</v>
      </c>
      <c r="M373" t="s">
        <v>1066</v>
      </c>
    </row>
    <row r="374" spans="9:13">
      <c r="I374">
        <f t="shared" si="22"/>
        <v>0</v>
      </c>
      <c r="J374">
        <f t="shared" si="23"/>
        <v>0</v>
      </c>
      <c r="L374" t="s">
        <v>340</v>
      </c>
      <c r="M374" t="s">
        <v>1066</v>
      </c>
    </row>
    <row r="375" spans="9:13">
      <c r="I375">
        <f t="shared" si="22"/>
        <v>0</v>
      </c>
      <c r="J375">
        <f t="shared" si="23"/>
        <v>0</v>
      </c>
      <c r="L375" t="s">
        <v>341</v>
      </c>
      <c r="M375" t="s">
        <v>1066</v>
      </c>
    </row>
    <row r="376" spans="9:13">
      <c r="I376">
        <f t="shared" si="22"/>
        <v>0</v>
      </c>
      <c r="J376">
        <f t="shared" si="23"/>
        <v>0</v>
      </c>
      <c r="L376" t="s">
        <v>341</v>
      </c>
      <c r="M376" t="s">
        <v>1066</v>
      </c>
    </row>
    <row r="377" spans="9:13">
      <c r="I377">
        <f t="shared" si="22"/>
        <v>0</v>
      </c>
      <c r="J377">
        <f t="shared" si="23"/>
        <v>0</v>
      </c>
      <c r="L377" t="s">
        <v>342</v>
      </c>
      <c r="M377" t="s">
        <v>1066</v>
      </c>
    </row>
    <row r="378" spans="9:13">
      <c r="I378">
        <f t="shared" si="22"/>
        <v>0</v>
      </c>
      <c r="J378">
        <f t="shared" si="23"/>
        <v>0</v>
      </c>
      <c r="L378" t="s">
        <v>342</v>
      </c>
      <c r="M378" t="s">
        <v>1066</v>
      </c>
    </row>
    <row r="379" spans="9:13">
      <c r="I379">
        <f t="shared" si="22"/>
        <v>0</v>
      </c>
      <c r="J379">
        <f t="shared" si="23"/>
        <v>0</v>
      </c>
      <c r="L379" t="s">
        <v>344</v>
      </c>
      <c r="M379" t="s">
        <v>1066</v>
      </c>
    </row>
    <row r="380" spans="9:13">
      <c r="I380">
        <f t="shared" si="22"/>
        <v>0</v>
      </c>
      <c r="J380">
        <f t="shared" si="23"/>
        <v>0</v>
      </c>
      <c r="L380" t="s">
        <v>344</v>
      </c>
      <c r="M380" t="s">
        <v>1066</v>
      </c>
    </row>
    <row r="381" spans="9:13">
      <c r="I381">
        <f t="shared" si="22"/>
        <v>0</v>
      </c>
      <c r="J381">
        <f t="shared" si="23"/>
        <v>0</v>
      </c>
      <c r="L381" t="s">
        <v>346</v>
      </c>
      <c r="M381" t="s">
        <v>1066</v>
      </c>
    </row>
    <row r="382" spans="9:13">
      <c r="I382">
        <f t="shared" si="22"/>
        <v>0</v>
      </c>
      <c r="J382">
        <f t="shared" si="23"/>
        <v>0</v>
      </c>
      <c r="L382" t="s">
        <v>346</v>
      </c>
      <c r="M382" t="s">
        <v>1066</v>
      </c>
    </row>
    <row r="383" spans="9:13">
      <c r="I383">
        <f t="shared" si="22"/>
        <v>0</v>
      </c>
      <c r="J383">
        <f t="shared" si="23"/>
        <v>0</v>
      </c>
      <c r="L383" t="s">
        <v>347</v>
      </c>
      <c r="M383" t="s">
        <v>1066</v>
      </c>
    </row>
    <row r="384" spans="9:13">
      <c r="I384">
        <f t="shared" si="22"/>
        <v>0</v>
      </c>
      <c r="J384">
        <f t="shared" si="23"/>
        <v>0</v>
      </c>
      <c r="L384" t="s">
        <v>347</v>
      </c>
      <c r="M384" t="s">
        <v>1066</v>
      </c>
    </row>
    <row r="385" spans="9:13">
      <c r="I385">
        <f t="shared" si="22"/>
        <v>0</v>
      </c>
      <c r="J385">
        <f t="shared" si="23"/>
        <v>0</v>
      </c>
      <c r="L385" t="s">
        <v>348</v>
      </c>
      <c r="M385" t="s">
        <v>1066</v>
      </c>
    </row>
    <row r="386" spans="9:13">
      <c r="I386">
        <f t="shared" si="22"/>
        <v>0</v>
      </c>
      <c r="J386">
        <f t="shared" si="23"/>
        <v>0</v>
      </c>
      <c r="L386" t="s">
        <v>348</v>
      </c>
      <c r="M386" t="s">
        <v>1066</v>
      </c>
    </row>
    <row r="387" spans="9:13">
      <c r="I387">
        <f t="shared" si="22"/>
        <v>0</v>
      </c>
      <c r="J387">
        <f t="shared" si="23"/>
        <v>0</v>
      </c>
      <c r="L387" t="s">
        <v>349</v>
      </c>
      <c r="M387" t="s">
        <v>1066</v>
      </c>
    </row>
    <row r="388" spans="9:13">
      <c r="I388">
        <f t="shared" si="22"/>
        <v>0</v>
      </c>
      <c r="J388">
        <f t="shared" si="23"/>
        <v>0</v>
      </c>
      <c r="L388" t="s">
        <v>349</v>
      </c>
      <c r="M388" t="s">
        <v>1066</v>
      </c>
    </row>
    <row r="389" spans="9:13">
      <c r="I389">
        <f t="shared" ref="I389:I452" si="24">+A389</f>
        <v>0</v>
      </c>
      <c r="J389">
        <f t="shared" ref="J389:J452" si="25">+E389</f>
        <v>0</v>
      </c>
      <c r="L389" t="s">
        <v>350</v>
      </c>
      <c r="M389" t="s">
        <v>1066</v>
      </c>
    </row>
    <row r="390" spans="9:13">
      <c r="I390">
        <f t="shared" si="24"/>
        <v>0</v>
      </c>
      <c r="J390">
        <f t="shared" si="25"/>
        <v>0</v>
      </c>
      <c r="L390" t="s">
        <v>350</v>
      </c>
      <c r="M390" t="s">
        <v>1066</v>
      </c>
    </row>
    <row r="391" spans="9:13">
      <c r="I391">
        <f t="shared" si="24"/>
        <v>0</v>
      </c>
      <c r="J391">
        <f t="shared" si="25"/>
        <v>0</v>
      </c>
      <c r="L391" t="s">
        <v>351</v>
      </c>
      <c r="M391" t="s">
        <v>1066</v>
      </c>
    </row>
    <row r="392" spans="9:13">
      <c r="I392">
        <f t="shared" si="24"/>
        <v>0</v>
      </c>
      <c r="J392">
        <f t="shared" si="25"/>
        <v>0</v>
      </c>
      <c r="L392" t="s">
        <v>351</v>
      </c>
      <c r="M392" t="s">
        <v>1066</v>
      </c>
    </row>
    <row r="393" spans="9:13">
      <c r="I393">
        <f t="shared" si="24"/>
        <v>0</v>
      </c>
      <c r="J393">
        <f t="shared" si="25"/>
        <v>0</v>
      </c>
      <c r="L393" t="s">
        <v>352</v>
      </c>
      <c r="M393" t="s">
        <v>1066</v>
      </c>
    </row>
    <row r="394" spans="9:13">
      <c r="I394">
        <f t="shared" si="24"/>
        <v>0</v>
      </c>
      <c r="J394">
        <f t="shared" si="25"/>
        <v>0</v>
      </c>
      <c r="L394" t="s">
        <v>352</v>
      </c>
      <c r="M394" t="s">
        <v>1066</v>
      </c>
    </row>
    <row r="395" spans="9:13">
      <c r="I395">
        <f t="shared" si="24"/>
        <v>0</v>
      </c>
      <c r="J395">
        <f t="shared" si="25"/>
        <v>0</v>
      </c>
      <c r="L395" t="s">
        <v>353</v>
      </c>
      <c r="M395" t="s">
        <v>1066</v>
      </c>
    </row>
    <row r="396" spans="9:13">
      <c r="I396">
        <f t="shared" si="24"/>
        <v>0</v>
      </c>
      <c r="J396">
        <f t="shared" si="25"/>
        <v>0</v>
      </c>
      <c r="L396" t="s">
        <v>353</v>
      </c>
      <c r="M396" t="s">
        <v>1066</v>
      </c>
    </row>
    <row r="397" spans="9:13">
      <c r="I397">
        <f t="shared" si="24"/>
        <v>0</v>
      </c>
      <c r="J397">
        <f t="shared" si="25"/>
        <v>0</v>
      </c>
      <c r="L397" t="s">
        <v>355</v>
      </c>
      <c r="M397" t="s">
        <v>1066</v>
      </c>
    </row>
    <row r="398" spans="9:13">
      <c r="I398">
        <f t="shared" si="24"/>
        <v>0</v>
      </c>
      <c r="J398">
        <f t="shared" si="25"/>
        <v>0</v>
      </c>
      <c r="L398" t="s">
        <v>355</v>
      </c>
      <c r="M398" t="s">
        <v>1066</v>
      </c>
    </row>
    <row r="399" spans="9:13">
      <c r="I399">
        <f t="shared" si="24"/>
        <v>0</v>
      </c>
      <c r="J399">
        <f t="shared" si="25"/>
        <v>0</v>
      </c>
      <c r="L399" t="s">
        <v>357</v>
      </c>
      <c r="M399" t="s">
        <v>1066</v>
      </c>
    </row>
    <row r="400" spans="9:13">
      <c r="I400">
        <f t="shared" si="24"/>
        <v>0</v>
      </c>
      <c r="J400">
        <f t="shared" si="25"/>
        <v>0</v>
      </c>
      <c r="L400" t="s">
        <v>357</v>
      </c>
      <c r="M400" t="s">
        <v>1066</v>
      </c>
    </row>
    <row r="401" spans="9:13">
      <c r="I401">
        <f t="shared" si="24"/>
        <v>0</v>
      </c>
      <c r="J401">
        <f t="shared" si="25"/>
        <v>0</v>
      </c>
      <c r="L401" t="s">
        <v>359</v>
      </c>
      <c r="M401" t="s">
        <v>1066</v>
      </c>
    </row>
    <row r="402" spans="9:13">
      <c r="I402">
        <f t="shared" si="24"/>
        <v>0</v>
      </c>
      <c r="J402">
        <f t="shared" si="25"/>
        <v>0</v>
      </c>
      <c r="L402" t="s">
        <v>359</v>
      </c>
      <c r="M402" t="s">
        <v>1066</v>
      </c>
    </row>
    <row r="403" spans="9:13">
      <c r="I403">
        <f t="shared" si="24"/>
        <v>0</v>
      </c>
      <c r="J403">
        <f t="shared" si="25"/>
        <v>0</v>
      </c>
      <c r="L403" t="s">
        <v>360</v>
      </c>
      <c r="M403" t="s">
        <v>1066</v>
      </c>
    </row>
    <row r="404" spans="9:13">
      <c r="I404">
        <f t="shared" si="24"/>
        <v>0</v>
      </c>
      <c r="J404">
        <f t="shared" si="25"/>
        <v>0</v>
      </c>
      <c r="L404" t="s">
        <v>360</v>
      </c>
      <c r="M404" t="s">
        <v>1066</v>
      </c>
    </row>
    <row r="405" spans="9:13">
      <c r="I405">
        <f t="shared" si="24"/>
        <v>0</v>
      </c>
      <c r="J405">
        <f t="shared" si="25"/>
        <v>0</v>
      </c>
      <c r="L405" t="s">
        <v>362</v>
      </c>
      <c r="M405" t="s">
        <v>1067</v>
      </c>
    </row>
    <row r="406" spans="9:13">
      <c r="I406">
        <f t="shared" si="24"/>
        <v>0</v>
      </c>
      <c r="J406">
        <f t="shared" si="25"/>
        <v>0</v>
      </c>
      <c r="L406" t="s">
        <v>363</v>
      </c>
      <c r="M406" t="s">
        <v>1066</v>
      </c>
    </row>
    <row r="407" spans="9:13">
      <c r="I407">
        <f t="shared" si="24"/>
        <v>0</v>
      </c>
      <c r="J407">
        <f t="shared" si="25"/>
        <v>0</v>
      </c>
      <c r="L407" t="s">
        <v>363</v>
      </c>
      <c r="M407" t="s">
        <v>1066</v>
      </c>
    </row>
    <row r="408" spans="9:13">
      <c r="I408">
        <f t="shared" si="24"/>
        <v>0</v>
      </c>
      <c r="J408">
        <f t="shared" si="25"/>
        <v>0</v>
      </c>
      <c r="L408" t="s">
        <v>364</v>
      </c>
      <c r="M408" t="s">
        <v>1066</v>
      </c>
    </row>
    <row r="409" spans="9:13">
      <c r="I409">
        <f t="shared" si="24"/>
        <v>0</v>
      </c>
      <c r="J409">
        <f t="shared" si="25"/>
        <v>0</v>
      </c>
      <c r="L409" t="s">
        <v>364</v>
      </c>
      <c r="M409" t="s">
        <v>1066</v>
      </c>
    </row>
    <row r="410" spans="9:13">
      <c r="I410">
        <f t="shared" si="24"/>
        <v>0</v>
      </c>
      <c r="J410">
        <f t="shared" si="25"/>
        <v>0</v>
      </c>
      <c r="L410" t="s">
        <v>365</v>
      </c>
      <c r="M410" t="s">
        <v>1066</v>
      </c>
    </row>
    <row r="411" spans="9:13">
      <c r="I411">
        <f t="shared" si="24"/>
        <v>0</v>
      </c>
      <c r="J411">
        <f t="shared" si="25"/>
        <v>0</v>
      </c>
      <c r="L411" t="s">
        <v>365</v>
      </c>
      <c r="M411" t="s">
        <v>1066</v>
      </c>
    </row>
    <row r="412" spans="9:13">
      <c r="I412">
        <f t="shared" si="24"/>
        <v>0</v>
      </c>
      <c r="J412">
        <f t="shared" si="25"/>
        <v>0</v>
      </c>
      <c r="L412" t="s">
        <v>366</v>
      </c>
      <c r="M412" t="s">
        <v>1066</v>
      </c>
    </row>
    <row r="413" spans="9:13">
      <c r="I413">
        <f t="shared" si="24"/>
        <v>0</v>
      </c>
      <c r="J413">
        <f t="shared" si="25"/>
        <v>0</v>
      </c>
      <c r="L413" t="s">
        <v>366</v>
      </c>
      <c r="M413" t="s">
        <v>1066</v>
      </c>
    </row>
    <row r="414" spans="9:13">
      <c r="I414">
        <f t="shared" si="24"/>
        <v>0</v>
      </c>
      <c r="J414">
        <f t="shared" si="25"/>
        <v>0</v>
      </c>
      <c r="L414" t="s">
        <v>367</v>
      </c>
      <c r="M414" t="s">
        <v>1066</v>
      </c>
    </row>
    <row r="415" spans="9:13">
      <c r="I415">
        <f t="shared" si="24"/>
        <v>0</v>
      </c>
      <c r="J415">
        <f t="shared" si="25"/>
        <v>0</v>
      </c>
      <c r="L415" t="s">
        <v>367</v>
      </c>
      <c r="M415" t="s">
        <v>1066</v>
      </c>
    </row>
    <row r="416" spans="9:13">
      <c r="I416">
        <f t="shared" si="24"/>
        <v>0</v>
      </c>
      <c r="J416">
        <f t="shared" si="25"/>
        <v>0</v>
      </c>
      <c r="L416" t="s">
        <v>368</v>
      </c>
      <c r="M416" t="s">
        <v>1066</v>
      </c>
    </row>
    <row r="417" spans="9:13">
      <c r="I417">
        <f t="shared" si="24"/>
        <v>0</v>
      </c>
      <c r="J417">
        <f t="shared" si="25"/>
        <v>0</v>
      </c>
      <c r="L417" t="s">
        <v>368</v>
      </c>
      <c r="M417" t="s">
        <v>1066</v>
      </c>
    </row>
    <row r="418" spans="9:13">
      <c r="I418">
        <f t="shared" si="24"/>
        <v>0</v>
      </c>
      <c r="J418">
        <f t="shared" si="25"/>
        <v>0</v>
      </c>
      <c r="L418" t="s">
        <v>369</v>
      </c>
      <c r="M418" t="s">
        <v>1066</v>
      </c>
    </row>
    <row r="419" spans="9:13">
      <c r="I419">
        <f t="shared" si="24"/>
        <v>0</v>
      </c>
      <c r="J419">
        <f t="shared" si="25"/>
        <v>0</v>
      </c>
      <c r="L419" t="s">
        <v>369</v>
      </c>
      <c r="M419" t="s">
        <v>1066</v>
      </c>
    </row>
    <row r="420" spans="9:13">
      <c r="I420">
        <f t="shared" si="24"/>
        <v>0</v>
      </c>
      <c r="J420">
        <f t="shared" si="25"/>
        <v>0</v>
      </c>
      <c r="L420" t="s">
        <v>371</v>
      </c>
      <c r="M420" t="s">
        <v>1066</v>
      </c>
    </row>
    <row r="421" spans="9:13">
      <c r="I421">
        <f t="shared" si="24"/>
        <v>0</v>
      </c>
      <c r="J421">
        <f t="shared" si="25"/>
        <v>0</v>
      </c>
      <c r="L421" t="s">
        <v>371</v>
      </c>
      <c r="M421" t="s">
        <v>1066</v>
      </c>
    </row>
    <row r="422" spans="9:13">
      <c r="I422">
        <f t="shared" si="24"/>
        <v>0</v>
      </c>
      <c r="J422">
        <f t="shared" si="25"/>
        <v>0</v>
      </c>
      <c r="L422" t="s">
        <v>372</v>
      </c>
      <c r="M422" t="s">
        <v>1066</v>
      </c>
    </row>
    <row r="423" spans="9:13">
      <c r="I423">
        <f t="shared" si="24"/>
        <v>0</v>
      </c>
      <c r="J423">
        <f t="shared" si="25"/>
        <v>0</v>
      </c>
      <c r="L423" t="s">
        <v>372</v>
      </c>
      <c r="M423" t="s">
        <v>1066</v>
      </c>
    </row>
    <row r="424" spans="9:13">
      <c r="I424">
        <f t="shared" si="24"/>
        <v>0</v>
      </c>
      <c r="J424">
        <f t="shared" si="25"/>
        <v>0</v>
      </c>
      <c r="L424" t="s">
        <v>373</v>
      </c>
      <c r="M424" t="s">
        <v>1066</v>
      </c>
    </row>
    <row r="425" spans="9:13">
      <c r="I425">
        <f t="shared" si="24"/>
        <v>0</v>
      </c>
      <c r="J425">
        <f t="shared" si="25"/>
        <v>0</v>
      </c>
      <c r="L425" t="s">
        <v>373</v>
      </c>
      <c r="M425" t="s">
        <v>1066</v>
      </c>
    </row>
    <row r="426" spans="9:13">
      <c r="I426">
        <f t="shared" si="24"/>
        <v>0</v>
      </c>
      <c r="J426">
        <f t="shared" si="25"/>
        <v>0</v>
      </c>
      <c r="L426" t="s">
        <v>375</v>
      </c>
      <c r="M426" t="s">
        <v>1066</v>
      </c>
    </row>
    <row r="427" spans="9:13">
      <c r="I427">
        <f t="shared" si="24"/>
        <v>0</v>
      </c>
      <c r="J427">
        <f t="shared" si="25"/>
        <v>0</v>
      </c>
      <c r="L427" t="s">
        <v>375</v>
      </c>
      <c r="M427" t="s">
        <v>1066</v>
      </c>
    </row>
    <row r="428" spans="9:13">
      <c r="I428">
        <f t="shared" si="24"/>
        <v>0</v>
      </c>
      <c r="J428">
        <f t="shared" si="25"/>
        <v>0</v>
      </c>
      <c r="L428" t="s">
        <v>376</v>
      </c>
      <c r="M428" t="s">
        <v>1066</v>
      </c>
    </row>
    <row r="429" spans="9:13">
      <c r="I429">
        <f t="shared" si="24"/>
        <v>0</v>
      </c>
      <c r="J429">
        <f t="shared" si="25"/>
        <v>0</v>
      </c>
      <c r="L429" t="s">
        <v>376</v>
      </c>
      <c r="M429" t="s">
        <v>1066</v>
      </c>
    </row>
    <row r="430" spans="9:13">
      <c r="I430">
        <f t="shared" si="24"/>
        <v>0</v>
      </c>
      <c r="J430">
        <f t="shared" si="25"/>
        <v>0</v>
      </c>
      <c r="L430" t="s">
        <v>378</v>
      </c>
      <c r="M430" t="s">
        <v>1066</v>
      </c>
    </row>
    <row r="431" spans="9:13">
      <c r="I431">
        <f t="shared" si="24"/>
        <v>0</v>
      </c>
      <c r="J431">
        <f t="shared" si="25"/>
        <v>0</v>
      </c>
      <c r="L431" t="s">
        <v>378</v>
      </c>
      <c r="M431" t="s">
        <v>1066</v>
      </c>
    </row>
    <row r="432" spans="9:13">
      <c r="I432">
        <f t="shared" si="24"/>
        <v>0</v>
      </c>
      <c r="J432">
        <f t="shared" si="25"/>
        <v>0</v>
      </c>
      <c r="L432" t="s">
        <v>379</v>
      </c>
      <c r="M432" t="s">
        <v>1066</v>
      </c>
    </row>
    <row r="433" spans="9:13">
      <c r="I433">
        <f t="shared" si="24"/>
        <v>0</v>
      </c>
      <c r="J433">
        <f t="shared" si="25"/>
        <v>0</v>
      </c>
      <c r="L433" t="s">
        <v>379</v>
      </c>
      <c r="M433" t="s">
        <v>1066</v>
      </c>
    </row>
    <row r="434" spans="9:13">
      <c r="I434">
        <f t="shared" si="24"/>
        <v>0</v>
      </c>
      <c r="J434">
        <f t="shared" si="25"/>
        <v>0</v>
      </c>
      <c r="L434" t="s">
        <v>381</v>
      </c>
      <c r="M434" t="s">
        <v>1066</v>
      </c>
    </row>
    <row r="435" spans="9:13">
      <c r="I435">
        <f t="shared" si="24"/>
        <v>0</v>
      </c>
      <c r="J435">
        <f t="shared" si="25"/>
        <v>0</v>
      </c>
      <c r="L435" t="s">
        <v>381</v>
      </c>
      <c r="M435" t="s">
        <v>1066</v>
      </c>
    </row>
    <row r="436" spans="9:13">
      <c r="I436">
        <f t="shared" si="24"/>
        <v>0</v>
      </c>
      <c r="J436">
        <f t="shared" si="25"/>
        <v>0</v>
      </c>
      <c r="L436" t="s">
        <v>382</v>
      </c>
      <c r="M436" t="s">
        <v>1066</v>
      </c>
    </row>
    <row r="437" spans="9:13">
      <c r="I437">
        <f t="shared" si="24"/>
        <v>0</v>
      </c>
      <c r="J437">
        <f t="shared" si="25"/>
        <v>0</v>
      </c>
      <c r="L437" t="s">
        <v>382</v>
      </c>
      <c r="M437" t="s">
        <v>1066</v>
      </c>
    </row>
    <row r="438" spans="9:13">
      <c r="I438">
        <f t="shared" si="24"/>
        <v>0</v>
      </c>
      <c r="J438">
        <f t="shared" si="25"/>
        <v>0</v>
      </c>
      <c r="L438" t="s">
        <v>383</v>
      </c>
      <c r="M438" t="s">
        <v>1067</v>
      </c>
    </row>
    <row r="439" spans="9:13">
      <c r="I439">
        <f t="shared" si="24"/>
        <v>0</v>
      </c>
      <c r="J439">
        <f t="shared" si="25"/>
        <v>0</v>
      </c>
      <c r="L439" t="s">
        <v>384</v>
      </c>
      <c r="M439" t="s">
        <v>1066</v>
      </c>
    </row>
    <row r="440" spans="9:13">
      <c r="I440">
        <f t="shared" si="24"/>
        <v>0</v>
      </c>
      <c r="J440">
        <f t="shared" si="25"/>
        <v>0</v>
      </c>
      <c r="L440" t="s">
        <v>384</v>
      </c>
      <c r="M440" t="s">
        <v>1066</v>
      </c>
    </row>
    <row r="441" spans="9:13">
      <c r="I441">
        <f t="shared" si="24"/>
        <v>0</v>
      </c>
      <c r="J441">
        <f t="shared" si="25"/>
        <v>0</v>
      </c>
      <c r="L441" t="s">
        <v>385</v>
      </c>
      <c r="M441" t="s">
        <v>1067</v>
      </c>
    </row>
    <row r="442" spans="9:13">
      <c r="I442">
        <f t="shared" si="24"/>
        <v>0</v>
      </c>
      <c r="J442">
        <f t="shared" si="25"/>
        <v>0</v>
      </c>
      <c r="L442" t="s">
        <v>386</v>
      </c>
      <c r="M442" t="s">
        <v>1066</v>
      </c>
    </row>
    <row r="443" spans="9:13">
      <c r="I443">
        <f t="shared" si="24"/>
        <v>0</v>
      </c>
      <c r="J443">
        <f t="shared" si="25"/>
        <v>0</v>
      </c>
      <c r="L443" t="s">
        <v>386</v>
      </c>
      <c r="M443" t="s">
        <v>1066</v>
      </c>
    </row>
    <row r="444" spans="9:13">
      <c r="I444">
        <f t="shared" si="24"/>
        <v>0</v>
      </c>
      <c r="J444">
        <f t="shared" si="25"/>
        <v>0</v>
      </c>
      <c r="L444" t="s">
        <v>387</v>
      </c>
      <c r="M444" t="s">
        <v>1066</v>
      </c>
    </row>
    <row r="445" spans="9:13">
      <c r="I445">
        <f t="shared" si="24"/>
        <v>0</v>
      </c>
      <c r="J445">
        <f t="shared" si="25"/>
        <v>0</v>
      </c>
      <c r="L445" t="s">
        <v>387</v>
      </c>
      <c r="M445" t="s">
        <v>1066</v>
      </c>
    </row>
    <row r="446" spans="9:13">
      <c r="I446">
        <f t="shared" si="24"/>
        <v>0</v>
      </c>
      <c r="J446">
        <f t="shared" si="25"/>
        <v>0</v>
      </c>
      <c r="L446" t="s">
        <v>388</v>
      </c>
      <c r="M446" t="s">
        <v>1066</v>
      </c>
    </row>
    <row r="447" spans="9:13">
      <c r="I447">
        <f t="shared" si="24"/>
        <v>0</v>
      </c>
      <c r="J447">
        <f t="shared" si="25"/>
        <v>0</v>
      </c>
      <c r="L447" t="s">
        <v>388</v>
      </c>
      <c r="M447" t="s">
        <v>1066</v>
      </c>
    </row>
    <row r="448" spans="9:13">
      <c r="I448">
        <f t="shared" si="24"/>
        <v>0</v>
      </c>
      <c r="J448">
        <f t="shared" si="25"/>
        <v>0</v>
      </c>
      <c r="L448" t="s">
        <v>389</v>
      </c>
      <c r="M448" t="s">
        <v>1066</v>
      </c>
    </row>
    <row r="449" spans="9:13">
      <c r="I449">
        <f t="shared" si="24"/>
        <v>0</v>
      </c>
      <c r="J449">
        <f t="shared" si="25"/>
        <v>0</v>
      </c>
      <c r="L449" t="s">
        <v>389</v>
      </c>
      <c r="M449" t="s">
        <v>1066</v>
      </c>
    </row>
    <row r="450" spans="9:13">
      <c r="I450">
        <f t="shared" si="24"/>
        <v>0</v>
      </c>
      <c r="J450">
        <f t="shared" si="25"/>
        <v>0</v>
      </c>
      <c r="L450" t="s">
        <v>390</v>
      </c>
      <c r="M450" t="s">
        <v>1066</v>
      </c>
    </row>
    <row r="451" spans="9:13">
      <c r="I451">
        <f t="shared" si="24"/>
        <v>0</v>
      </c>
      <c r="J451">
        <f t="shared" si="25"/>
        <v>0</v>
      </c>
      <c r="L451" t="s">
        <v>390</v>
      </c>
      <c r="M451" t="s">
        <v>1066</v>
      </c>
    </row>
    <row r="452" spans="9:13">
      <c r="I452">
        <f t="shared" si="24"/>
        <v>0</v>
      </c>
      <c r="J452">
        <f t="shared" si="25"/>
        <v>0</v>
      </c>
      <c r="L452" t="s">
        <v>391</v>
      </c>
      <c r="M452" t="s">
        <v>1066</v>
      </c>
    </row>
    <row r="453" spans="9:13">
      <c r="I453">
        <f t="shared" ref="I453:I516" si="26">+A453</f>
        <v>0</v>
      </c>
      <c r="J453">
        <f t="shared" ref="J453:J516" si="27">+E453</f>
        <v>0</v>
      </c>
      <c r="L453" t="s">
        <v>391</v>
      </c>
      <c r="M453" t="s">
        <v>1066</v>
      </c>
    </row>
    <row r="454" spans="9:13">
      <c r="I454">
        <f t="shared" si="26"/>
        <v>0</v>
      </c>
      <c r="J454">
        <f t="shared" si="27"/>
        <v>0</v>
      </c>
      <c r="L454" t="s">
        <v>393</v>
      </c>
      <c r="M454" t="s">
        <v>1066</v>
      </c>
    </row>
    <row r="455" spans="9:13">
      <c r="I455">
        <f t="shared" si="26"/>
        <v>0</v>
      </c>
      <c r="J455">
        <f t="shared" si="27"/>
        <v>0</v>
      </c>
      <c r="L455" t="s">
        <v>393</v>
      </c>
      <c r="M455" t="s">
        <v>1066</v>
      </c>
    </row>
    <row r="456" spans="9:13">
      <c r="I456">
        <f t="shared" si="26"/>
        <v>0</v>
      </c>
      <c r="J456">
        <f t="shared" si="27"/>
        <v>0</v>
      </c>
      <c r="L456" t="s">
        <v>395</v>
      </c>
      <c r="M456" t="s">
        <v>1066</v>
      </c>
    </row>
    <row r="457" spans="9:13">
      <c r="I457">
        <f t="shared" si="26"/>
        <v>0</v>
      </c>
      <c r="J457">
        <f t="shared" si="27"/>
        <v>0</v>
      </c>
      <c r="L457" t="s">
        <v>395</v>
      </c>
      <c r="M457" t="s">
        <v>1066</v>
      </c>
    </row>
    <row r="458" spans="9:13">
      <c r="I458">
        <f t="shared" si="26"/>
        <v>0</v>
      </c>
      <c r="J458">
        <f t="shared" si="27"/>
        <v>0</v>
      </c>
      <c r="L458" t="s">
        <v>396</v>
      </c>
      <c r="M458" t="s">
        <v>1066</v>
      </c>
    </row>
    <row r="459" spans="9:13">
      <c r="I459">
        <f t="shared" si="26"/>
        <v>0</v>
      </c>
      <c r="J459">
        <f t="shared" si="27"/>
        <v>0</v>
      </c>
      <c r="L459" t="s">
        <v>396</v>
      </c>
      <c r="M459" t="s">
        <v>1066</v>
      </c>
    </row>
    <row r="460" spans="9:13">
      <c r="I460">
        <f t="shared" si="26"/>
        <v>0</v>
      </c>
      <c r="J460">
        <f t="shared" si="27"/>
        <v>0</v>
      </c>
      <c r="L460" t="s">
        <v>397</v>
      </c>
      <c r="M460" t="s">
        <v>1066</v>
      </c>
    </row>
    <row r="461" spans="9:13">
      <c r="I461">
        <f t="shared" si="26"/>
        <v>0</v>
      </c>
      <c r="J461">
        <f t="shared" si="27"/>
        <v>0</v>
      </c>
      <c r="L461" t="s">
        <v>397</v>
      </c>
      <c r="M461" t="s">
        <v>1066</v>
      </c>
    </row>
    <row r="462" spans="9:13">
      <c r="I462">
        <f t="shared" si="26"/>
        <v>0</v>
      </c>
      <c r="J462">
        <f t="shared" si="27"/>
        <v>0</v>
      </c>
      <c r="L462" t="s">
        <v>398</v>
      </c>
      <c r="M462" t="s">
        <v>1066</v>
      </c>
    </row>
    <row r="463" spans="9:13">
      <c r="I463">
        <f t="shared" si="26"/>
        <v>0</v>
      </c>
      <c r="J463">
        <f t="shared" si="27"/>
        <v>0</v>
      </c>
      <c r="L463" t="s">
        <v>398</v>
      </c>
      <c r="M463" t="s">
        <v>1066</v>
      </c>
    </row>
    <row r="464" spans="9:13">
      <c r="I464">
        <f t="shared" si="26"/>
        <v>0</v>
      </c>
      <c r="J464">
        <f t="shared" si="27"/>
        <v>0</v>
      </c>
      <c r="L464" t="s">
        <v>399</v>
      </c>
      <c r="M464" t="s">
        <v>1066</v>
      </c>
    </row>
    <row r="465" spans="9:13">
      <c r="I465">
        <f t="shared" si="26"/>
        <v>0</v>
      </c>
      <c r="J465">
        <f t="shared" si="27"/>
        <v>0</v>
      </c>
      <c r="L465" t="s">
        <v>399</v>
      </c>
      <c r="M465" t="s">
        <v>1066</v>
      </c>
    </row>
    <row r="466" spans="9:13">
      <c r="I466">
        <f t="shared" si="26"/>
        <v>0</v>
      </c>
      <c r="J466">
        <f t="shared" si="27"/>
        <v>0</v>
      </c>
      <c r="L466" t="s">
        <v>400</v>
      </c>
      <c r="M466" t="s">
        <v>1066</v>
      </c>
    </row>
    <row r="467" spans="9:13">
      <c r="I467">
        <f t="shared" si="26"/>
        <v>0</v>
      </c>
      <c r="J467">
        <f t="shared" si="27"/>
        <v>0</v>
      </c>
      <c r="L467" t="s">
        <v>400</v>
      </c>
      <c r="M467" t="s">
        <v>1066</v>
      </c>
    </row>
    <row r="468" spans="9:13">
      <c r="I468">
        <f t="shared" si="26"/>
        <v>0</v>
      </c>
      <c r="J468">
        <f t="shared" si="27"/>
        <v>0</v>
      </c>
      <c r="L468" t="s">
        <v>401</v>
      </c>
      <c r="M468" t="s">
        <v>1066</v>
      </c>
    </row>
    <row r="469" spans="9:13">
      <c r="I469">
        <f t="shared" si="26"/>
        <v>0</v>
      </c>
      <c r="J469">
        <f t="shared" si="27"/>
        <v>0</v>
      </c>
      <c r="L469" t="s">
        <v>401</v>
      </c>
      <c r="M469" t="s">
        <v>1066</v>
      </c>
    </row>
    <row r="470" spans="9:13">
      <c r="I470">
        <f t="shared" si="26"/>
        <v>0</v>
      </c>
      <c r="J470">
        <f t="shared" si="27"/>
        <v>0</v>
      </c>
      <c r="L470" t="s">
        <v>402</v>
      </c>
      <c r="M470" t="s">
        <v>1066</v>
      </c>
    </row>
    <row r="471" spans="9:13">
      <c r="I471">
        <f t="shared" si="26"/>
        <v>0</v>
      </c>
      <c r="J471">
        <f t="shared" si="27"/>
        <v>0</v>
      </c>
      <c r="L471" t="s">
        <v>402</v>
      </c>
      <c r="M471" t="s">
        <v>1066</v>
      </c>
    </row>
    <row r="472" spans="9:13">
      <c r="I472">
        <f t="shared" si="26"/>
        <v>0</v>
      </c>
      <c r="J472">
        <f t="shared" si="27"/>
        <v>0</v>
      </c>
      <c r="L472" t="s">
        <v>404</v>
      </c>
      <c r="M472" t="s">
        <v>1066</v>
      </c>
    </row>
    <row r="473" spans="9:13">
      <c r="I473">
        <f t="shared" si="26"/>
        <v>0</v>
      </c>
      <c r="J473">
        <f t="shared" si="27"/>
        <v>0</v>
      </c>
      <c r="L473" t="s">
        <v>404</v>
      </c>
      <c r="M473" t="s">
        <v>1066</v>
      </c>
    </row>
    <row r="474" spans="9:13">
      <c r="I474">
        <f t="shared" si="26"/>
        <v>0</v>
      </c>
      <c r="J474">
        <f t="shared" si="27"/>
        <v>0</v>
      </c>
      <c r="L474" t="s">
        <v>405</v>
      </c>
      <c r="M474" t="s">
        <v>1066</v>
      </c>
    </row>
    <row r="475" spans="9:13">
      <c r="I475">
        <f t="shared" si="26"/>
        <v>0</v>
      </c>
      <c r="J475">
        <f t="shared" si="27"/>
        <v>0</v>
      </c>
      <c r="L475" t="s">
        <v>405</v>
      </c>
      <c r="M475" t="s">
        <v>1066</v>
      </c>
    </row>
    <row r="476" spans="9:13">
      <c r="I476">
        <f t="shared" si="26"/>
        <v>0</v>
      </c>
      <c r="J476">
        <f t="shared" si="27"/>
        <v>0</v>
      </c>
      <c r="L476" t="s">
        <v>406</v>
      </c>
      <c r="M476" t="s">
        <v>1066</v>
      </c>
    </row>
    <row r="477" spans="9:13">
      <c r="I477">
        <f t="shared" si="26"/>
        <v>0</v>
      </c>
      <c r="J477">
        <f t="shared" si="27"/>
        <v>0</v>
      </c>
      <c r="L477" t="s">
        <v>406</v>
      </c>
      <c r="M477" t="s">
        <v>1066</v>
      </c>
    </row>
    <row r="478" spans="9:13">
      <c r="I478">
        <f t="shared" si="26"/>
        <v>0</v>
      </c>
      <c r="J478">
        <f t="shared" si="27"/>
        <v>0</v>
      </c>
      <c r="L478" t="s">
        <v>408</v>
      </c>
      <c r="M478" t="s">
        <v>1066</v>
      </c>
    </row>
    <row r="479" spans="9:13">
      <c r="I479">
        <f t="shared" si="26"/>
        <v>0</v>
      </c>
      <c r="J479">
        <f t="shared" si="27"/>
        <v>0</v>
      </c>
      <c r="L479" t="s">
        <v>408</v>
      </c>
      <c r="M479" t="s">
        <v>1066</v>
      </c>
    </row>
    <row r="480" spans="9:13">
      <c r="I480">
        <f t="shared" si="26"/>
        <v>0</v>
      </c>
      <c r="J480">
        <f t="shared" si="27"/>
        <v>0</v>
      </c>
      <c r="L480" t="s">
        <v>409</v>
      </c>
      <c r="M480" t="s">
        <v>1066</v>
      </c>
    </row>
    <row r="481" spans="9:13">
      <c r="I481">
        <f t="shared" si="26"/>
        <v>0</v>
      </c>
      <c r="J481">
        <f t="shared" si="27"/>
        <v>0</v>
      </c>
      <c r="L481" t="s">
        <v>409</v>
      </c>
      <c r="M481" t="s">
        <v>1066</v>
      </c>
    </row>
    <row r="482" spans="9:13">
      <c r="I482">
        <f t="shared" si="26"/>
        <v>0</v>
      </c>
      <c r="J482">
        <f t="shared" si="27"/>
        <v>0</v>
      </c>
      <c r="L482" t="s">
        <v>410</v>
      </c>
      <c r="M482" t="s">
        <v>1066</v>
      </c>
    </row>
    <row r="483" spans="9:13">
      <c r="I483">
        <f t="shared" si="26"/>
        <v>0</v>
      </c>
      <c r="J483">
        <f t="shared" si="27"/>
        <v>0</v>
      </c>
      <c r="L483" t="s">
        <v>410</v>
      </c>
      <c r="M483" t="s">
        <v>1066</v>
      </c>
    </row>
    <row r="484" spans="9:13">
      <c r="I484">
        <f t="shared" si="26"/>
        <v>0</v>
      </c>
      <c r="J484">
        <f t="shared" si="27"/>
        <v>0</v>
      </c>
      <c r="L484" t="s">
        <v>413</v>
      </c>
      <c r="M484" t="s">
        <v>1066</v>
      </c>
    </row>
    <row r="485" spans="9:13">
      <c r="I485">
        <f t="shared" si="26"/>
        <v>0</v>
      </c>
      <c r="J485">
        <f t="shared" si="27"/>
        <v>0</v>
      </c>
      <c r="L485" t="s">
        <v>413</v>
      </c>
      <c r="M485" t="s">
        <v>1066</v>
      </c>
    </row>
    <row r="486" spans="9:13">
      <c r="I486">
        <f t="shared" si="26"/>
        <v>0</v>
      </c>
      <c r="J486">
        <f t="shared" si="27"/>
        <v>0</v>
      </c>
      <c r="L486" t="s">
        <v>415</v>
      </c>
      <c r="M486" t="s">
        <v>1066</v>
      </c>
    </row>
    <row r="487" spans="9:13">
      <c r="I487">
        <f t="shared" si="26"/>
        <v>0</v>
      </c>
      <c r="J487">
        <f t="shared" si="27"/>
        <v>0</v>
      </c>
      <c r="L487" t="s">
        <v>415</v>
      </c>
      <c r="M487" t="s">
        <v>1066</v>
      </c>
    </row>
    <row r="488" spans="9:13">
      <c r="I488">
        <f t="shared" si="26"/>
        <v>0</v>
      </c>
      <c r="J488">
        <f t="shared" si="27"/>
        <v>0</v>
      </c>
      <c r="L488" t="s">
        <v>416</v>
      </c>
      <c r="M488" t="s">
        <v>1066</v>
      </c>
    </row>
    <row r="489" spans="9:13">
      <c r="I489">
        <f t="shared" si="26"/>
        <v>0</v>
      </c>
      <c r="J489">
        <f t="shared" si="27"/>
        <v>0</v>
      </c>
      <c r="L489" t="s">
        <v>416</v>
      </c>
      <c r="M489" t="s">
        <v>1066</v>
      </c>
    </row>
    <row r="490" spans="9:13">
      <c r="I490">
        <f t="shared" si="26"/>
        <v>0</v>
      </c>
      <c r="J490">
        <f t="shared" si="27"/>
        <v>0</v>
      </c>
      <c r="L490" t="s">
        <v>417</v>
      </c>
      <c r="M490" t="s">
        <v>1066</v>
      </c>
    </row>
    <row r="491" spans="9:13">
      <c r="I491">
        <f t="shared" si="26"/>
        <v>0</v>
      </c>
      <c r="J491">
        <f t="shared" si="27"/>
        <v>0</v>
      </c>
      <c r="L491" t="s">
        <v>417</v>
      </c>
      <c r="M491" t="s">
        <v>1066</v>
      </c>
    </row>
    <row r="492" spans="9:13">
      <c r="I492">
        <f t="shared" si="26"/>
        <v>0</v>
      </c>
      <c r="J492">
        <f t="shared" si="27"/>
        <v>0</v>
      </c>
      <c r="L492" t="s">
        <v>418</v>
      </c>
      <c r="M492" t="s">
        <v>1066</v>
      </c>
    </row>
    <row r="493" spans="9:13">
      <c r="I493">
        <f t="shared" si="26"/>
        <v>0</v>
      </c>
      <c r="J493">
        <f t="shared" si="27"/>
        <v>0</v>
      </c>
      <c r="L493" t="s">
        <v>418</v>
      </c>
      <c r="M493" t="s">
        <v>1066</v>
      </c>
    </row>
    <row r="494" spans="9:13">
      <c r="I494">
        <f t="shared" si="26"/>
        <v>0</v>
      </c>
      <c r="J494">
        <f t="shared" si="27"/>
        <v>0</v>
      </c>
      <c r="L494" t="s">
        <v>419</v>
      </c>
      <c r="M494" t="s">
        <v>1066</v>
      </c>
    </row>
    <row r="495" spans="9:13">
      <c r="I495">
        <f t="shared" si="26"/>
        <v>0</v>
      </c>
      <c r="J495">
        <f t="shared" si="27"/>
        <v>0</v>
      </c>
      <c r="L495" t="s">
        <v>419</v>
      </c>
      <c r="M495" t="s">
        <v>1066</v>
      </c>
    </row>
    <row r="496" spans="9:13">
      <c r="I496">
        <f t="shared" si="26"/>
        <v>0</v>
      </c>
      <c r="J496">
        <f t="shared" si="27"/>
        <v>0</v>
      </c>
      <c r="L496" t="s">
        <v>420</v>
      </c>
      <c r="M496" t="s">
        <v>1066</v>
      </c>
    </row>
    <row r="497" spans="9:13">
      <c r="I497">
        <f t="shared" si="26"/>
        <v>0</v>
      </c>
      <c r="J497">
        <f t="shared" si="27"/>
        <v>0</v>
      </c>
      <c r="L497" t="s">
        <v>420</v>
      </c>
      <c r="M497" t="s">
        <v>1066</v>
      </c>
    </row>
    <row r="498" spans="9:13">
      <c r="I498">
        <f t="shared" si="26"/>
        <v>0</v>
      </c>
      <c r="J498">
        <f t="shared" si="27"/>
        <v>0</v>
      </c>
      <c r="L498" t="s">
        <v>421</v>
      </c>
      <c r="M498" t="s">
        <v>1066</v>
      </c>
    </row>
    <row r="499" spans="9:13">
      <c r="I499">
        <f t="shared" si="26"/>
        <v>0</v>
      </c>
      <c r="J499">
        <f t="shared" si="27"/>
        <v>0</v>
      </c>
      <c r="L499" t="s">
        <v>421</v>
      </c>
      <c r="M499" t="s">
        <v>1066</v>
      </c>
    </row>
    <row r="500" spans="9:13">
      <c r="I500">
        <f t="shared" si="26"/>
        <v>0</v>
      </c>
      <c r="J500">
        <f t="shared" si="27"/>
        <v>0</v>
      </c>
      <c r="L500" t="s">
        <v>422</v>
      </c>
      <c r="M500" t="s">
        <v>1066</v>
      </c>
    </row>
    <row r="501" spans="9:13">
      <c r="I501">
        <f t="shared" si="26"/>
        <v>0</v>
      </c>
      <c r="J501">
        <f t="shared" si="27"/>
        <v>0</v>
      </c>
      <c r="L501" t="s">
        <v>422</v>
      </c>
      <c r="M501" t="s">
        <v>1066</v>
      </c>
    </row>
    <row r="502" spans="9:13">
      <c r="I502">
        <f t="shared" si="26"/>
        <v>0</v>
      </c>
      <c r="J502">
        <f t="shared" si="27"/>
        <v>0</v>
      </c>
      <c r="L502" t="s">
        <v>424</v>
      </c>
      <c r="M502" t="s">
        <v>1066</v>
      </c>
    </row>
    <row r="503" spans="9:13">
      <c r="I503">
        <f t="shared" si="26"/>
        <v>0</v>
      </c>
      <c r="J503">
        <f t="shared" si="27"/>
        <v>0</v>
      </c>
      <c r="L503" t="s">
        <v>424</v>
      </c>
      <c r="M503" t="s">
        <v>1066</v>
      </c>
    </row>
    <row r="504" spans="9:13">
      <c r="I504">
        <f t="shared" si="26"/>
        <v>0</v>
      </c>
      <c r="J504">
        <f t="shared" si="27"/>
        <v>0</v>
      </c>
      <c r="L504" t="s">
        <v>425</v>
      </c>
      <c r="M504" t="s">
        <v>1066</v>
      </c>
    </row>
    <row r="505" spans="9:13">
      <c r="I505">
        <f t="shared" si="26"/>
        <v>0</v>
      </c>
      <c r="J505">
        <f t="shared" si="27"/>
        <v>0</v>
      </c>
      <c r="L505" t="s">
        <v>425</v>
      </c>
      <c r="M505" t="s">
        <v>1066</v>
      </c>
    </row>
    <row r="506" spans="9:13">
      <c r="I506">
        <f t="shared" si="26"/>
        <v>0</v>
      </c>
      <c r="J506">
        <f t="shared" si="27"/>
        <v>0</v>
      </c>
      <c r="L506" t="s">
        <v>427</v>
      </c>
      <c r="M506" t="s">
        <v>1066</v>
      </c>
    </row>
    <row r="507" spans="9:13">
      <c r="I507">
        <f t="shared" si="26"/>
        <v>0</v>
      </c>
      <c r="J507">
        <f t="shared" si="27"/>
        <v>0</v>
      </c>
      <c r="L507" t="s">
        <v>427</v>
      </c>
      <c r="M507" t="s">
        <v>1066</v>
      </c>
    </row>
    <row r="508" spans="9:13">
      <c r="I508">
        <f t="shared" si="26"/>
        <v>0</v>
      </c>
      <c r="J508">
        <f t="shared" si="27"/>
        <v>0</v>
      </c>
      <c r="L508" t="s">
        <v>429</v>
      </c>
      <c r="M508" t="s">
        <v>1066</v>
      </c>
    </row>
    <row r="509" spans="9:13">
      <c r="I509">
        <f t="shared" si="26"/>
        <v>0</v>
      </c>
      <c r="J509">
        <f t="shared" si="27"/>
        <v>0</v>
      </c>
      <c r="L509" t="s">
        <v>429</v>
      </c>
      <c r="M509" t="s">
        <v>1066</v>
      </c>
    </row>
    <row r="510" spans="9:13">
      <c r="I510">
        <f t="shared" si="26"/>
        <v>0</v>
      </c>
      <c r="J510">
        <f t="shared" si="27"/>
        <v>0</v>
      </c>
      <c r="L510" t="s">
        <v>431</v>
      </c>
      <c r="M510" t="s">
        <v>1066</v>
      </c>
    </row>
    <row r="511" spans="9:13">
      <c r="I511">
        <f t="shared" si="26"/>
        <v>0</v>
      </c>
      <c r="J511">
        <f t="shared" si="27"/>
        <v>0</v>
      </c>
      <c r="L511" t="s">
        <v>431</v>
      </c>
      <c r="M511" t="s">
        <v>1066</v>
      </c>
    </row>
    <row r="512" spans="9:13">
      <c r="I512">
        <f t="shared" si="26"/>
        <v>0</v>
      </c>
      <c r="J512">
        <f t="shared" si="27"/>
        <v>0</v>
      </c>
      <c r="L512" t="s">
        <v>433</v>
      </c>
      <c r="M512" t="s">
        <v>1066</v>
      </c>
    </row>
    <row r="513" spans="9:13">
      <c r="I513">
        <f t="shared" si="26"/>
        <v>0</v>
      </c>
      <c r="J513">
        <f t="shared" si="27"/>
        <v>0</v>
      </c>
      <c r="L513" t="s">
        <v>433</v>
      </c>
      <c r="M513" t="s">
        <v>1066</v>
      </c>
    </row>
    <row r="514" spans="9:13">
      <c r="I514">
        <f t="shared" si="26"/>
        <v>0</v>
      </c>
      <c r="J514">
        <f t="shared" si="27"/>
        <v>0</v>
      </c>
      <c r="L514" t="s">
        <v>435</v>
      </c>
      <c r="M514" t="s">
        <v>1066</v>
      </c>
    </row>
    <row r="515" spans="9:13">
      <c r="I515">
        <f t="shared" si="26"/>
        <v>0</v>
      </c>
      <c r="J515">
        <f t="shared" si="27"/>
        <v>0</v>
      </c>
      <c r="L515" t="s">
        <v>435</v>
      </c>
      <c r="M515" t="s">
        <v>1066</v>
      </c>
    </row>
    <row r="516" spans="9:13">
      <c r="I516">
        <f t="shared" si="26"/>
        <v>0</v>
      </c>
      <c r="J516">
        <f t="shared" si="27"/>
        <v>0</v>
      </c>
      <c r="L516" t="s">
        <v>436</v>
      </c>
      <c r="M516" t="s">
        <v>1066</v>
      </c>
    </row>
    <row r="517" spans="9:13">
      <c r="I517">
        <f t="shared" ref="I517:I580" si="28">+A517</f>
        <v>0</v>
      </c>
      <c r="J517">
        <f t="shared" ref="J517:J580" si="29">+E517</f>
        <v>0</v>
      </c>
      <c r="L517" t="s">
        <v>436</v>
      </c>
      <c r="M517" t="s">
        <v>1066</v>
      </c>
    </row>
    <row r="518" spans="9:13">
      <c r="I518">
        <f t="shared" si="28"/>
        <v>0</v>
      </c>
      <c r="J518">
        <f t="shared" si="29"/>
        <v>0</v>
      </c>
      <c r="L518" t="s">
        <v>437</v>
      </c>
      <c r="M518" t="s">
        <v>1066</v>
      </c>
    </row>
    <row r="519" spans="9:13">
      <c r="I519">
        <f t="shared" si="28"/>
        <v>0</v>
      </c>
      <c r="J519">
        <f t="shared" si="29"/>
        <v>0</v>
      </c>
      <c r="L519" t="s">
        <v>437</v>
      </c>
      <c r="M519" t="s">
        <v>1066</v>
      </c>
    </row>
    <row r="520" spans="9:13">
      <c r="I520">
        <f t="shared" si="28"/>
        <v>0</v>
      </c>
      <c r="J520">
        <f t="shared" si="29"/>
        <v>0</v>
      </c>
      <c r="L520" t="s">
        <v>438</v>
      </c>
      <c r="M520" t="s">
        <v>1066</v>
      </c>
    </row>
    <row r="521" spans="9:13">
      <c r="I521">
        <f t="shared" si="28"/>
        <v>0</v>
      </c>
      <c r="J521">
        <f t="shared" si="29"/>
        <v>0</v>
      </c>
      <c r="L521" t="s">
        <v>438</v>
      </c>
      <c r="M521" t="s">
        <v>1066</v>
      </c>
    </row>
    <row r="522" spans="9:13">
      <c r="I522">
        <f t="shared" si="28"/>
        <v>0</v>
      </c>
      <c r="J522">
        <f t="shared" si="29"/>
        <v>0</v>
      </c>
      <c r="L522" t="s">
        <v>439</v>
      </c>
      <c r="M522" t="s">
        <v>1066</v>
      </c>
    </row>
    <row r="523" spans="9:13">
      <c r="I523">
        <f t="shared" si="28"/>
        <v>0</v>
      </c>
      <c r="J523">
        <f t="shared" si="29"/>
        <v>0</v>
      </c>
      <c r="L523" t="s">
        <v>439</v>
      </c>
      <c r="M523" t="s">
        <v>1066</v>
      </c>
    </row>
    <row r="524" spans="9:13">
      <c r="I524">
        <f t="shared" si="28"/>
        <v>0</v>
      </c>
      <c r="J524">
        <f t="shared" si="29"/>
        <v>0</v>
      </c>
      <c r="L524" t="s">
        <v>440</v>
      </c>
      <c r="M524" t="s">
        <v>1066</v>
      </c>
    </row>
    <row r="525" spans="9:13">
      <c r="I525">
        <f t="shared" si="28"/>
        <v>0</v>
      </c>
      <c r="J525">
        <f t="shared" si="29"/>
        <v>0</v>
      </c>
      <c r="L525" t="s">
        <v>440</v>
      </c>
      <c r="M525" t="s">
        <v>1066</v>
      </c>
    </row>
    <row r="526" spans="9:13">
      <c r="I526">
        <f t="shared" si="28"/>
        <v>0</v>
      </c>
      <c r="J526">
        <f t="shared" si="29"/>
        <v>0</v>
      </c>
      <c r="L526" t="s">
        <v>441</v>
      </c>
      <c r="M526" t="s">
        <v>1066</v>
      </c>
    </row>
    <row r="527" spans="9:13">
      <c r="I527">
        <f t="shared" si="28"/>
        <v>0</v>
      </c>
      <c r="J527">
        <f t="shared" si="29"/>
        <v>0</v>
      </c>
      <c r="L527" t="s">
        <v>441</v>
      </c>
      <c r="M527" t="s">
        <v>1066</v>
      </c>
    </row>
    <row r="528" spans="9:13">
      <c r="I528">
        <f t="shared" si="28"/>
        <v>0</v>
      </c>
      <c r="J528">
        <f t="shared" si="29"/>
        <v>0</v>
      </c>
      <c r="L528" t="s">
        <v>442</v>
      </c>
      <c r="M528" t="s">
        <v>1066</v>
      </c>
    </row>
    <row r="529" spans="9:13">
      <c r="I529">
        <f t="shared" si="28"/>
        <v>0</v>
      </c>
      <c r="J529">
        <f t="shared" si="29"/>
        <v>0</v>
      </c>
      <c r="L529" t="s">
        <v>442</v>
      </c>
      <c r="M529" t="s">
        <v>1066</v>
      </c>
    </row>
    <row r="530" spans="9:13">
      <c r="I530">
        <f t="shared" si="28"/>
        <v>0</v>
      </c>
      <c r="J530">
        <f t="shared" si="29"/>
        <v>0</v>
      </c>
      <c r="L530" t="s">
        <v>443</v>
      </c>
      <c r="M530" t="s">
        <v>1066</v>
      </c>
    </row>
    <row r="531" spans="9:13">
      <c r="I531">
        <f t="shared" si="28"/>
        <v>0</v>
      </c>
      <c r="J531">
        <f t="shared" si="29"/>
        <v>0</v>
      </c>
      <c r="L531" t="s">
        <v>443</v>
      </c>
      <c r="M531" t="s">
        <v>1066</v>
      </c>
    </row>
    <row r="532" spans="9:13">
      <c r="I532">
        <f t="shared" si="28"/>
        <v>0</v>
      </c>
      <c r="J532">
        <f t="shared" si="29"/>
        <v>0</v>
      </c>
      <c r="L532" t="s">
        <v>444</v>
      </c>
      <c r="M532" t="s">
        <v>1066</v>
      </c>
    </row>
    <row r="533" spans="9:13">
      <c r="I533">
        <f t="shared" si="28"/>
        <v>0</v>
      </c>
      <c r="J533">
        <f t="shared" si="29"/>
        <v>0</v>
      </c>
      <c r="L533" t="s">
        <v>444</v>
      </c>
      <c r="M533" t="s">
        <v>1066</v>
      </c>
    </row>
    <row r="534" spans="9:13">
      <c r="I534">
        <f t="shared" si="28"/>
        <v>0</v>
      </c>
      <c r="J534">
        <f t="shared" si="29"/>
        <v>0</v>
      </c>
      <c r="L534" t="s">
        <v>445</v>
      </c>
      <c r="M534" t="s">
        <v>1066</v>
      </c>
    </row>
    <row r="535" spans="9:13">
      <c r="I535">
        <f t="shared" si="28"/>
        <v>0</v>
      </c>
      <c r="J535">
        <f t="shared" si="29"/>
        <v>0</v>
      </c>
      <c r="L535" t="s">
        <v>445</v>
      </c>
      <c r="M535" t="s">
        <v>1066</v>
      </c>
    </row>
    <row r="536" spans="9:13">
      <c r="I536">
        <f t="shared" si="28"/>
        <v>0</v>
      </c>
      <c r="J536">
        <f t="shared" si="29"/>
        <v>0</v>
      </c>
      <c r="L536" t="s">
        <v>446</v>
      </c>
      <c r="M536" t="s">
        <v>1066</v>
      </c>
    </row>
    <row r="537" spans="9:13">
      <c r="I537">
        <f t="shared" si="28"/>
        <v>0</v>
      </c>
      <c r="J537">
        <f t="shared" si="29"/>
        <v>0</v>
      </c>
      <c r="L537" t="s">
        <v>446</v>
      </c>
      <c r="M537" t="s">
        <v>1066</v>
      </c>
    </row>
    <row r="538" spans="9:13">
      <c r="I538">
        <f t="shared" si="28"/>
        <v>0</v>
      </c>
      <c r="J538">
        <f t="shared" si="29"/>
        <v>0</v>
      </c>
      <c r="L538" t="s">
        <v>447</v>
      </c>
      <c r="M538" t="s">
        <v>1066</v>
      </c>
    </row>
    <row r="539" spans="9:13">
      <c r="I539">
        <f t="shared" si="28"/>
        <v>0</v>
      </c>
      <c r="J539">
        <f t="shared" si="29"/>
        <v>0</v>
      </c>
      <c r="L539" t="s">
        <v>447</v>
      </c>
      <c r="M539" t="s">
        <v>1066</v>
      </c>
    </row>
    <row r="540" spans="9:13">
      <c r="I540">
        <f t="shared" si="28"/>
        <v>0</v>
      </c>
      <c r="J540">
        <f t="shared" si="29"/>
        <v>0</v>
      </c>
      <c r="L540" t="s">
        <v>448</v>
      </c>
      <c r="M540" t="s">
        <v>1066</v>
      </c>
    </row>
    <row r="541" spans="9:13">
      <c r="I541">
        <f t="shared" si="28"/>
        <v>0</v>
      </c>
      <c r="J541">
        <f t="shared" si="29"/>
        <v>0</v>
      </c>
      <c r="L541" t="s">
        <v>448</v>
      </c>
      <c r="M541" t="s">
        <v>1066</v>
      </c>
    </row>
    <row r="542" spans="9:13">
      <c r="I542">
        <f t="shared" si="28"/>
        <v>0</v>
      </c>
      <c r="J542">
        <f t="shared" si="29"/>
        <v>0</v>
      </c>
      <c r="L542" t="s">
        <v>450</v>
      </c>
      <c r="M542" t="s">
        <v>1066</v>
      </c>
    </row>
    <row r="543" spans="9:13">
      <c r="I543">
        <f t="shared" si="28"/>
        <v>0</v>
      </c>
      <c r="J543">
        <f t="shared" si="29"/>
        <v>0</v>
      </c>
      <c r="L543" t="s">
        <v>450</v>
      </c>
      <c r="M543" t="s">
        <v>1066</v>
      </c>
    </row>
    <row r="544" spans="9:13">
      <c r="I544">
        <f t="shared" si="28"/>
        <v>0</v>
      </c>
      <c r="J544">
        <f t="shared" si="29"/>
        <v>0</v>
      </c>
      <c r="L544" t="s">
        <v>451</v>
      </c>
      <c r="M544" t="s">
        <v>1066</v>
      </c>
    </row>
    <row r="545" spans="9:13">
      <c r="I545">
        <f t="shared" si="28"/>
        <v>0</v>
      </c>
      <c r="J545">
        <f t="shared" si="29"/>
        <v>0</v>
      </c>
      <c r="L545" t="s">
        <v>451</v>
      </c>
      <c r="M545" t="s">
        <v>1066</v>
      </c>
    </row>
    <row r="546" spans="9:13">
      <c r="I546">
        <f t="shared" si="28"/>
        <v>0</v>
      </c>
      <c r="J546">
        <f t="shared" si="29"/>
        <v>0</v>
      </c>
      <c r="L546" t="s">
        <v>452</v>
      </c>
      <c r="M546" t="s">
        <v>1066</v>
      </c>
    </row>
    <row r="547" spans="9:13">
      <c r="I547">
        <f t="shared" si="28"/>
        <v>0</v>
      </c>
      <c r="J547">
        <f t="shared" si="29"/>
        <v>0</v>
      </c>
      <c r="L547" t="s">
        <v>452</v>
      </c>
      <c r="M547" t="s">
        <v>1066</v>
      </c>
    </row>
    <row r="548" spans="9:13">
      <c r="I548">
        <f t="shared" si="28"/>
        <v>0</v>
      </c>
      <c r="J548">
        <f t="shared" si="29"/>
        <v>0</v>
      </c>
      <c r="L548" t="s">
        <v>453</v>
      </c>
      <c r="M548" t="s">
        <v>1066</v>
      </c>
    </row>
    <row r="549" spans="9:13">
      <c r="I549">
        <f t="shared" si="28"/>
        <v>0</v>
      </c>
      <c r="J549">
        <f t="shared" si="29"/>
        <v>0</v>
      </c>
      <c r="L549" t="s">
        <v>453</v>
      </c>
      <c r="M549" t="s">
        <v>1066</v>
      </c>
    </row>
    <row r="550" spans="9:13">
      <c r="I550">
        <f t="shared" si="28"/>
        <v>0</v>
      </c>
      <c r="J550">
        <f t="shared" si="29"/>
        <v>0</v>
      </c>
      <c r="L550" t="s">
        <v>455</v>
      </c>
      <c r="M550" t="s">
        <v>1066</v>
      </c>
    </row>
    <row r="551" spans="9:13">
      <c r="I551">
        <f t="shared" si="28"/>
        <v>0</v>
      </c>
      <c r="J551">
        <f t="shared" si="29"/>
        <v>0</v>
      </c>
      <c r="L551" t="s">
        <v>455</v>
      </c>
      <c r="M551" t="s">
        <v>1066</v>
      </c>
    </row>
    <row r="552" spans="9:13">
      <c r="I552">
        <f t="shared" si="28"/>
        <v>0</v>
      </c>
      <c r="J552">
        <f t="shared" si="29"/>
        <v>0</v>
      </c>
      <c r="L552" t="s">
        <v>456</v>
      </c>
      <c r="M552" t="s">
        <v>1066</v>
      </c>
    </row>
    <row r="553" spans="9:13">
      <c r="I553">
        <f t="shared" si="28"/>
        <v>0</v>
      </c>
      <c r="J553">
        <f t="shared" si="29"/>
        <v>0</v>
      </c>
      <c r="L553" t="s">
        <v>456</v>
      </c>
      <c r="M553" t="s">
        <v>1066</v>
      </c>
    </row>
    <row r="554" spans="9:13">
      <c r="I554">
        <f t="shared" si="28"/>
        <v>0</v>
      </c>
      <c r="J554">
        <f t="shared" si="29"/>
        <v>0</v>
      </c>
      <c r="L554" t="s">
        <v>457</v>
      </c>
      <c r="M554" t="s">
        <v>1066</v>
      </c>
    </row>
    <row r="555" spans="9:13">
      <c r="I555">
        <f t="shared" si="28"/>
        <v>0</v>
      </c>
      <c r="J555">
        <f t="shared" si="29"/>
        <v>0</v>
      </c>
      <c r="L555" t="s">
        <v>457</v>
      </c>
      <c r="M555" t="s">
        <v>1066</v>
      </c>
    </row>
    <row r="556" spans="9:13">
      <c r="I556">
        <f t="shared" si="28"/>
        <v>0</v>
      </c>
      <c r="J556">
        <f t="shared" si="29"/>
        <v>0</v>
      </c>
      <c r="L556" t="s">
        <v>459</v>
      </c>
      <c r="M556" t="s">
        <v>1066</v>
      </c>
    </row>
    <row r="557" spans="9:13">
      <c r="I557">
        <f t="shared" si="28"/>
        <v>0</v>
      </c>
      <c r="J557">
        <f t="shared" si="29"/>
        <v>0</v>
      </c>
      <c r="L557" t="s">
        <v>459</v>
      </c>
      <c r="M557" t="s">
        <v>1066</v>
      </c>
    </row>
    <row r="558" spans="9:13">
      <c r="I558">
        <f t="shared" si="28"/>
        <v>0</v>
      </c>
      <c r="J558">
        <f t="shared" si="29"/>
        <v>0</v>
      </c>
      <c r="L558" t="s">
        <v>460</v>
      </c>
      <c r="M558" t="s">
        <v>1066</v>
      </c>
    </row>
    <row r="559" spans="9:13">
      <c r="I559">
        <f t="shared" si="28"/>
        <v>0</v>
      </c>
      <c r="J559">
        <f t="shared" si="29"/>
        <v>0</v>
      </c>
      <c r="L559" t="s">
        <v>460</v>
      </c>
      <c r="M559" t="s">
        <v>1066</v>
      </c>
    </row>
    <row r="560" spans="9:13">
      <c r="I560">
        <f t="shared" si="28"/>
        <v>0</v>
      </c>
      <c r="J560">
        <f t="shared" si="29"/>
        <v>0</v>
      </c>
      <c r="L560" t="s">
        <v>461</v>
      </c>
      <c r="M560" t="s">
        <v>1066</v>
      </c>
    </row>
    <row r="561" spans="9:13">
      <c r="I561">
        <f t="shared" si="28"/>
        <v>0</v>
      </c>
      <c r="J561">
        <f t="shared" si="29"/>
        <v>0</v>
      </c>
      <c r="L561" t="s">
        <v>461</v>
      </c>
      <c r="M561" t="s">
        <v>1066</v>
      </c>
    </row>
    <row r="562" spans="9:13">
      <c r="I562">
        <f t="shared" si="28"/>
        <v>0</v>
      </c>
      <c r="J562">
        <f t="shared" si="29"/>
        <v>0</v>
      </c>
      <c r="L562" t="s">
        <v>462</v>
      </c>
      <c r="M562" t="s">
        <v>1066</v>
      </c>
    </row>
    <row r="563" spans="9:13">
      <c r="I563">
        <f t="shared" si="28"/>
        <v>0</v>
      </c>
      <c r="J563">
        <f t="shared" si="29"/>
        <v>0</v>
      </c>
      <c r="L563" t="s">
        <v>462</v>
      </c>
      <c r="M563" t="s">
        <v>1066</v>
      </c>
    </row>
    <row r="564" spans="9:13">
      <c r="I564">
        <f t="shared" si="28"/>
        <v>0</v>
      </c>
      <c r="J564">
        <f t="shared" si="29"/>
        <v>0</v>
      </c>
      <c r="L564" t="s">
        <v>463</v>
      </c>
      <c r="M564" t="s">
        <v>1066</v>
      </c>
    </row>
    <row r="565" spans="9:13">
      <c r="I565">
        <f t="shared" si="28"/>
        <v>0</v>
      </c>
      <c r="J565">
        <f t="shared" si="29"/>
        <v>0</v>
      </c>
      <c r="L565" t="s">
        <v>463</v>
      </c>
      <c r="M565" t="s">
        <v>1066</v>
      </c>
    </row>
    <row r="566" spans="9:13">
      <c r="I566">
        <f t="shared" si="28"/>
        <v>0</v>
      </c>
      <c r="J566">
        <f t="shared" si="29"/>
        <v>0</v>
      </c>
      <c r="L566" t="s">
        <v>464</v>
      </c>
      <c r="M566" t="s">
        <v>1066</v>
      </c>
    </row>
    <row r="567" spans="9:13">
      <c r="I567">
        <f t="shared" si="28"/>
        <v>0</v>
      </c>
      <c r="J567">
        <f t="shared" si="29"/>
        <v>0</v>
      </c>
      <c r="L567" t="s">
        <v>464</v>
      </c>
      <c r="M567" t="s">
        <v>1066</v>
      </c>
    </row>
    <row r="568" spans="9:13">
      <c r="I568">
        <f t="shared" si="28"/>
        <v>0</v>
      </c>
      <c r="J568">
        <f t="shared" si="29"/>
        <v>0</v>
      </c>
      <c r="L568" t="s">
        <v>465</v>
      </c>
      <c r="M568" t="s">
        <v>1066</v>
      </c>
    </row>
    <row r="569" spans="9:13">
      <c r="I569">
        <f t="shared" si="28"/>
        <v>0</v>
      </c>
      <c r="J569">
        <f t="shared" si="29"/>
        <v>0</v>
      </c>
      <c r="L569" t="s">
        <v>465</v>
      </c>
      <c r="M569" t="s">
        <v>1066</v>
      </c>
    </row>
    <row r="570" spans="9:13">
      <c r="I570">
        <f t="shared" si="28"/>
        <v>0</v>
      </c>
      <c r="J570">
        <f t="shared" si="29"/>
        <v>0</v>
      </c>
      <c r="L570" t="s">
        <v>466</v>
      </c>
      <c r="M570" t="s">
        <v>1066</v>
      </c>
    </row>
    <row r="571" spans="9:13">
      <c r="I571">
        <f t="shared" si="28"/>
        <v>0</v>
      </c>
      <c r="J571">
        <f t="shared" si="29"/>
        <v>0</v>
      </c>
      <c r="L571" t="s">
        <v>466</v>
      </c>
      <c r="M571" t="s">
        <v>1066</v>
      </c>
    </row>
    <row r="572" spans="9:13">
      <c r="I572">
        <f t="shared" si="28"/>
        <v>0</v>
      </c>
      <c r="J572">
        <f t="shared" si="29"/>
        <v>0</v>
      </c>
      <c r="L572" t="s">
        <v>467</v>
      </c>
      <c r="M572" t="s">
        <v>1066</v>
      </c>
    </row>
    <row r="573" spans="9:13">
      <c r="I573">
        <f t="shared" si="28"/>
        <v>0</v>
      </c>
      <c r="J573">
        <f t="shared" si="29"/>
        <v>0</v>
      </c>
      <c r="L573" t="s">
        <v>467</v>
      </c>
      <c r="M573" t="s">
        <v>1066</v>
      </c>
    </row>
    <row r="574" spans="9:13">
      <c r="I574">
        <f t="shared" si="28"/>
        <v>0</v>
      </c>
      <c r="J574">
        <f t="shared" si="29"/>
        <v>0</v>
      </c>
      <c r="L574" t="s">
        <v>468</v>
      </c>
      <c r="M574" t="s">
        <v>1066</v>
      </c>
    </row>
    <row r="575" spans="9:13">
      <c r="I575">
        <f t="shared" si="28"/>
        <v>0</v>
      </c>
      <c r="J575">
        <f t="shared" si="29"/>
        <v>0</v>
      </c>
      <c r="L575" t="s">
        <v>468</v>
      </c>
      <c r="M575" t="s">
        <v>1066</v>
      </c>
    </row>
    <row r="576" spans="9:13">
      <c r="I576">
        <f t="shared" si="28"/>
        <v>0</v>
      </c>
      <c r="J576">
        <f t="shared" si="29"/>
        <v>0</v>
      </c>
      <c r="L576" t="s">
        <v>469</v>
      </c>
      <c r="M576" t="s">
        <v>1066</v>
      </c>
    </row>
    <row r="577" spans="9:13">
      <c r="I577">
        <f t="shared" si="28"/>
        <v>0</v>
      </c>
      <c r="J577">
        <f t="shared" si="29"/>
        <v>0</v>
      </c>
      <c r="L577" t="s">
        <v>469</v>
      </c>
      <c r="M577" t="s">
        <v>1066</v>
      </c>
    </row>
    <row r="578" spans="9:13">
      <c r="I578">
        <f t="shared" si="28"/>
        <v>0</v>
      </c>
      <c r="J578">
        <f t="shared" si="29"/>
        <v>0</v>
      </c>
      <c r="L578" t="s">
        <v>471</v>
      </c>
      <c r="M578" t="s">
        <v>1066</v>
      </c>
    </row>
    <row r="579" spans="9:13">
      <c r="I579">
        <f t="shared" si="28"/>
        <v>0</v>
      </c>
      <c r="J579">
        <f t="shared" si="29"/>
        <v>0</v>
      </c>
      <c r="L579" t="s">
        <v>471</v>
      </c>
      <c r="M579" t="s">
        <v>1066</v>
      </c>
    </row>
    <row r="580" spans="9:13">
      <c r="I580">
        <f t="shared" si="28"/>
        <v>0</v>
      </c>
      <c r="J580">
        <f t="shared" si="29"/>
        <v>0</v>
      </c>
      <c r="L580" t="s">
        <v>472</v>
      </c>
      <c r="M580" t="s">
        <v>1067</v>
      </c>
    </row>
    <row r="581" spans="9:13">
      <c r="I581">
        <f t="shared" ref="I581:I644" si="30">+A581</f>
        <v>0</v>
      </c>
      <c r="J581">
        <f t="shared" ref="J581:J644" si="31">+E581</f>
        <v>0</v>
      </c>
      <c r="L581" t="s">
        <v>473</v>
      </c>
      <c r="M581" t="s">
        <v>1066</v>
      </c>
    </row>
    <row r="582" spans="9:13">
      <c r="I582">
        <f t="shared" si="30"/>
        <v>0</v>
      </c>
      <c r="J582">
        <f t="shared" si="31"/>
        <v>0</v>
      </c>
      <c r="L582" t="s">
        <v>473</v>
      </c>
      <c r="M582" t="s">
        <v>1066</v>
      </c>
    </row>
    <row r="583" spans="9:13">
      <c r="I583">
        <f t="shared" si="30"/>
        <v>0</v>
      </c>
      <c r="J583">
        <f t="shared" si="31"/>
        <v>0</v>
      </c>
      <c r="L583" t="s">
        <v>474</v>
      </c>
      <c r="M583" t="s">
        <v>1066</v>
      </c>
    </row>
    <row r="584" spans="9:13">
      <c r="I584">
        <f t="shared" si="30"/>
        <v>0</v>
      </c>
      <c r="J584">
        <f t="shared" si="31"/>
        <v>0</v>
      </c>
      <c r="L584" t="s">
        <v>474</v>
      </c>
      <c r="M584" t="s">
        <v>1066</v>
      </c>
    </row>
    <row r="585" spans="9:13">
      <c r="I585">
        <f t="shared" si="30"/>
        <v>0</v>
      </c>
      <c r="J585">
        <f t="shared" si="31"/>
        <v>0</v>
      </c>
      <c r="L585" t="s">
        <v>475</v>
      </c>
      <c r="M585" t="s">
        <v>1066</v>
      </c>
    </row>
    <row r="586" spans="9:13">
      <c r="I586">
        <f t="shared" si="30"/>
        <v>0</v>
      </c>
      <c r="J586">
        <f t="shared" si="31"/>
        <v>0</v>
      </c>
      <c r="L586" t="s">
        <v>475</v>
      </c>
      <c r="M586" t="s">
        <v>1066</v>
      </c>
    </row>
    <row r="587" spans="9:13">
      <c r="I587">
        <f t="shared" si="30"/>
        <v>0</v>
      </c>
      <c r="J587">
        <f t="shared" si="31"/>
        <v>0</v>
      </c>
      <c r="L587" t="s">
        <v>476</v>
      </c>
      <c r="M587" t="s">
        <v>1066</v>
      </c>
    </row>
    <row r="588" spans="9:13">
      <c r="I588">
        <f t="shared" si="30"/>
        <v>0</v>
      </c>
      <c r="J588">
        <f t="shared" si="31"/>
        <v>0</v>
      </c>
      <c r="L588" t="s">
        <v>476</v>
      </c>
      <c r="M588" t="s">
        <v>1066</v>
      </c>
    </row>
    <row r="589" spans="9:13">
      <c r="I589">
        <f t="shared" si="30"/>
        <v>0</v>
      </c>
      <c r="J589">
        <f t="shared" si="31"/>
        <v>0</v>
      </c>
      <c r="L589" t="s">
        <v>477</v>
      </c>
      <c r="M589" t="s">
        <v>1067</v>
      </c>
    </row>
    <row r="590" spans="9:13">
      <c r="I590">
        <f t="shared" si="30"/>
        <v>0</v>
      </c>
      <c r="J590">
        <f t="shared" si="31"/>
        <v>0</v>
      </c>
      <c r="L590" t="s">
        <v>478</v>
      </c>
      <c r="M590" t="s">
        <v>1066</v>
      </c>
    </row>
    <row r="591" spans="9:13">
      <c r="I591">
        <f t="shared" si="30"/>
        <v>0</v>
      </c>
      <c r="J591">
        <f t="shared" si="31"/>
        <v>0</v>
      </c>
      <c r="L591" t="s">
        <v>478</v>
      </c>
      <c r="M591" t="s">
        <v>1066</v>
      </c>
    </row>
    <row r="592" spans="9:13">
      <c r="I592">
        <f t="shared" si="30"/>
        <v>0</v>
      </c>
      <c r="J592">
        <f t="shared" si="31"/>
        <v>0</v>
      </c>
      <c r="L592" t="s">
        <v>479</v>
      </c>
      <c r="M592" t="s">
        <v>1067</v>
      </c>
    </row>
    <row r="593" spans="9:13">
      <c r="I593">
        <f t="shared" si="30"/>
        <v>0</v>
      </c>
      <c r="J593">
        <f t="shared" si="31"/>
        <v>0</v>
      </c>
      <c r="L593" t="s">
        <v>480</v>
      </c>
      <c r="M593" t="s">
        <v>1067</v>
      </c>
    </row>
    <row r="594" spans="9:13">
      <c r="I594">
        <f t="shared" si="30"/>
        <v>0</v>
      </c>
      <c r="J594">
        <f t="shared" si="31"/>
        <v>0</v>
      </c>
      <c r="L594" t="s">
        <v>481</v>
      </c>
      <c r="M594" t="s">
        <v>1067</v>
      </c>
    </row>
    <row r="595" spans="9:13">
      <c r="I595">
        <f t="shared" si="30"/>
        <v>0</v>
      </c>
      <c r="J595">
        <f t="shared" si="31"/>
        <v>0</v>
      </c>
      <c r="L595" t="s">
        <v>482</v>
      </c>
      <c r="M595" t="s">
        <v>1066</v>
      </c>
    </row>
    <row r="596" spans="9:13">
      <c r="I596">
        <f t="shared" si="30"/>
        <v>0</v>
      </c>
      <c r="J596">
        <f t="shared" si="31"/>
        <v>0</v>
      </c>
      <c r="L596" t="s">
        <v>482</v>
      </c>
      <c r="M596" t="s">
        <v>1066</v>
      </c>
    </row>
    <row r="597" spans="9:13">
      <c r="I597">
        <f t="shared" si="30"/>
        <v>0</v>
      </c>
      <c r="J597">
        <f t="shared" si="31"/>
        <v>0</v>
      </c>
      <c r="L597" t="s">
        <v>483</v>
      </c>
      <c r="M597" t="s">
        <v>1066</v>
      </c>
    </row>
    <row r="598" spans="9:13">
      <c r="I598">
        <f t="shared" si="30"/>
        <v>0</v>
      </c>
      <c r="J598">
        <f t="shared" si="31"/>
        <v>0</v>
      </c>
      <c r="L598" t="s">
        <v>483</v>
      </c>
      <c r="M598" t="s">
        <v>1066</v>
      </c>
    </row>
    <row r="599" spans="9:13">
      <c r="I599">
        <f t="shared" si="30"/>
        <v>0</v>
      </c>
      <c r="J599">
        <f t="shared" si="31"/>
        <v>0</v>
      </c>
      <c r="L599" t="s">
        <v>485</v>
      </c>
      <c r="M599" t="s">
        <v>1066</v>
      </c>
    </row>
    <row r="600" spans="9:13">
      <c r="I600">
        <f t="shared" si="30"/>
        <v>0</v>
      </c>
      <c r="J600">
        <f t="shared" si="31"/>
        <v>0</v>
      </c>
      <c r="L600" t="s">
        <v>485</v>
      </c>
      <c r="M600" t="s">
        <v>1066</v>
      </c>
    </row>
    <row r="601" spans="9:13">
      <c r="I601">
        <f t="shared" si="30"/>
        <v>0</v>
      </c>
      <c r="J601">
        <f t="shared" si="31"/>
        <v>0</v>
      </c>
      <c r="L601" t="s">
        <v>486</v>
      </c>
      <c r="M601" t="s">
        <v>1066</v>
      </c>
    </row>
    <row r="602" spans="9:13">
      <c r="I602">
        <f t="shared" si="30"/>
        <v>0</v>
      </c>
      <c r="J602">
        <f t="shared" si="31"/>
        <v>0</v>
      </c>
      <c r="L602" t="s">
        <v>486</v>
      </c>
      <c r="M602" t="s">
        <v>1066</v>
      </c>
    </row>
    <row r="603" spans="9:13">
      <c r="I603">
        <f t="shared" si="30"/>
        <v>0</v>
      </c>
      <c r="J603">
        <f t="shared" si="31"/>
        <v>0</v>
      </c>
      <c r="L603" t="s">
        <v>487</v>
      </c>
      <c r="M603" t="s">
        <v>1066</v>
      </c>
    </row>
    <row r="604" spans="9:13">
      <c r="I604">
        <f t="shared" si="30"/>
        <v>0</v>
      </c>
      <c r="J604">
        <f t="shared" si="31"/>
        <v>0</v>
      </c>
      <c r="L604" t="s">
        <v>487</v>
      </c>
      <c r="M604" t="s">
        <v>1066</v>
      </c>
    </row>
    <row r="605" spans="9:13">
      <c r="I605">
        <f t="shared" si="30"/>
        <v>0</v>
      </c>
      <c r="J605">
        <f t="shared" si="31"/>
        <v>0</v>
      </c>
      <c r="L605" t="s">
        <v>488</v>
      </c>
      <c r="M605" t="s">
        <v>1066</v>
      </c>
    </row>
    <row r="606" spans="9:13">
      <c r="I606">
        <f t="shared" si="30"/>
        <v>0</v>
      </c>
      <c r="J606">
        <f t="shared" si="31"/>
        <v>0</v>
      </c>
      <c r="L606" t="s">
        <v>488</v>
      </c>
      <c r="M606" t="s">
        <v>1066</v>
      </c>
    </row>
    <row r="607" spans="9:13">
      <c r="I607">
        <f t="shared" si="30"/>
        <v>0</v>
      </c>
      <c r="J607">
        <f t="shared" si="31"/>
        <v>0</v>
      </c>
      <c r="L607" t="s">
        <v>489</v>
      </c>
      <c r="M607" t="s">
        <v>1066</v>
      </c>
    </row>
    <row r="608" spans="9:13">
      <c r="I608">
        <f t="shared" si="30"/>
        <v>0</v>
      </c>
      <c r="J608">
        <f t="shared" si="31"/>
        <v>0</v>
      </c>
      <c r="L608" t="s">
        <v>489</v>
      </c>
      <c r="M608" t="s">
        <v>1066</v>
      </c>
    </row>
    <row r="609" spans="9:13">
      <c r="I609">
        <f t="shared" si="30"/>
        <v>0</v>
      </c>
      <c r="J609">
        <f t="shared" si="31"/>
        <v>0</v>
      </c>
      <c r="L609" t="s">
        <v>490</v>
      </c>
      <c r="M609" t="s">
        <v>1067</v>
      </c>
    </row>
    <row r="610" spans="9:13">
      <c r="I610">
        <f t="shared" si="30"/>
        <v>0</v>
      </c>
      <c r="J610">
        <f t="shared" si="31"/>
        <v>0</v>
      </c>
      <c r="L610" t="s">
        <v>491</v>
      </c>
      <c r="M610" t="s">
        <v>1066</v>
      </c>
    </row>
    <row r="611" spans="9:13">
      <c r="I611">
        <f t="shared" si="30"/>
        <v>0</v>
      </c>
      <c r="J611">
        <f t="shared" si="31"/>
        <v>0</v>
      </c>
      <c r="L611" t="s">
        <v>491</v>
      </c>
      <c r="M611" t="s">
        <v>1066</v>
      </c>
    </row>
    <row r="612" spans="9:13">
      <c r="I612">
        <f t="shared" si="30"/>
        <v>0</v>
      </c>
      <c r="J612">
        <f t="shared" si="31"/>
        <v>0</v>
      </c>
      <c r="L612" t="s">
        <v>492</v>
      </c>
      <c r="M612" t="s">
        <v>1066</v>
      </c>
    </row>
    <row r="613" spans="9:13">
      <c r="I613">
        <f t="shared" si="30"/>
        <v>0</v>
      </c>
      <c r="J613">
        <f t="shared" si="31"/>
        <v>0</v>
      </c>
      <c r="L613" t="s">
        <v>492</v>
      </c>
      <c r="M613" t="s">
        <v>1066</v>
      </c>
    </row>
    <row r="614" spans="9:13">
      <c r="I614">
        <f t="shared" si="30"/>
        <v>0</v>
      </c>
      <c r="J614">
        <f t="shared" si="31"/>
        <v>0</v>
      </c>
      <c r="L614" t="s">
        <v>493</v>
      </c>
      <c r="M614" t="s">
        <v>1066</v>
      </c>
    </row>
    <row r="615" spans="9:13">
      <c r="I615">
        <f t="shared" si="30"/>
        <v>0</v>
      </c>
      <c r="J615">
        <f t="shared" si="31"/>
        <v>0</v>
      </c>
      <c r="L615" t="s">
        <v>493</v>
      </c>
      <c r="M615" t="s">
        <v>1066</v>
      </c>
    </row>
    <row r="616" spans="9:13">
      <c r="I616">
        <f t="shared" si="30"/>
        <v>0</v>
      </c>
      <c r="J616">
        <f t="shared" si="31"/>
        <v>0</v>
      </c>
      <c r="L616" t="s">
        <v>495</v>
      </c>
      <c r="M616" t="s">
        <v>1066</v>
      </c>
    </row>
    <row r="617" spans="9:13">
      <c r="I617">
        <f t="shared" si="30"/>
        <v>0</v>
      </c>
      <c r="J617">
        <f t="shared" si="31"/>
        <v>0</v>
      </c>
      <c r="L617" t="s">
        <v>495</v>
      </c>
      <c r="M617" t="s">
        <v>1066</v>
      </c>
    </row>
    <row r="618" spans="9:13">
      <c r="I618">
        <f t="shared" si="30"/>
        <v>0</v>
      </c>
      <c r="J618">
        <f t="shared" si="31"/>
        <v>0</v>
      </c>
      <c r="L618" t="s">
        <v>496</v>
      </c>
      <c r="M618" t="s">
        <v>1066</v>
      </c>
    </row>
    <row r="619" spans="9:13">
      <c r="I619">
        <f t="shared" si="30"/>
        <v>0</v>
      </c>
      <c r="J619">
        <f t="shared" si="31"/>
        <v>0</v>
      </c>
      <c r="L619" t="s">
        <v>496</v>
      </c>
      <c r="M619" t="s">
        <v>1066</v>
      </c>
    </row>
    <row r="620" spans="9:13">
      <c r="I620">
        <f t="shared" si="30"/>
        <v>0</v>
      </c>
      <c r="J620">
        <f t="shared" si="31"/>
        <v>0</v>
      </c>
      <c r="L620" t="s">
        <v>497</v>
      </c>
      <c r="M620" t="s">
        <v>1066</v>
      </c>
    </row>
    <row r="621" spans="9:13">
      <c r="I621">
        <f t="shared" si="30"/>
        <v>0</v>
      </c>
      <c r="J621">
        <f t="shared" si="31"/>
        <v>0</v>
      </c>
      <c r="L621" t="s">
        <v>497</v>
      </c>
      <c r="M621" t="s">
        <v>1066</v>
      </c>
    </row>
    <row r="622" spans="9:13">
      <c r="I622">
        <f t="shared" si="30"/>
        <v>0</v>
      </c>
      <c r="J622">
        <f t="shared" si="31"/>
        <v>0</v>
      </c>
      <c r="L622" t="s">
        <v>498</v>
      </c>
      <c r="M622" t="s">
        <v>1066</v>
      </c>
    </row>
    <row r="623" spans="9:13">
      <c r="I623">
        <f t="shared" si="30"/>
        <v>0</v>
      </c>
      <c r="J623">
        <f t="shared" si="31"/>
        <v>0</v>
      </c>
      <c r="L623" t="s">
        <v>498</v>
      </c>
      <c r="M623" t="s">
        <v>1066</v>
      </c>
    </row>
    <row r="624" spans="9:13">
      <c r="I624">
        <f t="shared" si="30"/>
        <v>0</v>
      </c>
      <c r="J624">
        <f t="shared" si="31"/>
        <v>0</v>
      </c>
      <c r="L624" t="s">
        <v>499</v>
      </c>
      <c r="M624" t="s">
        <v>1066</v>
      </c>
    </row>
    <row r="625" spans="9:13">
      <c r="I625">
        <f t="shared" si="30"/>
        <v>0</v>
      </c>
      <c r="J625">
        <f t="shared" si="31"/>
        <v>0</v>
      </c>
      <c r="L625" t="s">
        <v>499</v>
      </c>
      <c r="M625" t="s">
        <v>1066</v>
      </c>
    </row>
    <row r="626" spans="9:13">
      <c r="I626">
        <f t="shared" si="30"/>
        <v>0</v>
      </c>
      <c r="J626">
        <f t="shared" si="31"/>
        <v>0</v>
      </c>
      <c r="L626" t="s">
        <v>500</v>
      </c>
      <c r="M626" t="s">
        <v>1066</v>
      </c>
    </row>
    <row r="627" spans="9:13">
      <c r="I627">
        <f t="shared" si="30"/>
        <v>0</v>
      </c>
      <c r="J627">
        <f t="shared" si="31"/>
        <v>0</v>
      </c>
      <c r="L627" t="s">
        <v>500</v>
      </c>
      <c r="M627" t="s">
        <v>1066</v>
      </c>
    </row>
    <row r="628" spans="9:13">
      <c r="I628">
        <f t="shared" si="30"/>
        <v>0</v>
      </c>
      <c r="J628">
        <f t="shared" si="31"/>
        <v>0</v>
      </c>
      <c r="L628" t="s">
        <v>501</v>
      </c>
      <c r="M628" t="s">
        <v>1066</v>
      </c>
    </row>
    <row r="629" spans="9:13">
      <c r="I629">
        <f t="shared" si="30"/>
        <v>0</v>
      </c>
      <c r="J629">
        <f t="shared" si="31"/>
        <v>0</v>
      </c>
      <c r="L629" t="s">
        <v>501</v>
      </c>
      <c r="M629" t="s">
        <v>1066</v>
      </c>
    </row>
    <row r="630" spans="9:13">
      <c r="I630">
        <f t="shared" si="30"/>
        <v>0</v>
      </c>
      <c r="J630">
        <f t="shared" si="31"/>
        <v>0</v>
      </c>
      <c r="L630" t="s">
        <v>502</v>
      </c>
      <c r="M630" t="s">
        <v>1066</v>
      </c>
    </row>
    <row r="631" spans="9:13">
      <c r="I631">
        <f t="shared" si="30"/>
        <v>0</v>
      </c>
      <c r="J631">
        <f t="shared" si="31"/>
        <v>0</v>
      </c>
      <c r="L631" t="s">
        <v>502</v>
      </c>
      <c r="M631" t="s">
        <v>1066</v>
      </c>
    </row>
    <row r="632" spans="9:13">
      <c r="I632">
        <f t="shared" si="30"/>
        <v>0</v>
      </c>
      <c r="J632">
        <f t="shared" si="31"/>
        <v>0</v>
      </c>
      <c r="L632" t="s">
        <v>503</v>
      </c>
      <c r="M632" t="s">
        <v>1066</v>
      </c>
    </row>
    <row r="633" spans="9:13">
      <c r="I633">
        <f t="shared" si="30"/>
        <v>0</v>
      </c>
      <c r="J633">
        <f t="shared" si="31"/>
        <v>0</v>
      </c>
      <c r="L633" t="s">
        <v>503</v>
      </c>
      <c r="M633" t="s">
        <v>1066</v>
      </c>
    </row>
    <row r="634" spans="9:13">
      <c r="I634">
        <f t="shared" si="30"/>
        <v>0</v>
      </c>
      <c r="J634">
        <f t="shared" si="31"/>
        <v>0</v>
      </c>
      <c r="L634" t="s">
        <v>504</v>
      </c>
      <c r="M634" t="s">
        <v>1066</v>
      </c>
    </row>
    <row r="635" spans="9:13">
      <c r="I635">
        <f t="shared" si="30"/>
        <v>0</v>
      </c>
      <c r="J635">
        <f t="shared" si="31"/>
        <v>0</v>
      </c>
      <c r="L635" t="s">
        <v>504</v>
      </c>
      <c r="M635" t="s">
        <v>1066</v>
      </c>
    </row>
    <row r="636" spans="9:13">
      <c r="I636">
        <f t="shared" si="30"/>
        <v>0</v>
      </c>
      <c r="J636">
        <f t="shared" si="31"/>
        <v>0</v>
      </c>
      <c r="L636" t="s">
        <v>505</v>
      </c>
      <c r="M636" t="s">
        <v>1066</v>
      </c>
    </row>
    <row r="637" spans="9:13">
      <c r="I637">
        <f t="shared" si="30"/>
        <v>0</v>
      </c>
      <c r="J637">
        <f t="shared" si="31"/>
        <v>0</v>
      </c>
      <c r="L637" t="s">
        <v>505</v>
      </c>
      <c r="M637" t="s">
        <v>1066</v>
      </c>
    </row>
    <row r="638" spans="9:13">
      <c r="I638">
        <f t="shared" si="30"/>
        <v>0</v>
      </c>
      <c r="J638">
        <f t="shared" si="31"/>
        <v>0</v>
      </c>
      <c r="L638" t="s">
        <v>506</v>
      </c>
      <c r="M638" t="s">
        <v>1066</v>
      </c>
    </row>
    <row r="639" spans="9:13">
      <c r="I639">
        <f t="shared" si="30"/>
        <v>0</v>
      </c>
      <c r="J639">
        <f t="shared" si="31"/>
        <v>0</v>
      </c>
      <c r="L639" t="s">
        <v>506</v>
      </c>
      <c r="M639" t="s">
        <v>1066</v>
      </c>
    </row>
    <row r="640" spans="9:13">
      <c r="I640">
        <f t="shared" si="30"/>
        <v>0</v>
      </c>
      <c r="J640">
        <f t="shared" si="31"/>
        <v>0</v>
      </c>
      <c r="L640" t="s">
        <v>507</v>
      </c>
      <c r="M640" t="s">
        <v>1066</v>
      </c>
    </row>
    <row r="641" spans="9:13">
      <c r="I641">
        <f t="shared" si="30"/>
        <v>0</v>
      </c>
      <c r="J641">
        <f t="shared" si="31"/>
        <v>0</v>
      </c>
      <c r="L641" t="s">
        <v>507</v>
      </c>
      <c r="M641" t="s">
        <v>1066</v>
      </c>
    </row>
    <row r="642" spans="9:13">
      <c r="I642">
        <f t="shared" si="30"/>
        <v>0</v>
      </c>
      <c r="J642">
        <f t="shared" si="31"/>
        <v>0</v>
      </c>
      <c r="L642" t="s">
        <v>508</v>
      </c>
      <c r="M642" t="s">
        <v>1066</v>
      </c>
    </row>
    <row r="643" spans="9:13">
      <c r="I643">
        <f t="shared" si="30"/>
        <v>0</v>
      </c>
      <c r="J643">
        <f t="shared" si="31"/>
        <v>0</v>
      </c>
      <c r="L643" t="s">
        <v>508</v>
      </c>
      <c r="M643" t="s">
        <v>1066</v>
      </c>
    </row>
    <row r="644" spans="9:13">
      <c r="I644">
        <f t="shared" si="30"/>
        <v>0</v>
      </c>
      <c r="J644">
        <f t="shared" si="31"/>
        <v>0</v>
      </c>
      <c r="L644" t="s">
        <v>509</v>
      </c>
      <c r="M644" t="s">
        <v>1066</v>
      </c>
    </row>
    <row r="645" spans="9:13">
      <c r="I645">
        <f t="shared" ref="I645:I708" si="32">+A645</f>
        <v>0</v>
      </c>
      <c r="J645">
        <f t="shared" ref="J645:J708" si="33">+E645</f>
        <v>0</v>
      </c>
      <c r="L645" t="s">
        <v>509</v>
      </c>
      <c r="M645" t="s">
        <v>1066</v>
      </c>
    </row>
    <row r="646" spans="9:13">
      <c r="I646">
        <f t="shared" si="32"/>
        <v>0</v>
      </c>
      <c r="J646">
        <f t="shared" si="33"/>
        <v>0</v>
      </c>
      <c r="L646" t="s">
        <v>510</v>
      </c>
      <c r="M646" t="s">
        <v>1066</v>
      </c>
    </row>
    <row r="647" spans="9:13">
      <c r="I647">
        <f t="shared" si="32"/>
        <v>0</v>
      </c>
      <c r="J647">
        <f t="shared" si="33"/>
        <v>0</v>
      </c>
      <c r="L647" t="s">
        <v>510</v>
      </c>
      <c r="M647" t="s">
        <v>1066</v>
      </c>
    </row>
    <row r="648" spans="9:13">
      <c r="I648">
        <f t="shared" si="32"/>
        <v>0</v>
      </c>
      <c r="J648">
        <f t="shared" si="33"/>
        <v>0</v>
      </c>
      <c r="L648" t="s">
        <v>511</v>
      </c>
      <c r="M648" t="s">
        <v>1066</v>
      </c>
    </row>
    <row r="649" spans="9:13">
      <c r="I649">
        <f t="shared" si="32"/>
        <v>0</v>
      </c>
      <c r="J649">
        <f t="shared" si="33"/>
        <v>0</v>
      </c>
      <c r="L649" t="s">
        <v>511</v>
      </c>
      <c r="M649" t="s">
        <v>1066</v>
      </c>
    </row>
    <row r="650" spans="9:13">
      <c r="I650">
        <f t="shared" si="32"/>
        <v>0</v>
      </c>
      <c r="J650">
        <f t="shared" si="33"/>
        <v>0</v>
      </c>
      <c r="L650" t="s">
        <v>512</v>
      </c>
      <c r="M650" t="s">
        <v>1066</v>
      </c>
    </row>
    <row r="651" spans="9:13">
      <c r="I651">
        <f t="shared" si="32"/>
        <v>0</v>
      </c>
      <c r="J651">
        <f t="shared" si="33"/>
        <v>0</v>
      </c>
      <c r="L651" t="s">
        <v>512</v>
      </c>
      <c r="M651" t="s">
        <v>1066</v>
      </c>
    </row>
    <row r="652" spans="9:13">
      <c r="I652">
        <f t="shared" si="32"/>
        <v>0</v>
      </c>
      <c r="J652">
        <f t="shared" si="33"/>
        <v>0</v>
      </c>
      <c r="L652" t="s">
        <v>513</v>
      </c>
      <c r="M652" t="s">
        <v>1066</v>
      </c>
    </row>
    <row r="653" spans="9:13">
      <c r="I653">
        <f t="shared" si="32"/>
        <v>0</v>
      </c>
      <c r="J653">
        <f t="shared" si="33"/>
        <v>0</v>
      </c>
      <c r="L653" t="s">
        <v>513</v>
      </c>
      <c r="M653" t="s">
        <v>1066</v>
      </c>
    </row>
    <row r="654" spans="9:13">
      <c r="I654">
        <f t="shared" si="32"/>
        <v>0</v>
      </c>
      <c r="J654">
        <f t="shared" si="33"/>
        <v>0</v>
      </c>
      <c r="L654" t="s">
        <v>514</v>
      </c>
      <c r="M654" t="s">
        <v>1066</v>
      </c>
    </row>
    <row r="655" spans="9:13">
      <c r="I655">
        <f t="shared" si="32"/>
        <v>0</v>
      </c>
      <c r="J655">
        <f t="shared" si="33"/>
        <v>0</v>
      </c>
      <c r="L655" t="s">
        <v>514</v>
      </c>
      <c r="M655" t="s">
        <v>1066</v>
      </c>
    </row>
    <row r="656" spans="9:13">
      <c r="I656">
        <f t="shared" si="32"/>
        <v>0</v>
      </c>
      <c r="J656">
        <f t="shared" si="33"/>
        <v>0</v>
      </c>
      <c r="L656" t="s">
        <v>516</v>
      </c>
      <c r="M656" t="s">
        <v>1066</v>
      </c>
    </row>
    <row r="657" spans="9:13">
      <c r="I657">
        <f t="shared" si="32"/>
        <v>0</v>
      </c>
      <c r="J657">
        <f t="shared" si="33"/>
        <v>0</v>
      </c>
      <c r="L657" t="s">
        <v>516</v>
      </c>
      <c r="M657" t="s">
        <v>1066</v>
      </c>
    </row>
    <row r="658" spans="9:13">
      <c r="I658">
        <f t="shared" si="32"/>
        <v>0</v>
      </c>
      <c r="J658">
        <f t="shared" si="33"/>
        <v>0</v>
      </c>
      <c r="L658" t="s">
        <v>517</v>
      </c>
      <c r="M658" t="s">
        <v>1066</v>
      </c>
    </row>
    <row r="659" spans="9:13">
      <c r="I659">
        <f t="shared" si="32"/>
        <v>0</v>
      </c>
      <c r="J659">
        <f t="shared" si="33"/>
        <v>0</v>
      </c>
      <c r="L659" t="s">
        <v>517</v>
      </c>
      <c r="M659" t="s">
        <v>1066</v>
      </c>
    </row>
    <row r="660" spans="9:13">
      <c r="I660">
        <f t="shared" si="32"/>
        <v>0</v>
      </c>
      <c r="J660">
        <f t="shared" si="33"/>
        <v>0</v>
      </c>
      <c r="L660" t="s">
        <v>518</v>
      </c>
      <c r="M660" t="s">
        <v>1066</v>
      </c>
    </row>
    <row r="661" spans="9:13">
      <c r="I661">
        <f t="shared" si="32"/>
        <v>0</v>
      </c>
      <c r="J661">
        <f t="shared" si="33"/>
        <v>0</v>
      </c>
      <c r="L661" t="s">
        <v>518</v>
      </c>
      <c r="M661" t="s">
        <v>1066</v>
      </c>
    </row>
    <row r="662" spans="9:13">
      <c r="I662">
        <f t="shared" si="32"/>
        <v>0</v>
      </c>
      <c r="J662">
        <f t="shared" si="33"/>
        <v>0</v>
      </c>
      <c r="L662" t="s">
        <v>519</v>
      </c>
      <c r="M662" t="s">
        <v>1066</v>
      </c>
    </row>
    <row r="663" spans="9:13">
      <c r="I663">
        <f t="shared" si="32"/>
        <v>0</v>
      </c>
      <c r="J663">
        <f t="shared" si="33"/>
        <v>0</v>
      </c>
      <c r="L663" t="s">
        <v>519</v>
      </c>
      <c r="M663" t="s">
        <v>1066</v>
      </c>
    </row>
    <row r="664" spans="9:13">
      <c r="I664">
        <f t="shared" si="32"/>
        <v>0</v>
      </c>
      <c r="J664">
        <f t="shared" si="33"/>
        <v>0</v>
      </c>
      <c r="L664" t="s">
        <v>520</v>
      </c>
      <c r="M664" t="s">
        <v>1066</v>
      </c>
    </row>
    <row r="665" spans="9:13">
      <c r="I665">
        <f t="shared" si="32"/>
        <v>0</v>
      </c>
      <c r="J665">
        <f t="shared" si="33"/>
        <v>0</v>
      </c>
      <c r="L665" t="s">
        <v>520</v>
      </c>
      <c r="M665" t="s">
        <v>1066</v>
      </c>
    </row>
    <row r="666" spans="9:13">
      <c r="I666">
        <f t="shared" si="32"/>
        <v>0</v>
      </c>
      <c r="J666">
        <f t="shared" si="33"/>
        <v>0</v>
      </c>
      <c r="L666" t="s">
        <v>521</v>
      </c>
      <c r="M666" t="s">
        <v>1066</v>
      </c>
    </row>
    <row r="667" spans="9:13">
      <c r="I667">
        <f t="shared" si="32"/>
        <v>0</v>
      </c>
      <c r="J667">
        <f t="shared" si="33"/>
        <v>0</v>
      </c>
      <c r="L667" t="s">
        <v>521</v>
      </c>
      <c r="M667" t="s">
        <v>1066</v>
      </c>
    </row>
    <row r="668" spans="9:13">
      <c r="I668">
        <f t="shared" si="32"/>
        <v>0</v>
      </c>
      <c r="J668">
        <f t="shared" si="33"/>
        <v>0</v>
      </c>
      <c r="L668" t="s">
        <v>522</v>
      </c>
      <c r="M668" t="s">
        <v>1066</v>
      </c>
    </row>
    <row r="669" spans="9:13">
      <c r="I669">
        <f t="shared" si="32"/>
        <v>0</v>
      </c>
      <c r="J669">
        <f t="shared" si="33"/>
        <v>0</v>
      </c>
      <c r="L669" t="s">
        <v>522</v>
      </c>
      <c r="M669" t="s">
        <v>1066</v>
      </c>
    </row>
    <row r="670" spans="9:13">
      <c r="I670">
        <f t="shared" si="32"/>
        <v>0</v>
      </c>
      <c r="J670">
        <f t="shared" si="33"/>
        <v>0</v>
      </c>
      <c r="L670" t="s">
        <v>523</v>
      </c>
      <c r="M670" t="s">
        <v>1066</v>
      </c>
    </row>
    <row r="671" spans="9:13">
      <c r="I671">
        <f t="shared" si="32"/>
        <v>0</v>
      </c>
      <c r="J671">
        <f t="shared" si="33"/>
        <v>0</v>
      </c>
      <c r="L671" t="s">
        <v>523</v>
      </c>
      <c r="M671" t="s">
        <v>1066</v>
      </c>
    </row>
    <row r="672" spans="9:13">
      <c r="I672">
        <f t="shared" si="32"/>
        <v>0</v>
      </c>
      <c r="J672">
        <f t="shared" si="33"/>
        <v>0</v>
      </c>
      <c r="L672" t="s">
        <v>524</v>
      </c>
      <c r="M672" t="s">
        <v>1066</v>
      </c>
    </row>
    <row r="673" spans="9:13">
      <c r="I673">
        <f t="shared" si="32"/>
        <v>0</v>
      </c>
      <c r="J673">
        <f t="shared" si="33"/>
        <v>0</v>
      </c>
      <c r="L673" t="s">
        <v>524</v>
      </c>
      <c r="M673" t="s">
        <v>1066</v>
      </c>
    </row>
    <row r="674" spans="9:13">
      <c r="I674">
        <f t="shared" si="32"/>
        <v>0</v>
      </c>
      <c r="J674">
        <f t="shared" si="33"/>
        <v>0</v>
      </c>
      <c r="L674" t="s">
        <v>525</v>
      </c>
      <c r="M674" t="s">
        <v>1066</v>
      </c>
    </row>
    <row r="675" spans="9:13">
      <c r="I675">
        <f t="shared" si="32"/>
        <v>0</v>
      </c>
      <c r="J675">
        <f t="shared" si="33"/>
        <v>0</v>
      </c>
      <c r="L675" t="s">
        <v>525</v>
      </c>
      <c r="M675" t="s">
        <v>1066</v>
      </c>
    </row>
    <row r="676" spans="9:13">
      <c r="I676">
        <f t="shared" si="32"/>
        <v>0</v>
      </c>
      <c r="J676">
        <f t="shared" si="33"/>
        <v>0</v>
      </c>
      <c r="L676" t="s">
        <v>526</v>
      </c>
      <c r="M676" t="s">
        <v>1066</v>
      </c>
    </row>
    <row r="677" spans="9:13">
      <c r="I677">
        <f t="shared" si="32"/>
        <v>0</v>
      </c>
      <c r="J677">
        <f t="shared" si="33"/>
        <v>0</v>
      </c>
      <c r="L677" t="s">
        <v>526</v>
      </c>
      <c r="M677" t="s">
        <v>1066</v>
      </c>
    </row>
    <row r="678" spans="9:13">
      <c r="I678">
        <f t="shared" si="32"/>
        <v>0</v>
      </c>
      <c r="J678">
        <f t="shared" si="33"/>
        <v>0</v>
      </c>
      <c r="L678" t="s">
        <v>527</v>
      </c>
      <c r="M678" t="s">
        <v>1066</v>
      </c>
    </row>
    <row r="679" spans="9:13">
      <c r="I679">
        <f t="shared" si="32"/>
        <v>0</v>
      </c>
      <c r="J679">
        <f t="shared" si="33"/>
        <v>0</v>
      </c>
      <c r="L679" t="s">
        <v>527</v>
      </c>
      <c r="M679" t="s">
        <v>1066</v>
      </c>
    </row>
    <row r="680" spans="9:13">
      <c r="I680">
        <f t="shared" si="32"/>
        <v>0</v>
      </c>
      <c r="J680">
        <f t="shared" si="33"/>
        <v>0</v>
      </c>
      <c r="L680" t="s">
        <v>528</v>
      </c>
      <c r="M680" t="s">
        <v>1066</v>
      </c>
    </row>
    <row r="681" spans="9:13">
      <c r="I681">
        <f t="shared" si="32"/>
        <v>0</v>
      </c>
      <c r="J681">
        <f t="shared" si="33"/>
        <v>0</v>
      </c>
      <c r="L681" t="s">
        <v>528</v>
      </c>
      <c r="M681" t="s">
        <v>1066</v>
      </c>
    </row>
    <row r="682" spans="9:13">
      <c r="I682">
        <f t="shared" si="32"/>
        <v>0</v>
      </c>
      <c r="J682">
        <f t="shared" si="33"/>
        <v>0</v>
      </c>
      <c r="L682" t="s">
        <v>529</v>
      </c>
      <c r="M682" t="s">
        <v>1066</v>
      </c>
    </row>
    <row r="683" spans="9:13">
      <c r="I683">
        <f t="shared" si="32"/>
        <v>0</v>
      </c>
      <c r="J683">
        <f t="shared" si="33"/>
        <v>0</v>
      </c>
      <c r="L683" t="s">
        <v>529</v>
      </c>
      <c r="M683" t="s">
        <v>1066</v>
      </c>
    </row>
    <row r="684" spans="9:13">
      <c r="I684">
        <f t="shared" si="32"/>
        <v>0</v>
      </c>
      <c r="J684">
        <f t="shared" si="33"/>
        <v>0</v>
      </c>
      <c r="L684" t="s">
        <v>530</v>
      </c>
      <c r="M684" t="s">
        <v>1066</v>
      </c>
    </row>
    <row r="685" spans="9:13">
      <c r="I685">
        <f t="shared" si="32"/>
        <v>0</v>
      </c>
      <c r="J685">
        <f t="shared" si="33"/>
        <v>0</v>
      </c>
      <c r="L685" t="s">
        <v>530</v>
      </c>
      <c r="M685" t="s">
        <v>1066</v>
      </c>
    </row>
    <row r="686" spans="9:13">
      <c r="I686">
        <f t="shared" si="32"/>
        <v>0</v>
      </c>
      <c r="J686">
        <f t="shared" si="33"/>
        <v>0</v>
      </c>
      <c r="L686" t="s">
        <v>531</v>
      </c>
      <c r="M686" t="s">
        <v>1067</v>
      </c>
    </row>
    <row r="687" spans="9:13">
      <c r="I687">
        <f t="shared" si="32"/>
        <v>0</v>
      </c>
      <c r="J687">
        <f t="shared" si="33"/>
        <v>0</v>
      </c>
      <c r="L687" t="s">
        <v>532</v>
      </c>
      <c r="M687" t="s">
        <v>1066</v>
      </c>
    </row>
    <row r="688" spans="9:13">
      <c r="I688">
        <f t="shared" si="32"/>
        <v>0</v>
      </c>
      <c r="J688">
        <f t="shared" si="33"/>
        <v>0</v>
      </c>
      <c r="L688" t="s">
        <v>532</v>
      </c>
      <c r="M688" t="s">
        <v>1066</v>
      </c>
    </row>
    <row r="689" spans="9:13">
      <c r="I689">
        <f t="shared" si="32"/>
        <v>0</v>
      </c>
      <c r="J689">
        <f t="shared" si="33"/>
        <v>0</v>
      </c>
      <c r="L689" t="s">
        <v>533</v>
      </c>
      <c r="M689" t="s">
        <v>1066</v>
      </c>
    </row>
    <row r="690" spans="9:13">
      <c r="I690">
        <f t="shared" si="32"/>
        <v>0</v>
      </c>
      <c r="J690">
        <f t="shared" si="33"/>
        <v>0</v>
      </c>
      <c r="L690" t="s">
        <v>533</v>
      </c>
      <c r="M690" t="s">
        <v>1066</v>
      </c>
    </row>
    <row r="691" spans="9:13">
      <c r="I691">
        <f t="shared" si="32"/>
        <v>0</v>
      </c>
      <c r="J691">
        <f t="shared" si="33"/>
        <v>0</v>
      </c>
      <c r="L691" t="s">
        <v>534</v>
      </c>
      <c r="M691" t="s">
        <v>1066</v>
      </c>
    </row>
    <row r="692" spans="9:13">
      <c r="I692">
        <f t="shared" si="32"/>
        <v>0</v>
      </c>
      <c r="J692">
        <f t="shared" si="33"/>
        <v>0</v>
      </c>
      <c r="L692" t="s">
        <v>534</v>
      </c>
      <c r="M692" t="s">
        <v>1066</v>
      </c>
    </row>
    <row r="693" spans="9:13">
      <c r="I693">
        <f t="shared" si="32"/>
        <v>0</v>
      </c>
      <c r="J693">
        <f t="shared" si="33"/>
        <v>0</v>
      </c>
      <c r="L693" t="s">
        <v>535</v>
      </c>
      <c r="M693" t="s">
        <v>1066</v>
      </c>
    </row>
    <row r="694" spans="9:13">
      <c r="I694">
        <f t="shared" si="32"/>
        <v>0</v>
      </c>
      <c r="J694">
        <f t="shared" si="33"/>
        <v>0</v>
      </c>
      <c r="L694" t="s">
        <v>535</v>
      </c>
      <c r="M694" t="s">
        <v>1066</v>
      </c>
    </row>
    <row r="695" spans="9:13">
      <c r="I695">
        <f t="shared" si="32"/>
        <v>0</v>
      </c>
      <c r="J695">
        <f t="shared" si="33"/>
        <v>0</v>
      </c>
      <c r="L695" t="s">
        <v>536</v>
      </c>
      <c r="M695" t="s">
        <v>1066</v>
      </c>
    </row>
    <row r="696" spans="9:13">
      <c r="I696">
        <f t="shared" si="32"/>
        <v>0</v>
      </c>
      <c r="J696">
        <f t="shared" si="33"/>
        <v>0</v>
      </c>
      <c r="L696" t="s">
        <v>536</v>
      </c>
      <c r="M696" t="s">
        <v>1066</v>
      </c>
    </row>
    <row r="697" spans="9:13">
      <c r="I697">
        <f t="shared" si="32"/>
        <v>0</v>
      </c>
      <c r="J697">
        <f t="shared" si="33"/>
        <v>0</v>
      </c>
      <c r="L697" t="s">
        <v>537</v>
      </c>
      <c r="M697" t="s">
        <v>1066</v>
      </c>
    </row>
    <row r="698" spans="9:13">
      <c r="I698">
        <f t="shared" si="32"/>
        <v>0</v>
      </c>
      <c r="J698">
        <f t="shared" si="33"/>
        <v>0</v>
      </c>
      <c r="L698" t="s">
        <v>537</v>
      </c>
      <c r="M698" t="s">
        <v>1066</v>
      </c>
    </row>
    <row r="699" spans="9:13">
      <c r="I699">
        <f t="shared" si="32"/>
        <v>0</v>
      </c>
      <c r="J699">
        <f t="shared" si="33"/>
        <v>0</v>
      </c>
      <c r="L699" t="s">
        <v>538</v>
      </c>
      <c r="M699" t="s">
        <v>1066</v>
      </c>
    </row>
    <row r="700" spans="9:13">
      <c r="I700">
        <f t="shared" si="32"/>
        <v>0</v>
      </c>
      <c r="J700">
        <f t="shared" si="33"/>
        <v>0</v>
      </c>
      <c r="L700" t="s">
        <v>538</v>
      </c>
      <c r="M700" t="s">
        <v>1066</v>
      </c>
    </row>
    <row r="701" spans="9:13">
      <c r="I701">
        <f t="shared" si="32"/>
        <v>0</v>
      </c>
      <c r="J701">
        <f t="shared" si="33"/>
        <v>0</v>
      </c>
      <c r="L701" t="s">
        <v>539</v>
      </c>
      <c r="M701" t="s">
        <v>1066</v>
      </c>
    </row>
    <row r="702" spans="9:13">
      <c r="I702">
        <f t="shared" si="32"/>
        <v>0</v>
      </c>
      <c r="J702">
        <f t="shared" si="33"/>
        <v>0</v>
      </c>
      <c r="L702" t="s">
        <v>539</v>
      </c>
      <c r="M702" t="s">
        <v>1066</v>
      </c>
    </row>
    <row r="703" spans="9:13">
      <c r="I703">
        <f t="shared" si="32"/>
        <v>0</v>
      </c>
      <c r="J703">
        <f t="shared" si="33"/>
        <v>0</v>
      </c>
      <c r="L703" t="s">
        <v>540</v>
      </c>
      <c r="M703" t="s">
        <v>1066</v>
      </c>
    </row>
    <row r="704" spans="9:13">
      <c r="I704">
        <f t="shared" si="32"/>
        <v>0</v>
      </c>
      <c r="J704">
        <f t="shared" si="33"/>
        <v>0</v>
      </c>
      <c r="L704" t="s">
        <v>540</v>
      </c>
      <c r="M704" t="s">
        <v>1066</v>
      </c>
    </row>
    <row r="705" spans="9:13">
      <c r="I705">
        <f t="shared" si="32"/>
        <v>0</v>
      </c>
      <c r="J705">
        <f t="shared" si="33"/>
        <v>0</v>
      </c>
      <c r="L705" t="s">
        <v>541</v>
      </c>
      <c r="M705" t="s">
        <v>1066</v>
      </c>
    </row>
    <row r="706" spans="9:13">
      <c r="I706">
        <f t="shared" si="32"/>
        <v>0</v>
      </c>
      <c r="J706">
        <f t="shared" si="33"/>
        <v>0</v>
      </c>
      <c r="L706" t="s">
        <v>541</v>
      </c>
      <c r="M706" t="s">
        <v>1066</v>
      </c>
    </row>
    <row r="707" spans="9:13">
      <c r="I707">
        <f t="shared" si="32"/>
        <v>0</v>
      </c>
      <c r="J707">
        <f t="shared" si="33"/>
        <v>0</v>
      </c>
      <c r="L707" t="s">
        <v>542</v>
      </c>
      <c r="M707" t="s">
        <v>1066</v>
      </c>
    </row>
    <row r="708" spans="9:13">
      <c r="I708">
        <f t="shared" si="32"/>
        <v>0</v>
      </c>
      <c r="J708">
        <f t="shared" si="33"/>
        <v>0</v>
      </c>
      <c r="L708" t="s">
        <v>542</v>
      </c>
      <c r="M708" t="s">
        <v>1066</v>
      </c>
    </row>
    <row r="709" spans="9:13">
      <c r="I709">
        <f t="shared" ref="I709:I772" si="34">+A709</f>
        <v>0</v>
      </c>
      <c r="J709">
        <f t="shared" ref="J709:J772" si="35">+E709</f>
        <v>0</v>
      </c>
      <c r="L709" t="s">
        <v>543</v>
      </c>
      <c r="M709" t="s">
        <v>1066</v>
      </c>
    </row>
    <row r="710" spans="9:13">
      <c r="I710">
        <f t="shared" si="34"/>
        <v>0</v>
      </c>
      <c r="J710">
        <f t="shared" si="35"/>
        <v>0</v>
      </c>
      <c r="L710" t="s">
        <v>543</v>
      </c>
      <c r="M710" t="s">
        <v>1066</v>
      </c>
    </row>
    <row r="711" spans="9:13">
      <c r="I711">
        <f t="shared" si="34"/>
        <v>0</v>
      </c>
      <c r="J711">
        <f t="shared" si="35"/>
        <v>0</v>
      </c>
      <c r="L711" t="s">
        <v>544</v>
      </c>
      <c r="M711" t="s">
        <v>1067</v>
      </c>
    </row>
    <row r="712" spans="9:13">
      <c r="I712">
        <f t="shared" si="34"/>
        <v>0</v>
      </c>
      <c r="J712">
        <f t="shared" si="35"/>
        <v>0</v>
      </c>
      <c r="L712" t="s">
        <v>545</v>
      </c>
      <c r="M712" t="s">
        <v>1066</v>
      </c>
    </row>
    <row r="713" spans="9:13">
      <c r="I713">
        <f t="shared" si="34"/>
        <v>0</v>
      </c>
      <c r="J713">
        <f t="shared" si="35"/>
        <v>0</v>
      </c>
      <c r="L713" t="s">
        <v>545</v>
      </c>
      <c r="M713" t="s">
        <v>1066</v>
      </c>
    </row>
    <row r="714" spans="9:13">
      <c r="I714">
        <f t="shared" si="34"/>
        <v>0</v>
      </c>
      <c r="J714">
        <f t="shared" si="35"/>
        <v>0</v>
      </c>
      <c r="L714" t="s">
        <v>546</v>
      </c>
      <c r="M714" t="s">
        <v>1066</v>
      </c>
    </row>
    <row r="715" spans="9:13">
      <c r="I715">
        <f t="shared" si="34"/>
        <v>0</v>
      </c>
      <c r="J715">
        <f t="shared" si="35"/>
        <v>0</v>
      </c>
      <c r="L715" t="s">
        <v>546</v>
      </c>
      <c r="M715" t="s">
        <v>1066</v>
      </c>
    </row>
    <row r="716" spans="9:13">
      <c r="I716">
        <f t="shared" si="34"/>
        <v>0</v>
      </c>
      <c r="J716">
        <f t="shared" si="35"/>
        <v>0</v>
      </c>
      <c r="L716" t="s">
        <v>547</v>
      </c>
      <c r="M716" t="s">
        <v>1066</v>
      </c>
    </row>
    <row r="717" spans="9:13">
      <c r="I717">
        <f t="shared" si="34"/>
        <v>0</v>
      </c>
      <c r="J717">
        <f t="shared" si="35"/>
        <v>0</v>
      </c>
      <c r="L717" t="s">
        <v>547</v>
      </c>
      <c r="M717" t="s">
        <v>1066</v>
      </c>
    </row>
    <row r="718" spans="9:13">
      <c r="I718">
        <f t="shared" si="34"/>
        <v>0</v>
      </c>
      <c r="J718">
        <f t="shared" si="35"/>
        <v>0</v>
      </c>
      <c r="L718" t="s">
        <v>548</v>
      </c>
      <c r="M718" t="s">
        <v>1066</v>
      </c>
    </row>
    <row r="719" spans="9:13">
      <c r="I719">
        <f t="shared" si="34"/>
        <v>0</v>
      </c>
      <c r="J719">
        <f t="shared" si="35"/>
        <v>0</v>
      </c>
      <c r="L719" t="s">
        <v>548</v>
      </c>
      <c r="M719" t="s">
        <v>1066</v>
      </c>
    </row>
    <row r="720" spans="9:13">
      <c r="I720">
        <f t="shared" si="34"/>
        <v>0</v>
      </c>
      <c r="J720">
        <f t="shared" si="35"/>
        <v>0</v>
      </c>
      <c r="L720" t="s">
        <v>549</v>
      </c>
      <c r="M720" t="s">
        <v>1066</v>
      </c>
    </row>
    <row r="721" spans="9:13">
      <c r="I721">
        <f t="shared" si="34"/>
        <v>0</v>
      </c>
      <c r="J721">
        <f t="shared" si="35"/>
        <v>0</v>
      </c>
      <c r="L721" t="s">
        <v>549</v>
      </c>
      <c r="M721" t="s">
        <v>1066</v>
      </c>
    </row>
    <row r="722" spans="9:13">
      <c r="I722">
        <f t="shared" si="34"/>
        <v>0</v>
      </c>
      <c r="J722">
        <f t="shared" si="35"/>
        <v>0</v>
      </c>
      <c r="L722" t="s">
        <v>550</v>
      </c>
      <c r="M722" t="s">
        <v>1066</v>
      </c>
    </row>
    <row r="723" spans="9:13">
      <c r="I723">
        <f t="shared" si="34"/>
        <v>0</v>
      </c>
      <c r="J723">
        <f t="shared" si="35"/>
        <v>0</v>
      </c>
      <c r="L723" t="s">
        <v>550</v>
      </c>
      <c r="M723" t="s">
        <v>1066</v>
      </c>
    </row>
    <row r="724" spans="9:13">
      <c r="I724">
        <f t="shared" si="34"/>
        <v>0</v>
      </c>
      <c r="J724">
        <f t="shared" si="35"/>
        <v>0</v>
      </c>
      <c r="L724" t="s">
        <v>551</v>
      </c>
      <c r="M724" t="s">
        <v>1066</v>
      </c>
    </row>
    <row r="725" spans="9:13">
      <c r="I725">
        <f t="shared" si="34"/>
        <v>0</v>
      </c>
      <c r="J725">
        <f t="shared" si="35"/>
        <v>0</v>
      </c>
      <c r="L725" t="s">
        <v>551</v>
      </c>
      <c r="M725" t="s">
        <v>1066</v>
      </c>
    </row>
    <row r="726" spans="9:13">
      <c r="I726">
        <f t="shared" si="34"/>
        <v>0</v>
      </c>
      <c r="J726">
        <f t="shared" si="35"/>
        <v>0</v>
      </c>
      <c r="L726" t="s">
        <v>552</v>
      </c>
      <c r="M726" t="s">
        <v>1066</v>
      </c>
    </row>
    <row r="727" spans="9:13">
      <c r="I727">
        <f t="shared" si="34"/>
        <v>0</v>
      </c>
      <c r="J727">
        <f t="shared" si="35"/>
        <v>0</v>
      </c>
      <c r="L727" t="s">
        <v>552</v>
      </c>
      <c r="M727" t="s">
        <v>1066</v>
      </c>
    </row>
    <row r="728" spans="9:13">
      <c r="I728">
        <f t="shared" si="34"/>
        <v>0</v>
      </c>
      <c r="J728">
        <f t="shared" si="35"/>
        <v>0</v>
      </c>
      <c r="L728" t="s">
        <v>553</v>
      </c>
      <c r="M728" t="s">
        <v>1066</v>
      </c>
    </row>
    <row r="729" spans="9:13">
      <c r="I729">
        <f t="shared" si="34"/>
        <v>0</v>
      </c>
      <c r="J729">
        <f t="shared" si="35"/>
        <v>0</v>
      </c>
      <c r="L729" t="s">
        <v>553</v>
      </c>
      <c r="M729" t="s">
        <v>1066</v>
      </c>
    </row>
    <row r="730" spans="9:13">
      <c r="I730">
        <f t="shared" si="34"/>
        <v>0</v>
      </c>
      <c r="J730">
        <f t="shared" si="35"/>
        <v>0</v>
      </c>
      <c r="L730" t="s">
        <v>554</v>
      </c>
      <c r="M730" t="s">
        <v>1067</v>
      </c>
    </row>
    <row r="731" spans="9:13">
      <c r="I731">
        <f t="shared" si="34"/>
        <v>0</v>
      </c>
      <c r="J731">
        <f t="shared" si="35"/>
        <v>0</v>
      </c>
      <c r="L731" t="s">
        <v>555</v>
      </c>
      <c r="M731" t="s">
        <v>1066</v>
      </c>
    </row>
    <row r="732" spans="9:13">
      <c r="I732">
        <f t="shared" si="34"/>
        <v>0</v>
      </c>
      <c r="J732">
        <f t="shared" si="35"/>
        <v>0</v>
      </c>
      <c r="L732" t="s">
        <v>555</v>
      </c>
      <c r="M732" t="s">
        <v>1066</v>
      </c>
    </row>
    <row r="733" spans="9:13">
      <c r="I733">
        <f t="shared" si="34"/>
        <v>0</v>
      </c>
      <c r="J733">
        <f t="shared" si="35"/>
        <v>0</v>
      </c>
      <c r="L733" t="s">
        <v>556</v>
      </c>
      <c r="M733" t="s">
        <v>1066</v>
      </c>
    </row>
    <row r="734" spans="9:13">
      <c r="I734">
        <f t="shared" si="34"/>
        <v>0</v>
      </c>
      <c r="J734">
        <f t="shared" si="35"/>
        <v>0</v>
      </c>
      <c r="L734" t="s">
        <v>556</v>
      </c>
      <c r="M734" t="s">
        <v>1066</v>
      </c>
    </row>
    <row r="735" spans="9:13">
      <c r="I735">
        <f t="shared" si="34"/>
        <v>0</v>
      </c>
      <c r="J735">
        <f t="shared" si="35"/>
        <v>0</v>
      </c>
      <c r="L735" t="s">
        <v>557</v>
      </c>
      <c r="M735" t="s">
        <v>1066</v>
      </c>
    </row>
    <row r="736" spans="9:13">
      <c r="I736">
        <f t="shared" si="34"/>
        <v>0</v>
      </c>
      <c r="J736">
        <f t="shared" si="35"/>
        <v>0</v>
      </c>
      <c r="L736" t="s">
        <v>557</v>
      </c>
      <c r="M736" t="s">
        <v>1066</v>
      </c>
    </row>
    <row r="737" spans="9:13">
      <c r="I737">
        <f t="shared" si="34"/>
        <v>0</v>
      </c>
      <c r="J737">
        <f t="shared" si="35"/>
        <v>0</v>
      </c>
      <c r="L737" t="s">
        <v>558</v>
      </c>
      <c r="M737" t="s">
        <v>1066</v>
      </c>
    </row>
    <row r="738" spans="9:13">
      <c r="I738">
        <f t="shared" si="34"/>
        <v>0</v>
      </c>
      <c r="J738">
        <f t="shared" si="35"/>
        <v>0</v>
      </c>
      <c r="L738" t="s">
        <v>558</v>
      </c>
      <c r="M738" t="s">
        <v>1066</v>
      </c>
    </row>
    <row r="739" spans="9:13">
      <c r="I739">
        <f t="shared" si="34"/>
        <v>0</v>
      </c>
      <c r="J739">
        <f t="shared" si="35"/>
        <v>0</v>
      </c>
      <c r="L739" t="s">
        <v>559</v>
      </c>
      <c r="M739" t="s">
        <v>1067</v>
      </c>
    </row>
    <row r="740" spans="9:13">
      <c r="I740">
        <f t="shared" si="34"/>
        <v>0</v>
      </c>
      <c r="J740">
        <f t="shared" si="35"/>
        <v>0</v>
      </c>
      <c r="L740" t="s">
        <v>560</v>
      </c>
      <c r="M740" t="s">
        <v>1066</v>
      </c>
    </row>
    <row r="741" spans="9:13">
      <c r="I741">
        <f t="shared" si="34"/>
        <v>0</v>
      </c>
      <c r="J741">
        <f t="shared" si="35"/>
        <v>0</v>
      </c>
      <c r="L741" t="s">
        <v>560</v>
      </c>
      <c r="M741" t="s">
        <v>1066</v>
      </c>
    </row>
    <row r="742" spans="9:13">
      <c r="I742">
        <f t="shared" si="34"/>
        <v>0</v>
      </c>
      <c r="J742">
        <f t="shared" si="35"/>
        <v>0</v>
      </c>
      <c r="L742" t="s">
        <v>561</v>
      </c>
      <c r="M742" t="s">
        <v>1066</v>
      </c>
    </row>
    <row r="743" spans="9:13">
      <c r="I743">
        <f t="shared" si="34"/>
        <v>0</v>
      </c>
      <c r="J743">
        <f t="shared" si="35"/>
        <v>0</v>
      </c>
      <c r="L743" t="s">
        <v>561</v>
      </c>
      <c r="M743" t="s">
        <v>1066</v>
      </c>
    </row>
    <row r="744" spans="9:13">
      <c r="I744">
        <f t="shared" si="34"/>
        <v>0</v>
      </c>
      <c r="J744">
        <f t="shared" si="35"/>
        <v>0</v>
      </c>
      <c r="L744" t="s">
        <v>562</v>
      </c>
      <c r="M744" t="s">
        <v>1066</v>
      </c>
    </row>
    <row r="745" spans="9:13">
      <c r="I745">
        <f t="shared" si="34"/>
        <v>0</v>
      </c>
      <c r="J745">
        <f t="shared" si="35"/>
        <v>0</v>
      </c>
      <c r="L745" t="s">
        <v>562</v>
      </c>
      <c r="M745" t="s">
        <v>1066</v>
      </c>
    </row>
    <row r="746" spans="9:13">
      <c r="I746">
        <f t="shared" si="34"/>
        <v>0</v>
      </c>
      <c r="J746">
        <f t="shared" si="35"/>
        <v>0</v>
      </c>
      <c r="L746" t="s">
        <v>563</v>
      </c>
      <c r="M746" t="s">
        <v>1066</v>
      </c>
    </row>
    <row r="747" spans="9:13">
      <c r="I747">
        <f t="shared" si="34"/>
        <v>0</v>
      </c>
      <c r="J747">
        <f t="shared" si="35"/>
        <v>0</v>
      </c>
      <c r="L747" t="s">
        <v>563</v>
      </c>
      <c r="M747" t="s">
        <v>1066</v>
      </c>
    </row>
    <row r="748" spans="9:13">
      <c r="I748">
        <f t="shared" si="34"/>
        <v>0</v>
      </c>
      <c r="J748">
        <f t="shared" si="35"/>
        <v>0</v>
      </c>
      <c r="L748" t="s">
        <v>564</v>
      </c>
      <c r="M748" t="s">
        <v>1066</v>
      </c>
    </row>
    <row r="749" spans="9:13">
      <c r="I749">
        <f t="shared" si="34"/>
        <v>0</v>
      </c>
      <c r="J749">
        <f t="shared" si="35"/>
        <v>0</v>
      </c>
      <c r="L749" t="s">
        <v>564</v>
      </c>
      <c r="M749" t="s">
        <v>1066</v>
      </c>
    </row>
    <row r="750" spans="9:13">
      <c r="I750">
        <f t="shared" si="34"/>
        <v>0</v>
      </c>
      <c r="J750">
        <f t="shared" si="35"/>
        <v>0</v>
      </c>
      <c r="L750" t="s">
        <v>565</v>
      </c>
      <c r="M750" t="s">
        <v>1066</v>
      </c>
    </row>
    <row r="751" spans="9:13">
      <c r="I751">
        <f t="shared" si="34"/>
        <v>0</v>
      </c>
      <c r="J751">
        <f t="shared" si="35"/>
        <v>0</v>
      </c>
      <c r="L751" t="s">
        <v>565</v>
      </c>
      <c r="M751" t="s">
        <v>1066</v>
      </c>
    </row>
    <row r="752" spans="9:13">
      <c r="I752">
        <f t="shared" si="34"/>
        <v>0</v>
      </c>
      <c r="J752">
        <f t="shared" si="35"/>
        <v>0</v>
      </c>
      <c r="L752" t="s">
        <v>566</v>
      </c>
      <c r="M752" t="s">
        <v>1066</v>
      </c>
    </row>
    <row r="753" spans="9:13">
      <c r="I753">
        <f t="shared" si="34"/>
        <v>0</v>
      </c>
      <c r="J753">
        <f t="shared" si="35"/>
        <v>0</v>
      </c>
      <c r="L753" t="s">
        <v>566</v>
      </c>
      <c r="M753" t="s">
        <v>1066</v>
      </c>
    </row>
    <row r="754" spans="9:13">
      <c r="I754">
        <f t="shared" si="34"/>
        <v>0</v>
      </c>
      <c r="J754">
        <f t="shared" si="35"/>
        <v>0</v>
      </c>
      <c r="L754" t="s">
        <v>567</v>
      </c>
      <c r="M754" t="s">
        <v>1066</v>
      </c>
    </row>
    <row r="755" spans="9:13">
      <c r="I755">
        <f t="shared" si="34"/>
        <v>0</v>
      </c>
      <c r="J755">
        <f t="shared" si="35"/>
        <v>0</v>
      </c>
      <c r="L755" t="s">
        <v>567</v>
      </c>
      <c r="M755" t="s">
        <v>1066</v>
      </c>
    </row>
    <row r="756" spans="9:13">
      <c r="I756">
        <f t="shared" si="34"/>
        <v>0</v>
      </c>
      <c r="J756">
        <f t="shared" si="35"/>
        <v>0</v>
      </c>
      <c r="L756" t="s">
        <v>568</v>
      </c>
      <c r="M756" t="s">
        <v>1066</v>
      </c>
    </row>
    <row r="757" spans="9:13">
      <c r="I757">
        <f t="shared" si="34"/>
        <v>0</v>
      </c>
      <c r="J757">
        <f t="shared" si="35"/>
        <v>0</v>
      </c>
      <c r="L757" t="s">
        <v>568</v>
      </c>
      <c r="M757" t="s">
        <v>1066</v>
      </c>
    </row>
    <row r="758" spans="9:13">
      <c r="I758">
        <f t="shared" si="34"/>
        <v>0</v>
      </c>
      <c r="J758">
        <f t="shared" si="35"/>
        <v>0</v>
      </c>
      <c r="L758" t="s">
        <v>569</v>
      </c>
      <c r="M758" t="s">
        <v>1066</v>
      </c>
    </row>
    <row r="759" spans="9:13">
      <c r="I759">
        <f t="shared" si="34"/>
        <v>0</v>
      </c>
      <c r="J759">
        <f t="shared" si="35"/>
        <v>0</v>
      </c>
      <c r="L759" t="s">
        <v>569</v>
      </c>
      <c r="M759" t="s">
        <v>1066</v>
      </c>
    </row>
    <row r="760" spans="9:13">
      <c r="I760">
        <f t="shared" si="34"/>
        <v>0</v>
      </c>
      <c r="J760">
        <f t="shared" si="35"/>
        <v>0</v>
      </c>
      <c r="L760" t="s">
        <v>570</v>
      </c>
      <c r="M760" t="s">
        <v>1067</v>
      </c>
    </row>
    <row r="761" spans="9:13">
      <c r="I761">
        <f t="shared" si="34"/>
        <v>0</v>
      </c>
      <c r="J761">
        <f t="shared" si="35"/>
        <v>0</v>
      </c>
      <c r="L761" t="s">
        <v>571</v>
      </c>
      <c r="M761" t="s">
        <v>1067</v>
      </c>
    </row>
    <row r="762" spans="9:13">
      <c r="I762">
        <f t="shared" si="34"/>
        <v>0</v>
      </c>
      <c r="J762">
        <f t="shared" si="35"/>
        <v>0</v>
      </c>
      <c r="L762" t="s">
        <v>572</v>
      </c>
      <c r="M762" t="s">
        <v>1067</v>
      </c>
    </row>
    <row r="763" spans="9:13">
      <c r="I763">
        <f t="shared" si="34"/>
        <v>0</v>
      </c>
      <c r="J763">
        <f t="shared" si="35"/>
        <v>0</v>
      </c>
      <c r="L763" t="s">
        <v>573</v>
      </c>
      <c r="M763" t="s">
        <v>1066</v>
      </c>
    </row>
    <row r="764" spans="9:13">
      <c r="I764">
        <f t="shared" si="34"/>
        <v>0</v>
      </c>
      <c r="J764">
        <f t="shared" si="35"/>
        <v>0</v>
      </c>
      <c r="L764" t="s">
        <v>573</v>
      </c>
      <c r="M764" t="s">
        <v>1066</v>
      </c>
    </row>
    <row r="765" spans="9:13">
      <c r="I765">
        <f t="shared" si="34"/>
        <v>0</v>
      </c>
      <c r="J765">
        <f t="shared" si="35"/>
        <v>0</v>
      </c>
      <c r="L765" t="s">
        <v>574</v>
      </c>
      <c r="M765" t="s">
        <v>1066</v>
      </c>
    </row>
    <row r="766" spans="9:13">
      <c r="I766">
        <f t="shared" si="34"/>
        <v>0</v>
      </c>
      <c r="J766">
        <f t="shared" si="35"/>
        <v>0</v>
      </c>
      <c r="L766" t="s">
        <v>574</v>
      </c>
      <c r="M766" t="s">
        <v>1066</v>
      </c>
    </row>
    <row r="767" spans="9:13">
      <c r="I767">
        <f t="shared" si="34"/>
        <v>0</v>
      </c>
      <c r="J767">
        <f t="shared" si="35"/>
        <v>0</v>
      </c>
      <c r="L767" t="s">
        <v>575</v>
      </c>
      <c r="M767" t="s">
        <v>1066</v>
      </c>
    </row>
    <row r="768" spans="9:13">
      <c r="I768">
        <f t="shared" si="34"/>
        <v>0</v>
      </c>
      <c r="J768">
        <f t="shared" si="35"/>
        <v>0</v>
      </c>
      <c r="L768" t="s">
        <v>575</v>
      </c>
      <c r="M768" t="s">
        <v>1066</v>
      </c>
    </row>
    <row r="769" spans="9:13">
      <c r="I769">
        <f t="shared" si="34"/>
        <v>0</v>
      </c>
      <c r="J769">
        <f t="shared" si="35"/>
        <v>0</v>
      </c>
      <c r="L769" t="s">
        <v>576</v>
      </c>
      <c r="M769" t="s">
        <v>1066</v>
      </c>
    </row>
    <row r="770" spans="9:13">
      <c r="I770">
        <f t="shared" si="34"/>
        <v>0</v>
      </c>
      <c r="J770">
        <f t="shared" si="35"/>
        <v>0</v>
      </c>
      <c r="L770" t="s">
        <v>576</v>
      </c>
      <c r="M770" t="s">
        <v>1066</v>
      </c>
    </row>
    <row r="771" spans="9:13">
      <c r="I771">
        <f t="shared" si="34"/>
        <v>0</v>
      </c>
      <c r="J771">
        <f t="shared" si="35"/>
        <v>0</v>
      </c>
      <c r="L771" t="s">
        <v>577</v>
      </c>
      <c r="M771" t="s">
        <v>1066</v>
      </c>
    </row>
    <row r="772" spans="9:13">
      <c r="I772">
        <f t="shared" si="34"/>
        <v>0</v>
      </c>
      <c r="J772">
        <f t="shared" si="35"/>
        <v>0</v>
      </c>
      <c r="L772" t="s">
        <v>577</v>
      </c>
      <c r="M772" t="s">
        <v>1066</v>
      </c>
    </row>
    <row r="773" spans="9:13">
      <c r="I773">
        <f t="shared" ref="I773:I836" si="36">+A773</f>
        <v>0</v>
      </c>
      <c r="J773">
        <f t="shared" ref="J773:J836" si="37">+E773</f>
        <v>0</v>
      </c>
      <c r="L773" t="s">
        <v>578</v>
      </c>
      <c r="M773" t="s">
        <v>1066</v>
      </c>
    </row>
    <row r="774" spans="9:13">
      <c r="I774">
        <f t="shared" si="36"/>
        <v>0</v>
      </c>
      <c r="J774">
        <f t="shared" si="37"/>
        <v>0</v>
      </c>
      <c r="L774" t="s">
        <v>578</v>
      </c>
      <c r="M774" t="s">
        <v>1066</v>
      </c>
    </row>
    <row r="775" spans="9:13">
      <c r="I775">
        <f t="shared" si="36"/>
        <v>0</v>
      </c>
      <c r="J775">
        <f t="shared" si="37"/>
        <v>0</v>
      </c>
      <c r="L775" t="s">
        <v>579</v>
      </c>
      <c r="M775" t="s">
        <v>1066</v>
      </c>
    </row>
    <row r="776" spans="9:13">
      <c r="I776">
        <f t="shared" si="36"/>
        <v>0</v>
      </c>
      <c r="J776">
        <f t="shared" si="37"/>
        <v>0</v>
      </c>
      <c r="L776" t="s">
        <v>579</v>
      </c>
      <c r="M776" t="s">
        <v>1066</v>
      </c>
    </row>
    <row r="777" spans="9:13">
      <c r="I777">
        <f t="shared" si="36"/>
        <v>0</v>
      </c>
      <c r="J777">
        <f t="shared" si="37"/>
        <v>0</v>
      </c>
      <c r="L777" t="s">
        <v>580</v>
      </c>
      <c r="M777" t="s">
        <v>1066</v>
      </c>
    </row>
    <row r="778" spans="9:13">
      <c r="I778">
        <f t="shared" si="36"/>
        <v>0</v>
      </c>
      <c r="J778">
        <f t="shared" si="37"/>
        <v>0</v>
      </c>
      <c r="L778" t="s">
        <v>580</v>
      </c>
      <c r="M778" t="s">
        <v>1066</v>
      </c>
    </row>
    <row r="779" spans="9:13">
      <c r="I779">
        <f t="shared" si="36"/>
        <v>0</v>
      </c>
      <c r="J779">
        <f t="shared" si="37"/>
        <v>0</v>
      </c>
      <c r="L779" t="s">
        <v>581</v>
      </c>
      <c r="M779" t="s">
        <v>1066</v>
      </c>
    </row>
    <row r="780" spans="9:13">
      <c r="I780">
        <f t="shared" si="36"/>
        <v>0</v>
      </c>
      <c r="J780">
        <f t="shared" si="37"/>
        <v>0</v>
      </c>
      <c r="L780" t="s">
        <v>581</v>
      </c>
      <c r="M780" t="s">
        <v>1066</v>
      </c>
    </row>
    <row r="781" spans="9:13">
      <c r="I781">
        <f t="shared" si="36"/>
        <v>0</v>
      </c>
      <c r="J781">
        <f t="shared" si="37"/>
        <v>0</v>
      </c>
      <c r="L781" t="s">
        <v>582</v>
      </c>
      <c r="M781" t="s">
        <v>1066</v>
      </c>
    </row>
    <row r="782" spans="9:13">
      <c r="I782">
        <f t="shared" si="36"/>
        <v>0</v>
      </c>
      <c r="J782">
        <f t="shared" si="37"/>
        <v>0</v>
      </c>
      <c r="L782" t="s">
        <v>582</v>
      </c>
      <c r="M782" t="s">
        <v>1066</v>
      </c>
    </row>
    <row r="783" spans="9:13">
      <c r="I783">
        <f t="shared" si="36"/>
        <v>0</v>
      </c>
      <c r="J783">
        <f t="shared" si="37"/>
        <v>0</v>
      </c>
      <c r="L783" t="s">
        <v>583</v>
      </c>
      <c r="M783" t="s">
        <v>1066</v>
      </c>
    </row>
    <row r="784" spans="9:13">
      <c r="I784">
        <f t="shared" si="36"/>
        <v>0</v>
      </c>
      <c r="J784">
        <f t="shared" si="37"/>
        <v>0</v>
      </c>
      <c r="L784" t="s">
        <v>583</v>
      </c>
      <c r="M784" t="s">
        <v>1066</v>
      </c>
    </row>
    <row r="785" spans="9:13">
      <c r="I785">
        <f t="shared" si="36"/>
        <v>0</v>
      </c>
      <c r="J785">
        <f t="shared" si="37"/>
        <v>0</v>
      </c>
      <c r="L785" t="s">
        <v>584</v>
      </c>
      <c r="M785" t="s">
        <v>1066</v>
      </c>
    </row>
    <row r="786" spans="9:13">
      <c r="I786">
        <f t="shared" si="36"/>
        <v>0</v>
      </c>
      <c r="J786">
        <f t="shared" si="37"/>
        <v>0</v>
      </c>
      <c r="L786" t="s">
        <v>584</v>
      </c>
      <c r="M786" t="s">
        <v>1066</v>
      </c>
    </row>
    <row r="787" spans="9:13">
      <c r="I787">
        <f t="shared" si="36"/>
        <v>0</v>
      </c>
      <c r="J787">
        <f t="shared" si="37"/>
        <v>0</v>
      </c>
      <c r="L787" t="s">
        <v>585</v>
      </c>
      <c r="M787" t="s">
        <v>1066</v>
      </c>
    </row>
    <row r="788" spans="9:13">
      <c r="I788">
        <f t="shared" si="36"/>
        <v>0</v>
      </c>
      <c r="J788">
        <f t="shared" si="37"/>
        <v>0</v>
      </c>
      <c r="L788" t="s">
        <v>585</v>
      </c>
      <c r="M788" t="s">
        <v>1066</v>
      </c>
    </row>
    <row r="789" spans="9:13">
      <c r="I789">
        <f t="shared" si="36"/>
        <v>0</v>
      </c>
      <c r="J789">
        <f t="shared" si="37"/>
        <v>0</v>
      </c>
      <c r="L789" t="s">
        <v>586</v>
      </c>
      <c r="M789" t="s">
        <v>1066</v>
      </c>
    </row>
    <row r="790" spans="9:13">
      <c r="I790">
        <f t="shared" si="36"/>
        <v>0</v>
      </c>
      <c r="J790">
        <f t="shared" si="37"/>
        <v>0</v>
      </c>
      <c r="L790" t="s">
        <v>586</v>
      </c>
      <c r="M790" t="s">
        <v>1066</v>
      </c>
    </row>
    <row r="791" spans="9:13">
      <c r="I791">
        <f t="shared" si="36"/>
        <v>0</v>
      </c>
      <c r="J791">
        <f t="shared" si="37"/>
        <v>0</v>
      </c>
      <c r="L791" t="s">
        <v>587</v>
      </c>
      <c r="M791" t="s">
        <v>1067</v>
      </c>
    </row>
    <row r="792" spans="9:13">
      <c r="I792">
        <f t="shared" si="36"/>
        <v>0</v>
      </c>
      <c r="J792">
        <f t="shared" si="37"/>
        <v>0</v>
      </c>
      <c r="L792" t="s">
        <v>588</v>
      </c>
      <c r="M792" t="s">
        <v>1066</v>
      </c>
    </row>
    <row r="793" spans="9:13">
      <c r="I793">
        <f t="shared" si="36"/>
        <v>0</v>
      </c>
      <c r="J793">
        <f t="shared" si="37"/>
        <v>0</v>
      </c>
      <c r="L793" t="s">
        <v>588</v>
      </c>
      <c r="M793" t="s">
        <v>1066</v>
      </c>
    </row>
    <row r="794" spans="9:13">
      <c r="I794">
        <f t="shared" si="36"/>
        <v>0</v>
      </c>
      <c r="J794">
        <f t="shared" si="37"/>
        <v>0</v>
      </c>
      <c r="L794" t="s">
        <v>589</v>
      </c>
      <c r="M794" t="s">
        <v>1066</v>
      </c>
    </row>
    <row r="795" spans="9:13">
      <c r="I795">
        <f t="shared" si="36"/>
        <v>0</v>
      </c>
      <c r="J795">
        <f t="shared" si="37"/>
        <v>0</v>
      </c>
      <c r="L795" t="s">
        <v>589</v>
      </c>
      <c r="M795" t="s">
        <v>1066</v>
      </c>
    </row>
    <row r="796" spans="9:13">
      <c r="I796">
        <f t="shared" si="36"/>
        <v>0</v>
      </c>
      <c r="J796">
        <f t="shared" si="37"/>
        <v>0</v>
      </c>
      <c r="L796" t="s">
        <v>590</v>
      </c>
      <c r="M796" t="s">
        <v>1066</v>
      </c>
    </row>
    <row r="797" spans="9:13">
      <c r="I797">
        <f t="shared" si="36"/>
        <v>0</v>
      </c>
      <c r="J797">
        <f t="shared" si="37"/>
        <v>0</v>
      </c>
      <c r="L797" t="s">
        <v>590</v>
      </c>
      <c r="M797" t="s">
        <v>1066</v>
      </c>
    </row>
    <row r="798" spans="9:13">
      <c r="I798">
        <f t="shared" si="36"/>
        <v>0</v>
      </c>
      <c r="J798">
        <f t="shared" si="37"/>
        <v>0</v>
      </c>
      <c r="L798" t="s">
        <v>591</v>
      </c>
      <c r="M798" t="s">
        <v>1066</v>
      </c>
    </row>
    <row r="799" spans="9:13">
      <c r="I799">
        <f t="shared" si="36"/>
        <v>0</v>
      </c>
      <c r="J799">
        <f t="shared" si="37"/>
        <v>0</v>
      </c>
      <c r="L799" t="s">
        <v>591</v>
      </c>
      <c r="M799" t="s">
        <v>1066</v>
      </c>
    </row>
    <row r="800" spans="9:13">
      <c r="I800">
        <f t="shared" si="36"/>
        <v>0</v>
      </c>
      <c r="J800">
        <f t="shared" si="37"/>
        <v>0</v>
      </c>
      <c r="L800" t="s">
        <v>592</v>
      </c>
      <c r="M800" t="s">
        <v>1066</v>
      </c>
    </row>
    <row r="801" spans="9:13">
      <c r="I801">
        <f t="shared" si="36"/>
        <v>0</v>
      </c>
      <c r="J801">
        <f t="shared" si="37"/>
        <v>0</v>
      </c>
      <c r="L801" t="s">
        <v>592</v>
      </c>
      <c r="M801" t="s">
        <v>1066</v>
      </c>
    </row>
    <row r="802" spans="9:13">
      <c r="I802">
        <f t="shared" si="36"/>
        <v>0</v>
      </c>
      <c r="J802">
        <f t="shared" si="37"/>
        <v>0</v>
      </c>
      <c r="L802" t="s">
        <v>593</v>
      </c>
      <c r="M802" t="s">
        <v>1066</v>
      </c>
    </row>
    <row r="803" spans="9:13">
      <c r="I803">
        <f t="shared" si="36"/>
        <v>0</v>
      </c>
      <c r="J803">
        <f t="shared" si="37"/>
        <v>0</v>
      </c>
      <c r="L803" t="s">
        <v>593</v>
      </c>
      <c r="M803" t="s">
        <v>1066</v>
      </c>
    </row>
    <row r="804" spans="9:13">
      <c r="I804">
        <f t="shared" si="36"/>
        <v>0</v>
      </c>
      <c r="J804">
        <f t="shared" si="37"/>
        <v>0</v>
      </c>
      <c r="L804" t="s">
        <v>594</v>
      </c>
      <c r="M804" t="s">
        <v>1066</v>
      </c>
    </row>
    <row r="805" spans="9:13">
      <c r="I805">
        <f t="shared" si="36"/>
        <v>0</v>
      </c>
      <c r="J805">
        <f t="shared" si="37"/>
        <v>0</v>
      </c>
      <c r="L805" t="s">
        <v>594</v>
      </c>
      <c r="M805" t="s">
        <v>1066</v>
      </c>
    </row>
    <row r="806" spans="9:13">
      <c r="I806">
        <f t="shared" si="36"/>
        <v>0</v>
      </c>
      <c r="J806">
        <f t="shared" si="37"/>
        <v>0</v>
      </c>
      <c r="L806" t="s">
        <v>595</v>
      </c>
      <c r="M806" t="s">
        <v>1066</v>
      </c>
    </row>
    <row r="807" spans="9:13">
      <c r="I807">
        <f t="shared" si="36"/>
        <v>0</v>
      </c>
      <c r="J807">
        <f t="shared" si="37"/>
        <v>0</v>
      </c>
      <c r="L807" t="s">
        <v>595</v>
      </c>
      <c r="M807" t="s">
        <v>1066</v>
      </c>
    </row>
    <row r="808" spans="9:13">
      <c r="I808">
        <f t="shared" si="36"/>
        <v>0</v>
      </c>
      <c r="J808">
        <f t="shared" si="37"/>
        <v>0</v>
      </c>
      <c r="L808" t="s">
        <v>596</v>
      </c>
      <c r="M808" t="s">
        <v>1066</v>
      </c>
    </row>
    <row r="809" spans="9:13">
      <c r="I809">
        <f t="shared" si="36"/>
        <v>0</v>
      </c>
      <c r="J809">
        <f t="shared" si="37"/>
        <v>0</v>
      </c>
      <c r="L809" t="s">
        <v>596</v>
      </c>
      <c r="M809" t="s">
        <v>1066</v>
      </c>
    </row>
    <row r="810" spans="9:13">
      <c r="I810">
        <f t="shared" si="36"/>
        <v>0</v>
      </c>
      <c r="J810">
        <f t="shared" si="37"/>
        <v>0</v>
      </c>
      <c r="L810" t="s">
        <v>597</v>
      </c>
      <c r="M810" t="s">
        <v>1066</v>
      </c>
    </row>
    <row r="811" spans="9:13">
      <c r="I811">
        <f t="shared" si="36"/>
        <v>0</v>
      </c>
      <c r="J811">
        <f t="shared" si="37"/>
        <v>0</v>
      </c>
      <c r="L811" t="s">
        <v>597</v>
      </c>
      <c r="M811" t="s">
        <v>1066</v>
      </c>
    </row>
    <row r="812" spans="9:13">
      <c r="I812">
        <f t="shared" si="36"/>
        <v>0</v>
      </c>
      <c r="J812">
        <f t="shared" si="37"/>
        <v>0</v>
      </c>
      <c r="L812" t="s">
        <v>598</v>
      </c>
      <c r="M812" t="s">
        <v>1066</v>
      </c>
    </row>
    <row r="813" spans="9:13">
      <c r="I813">
        <f t="shared" si="36"/>
        <v>0</v>
      </c>
      <c r="J813">
        <f t="shared" si="37"/>
        <v>0</v>
      </c>
      <c r="L813" t="s">
        <v>598</v>
      </c>
      <c r="M813" t="s">
        <v>1066</v>
      </c>
    </row>
    <row r="814" spans="9:13">
      <c r="I814">
        <f t="shared" si="36"/>
        <v>0</v>
      </c>
      <c r="J814">
        <f t="shared" si="37"/>
        <v>0</v>
      </c>
      <c r="L814" t="s">
        <v>599</v>
      </c>
      <c r="M814" t="s">
        <v>1066</v>
      </c>
    </row>
    <row r="815" spans="9:13">
      <c r="I815">
        <f t="shared" si="36"/>
        <v>0</v>
      </c>
      <c r="J815">
        <f t="shared" si="37"/>
        <v>0</v>
      </c>
      <c r="L815" t="s">
        <v>599</v>
      </c>
      <c r="M815" t="s">
        <v>1066</v>
      </c>
    </row>
    <row r="816" spans="9:13">
      <c r="I816">
        <f t="shared" si="36"/>
        <v>0</v>
      </c>
      <c r="J816">
        <f t="shared" si="37"/>
        <v>0</v>
      </c>
      <c r="L816" t="s">
        <v>600</v>
      </c>
      <c r="M816" t="s">
        <v>1066</v>
      </c>
    </row>
    <row r="817" spans="9:13">
      <c r="I817">
        <f t="shared" si="36"/>
        <v>0</v>
      </c>
      <c r="J817">
        <f t="shared" si="37"/>
        <v>0</v>
      </c>
      <c r="L817" t="s">
        <v>600</v>
      </c>
      <c r="M817" t="s">
        <v>1066</v>
      </c>
    </row>
    <row r="818" spans="9:13">
      <c r="I818">
        <f t="shared" si="36"/>
        <v>0</v>
      </c>
      <c r="J818">
        <f t="shared" si="37"/>
        <v>0</v>
      </c>
      <c r="L818" t="s">
        <v>601</v>
      </c>
      <c r="M818" t="s">
        <v>1066</v>
      </c>
    </row>
    <row r="819" spans="9:13">
      <c r="I819">
        <f t="shared" si="36"/>
        <v>0</v>
      </c>
      <c r="J819">
        <f t="shared" si="37"/>
        <v>0</v>
      </c>
      <c r="L819" t="s">
        <v>601</v>
      </c>
      <c r="M819" t="s">
        <v>1066</v>
      </c>
    </row>
    <row r="820" spans="9:13">
      <c r="I820">
        <f t="shared" si="36"/>
        <v>0</v>
      </c>
      <c r="J820">
        <f t="shared" si="37"/>
        <v>0</v>
      </c>
      <c r="L820" t="s">
        <v>602</v>
      </c>
      <c r="M820" t="s">
        <v>1066</v>
      </c>
    </row>
    <row r="821" spans="9:13">
      <c r="I821">
        <f t="shared" si="36"/>
        <v>0</v>
      </c>
      <c r="J821">
        <f t="shared" si="37"/>
        <v>0</v>
      </c>
      <c r="L821" t="s">
        <v>602</v>
      </c>
      <c r="M821" t="s">
        <v>1066</v>
      </c>
    </row>
    <row r="822" spans="9:13">
      <c r="I822">
        <f t="shared" si="36"/>
        <v>0</v>
      </c>
      <c r="J822">
        <f t="shared" si="37"/>
        <v>0</v>
      </c>
      <c r="L822" t="s">
        <v>603</v>
      </c>
      <c r="M822" t="s">
        <v>1066</v>
      </c>
    </row>
    <row r="823" spans="9:13">
      <c r="I823">
        <f t="shared" si="36"/>
        <v>0</v>
      </c>
      <c r="J823">
        <f t="shared" si="37"/>
        <v>0</v>
      </c>
      <c r="L823" t="s">
        <v>603</v>
      </c>
      <c r="M823" t="s">
        <v>1066</v>
      </c>
    </row>
    <row r="824" spans="9:13">
      <c r="I824">
        <f t="shared" si="36"/>
        <v>0</v>
      </c>
      <c r="J824">
        <f t="shared" si="37"/>
        <v>0</v>
      </c>
      <c r="L824" t="s">
        <v>604</v>
      </c>
      <c r="M824" t="s">
        <v>1066</v>
      </c>
    </row>
    <row r="825" spans="9:13">
      <c r="I825">
        <f t="shared" si="36"/>
        <v>0</v>
      </c>
      <c r="J825">
        <f t="shared" si="37"/>
        <v>0</v>
      </c>
      <c r="L825" t="s">
        <v>604</v>
      </c>
      <c r="M825" t="s">
        <v>1066</v>
      </c>
    </row>
    <row r="826" spans="9:13">
      <c r="I826">
        <f t="shared" si="36"/>
        <v>0</v>
      </c>
      <c r="J826">
        <f t="shared" si="37"/>
        <v>0</v>
      </c>
      <c r="L826" t="s">
        <v>605</v>
      </c>
      <c r="M826" t="s">
        <v>1066</v>
      </c>
    </row>
    <row r="827" spans="9:13">
      <c r="I827">
        <f t="shared" si="36"/>
        <v>0</v>
      </c>
      <c r="J827">
        <f t="shared" si="37"/>
        <v>0</v>
      </c>
      <c r="L827" t="s">
        <v>605</v>
      </c>
      <c r="M827" t="s">
        <v>1066</v>
      </c>
    </row>
    <row r="828" spans="9:13">
      <c r="I828">
        <f t="shared" si="36"/>
        <v>0</v>
      </c>
      <c r="J828">
        <f t="shared" si="37"/>
        <v>0</v>
      </c>
      <c r="L828" t="s">
        <v>606</v>
      </c>
      <c r="M828" t="s">
        <v>1066</v>
      </c>
    </row>
    <row r="829" spans="9:13">
      <c r="I829">
        <f t="shared" si="36"/>
        <v>0</v>
      </c>
      <c r="J829">
        <f t="shared" si="37"/>
        <v>0</v>
      </c>
      <c r="L829" t="s">
        <v>606</v>
      </c>
      <c r="M829" t="s">
        <v>1066</v>
      </c>
    </row>
    <row r="830" spans="9:13">
      <c r="I830">
        <f t="shared" si="36"/>
        <v>0</v>
      </c>
      <c r="J830">
        <f t="shared" si="37"/>
        <v>0</v>
      </c>
      <c r="L830" t="s">
        <v>607</v>
      </c>
      <c r="M830" t="s">
        <v>1067</v>
      </c>
    </row>
    <row r="831" spans="9:13">
      <c r="I831">
        <f t="shared" si="36"/>
        <v>0</v>
      </c>
      <c r="J831">
        <f t="shared" si="37"/>
        <v>0</v>
      </c>
      <c r="L831" t="s">
        <v>608</v>
      </c>
      <c r="M831" t="s">
        <v>1066</v>
      </c>
    </row>
    <row r="832" spans="9:13">
      <c r="I832">
        <f t="shared" si="36"/>
        <v>0</v>
      </c>
      <c r="J832">
        <f t="shared" si="37"/>
        <v>0</v>
      </c>
      <c r="L832" t="s">
        <v>608</v>
      </c>
      <c r="M832" t="s">
        <v>1066</v>
      </c>
    </row>
    <row r="833" spans="9:13">
      <c r="I833">
        <f t="shared" si="36"/>
        <v>0</v>
      </c>
      <c r="J833">
        <f t="shared" si="37"/>
        <v>0</v>
      </c>
      <c r="L833" t="s">
        <v>609</v>
      </c>
      <c r="M833" t="s">
        <v>1066</v>
      </c>
    </row>
    <row r="834" spans="9:13">
      <c r="I834">
        <f t="shared" si="36"/>
        <v>0</v>
      </c>
      <c r="J834">
        <f t="shared" si="37"/>
        <v>0</v>
      </c>
      <c r="L834" t="s">
        <v>609</v>
      </c>
      <c r="M834" t="s">
        <v>1066</v>
      </c>
    </row>
    <row r="835" spans="9:13">
      <c r="I835">
        <f t="shared" si="36"/>
        <v>0</v>
      </c>
      <c r="J835">
        <f t="shared" si="37"/>
        <v>0</v>
      </c>
      <c r="L835" t="s">
        <v>610</v>
      </c>
      <c r="M835" t="s">
        <v>1066</v>
      </c>
    </row>
    <row r="836" spans="9:13">
      <c r="I836">
        <f t="shared" si="36"/>
        <v>0</v>
      </c>
      <c r="J836">
        <f t="shared" si="37"/>
        <v>0</v>
      </c>
      <c r="L836" t="s">
        <v>610</v>
      </c>
      <c r="M836" t="s">
        <v>1066</v>
      </c>
    </row>
    <row r="837" spans="9:13">
      <c r="I837">
        <f t="shared" ref="I837:I900" si="38">+A837</f>
        <v>0</v>
      </c>
      <c r="J837">
        <f t="shared" ref="J837:J900" si="39">+E837</f>
        <v>0</v>
      </c>
      <c r="L837" t="s">
        <v>611</v>
      </c>
      <c r="M837" t="s">
        <v>1066</v>
      </c>
    </row>
    <row r="838" spans="9:13">
      <c r="I838">
        <f t="shared" si="38"/>
        <v>0</v>
      </c>
      <c r="J838">
        <f t="shared" si="39"/>
        <v>0</v>
      </c>
      <c r="L838" t="s">
        <v>611</v>
      </c>
      <c r="M838" t="s">
        <v>1066</v>
      </c>
    </row>
    <row r="839" spans="9:13">
      <c r="I839">
        <f t="shared" si="38"/>
        <v>0</v>
      </c>
      <c r="J839">
        <f t="shared" si="39"/>
        <v>0</v>
      </c>
      <c r="L839" t="s">
        <v>612</v>
      </c>
      <c r="M839" t="s">
        <v>1066</v>
      </c>
    </row>
    <row r="840" spans="9:13">
      <c r="I840">
        <f t="shared" si="38"/>
        <v>0</v>
      </c>
      <c r="J840">
        <f t="shared" si="39"/>
        <v>0</v>
      </c>
      <c r="L840" t="s">
        <v>612</v>
      </c>
      <c r="M840" t="s">
        <v>1066</v>
      </c>
    </row>
    <row r="841" spans="9:13">
      <c r="I841">
        <f t="shared" si="38"/>
        <v>0</v>
      </c>
      <c r="J841">
        <f t="shared" si="39"/>
        <v>0</v>
      </c>
      <c r="L841" t="s">
        <v>614</v>
      </c>
      <c r="M841">
        <v>0</v>
      </c>
    </row>
    <row r="842" spans="9:13">
      <c r="I842">
        <f t="shared" si="38"/>
        <v>0</v>
      </c>
      <c r="J842">
        <f t="shared" si="39"/>
        <v>0</v>
      </c>
      <c r="L842" t="s">
        <v>614</v>
      </c>
      <c r="M842">
        <v>0</v>
      </c>
    </row>
    <row r="843" spans="9:13">
      <c r="I843">
        <f t="shared" si="38"/>
        <v>0</v>
      </c>
      <c r="J843">
        <f t="shared" si="39"/>
        <v>0</v>
      </c>
      <c r="L843" t="s">
        <v>615</v>
      </c>
      <c r="M843">
        <v>0</v>
      </c>
    </row>
    <row r="844" spans="9:13">
      <c r="I844">
        <f t="shared" si="38"/>
        <v>0</v>
      </c>
      <c r="J844">
        <f t="shared" si="39"/>
        <v>0</v>
      </c>
      <c r="L844" t="s">
        <v>615</v>
      </c>
      <c r="M844">
        <v>0</v>
      </c>
    </row>
    <row r="845" spans="9:13">
      <c r="I845">
        <f t="shared" si="38"/>
        <v>0</v>
      </c>
      <c r="J845">
        <f t="shared" si="39"/>
        <v>0</v>
      </c>
      <c r="L845" t="s">
        <v>616</v>
      </c>
      <c r="M845">
        <v>0</v>
      </c>
    </row>
    <row r="846" spans="9:13">
      <c r="I846">
        <f t="shared" si="38"/>
        <v>0</v>
      </c>
      <c r="J846">
        <f t="shared" si="39"/>
        <v>0</v>
      </c>
      <c r="L846" t="s">
        <v>616</v>
      </c>
      <c r="M846">
        <v>0</v>
      </c>
    </row>
    <row r="847" spans="9:13">
      <c r="I847">
        <f t="shared" si="38"/>
        <v>0</v>
      </c>
      <c r="J847">
        <f t="shared" si="39"/>
        <v>0</v>
      </c>
      <c r="L847" t="s">
        <v>618</v>
      </c>
      <c r="M847">
        <v>0</v>
      </c>
    </row>
    <row r="848" spans="9:13">
      <c r="I848">
        <f t="shared" si="38"/>
        <v>0</v>
      </c>
      <c r="J848">
        <f t="shared" si="39"/>
        <v>0</v>
      </c>
      <c r="L848" t="s">
        <v>618</v>
      </c>
      <c r="M848">
        <v>0</v>
      </c>
    </row>
    <row r="849" spans="9:13">
      <c r="I849">
        <f t="shared" si="38"/>
        <v>0</v>
      </c>
      <c r="J849">
        <f t="shared" si="39"/>
        <v>0</v>
      </c>
      <c r="L849" t="s">
        <v>619</v>
      </c>
      <c r="M849">
        <v>0</v>
      </c>
    </row>
    <row r="850" spans="9:13">
      <c r="I850">
        <f t="shared" si="38"/>
        <v>0</v>
      </c>
      <c r="J850">
        <f t="shared" si="39"/>
        <v>0</v>
      </c>
      <c r="L850" t="s">
        <v>619</v>
      </c>
      <c r="M850">
        <v>0</v>
      </c>
    </row>
    <row r="851" spans="9:13">
      <c r="I851">
        <f t="shared" si="38"/>
        <v>0</v>
      </c>
      <c r="J851">
        <f t="shared" si="39"/>
        <v>0</v>
      </c>
      <c r="L851" t="s">
        <v>620</v>
      </c>
      <c r="M851">
        <v>0</v>
      </c>
    </row>
    <row r="852" spans="9:13">
      <c r="I852">
        <f t="shared" si="38"/>
        <v>0</v>
      </c>
      <c r="J852">
        <f t="shared" si="39"/>
        <v>0</v>
      </c>
      <c r="L852" t="s">
        <v>620</v>
      </c>
      <c r="M852">
        <v>0</v>
      </c>
    </row>
    <row r="853" spans="9:13">
      <c r="I853">
        <f t="shared" si="38"/>
        <v>0</v>
      </c>
      <c r="J853">
        <f t="shared" si="39"/>
        <v>0</v>
      </c>
      <c r="L853" t="s">
        <v>621</v>
      </c>
      <c r="M853">
        <v>0</v>
      </c>
    </row>
    <row r="854" spans="9:13">
      <c r="I854">
        <f t="shared" si="38"/>
        <v>0</v>
      </c>
      <c r="J854">
        <f t="shared" si="39"/>
        <v>0</v>
      </c>
      <c r="L854" t="s">
        <v>621</v>
      </c>
      <c r="M854">
        <v>0</v>
      </c>
    </row>
    <row r="855" spans="9:13">
      <c r="I855">
        <f t="shared" si="38"/>
        <v>0</v>
      </c>
      <c r="J855">
        <f t="shared" si="39"/>
        <v>0</v>
      </c>
      <c r="L855" t="s">
        <v>622</v>
      </c>
      <c r="M855">
        <v>0</v>
      </c>
    </row>
    <row r="856" spans="9:13">
      <c r="I856">
        <f t="shared" si="38"/>
        <v>0</v>
      </c>
      <c r="J856">
        <f t="shared" si="39"/>
        <v>0</v>
      </c>
      <c r="L856" t="s">
        <v>622</v>
      </c>
      <c r="M856">
        <v>0</v>
      </c>
    </row>
    <row r="857" spans="9:13">
      <c r="I857">
        <f t="shared" si="38"/>
        <v>0</v>
      </c>
      <c r="J857">
        <f t="shared" si="39"/>
        <v>0</v>
      </c>
      <c r="L857" t="s">
        <v>624</v>
      </c>
      <c r="M857">
        <v>0</v>
      </c>
    </row>
    <row r="858" spans="9:13">
      <c r="I858">
        <f t="shared" si="38"/>
        <v>0</v>
      </c>
      <c r="J858">
        <f t="shared" si="39"/>
        <v>0</v>
      </c>
      <c r="L858" t="s">
        <v>624</v>
      </c>
      <c r="M858">
        <v>0</v>
      </c>
    </row>
    <row r="859" spans="9:13">
      <c r="I859">
        <f t="shared" si="38"/>
        <v>0</v>
      </c>
      <c r="J859">
        <f t="shared" si="39"/>
        <v>0</v>
      </c>
      <c r="L859" t="s">
        <v>625</v>
      </c>
      <c r="M859">
        <v>0</v>
      </c>
    </row>
    <row r="860" spans="9:13">
      <c r="I860">
        <f t="shared" si="38"/>
        <v>0</v>
      </c>
      <c r="J860">
        <f t="shared" si="39"/>
        <v>0</v>
      </c>
      <c r="L860" t="s">
        <v>625</v>
      </c>
      <c r="M860">
        <v>0</v>
      </c>
    </row>
    <row r="861" spans="9:13">
      <c r="I861">
        <f t="shared" si="38"/>
        <v>0</v>
      </c>
      <c r="J861">
        <f t="shared" si="39"/>
        <v>0</v>
      </c>
      <c r="L861" t="s">
        <v>626</v>
      </c>
      <c r="M861">
        <v>0</v>
      </c>
    </row>
    <row r="862" spans="9:13">
      <c r="I862">
        <f t="shared" si="38"/>
        <v>0</v>
      </c>
      <c r="J862">
        <f t="shared" si="39"/>
        <v>0</v>
      </c>
      <c r="L862" t="s">
        <v>626</v>
      </c>
      <c r="M862">
        <v>0</v>
      </c>
    </row>
    <row r="863" spans="9:13">
      <c r="I863">
        <f t="shared" si="38"/>
        <v>0</v>
      </c>
      <c r="J863">
        <f t="shared" si="39"/>
        <v>0</v>
      </c>
      <c r="L863" t="s">
        <v>627</v>
      </c>
      <c r="M863">
        <v>0</v>
      </c>
    </row>
    <row r="864" spans="9:13">
      <c r="I864">
        <f t="shared" si="38"/>
        <v>0</v>
      </c>
      <c r="J864">
        <f t="shared" si="39"/>
        <v>0</v>
      </c>
      <c r="L864" t="s">
        <v>627</v>
      </c>
      <c r="M864">
        <v>0</v>
      </c>
    </row>
    <row r="865" spans="9:13">
      <c r="I865">
        <f t="shared" si="38"/>
        <v>0</v>
      </c>
      <c r="J865">
        <f t="shared" si="39"/>
        <v>0</v>
      </c>
      <c r="L865" t="s">
        <v>629</v>
      </c>
      <c r="M865">
        <v>0</v>
      </c>
    </row>
    <row r="866" spans="9:13">
      <c r="I866">
        <f t="shared" si="38"/>
        <v>0</v>
      </c>
      <c r="J866">
        <f t="shared" si="39"/>
        <v>0</v>
      </c>
      <c r="L866" t="s">
        <v>629</v>
      </c>
      <c r="M866">
        <v>0</v>
      </c>
    </row>
    <row r="867" spans="9:13">
      <c r="I867">
        <f t="shared" si="38"/>
        <v>0</v>
      </c>
      <c r="J867">
        <f t="shared" si="39"/>
        <v>0</v>
      </c>
      <c r="L867" t="s">
        <v>630</v>
      </c>
      <c r="M867">
        <v>0</v>
      </c>
    </row>
    <row r="868" spans="9:13">
      <c r="I868">
        <f t="shared" si="38"/>
        <v>0</v>
      </c>
      <c r="J868">
        <f t="shared" si="39"/>
        <v>0</v>
      </c>
      <c r="L868" t="s">
        <v>630</v>
      </c>
      <c r="M868">
        <v>0</v>
      </c>
    </row>
    <row r="869" spans="9:13">
      <c r="I869">
        <f t="shared" si="38"/>
        <v>0</v>
      </c>
      <c r="J869">
        <f t="shared" si="39"/>
        <v>0</v>
      </c>
      <c r="L869" t="s">
        <v>631</v>
      </c>
      <c r="M869">
        <v>0</v>
      </c>
    </row>
    <row r="870" spans="9:13">
      <c r="I870">
        <f t="shared" si="38"/>
        <v>0</v>
      </c>
      <c r="J870">
        <f t="shared" si="39"/>
        <v>0</v>
      </c>
      <c r="L870" t="s">
        <v>631</v>
      </c>
      <c r="M870">
        <v>0</v>
      </c>
    </row>
    <row r="871" spans="9:13">
      <c r="I871">
        <f t="shared" si="38"/>
        <v>0</v>
      </c>
      <c r="J871">
        <f t="shared" si="39"/>
        <v>0</v>
      </c>
      <c r="L871" t="s">
        <v>632</v>
      </c>
      <c r="M871">
        <v>0</v>
      </c>
    </row>
    <row r="872" spans="9:13">
      <c r="I872">
        <f t="shared" si="38"/>
        <v>0</v>
      </c>
      <c r="J872">
        <f t="shared" si="39"/>
        <v>0</v>
      </c>
      <c r="L872" t="s">
        <v>632</v>
      </c>
      <c r="M872">
        <v>0</v>
      </c>
    </row>
    <row r="873" spans="9:13">
      <c r="I873">
        <f t="shared" si="38"/>
        <v>0</v>
      </c>
      <c r="J873">
        <f t="shared" si="39"/>
        <v>0</v>
      </c>
      <c r="L873" t="s">
        <v>634</v>
      </c>
      <c r="M873">
        <v>0</v>
      </c>
    </row>
    <row r="874" spans="9:13">
      <c r="I874">
        <f t="shared" si="38"/>
        <v>0</v>
      </c>
      <c r="J874">
        <f t="shared" si="39"/>
        <v>0</v>
      </c>
      <c r="L874" t="s">
        <v>634</v>
      </c>
      <c r="M874">
        <v>0</v>
      </c>
    </row>
    <row r="875" spans="9:13">
      <c r="I875">
        <f t="shared" si="38"/>
        <v>0</v>
      </c>
      <c r="J875">
        <f t="shared" si="39"/>
        <v>0</v>
      </c>
      <c r="L875" t="s">
        <v>636</v>
      </c>
      <c r="M875">
        <v>0</v>
      </c>
    </row>
    <row r="876" spans="9:13">
      <c r="I876">
        <f t="shared" si="38"/>
        <v>0</v>
      </c>
      <c r="J876">
        <f t="shared" si="39"/>
        <v>0</v>
      </c>
      <c r="L876" t="s">
        <v>636</v>
      </c>
      <c r="M876">
        <v>0</v>
      </c>
    </row>
    <row r="877" spans="9:13">
      <c r="I877">
        <f t="shared" si="38"/>
        <v>0</v>
      </c>
      <c r="J877">
        <f t="shared" si="39"/>
        <v>0</v>
      </c>
      <c r="L877" t="s">
        <v>638</v>
      </c>
      <c r="M877">
        <v>0</v>
      </c>
    </row>
    <row r="878" spans="9:13">
      <c r="I878">
        <f t="shared" si="38"/>
        <v>0</v>
      </c>
      <c r="J878">
        <f t="shared" si="39"/>
        <v>0</v>
      </c>
      <c r="L878" t="s">
        <v>638</v>
      </c>
      <c r="M878">
        <v>0</v>
      </c>
    </row>
    <row r="879" spans="9:13">
      <c r="I879">
        <f t="shared" si="38"/>
        <v>0</v>
      </c>
      <c r="J879">
        <f t="shared" si="39"/>
        <v>0</v>
      </c>
      <c r="L879" t="s">
        <v>640</v>
      </c>
      <c r="M879">
        <v>0</v>
      </c>
    </row>
    <row r="880" spans="9:13">
      <c r="I880">
        <f t="shared" si="38"/>
        <v>0</v>
      </c>
      <c r="J880">
        <f t="shared" si="39"/>
        <v>0</v>
      </c>
      <c r="L880" t="s">
        <v>640</v>
      </c>
      <c r="M880">
        <v>0</v>
      </c>
    </row>
    <row r="881" spans="9:13">
      <c r="I881">
        <f t="shared" si="38"/>
        <v>0</v>
      </c>
      <c r="J881">
        <f t="shared" si="39"/>
        <v>0</v>
      </c>
      <c r="L881" t="s">
        <v>642</v>
      </c>
      <c r="M881">
        <v>0</v>
      </c>
    </row>
    <row r="882" spans="9:13">
      <c r="I882">
        <f t="shared" si="38"/>
        <v>0</v>
      </c>
      <c r="J882">
        <f t="shared" si="39"/>
        <v>0</v>
      </c>
      <c r="L882" t="s">
        <v>642</v>
      </c>
      <c r="M882">
        <v>0</v>
      </c>
    </row>
    <row r="883" spans="9:13">
      <c r="I883">
        <f t="shared" si="38"/>
        <v>0</v>
      </c>
      <c r="J883">
        <f t="shared" si="39"/>
        <v>0</v>
      </c>
      <c r="L883" t="s">
        <v>643</v>
      </c>
      <c r="M883">
        <v>0</v>
      </c>
    </row>
    <row r="884" spans="9:13">
      <c r="I884">
        <f t="shared" si="38"/>
        <v>0</v>
      </c>
      <c r="J884">
        <f t="shared" si="39"/>
        <v>0</v>
      </c>
      <c r="L884" t="s">
        <v>643</v>
      </c>
      <c r="M884">
        <v>0</v>
      </c>
    </row>
    <row r="885" spans="9:13">
      <c r="I885">
        <f t="shared" si="38"/>
        <v>0</v>
      </c>
      <c r="J885">
        <f t="shared" si="39"/>
        <v>0</v>
      </c>
      <c r="L885" t="s">
        <v>645</v>
      </c>
      <c r="M885">
        <v>0</v>
      </c>
    </row>
    <row r="886" spans="9:13">
      <c r="I886">
        <f t="shared" si="38"/>
        <v>0</v>
      </c>
      <c r="J886">
        <f t="shared" si="39"/>
        <v>0</v>
      </c>
      <c r="L886" t="s">
        <v>645</v>
      </c>
      <c r="M886">
        <v>0</v>
      </c>
    </row>
    <row r="887" spans="9:13">
      <c r="I887">
        <f t="shared" si="38"/>
        <v>0</v>
      </c>
      <c r="J887">
        <f t="shared" si="39"/>
        <v>0</v>
      </c>
      <c r="L887" t="s">
        <v>647</v>
      </c>
      <c r="M887">
        <v>0</v>
      </c>
    </row>
    <row r="888" spans="9:13">
      <c r="I888">
        <f t="shared" si="38"/>
        <v>0</v>
      </c>
      <c r="J888">
        <f t="shared" si="39"/>
        <v>0</v>
      </c>
      <c r="L888" t="s">
        <v>647</v>
      </c>
      <c r="M888">
        <v>0</v>
      </c>
    </row>
    <row r="889" spans="9:13">
      <c r="I889">
        <f t="shared" si="38"/>
        <v>0</v>
      </c>
      <c r="J889">
        <f t="shared" si="39"/>
        <v>0</v>
      </c>
      <c r="L889" t="s">
        <v>649</v>
      </c>
      <c r="M889">
        <v>0</v>
      </c>
    </row>
    <row r="890" spans="9:13">
      <c r="I890">
        <f t="shared" si="38"/>
        <v>0</v>
      </c>
      <c r="J890">
        <f t="shared" si="39"/>
        <v>0</v>
      </c>
      <c r="L890" t="s">
        <v>649</v>
      </c>
      <c r="M890">
        <v>0</v>
      </c>
    </row>
    <row r="891" spans="9:13">
      <c r="I891">
        <f t="shared" si="38"/>
        <v>0</v>
      </c>
      <c r="J891">
        <f t="shared" si="39"/>
        <v>0</v>
      </c>
      <c r="L891" t="s">
        <v>651</v>
      </c>
      <c r="M891">
        <v>0</v>
      </c>
    </row>
    <row r="892" spans="9:13">
      <c r="I892">
        <f t="shared" si="38"/>
        <v>0</v>
      </c>
      <c r="J892">
        <f t="shared" si="39"/>
        <v>0</v>
      </c>
      <c r="L892" t="s">
        <v>651</v>
      </c>
      <c r="M892">
        <v>0</v>
      </c>
    </row>
    <row r="893" spans="9:13">
      <c r="I893">
        <f t="shared" si="38"/>
        <v>0</v>
      </c>
      <c r="J893">
        <f t="shared" si="39"/>
        <v>0</v>
      </c>
      <c r="L893" t="s">
        <v>652</v>
      </c>
      <c r="M893">
        <v>0</v>
      </c>
    </row>
    <row r="894" spans="9:13">
      <c r="I894">
        <f t="shared" si="38"/>
        <v>0</v>
      </c>
      <c r="J894">
        <f t="shared" si="39"/>
        <v>0</v>
      </c>
      <c r="L894" t="s">
        <v>652</v>
      </c>
      <c r="M894">
        <v>0</v>
      </c>
    </row>
    <row r="895" spans="9:13">
      <c r="I895">
        <f t="shared" si="38"/>
        <v>0</v>
      </c>
      <c r="J895">
        <f t="shared" si="39"/>
        <v>0</v>
      </c>
      <c r="L895" t="s">
        <v>653</v>
      </c>
      <c r="M895">
        <v>0</v>
      </c>
    </row>
    <row r="896" spans="9:13">
      <c r="I896">
        <f t="shared" si="38"/>
        <v>0</v>
      </c>
      <c r="J896">
        <f t="shared" si="39"/>
        <v>0</v>
      </c>
      <c r="L896" t="s">
        <v>653</v>
      </c>
      <c r="M896">
        <v>0</v>
      </c>
    </row>
    <row r="897" spans="9:13">
      <c r="I897">
        <f t="shared" si="38"/>
        <v>0</v>
      </c>
      <c r="J897">
        <f t="shared" si="39"/>
        <v>0</v>
      </c>
      <c r="L897" t="s">
        <v>654</v>
      </c>
      <c r="M897">
        <v>0</v>
      </c>
    </row>
    <row r="898" spans="9:13">
      <c r="I898">
        <f t="shared" si="38"/>
        <v>0</v>
      </c>
      <c r="J898">
        <f t="shared" si="39"/>
        <v>0</v>
      </c>
      <c r="L898" t="s">
        <v>654</v>
      </c>
      <c r="M898">
        <v>0</v>
      </c>
    </row>
    <row r="899" spans="9:13">
      <c r="I899">
        <f t="shared" si="38"/>
        <v>0</v>
      </c>
      <c r="J899">
        <f t="shared" si="39"/>
        <v>0</v>
      </c>
      <c r="L899" t="s">
        <v>655</v>
      </c>
      <c r="M899">
        <v>0</v>
      </c>
    </row>
    <row r="900" spans="9:13">
      <c r="I900">
        <f t="shared" si="38"/>
        <v>0</v>
      </c>
      <c r="J900">
        <f t="shared" si="39"/>
        <v>0</v>
      </c>
      <c r="L900" t="s">
        <v>655</v>
      </c>
      <c r="M900">
        <v>0</v>
      </c>
    </row>
    <row r="901" spans="9:13">
      <c r="I901">
        <f t="shared" ref="I901:I964" si="40">+A901</f>
        <v>0</v>
      </c>
      <c r="J901">
        <f t="shared" ref="J901:J964" si="41">+E901</f>
        <v>0</v>
      </c>
      <c r="L901" t="s">
        <v>656</v>
      </c>
      <c r="M901">
        <v>0</v>
      </c>
    </row>
    <row r="902" spans="9:13">
      <c r="I902">
        <f t="shared" si="40"/>
        <v>0</v>
      </c>
      <c r="J902">
        <f t="shared" si="41"/>
        <v>0</v>
      </c>
      <c r="L902" t="s">
        <v>656</v>
      </c>
      <c r="M902">
        <v>0</v>
      </c>
    </row>
    <row r="903" spans="9:13">
      <c r="I903">
        <f t="shared" si="40"/>
        <v>0</v>
      </c>
      <c r="J903">
        <f t="shared" si="41"/>
        <v>0</v>
      </c>
      <c r="L903" t="s">
        <v>658</v>
      </c>
      <c r="M903">
        <v>0</v>
      </c>
    </row>
    <row r="904" spans="9:13">
      <c r="I904">
        <f t="shared" si="40"/>
        <v>0</v>
      </c>
      <c r="J904">
        <f t="shared" si="41"/>
        <v>0</v>
      </c>
      <c r="L904" t="s">
        <v>658</v>
      </c>
      <c r="M904">
        <v>0</v>
      </c>
    </row>
    <row r="905" spans="9:13">
      <c r="I905">
        <f t="shared" si="40"/>
        <v>0</v>
      </c>
      <c r="J905">
        <f t="shared" si="41"/>
        <v>0</v>
      </c>
      <c r="L905" t="s">
        <v>660</v>
      </c>
      <c r="M905">
        <v>0</v>
      </c>
    </row>
    <row r="906" spans="9:13">
      <c r="I906">
        <f t="shared" si="40"/>
        <v>0</v>
      </c>
      <c r="J906">
        <f t="shared" si="41"/>
        <v>0</v>
      </c>
      <c r="L906" t="s">
        <v>660</v>
      </c>
      <c r="M906">
        <v>0</v>
      </c>
    </row>
    <row r="907" spans="9:13">
      <c r="I907">
        <f t="shared" si="40"/>
        <v>0</v>
      </c>
      <c r="J907">
        <f t="shared" si="41"/>
        <v>0</v>
      </c>
      <c r="L907" t="s">
        <v>662</v>
      </c>
      <c r="M907">
        <v>0</v>
      </c>
    </row>
    <row r="908" spans="9:13">
      <c r="I908">
        <f t="shared" si="40"/>
        <v>0</v>
      </c>
      <c r="J908">
        <f t="shared" si="41"/>
        <v>0</v>
      </c>
      <c r="L908" t="s">
        <v>662</v>
      </c>
      <c r="M908">
        <v>0</v>
      </c>
    </row>
    <row r="909" spans="9:13">
      <c r="I909">
        <f t="shared" si="40"/>
        <v>0</v>
      </c>
      <c r="J909">
        <f t="shared" si="41"/>
        <v>0</v>
      </c>
      <c r="L909" t="s">
        <v>664</v>
      </c>
      <c r="M909">
        <v>0</v>
      </c>
    </row>
    <row r="910" spans="9:13">
      <c r="I910">
        <f t="shared" si="40"/>
        <v>0</v>
      </c>
      <c r="J910">
        <f t="shared" si="41"/>
        <v>0</v>
      </c>
      <c r="L910" t="s">
        <v>664</v>
      </c>
      <c r="M910">
        <v>0</v>
      </c>
    </row>
    <row r="911" spans="9:13">
      <c r="I911">
        <f t="shared" si="40"/>
        <v>0</v>
      </c>
      <c r="J911">
        <f t="shared" si="41"/>
        <v>0</v>
      </c>
      <c r="L911" t="s">
        <v>666</v>
      </c>
      <c r="M911">
        <v>0</v>
      </c>
    </row>
    <row r="912" spans="9:13">
      <c r="I912">
        <f t="shared" si="40"/>
        <v>0</v>
      </c>
      <c r="J912">
        <f t="shared" si="41"/>
        <v>0</v>
      </c>
      <c r="L912" t="s">
        <v>666</v>
      </c>
      <c r="M912">
        <v>0</v>
      </c>
    </row>
    <row r="913" spans="9:13">
      <c r="I913">
        <f t="shared" si="40"/>
        <v>0</v>
      </c>
      <c r="J913">
        <f t="shared" si="41"/>
        <v>0</v>
      </c>
      <c r="L913" t="s">
        <v>667</v>
      </c>
      <c r="M913">
        <v>0</v>
      </c>
    </row>
    <row r="914" spans="9:13">
      <c r="I914">
        <f t="shared" si="40"/>
        <v>0</v>
      </c>
      <c r="J914">
        <f t="shared" si="41"/>
        <v>0</v>
      </c>
      <c r="L914" t="s">
        <v>667</v>
      </c>
      <c r="M914">
        <v>0</v>
      </c>
    </row>
    <row r="915" spans="9:13">
      <c r="I915">
        <f t="shared" si="40"/>
        <v>0</v>
      </c>
      <c r="J915">
        <f t="shared" si="41"/>
        <v>0</v>
      </c>
      <c r="L915" t="s">
        <v>668</v>
      </c>
      <c r="M915">
        <v>0</v>
      </c>
    </row>
    <row r="916" spans="9:13">
      <c r="I916">
        <f t="shared" si="40"/>
        <v>0</v>
      </c>
      <c r="J916">
        <f t="shared" si="41"/>
        <v>0</v>
      </c>
      <c r="L916" t="s">
        <v>668</v>
      </c>
      <c r="M916">
        <v>0</v>
      </c>
    </row>
    <row r="917" spans="9:13">
      <c r="I917">
        <f t="shared" si="40"/>
        <v>0</v>
      </c>
      <c r="J917">
        <f t="shared" si="41"/>
        <v>0</v>
      </c>
      <c r="L917" t="s">
        <v>669</v>
      </c>
      <c r="M917">
        <v>0</v>
      </c>
    </row>
    <row r="918" spans="9:13">
      <c r="I918">
        <f t="shared" si="40"/>
        <v>0</v>
      </c>
      <c r="J918">
        <f t="shared" si="41"/>
        <v>0</v>
      </c>
      <c r="L918" t="s">
        <v>669</v>
      </c>
      <c r="M918">
        <v>0</v>
      </c>
    </row>
    <row r="919" spans="9:13">
      <c r="I919">
        <f t="shared" si="40"/>
        <v>0</v>
      </c>
      <c r="J919">
        <f t="shared" si="41"/>
        <v>0</v>
      </c>
      <c r="L919" t="s">
        <v>671</v>
      </c>
      <c r="M919">
        <v>0</v>
      </c>
    </row>
    <row r="920" spans="9:13">
      <c r="I920">
        <f t="shared" si="40"/>
        <v>0</v>
      </c>
      <c r="J920">
        <f t="shared" si="41"/>
        <v>0</v>
      </c>
      <c r="L920" t="s">
        <v>671</v>
      </c>
      <c r="M920">
        <v>0</v>
      </c>
    </row>
    <row r="921" spans="9:13">
      <c r="I921">
        <f t="shared" si="40"/>
        <v>0</v>
      </c>
      <c r="J921">
        <f t="shared" si="41"/>
        <v>0</v>
      </c>
      <c r="L921" t="s">
        <v>672</v>
      </c>
      <c r="M921">
        <v>0</v>
      </c>
    </row>
    <row r="922" spans="9:13">
      <c r="I922">
        <f t="shared" si="40"/>
        <v>0</v>
      </c>
      <c r="J922">
        <f t="shared" si="41"/>
        <v>0</v>
      </c>
      <c r="L922" t="s">
        <v>672</v>
      </c>
      <c r="M922">
        <v>0</v>
      </c>
    </row>
    <row r="923" spans="9:13">
      <c r="I923">
        <f t="shared" si="40"/>
        <v>0</v>
      </c>
      <c r="J923">
        <f t="shared" si="41"/>
        <v>0</v>
      </c>
      <c r="L923" t="s">
        <v>674</v>
      </c>
      <c r="M923">
        <v>0</v>
      </c>
    </row>
    <row r="924" spans="9:13">
      <c r="I924">
        <f t="shared" si="40"/>
        <v>0</v>
      </c>
      <c r="J924">
        <f t="shared" si="41"/>
        <v>0</v>
      </c>
      <c r="L924" t="s">
        <v>674</v>
      </c>
      <c r="M924">
        <v>0</v>
      </c>
    </row>
    <row r="925" spans="9:13">
      <c r="I925">
        <f t="shared" si="40"/>
        <v>0</v>
      </c>
      <c r="J925">
        <f t="shared" si="41"/>
        <v>0</v>
      </c>
      <c r="L925" t="s">
        <v>675</v>
      </c>
      <c r="M925">
        <v>0</v>
      </c>
    </row>
    <row r="926" spans="9:13">
      <c r="I926">
        <f t="shared" si="40"/>
        <v>0</v>
      </c>
      <c r="J926">
        <f t="shared" si="41"/>
        <v>0</v>
      </c>
      <c r="L926" t="s">
        <v>675</v>
      </c>
      <c r="M926">
        <v>0</v>
      </c>
    </row>
    <row r="927" spans="9:13">
      <c r="I927">
        <f t="shared" si="40"/>
        <v>0</v>
      </c>
      <c r="J927">
        <f t="shared" si="41"/>
        <v>0</v>
      </c>
      <c r="L927" t="s">
        <v>676</v>
      </c>
      <c r="M927">
        <v>0</v>
      </c>
    </row>
    <row r="928" spans="9:13">
      <c r="I928">
        <f t="shared" si="40"/>
        <v>0</v>
      </c>
      <c r="J928">
        <f t="shared" si="41"/>
        <v>0</v>
      </c>
      <c r="L928" t="s">
        <v>676</v>
      </c>
      <c r="M928">
        <v>0</v>
      </c>
    </row>
    <row r="929" spans="9:13">
      <c r="I929">
        <f t="shared" si="40"/>
        <v>0</v>
      </c>
      <c r="J929">
        <f t="shared" si="41"/>
        <v>0</v>
      </c>
      <c r="L929" t="s">
        <v>678</v>
      </c>
      <c r="M929">
        <v>0</v>
      </c>
    </row>
    <row r="930" spans="9:13">
      <c r="I930">
        <f t="shared" si="40"/>
        <v>0</v>
      </c>
      <c r="J930">
        <f t="shared" si="41"/>
        <v>0</v>
      </c>
      <c r="L930" t="s">
        <v>678</v>
      </c>
      <c r="M930">
        <v>0</v>
      </c>
    </row>
    <row r="931" spans="9:13">
      <c r="I931">
        <f t="shared" si="40"/>
        <v>0</v>
      </c>
      <c r="J931">
        <f t="shared" si="41"/>
        <v>0</v>
      </c>
      <c r="L931" t="s">
        <v>679</v>
      </c>
      <c r="M931">
        <v>0</v>
      </c>
    </row>
    <row r="932" spans="9:13">
      <c r="I932">
        <f t="shared" si="40"/>
        <v>0</v>
      </c>
      <c r="J932">
        <f t="shared" si="41"/>
        <v>0</v>
      </c>
      <c r="L932" t="s">
        <v>679</v>
      </c>
      <c r="M932">
        <v>0</v>
      </c>
    </row>
    <row r="933" spans="9:13">
      <c r="I933">
        <f t="shared" si="40"/>
        <v>0</v>
      </c>
      <c r="J933">
        <f t="shared" si="41"/>
        <v>0</v>
      </c>
      <c r="L933" t="s">
        <v>680</v>
      </c>
      <c r="M933">
        <v>0</v>
      </c>
    </row>
    <row r="934" spans="9:13">
      <c r="I934">
        <f t="shared" si="40"/>
        <v>0</v>
      </c>
      <c r="J934">
        <f t="shared" si="41"/>
        <v>0</v>
      </c>
      <c r="L934" t="s">
        <v>680</v>
      </c>
      <c r="M934">
        <v>0</v>
      </c>
    </row>
    <row r="935" spans="9:13">
      <c r="I935">
        <f t="shared" si="40"/>
        <v>0</v>
      </c>
      <c r="J935">
        <f t="shared" si="41"/>
        <v>0</v>
      </c>
      <c r="L935" t="s">
        <v>681</v>
      </c>
      <c r="M935">
        <v>0</v>
      </c>
    </row>
    <row r="936" spans="9:13">
      <c r="I936">
        <f t="shared" si="40"/>
        <v>0</v>
      </c>
      <c r="J936">
        <f t="shared" si="41"/>
        <v>0</v>
      </c>
      <c r="L936" t="s">
        <v>681</v>
      </c>
      <c r="M936">
        <v>0</v>
      </c>
    </row>
    <row r="937" spans="9:13">
      <c r="I937">
        <f t="shared" si="40"/>
        <v>0</v>
      </c>
      <c r="J937">
        <f t="shared" si="41"/>
        <v>0</v>
      </c>
      <c r="L937" t="s">
        <v>682</v>
      </c>
      <c r="M937">
        <v>0</v>
      </c>
    </row>
    <row r="938" spans="9:13">
      <c r="I938">
        <f t="shared" si="40"/>
        <v>0</v>
      </c>
      <c r="J938">
        <f t="shared" si="41"/>
        <v>0</v>
      </c>
      <c r="L938" t="s">
        <v>682</v>
      </c>
      <c r="M938">
        <v>0</v>
      </c>
    </row>
    <row r="939" spans="9:13">
      <c r="I939">
        <f t="shared" si="40"/>
        <v>0</v>
      </c>
      <c r="J939">
        <f t="shared" si="41"/>
        <v>0</v>
      </c>
      <c r="L939" t="s">
        <v>683</v>
      </c>
      <c r="M939">
        <v>0</v>
      </c>
    </row>
    <row r="940" spans="9:13">
      <c r="I940">
        <f t="shared" si="40"/>
        <v>0</v>
      </c>
      <c r="J940">
        <f t="shared" si="41"/>
        <v>0</v>
      </c>
      <c r="L940" t="s">
        <v>683</v>
      </c>
      <c r="M940">
        <v>0</v>
      </c>
    </row>
    <row r="941" spans="9:13">
      <c r="I941">
        <f t="shared" si="40"/>
        <v>0</v>
      </c>
      <c r="J941">
        <f t="shared" si="41"/>
        <v>0</v>
      </c>
      <c r="L941" t="s">
        <v>684</v>
      </c>
      <c r="M941">
        <v>0</v>
      </c>
    </row>
    <row r="942" spans="9:13">
      <c r="I942">
        <f t="shared" si="40"/>
        <v>0</v>
      </c>
      <c r="J942">
        <f t="shared" si="41"/>
        <v>0</v>
      </c>
      <c r="L942" t="s">
        <v>684</v>
      </c>
      <c r="M942">
        <v>0</v>
      </c>
    </row>
    <row r="943" spans="9:13">
      <c r="I943">
        <f t="shared" si="40"/>
        <v>0</v>
      </c>
      <c r="J943">
        <f t="shared" si="41"/>
        <v>0</v>
      </c>
      <c r="L943" t="s">
        <v>685</v>
      </c>
      <c r="M943">
        <v>0</v>
      </c>
    </row>
    <row r="944" spans="9:13">
      <c r="I944">
        <f t="shared" si="40"/>
        <v>0</v>
      </c>
      <c r="J944">
        <f t="shared" si="41"/>
        <v>0</v>
      </c>
      <c r="L944" t="s">
        <v>685</v>
      </c>
      <c r="M944">
        <v>0</v>
      </c>
    </row>
    <row r="945" spans="9:13">
      <c r="I945">
        <f t="shared" si="40"/>
        <v>0</v>
      </c>
      <c r="J945">
        <f t="shared" si="41"/>
        <v>0</v>
      </c>
      <c r="L945" t="s">
        <v>686</v>
      </c>
      <c r="M945">
        <v>0</v>
      </c>
    </row>
    <row r="946" spans="9:13">
      <c r="I946">
        <f t="shared" si="40"/>
        <v>0</v>
      </c>
      <c r="J946">
        <f t="shared" si="41"/>
        <v>0</v>
      </c>
      <c r="L946" t="s">
        <v>686</v>
      </c>
      <c r="M946">
        <v>0</v>
      </c>
    </row>
    <row r="947" spans="9:13">
      <c r="I947">
        <f t="shared" si="40"/>
        <v>0</v>
      </c>
      <c r="J947">
        <f t="shared" si="41"/>
        <v>0</v>
      </c>
      <c r="L947" t="s">
        <v>688</v>
      </c>
      <c r="M947">
        <v>0</v>
      </c>
    </row>
    <row r="948" spans="9:13">
      <c r="I948">
        <f t="shared" si="40"/>
        <v>0</v>
      </c>
      <c r="J948">
        <f t="shared" si="41"/>
        <v>0</v>
      </c>
      <c r="L948" t="s">
        <v>688</v>
      </c>
      <c r="M948">
        <v>0</v>
      </c>
    </row>
    <row r="949" spans="9:13">
      <c r="I949">
        <f t="shared" si="40"/>
        <v>0</v>
      </c>
      <c r="J949">
        <f t="shared" si="41"/>
        <v>0</v>
      </c>
      <c r="L949" t="s">
        <v>689</v>
      </c>
      <c r="M949">
        <v>0</v>
      </c>
    </row>
    <row r="950" spans="9:13">
      <c r="I950">
        <f t="shared" si="40"/>
        <v>0</v>
      </c>
      <c r="J950">
        <f t="shared" si="41"/>
        <v>0</v>
      </c>
      <c r="L950" t="s">
        <v>689</v>
      </c>
      <c r="M950">
        <v>0</v>
      </c>
    </row>
    <row r="951" spans="9:13">
      <c r="I951">
        <f t="shared" si="40"/>
        <v>0</v>
      </c>
      <c r="J951">
        <f t="shared" si="41"/>
        <v>0</v>
      </c>
      <c r="L951" t="s">
        <v>690</v>
      </c>
      <c r="M951">
        <v>0</v>
      </c>
    </row>
    <row r="952" spans="9:13">
      <c r="I952">
        <f t="shared" si="40"/>
        <v>0</v>
      </c>
      <c r="J952">
        <f t="shared" si="41"/>
        <v>0</v>
      </c>
      <c r="L952" t="s">
        <v>690</v>
      </c>
      <c r="M952">
        <v>0</v>
      </c>
    </row>
    <row r="953" spans="9:13">
      <c r="I953">
        <f t="shared" si="40"/>
        <v>0</v>
      </c>
      <c r="J953">
        <f t="shared" si="41"/>
        <v>0</v>
      </c>
      <c r="L953" t="s">
        <v>691</v>
      </c>
      <c r="M953">
        <v>0</v>
      </c>
    </row>
    <row r="954" spans="9:13">
      <c r="I954">
        <f t="shared" si="40"/>
        <v>0</v>
      </c>
      <c r="J954">
        <f t="shared" si="41"/>
        <v>0</v>
      </c>
      <c r="L954" t="s">
        <v>691</v>
      </c>
      <c r="M954">
        <v>0</v>
      </c>
    </row>
    <row r="955" spans="9:13">
      <c r="I955">
        <f t="shared" si="40"/>
        <v>0</v>
      </c>
      <c r="J955">
        <f t="shared" si="41"/>
        <v>0</v>
      </c>
      <c r="L955" t="s">
        <v>693</v>
      </c>
      <c r="M955">
        <v>0</v>
      </c>
    </row>
    <row r="956" spans="9:13">
      <c r="I956">
        <f t="shared" si="40"/>
        <v>0</v>
      </c>
      <c r="J956">
        <f t="shared" si="41"/>
        <v>0</v>
      </c>
      <c r="L956" t="s">
        <v>693</v>
      </c>
      <c r="M956">
        <v>0</v>
      </c>
    </row>
    <row r="957" spans="9:13">
      <c r="I957">
        <f t="shared" si="40"/>
        <v>0</v>
      </c>
      <c r="J957">
        <f t="shared" si="41"/>
        <v>0</v>
      </c>
      <c r="L957" t="s">
        <v>695</v>
      </c>
      <c r="M957">
        <v>0</v>
      </c>
    </row>
    <row r="958" spans="9:13">
      <c r="I958">
        <f t="shared" si="40"/>
        <v>0</v>
      </c>
      <c r="J958">
        <f t="shared" si="41"/>
        <v>0</v>
      </c>
      <c r="L958" t="s">
        <v>695</v>
      </c>
      <c r="M958">
        <v>0</v>
      </c>
    </row>
    <row r="959" spans="9:13">
      <c r="I959">
        <f t="shared" si="40"/>
        <v>0</v>
      </c>
      <c r="J959">
        <f t="shared" si="41"/>
        <v>0</v>
      </c>
      <c r="L959" t="s">
        <v>696</v>
      </c>
      <c r="M959">
        <v>0</v>
      </c>
    </row>
    <row r="960" spans="9:13">
      <c r="I960">
        <f t="shared" si="40"/>
        <v>0</v>
      </c>
      <c r="J960">
        <f t="shared" si="41"/>
        <v>0</v>
      </c>
      <c r="L960" t="s">
        <v>696</v>
      </c>
      <c r="M960">
        <v>0</v>
      </c>
    </row>
    <row r="961" spans="9:13">
      <c r="I961">
        <f t="shared" si="40"/>
        <v>0</v>
      </c>
      <c r="J961">
        <f t="shared" si="41"/>
        <v>0</v>
      </c>
      <c r="L961" t="s">
        <v>697</v>
      </c>
      <c r="M961">
        <v>0</v>
      </c>
    </row>
    <row r="962" spans="9:13">
      <c r="I962">
        <f t="shared" si="40"/>
        <v>0</v>
      </c>
      <c r="J962">
        <f t="shared" si="41"/>
        <v>0</v>
      </c>
      <c r="L962" t="s">
        <v>697</v>
      </c>
      <c r="M962">
        <v>0</v>
      </c>
    </row>
    <row r="963" spans="9:13">
      <c r="I963">
        <f t="shared" si="40"/>
        <v>0</v>
      </c>
      <c r="J963">
        <f t="shared" si="41"/>
        <v>0</v>
      </c>
      <c r="L963" t="s">
        <v>698</v>
      </c>
      <c r="M963">
        <v>0</v>
      </c>
    </row>
    <row r="964" spans="9:13">
      <c r="I964">
        <f t="shared" si="40"/>
        <v>0</v>
      </c>
      <c r="J964">
        <f t="shared" si="41"/>
        <v>0</v>
      </c>
      <c r="L964" t="s">
        <v>698</v>
      </c>
      <c r="M964">
        <v>0</v>
      </c>
    </row>
    <row r="965" spans="9:13">
      <c r="I965">
        <f t="shared" ref="I965:I1028" si="42">+A965</f>
        <v>0</v>
      </c>
      <c r="J965">
        <f t="shared" ref="J965:J1028" si="43">+E965</f>
        <v>0</v>
      </c>
      <c r="L965" t="s">
        <v>699</v>
      </c>
      <c r="M965">
        <v>0</v>
      </c>
    </row>
    <row r="966" spans="9:13">
      <c r="I966">
        <f t="shared" si="42"/>
        <v>0</v>
      </c>
      <c r="J966">
        <f t="shared" si="43"/>
        <v>0</v>
      </c>
      <c r="L966" t="s">
        <v>699</v>
      </c>
      <c r="M966">
        <v>0</v>
      </c>
    </row>
    <row r="967" spans="9:13">
      <c r="I967">
        <f t="shared" si="42"/>
        <v>0</v>
      </c>
      <c r="J967">
        <f t="shared" si="43"/>
        <v>0</v>
      </c>
      <c r="L967" t="s">
        <v>700</v>
      </c>
      <c r="M967">
        <v>0</v>
      </c>
    </row>
    <row r="968" spans="9:13">
      <c r="I968">
        <f t="shared" si="42"/>
        <v>0</v>
      </c>
      <c r="J968">
        <f t="shared" si="43"/>
        <v>0</v>
      </c>
      <c r="L968" t="s">
        <v>700</v>
      </c>
      <c r="M968">
        <v>0</v>
      </c>
    </row>
    <row r="969" spans="9:13">
      <c r="I969">
        <f t="shared" si="42"/>
        <v>0</v>
      </c>
      <c r="J969">
        <f t="shared" si="43"/>
        <v>0</v>
      </c>
      <c r="L969" t="s">
        <v>701</v>
      </c>
      <c r="M969">
        <v>0</v>
      </c>
    </row>
    <row r="970" spans="9:13">
      <c r="I970">
        <f t="shared" si="42"/>
        <v>0</v>
      </c>
      <c r="J970">
        <f t="shared" si="43"/>
        <v>0</v>
      </c>
      <c r="L970" t="s">
        <v>702</v>
      </c>
      <c r="M970">
        <v>0</v>
      </c>
    </row>
    <row r="971" spans="9:13">
      <c r="I971">
        <f t="shared" si="42"/>
        <v>0</v>
      </c>
      <c r="J971">
        <f t="shared" si="43"/>
        <v>0</v>
      </c>
      <c r="L971" t="s">
        <v>702</v>
      </c>
      <c r="M971">
        <v>0</v>
      </c>
    </row>
    <row r="972" spans="9:13">
      <c r="I972">
        <f t="shared" si="42"/>
        <v>0</v>
      </c>
      <c r="J972">
        <f t="shared" si="43"/>
        <v>0</v>
      </c>
      <c r="L972" t="s">
        <v>703</v>
      </c>
      <c r="M972">
        <v>0</v>
      </c>
    </row>
    <row r="973" spans="9:13">
      <c r="I973">
        <f t="shared" si="42"/>
        <v>0</v>
      </c>
      <c r="J973">
        <f t="shared" si="43"/>
        <v>0</v>
      </c>
      <c r="L973" t="s">
        <v>703</v>
      </c>
      <c r="M973">
        <v>0</v>
      </c>
    </row>
    <row r="974" spans="9:13">
      <c r="I974">
        <f t="shared" si="42"/>
        <v>0</v>
      </c>
      <c r="J974">
        <f t="shared" si="43"/>
        <v>0</v>
      </c>
      <c r="L974" t="s">
        <v>704</v>
      </c>
      <c r="M974">
        <v>0</v>
      </c>
    </row>
    <row r="975" spans="9:13">
      <c r="I975">
        <f t="shared" si="42"/>
        <v>0</v>
      </c>
      <c r="J975">
        <f t="shared" si="43"/>
        <v>0</v>
      </c>
      <c r="L975" t="s">
        <v>704</v>
      </c>
      <c r="M975">
        <v>0</v>
      </c>
    </row>
    <row r="976" spans="9:13">
      <c r="I976">
        <f t="shared" si="42"/>
        <v>0</v>
      </c>
      <c r="J976">
        <f t="shared" si="43"/>
        <v>0</v>
      </c>
      <c r="L976" t="s">
        <v>705</v>
      </c>
      <c r="M976">
        <v>0</v>
      </c>
    </row>
    <row r="977" spans="9:13">
      <c r="I977">
        <f t="shared" si="42"/>
        <v>0</v>
      </c>
      <c r="J977">
        <f t="shared" si="43"/>
        <v>0</v>
      </c>
      <c r="L977" t="s">
        <v>705</v>
      </c>
      <c r="M977">
        <v>0</v>
      </c>
    </row>
    <row r="978" spans="9:13">
      <c r="I978">
        <f t="shared" si="42"/>
        <v>0</v>
      </c>
      <c r="J978">
        <f t="shared" si="43"/>
        <v>0</v>
      </c>
      <c r="L978" t="s">
        <v>706</v>
      </c>
      <c r="M978">
        <v>0</v>
      </c>
    </row>
    <row r="979" spans="9:13">
      <c r="I979">
        <f t="shared" si="42"/>
        <v>0</v>
      </c>
      <c r="J979">
        <f t="shared" si="43"/>
        <v>0</v>
      </c>
      <c r="L979" t="s">
        <v>706</v>
      </c>
      <c r="M979">
        <v>0</v>
      </c>
    </row>
    <row r="980" spans="9:13">
      <c r="I980">
        <f t="shared" si="42"/>
        <v>0</v>
      </c>
      <c r="J980">
        <f t="shared" si="43"/>
        <v>0</v>
      </c>
      <c r="L980" t="s">
        <v>707</v>
      </c>
      <c r="M980">
        <v>0</v>
      </c>
    </row>
    <row r="981" spans="9:13">
      <c r="I981">
        <f t="shared" si="42"/>
        <v>0</v>
      </c>
      <c r="J981">
        <f t="shared" si="43"/>
        <v>0</v>
      </c>
      <c r="L981" t="s">
        <v>707</v>
      </c>
      <c r="M981">
        <v>0</v>
      </c>
    </row>
    <row r="982" spans="9:13">
      <c r="I982">
        <f t="shared" si="42"/>
        <v>0</v>
      </c>
      <c r="J982">
        <f t="shared" si="43"/>
        <v>0</v>
      </c>
      <c r="L982" t="s">
        <v>708</v>
      </c>
      <c r="M982">
        <v>0</v>
      </c>
    </row>
    <row r="983" spans="9:13">
      <c r="I983">
        <f t="shared" si="42"/>
        <v>0</v>
      </c>
      <c r="J983">
        <f t="shared" si="43"/>
        <v>0</v>
      </c>
      <c r="L983" t="s">
        <v>709</v>
      </c>
      <c r="M983">
        <v>0</v>
      </c>
    </row>
    <row r="984" spans="9:13">
      <c r="I984">
        <f t="shared" si="42"/>
        <v>0</v>
      </c>
      <c r="J984">
        <f t="shared" si="43"/>
        <v>0</v>
      </c>
      <c r="L984" t="s">
        <v>709</v>
      </c>
      <c r="M984">
        <v>0</v>
      </c>
    </row>
    <row r="985" spans="9:13">
      <c r="I985">
        <f t="shared" si="42"/>
        <v>0</v>
      </c>
      <c r="J985">
        <f t="shared" si="43"/>
        <v>0</v>
      </c>
      <c r="L985" t="s">
        <v>710</v>
      </c>
      <c r="M985">
        <v>0</v>
      </c>
    </row>
    <row r="986" spans="9:13">
      <c r="I986">
        <f t="shared" si="42"/>
        <v>0</v>
      </c>
      <c r="J986">
        <f t="shared" si="43"/>
        <v>0</v>
      </c>
      <c r="L986" t="s">
        <v>710</v>
      </c>
      <c r="M986">
        <v>0</v>
      </c>
    </row>
    <row r="987" spans="9:13">
      <c r="I987">
        <f t="shared" si="42"/>
        <v>0</v>
      </c>
      <c r="J987">
        <f t="shared" si="43"/>
        <v>0</v>
      </c>
      <c r="L987" t="s">
        <v>711</v>
      </c>
      <c r="M987">
        <v>0</v>
      </c>
    </row>
    <row r="988" spans="9:13">
      <c r="I988">
        <f t="shared" si="42"/>
        <v>0</v>
      </c>
      <c r="J988">
        <f t="shared" si="43"/>
        <v>0</v>
      </c>
      <c r="L988" t="s">
        <v>711</v>
      </c>
      <c r="M988">
        <v>0</v>
      </c>
    </row>
    <row r="989" spans="9:13">
      <c r="I989">
        <f t="shared" si="42"/>
        <v>0</v>
      </c>
      <c r="J989">
        <f t="shared" si="43"/>
        <v>0</v>
      </c>
      <c r="L989" t="s">
        <v>712</v>
      </c>
      <c r="M989">
        <v>0</v>
      </c>
    </row>
    <row r="990" spans="9:13">
      <c r="I990">
        <f t="shared" si="42"/>
        <v>0</v>
      </c>
      <c r="J990">
        <f t="shared" si="43"/>
        <v>0</v>
      </c>
      <c r="L990" t="s">
        <v>712</v>
      </c>
      <c r="M990">
        <v>0</v>
      </c>
    </row>
    <row r="991" spans="9:13">
      <c r="I991">
        <f t="shared" si="42"/>
        <v>0</v>
      </c>
      <c r="J991">
        <f t="shared" si="43"/>
        <v>0</v>
      </c>
      <c r="L991" t="s">
        <v>713</v>
      </c>
      <c r="M991">
        <v>0</v>
      </c>
    </row>
    <row r="992" spans="9:13">
      <c r="I992">
        <f t="shared" si="42"/>
        <v>0</v>
      </c>
      <c r="J992">
        <f t="shared" si="43"/>
        <v>0</v>
      </c>
      <c r="L992" t="s">
        <v>713</v>
      </c>
      <c r="M992">
        <v>0</v>
      </c>
    </row>
    <row r="993" spans="9:13">
      <c r="I993">
        <f t="shared" si="42"/>
        <v>0</v>
      </c>
      <c r="J993">
        <f t="shared" si="43"/>
        <v>0</v>
      </c>
      <c r="L993" t="s">
        <v>714</v>
      </c>
      <c r="M993">
        <v>0</v>
      </c>
    </row>
    <row r="994" spans="9:13">
      <c r="I994">
        <f t="shared" si="42"/>
        <v>0</v>
      </c>
      <c r="J994">
        <f t="shared" si="43"/>
        <v>0</v>
      </c>
      <c r="L994" t="s">
        <v>714</v>
      </c>
      <c r="M994">
        <v>0</v>
      </c>
    </row>
    <row r="995" spans="9:13">
      <c r="I995">
        <f t="shared" si="42"/>
        <v>0</v>
      </c>
      <c r="J995">
        <f t="shared" si="43"/>
        <v>0</v>
      </c>
      <c r="L995" t="s">
        <v>715</v>
      </c>
      <c r="M995">
        <v>0</v>
      </c>
    </row>
    <row r="996" spans="9:13">
      <c r="I996">
        <f t="shared" si="42"/>
        <v>0</v>
      </c>
      <c r="J996">
        <f t="shared" si="43"/>
        <v>0</v>
      </c>
      <c r="L996" t="s">
        <v>715</v>
      </c>
      <c r="M996">
        <v>0</v>
      </c>
    </row>
    <row r="997" spans="9:13">
      <c r="I997">
        <f t="shared" si="42"/>
        <v>0</v>
      </c>
      <c r="J997">
        <f t="shared" si="43"/>
        <v>0</v>
      </c>
      <c r="L997" t="s">
        <v>716</v>
      </c>
      <c r="M997">
        <v>0</v>
      </c>
    </row>
    <row r="998" spans="9:13">
      <c r="I998">
        <f t="shared" si="42"/>
        <v>0</v>
      </c>
      <c r="J998">
        <f t="shared" si="43"/>
        <v>0</v>
      </c>
      <c r="L998" t="s">
        <v>716</v>
      </c>
      <c r="M998">
        <v>0</v>
      </c>
    </row>
    <row r="999" spans="9:13">
      <c r="I999">
        <f t="shared" si="42"/>
        <v>0</v>
      </c>
      <c r="J999">
        <f t="shared" si="43"/>
        <v>0</v>
      </c>
      <c r="L999" t="s">
        <v>717</v>
      </c>
      <c r="M999">
        <v>0</v>
      </c>
    </row>
    <row r="1000" spans="9:13">
      <c r="I1000">
        <f t="shared" si="42"/>
        <v>0</v>
      </c>
      <c r="J1000">
        <f t="shared" si="43"/>
        <v>0</v>
      </c>
      <c r="L1000" t="s">
        <v>717</v>
      </c>
      <c r="M1000">
        <v>0</v>
      </c>
    </row>
    <row r="1001" spans="9:13">
      <c r="I1001">
        <f t="shared" si="42"/>
        <v>0</v>
      </c>
      <c r="J1001">
        <f t="shared" si="43"/>
        <v>0</v>
      </c>
      <c r="L1001" t="s">
        <v>719</v>
      </c>
      <c r="M1001">
        <v>0</v>
      </c>
    </row>
    <row r="1002" spans="9:13">
      <c r="I1002">
        <f t="shared" si="42"/>
        <v>0</v>
      </c>
      <c r="J1002">
        <f t="shared" si="43"/>
        <v>0</v>
      </c>
      <c r="L1002" t="s">
        <v>719</v>
      </c>
      <c r="M1002">
        <v>0</v>
      </c>
    </row>
    <row r="1003" spans="9:13">
      <c r="I1003">
        <f t="shared" si="42"/>
        <v>0</v>
      </c>
      <c r="J1003">
        <f t="shared" si="43"/>
        <v>0</v>
      </c>
      <c r="L1003" t="s">
        <v>721</v>
      </c>
      <c r="M1003">
        <v>0</v>
      </c>
    </row>
    <row r="1004" spans="9:13">
      <c r="I1004">
        <f t="shared" si="42"/>
        <v>0</v>
      </c>
      <c r="J1004">
        <f t="shared" si="43"/>
        <v>0</v>
      </c>
      <c r="L1004" t="s">
        <v>721</v>
      </c>
      <c r="M1004">
        <v>0</v>
      </c>
    </row>
    <row r="1005" spans="9:13">
      <c r="I1005">
        <f t="shared" si="42"/>
        <v>0</v>
      </c>
      <c r="J1005">
        <f t="shared" si="43"/>
        <v>0</v>
      </c>
      <c r="L1005" t="s">
        <v>723</v>
      </c>
      <c r="M1005">
        <v>0</v>
      </c>
    </row>
    <row r="1006" spans="9:13">
      <c r="I1006">
        <f t="shared" si="42"/>
        <v>0</v>
      </c>
      <c r="J1006">
        <f t="shared" si="43"/>
        <v>0</v>
      </c>
      <c r="L1006" t="s">
        <v>723</v>
      </c>
      <c r="M1006">
        <v>0</v>
      </c>
    </row>
    <row r="1007" spans="9:13">
      <c r="I1007">
        <f t="shared" si="42"/>
        <v>0</v>
      </c>
      <c r="J1007">
        <f t="shared" si="43"/>
        <v>0</v>
      </c>
      <c r="L1007" t="s">
        <v>725</v>
      </c>
      <c r="M1007">
        <v>0</v>
      </c>
    </row>
    <row r="1008" spans="9:13">
      <c r="I1008">
        <f t="shared" si="42"/>
        <v>0</v>
      </c>
      <c r="J1008">
        <f t="shared" si="43"/>
        <v>0</v>
      </c>
      <c r="L1008" t="s">
        <v>725</v>
      </c>
      <c r="M1008">
        <v>0</v>
      </c>
    </row>
    <row r="1009" spans="9:13">
      <c r="I1009">
        <f t="shared" si="42"/>
        <v>0</v>
      </c>
      <c r="J1009">
        <f t="shared" si="43"/>
        <v>0</v>
      </c>
      <c r="L1009" t="s">
        <v>726</v>
      </c>
      <c r="M1009">
        <v>0</v>
      </c>
    </row>
    <row r="1010" spans="9:13">
      <c r="I1010">
        <f t="shared" si="42"/>
        <v>0</v>
      </c>
      <c r="J1010">
        <f t="shared" si="43"/>
        <v>0</v>
      </c>
      <c r="L1010" t="s">
        <v>726</v>
      </c>
      <c r="M1010">
        <v>0</v>
      </c>
    </row>
    <row r="1011" spans="9:13">
      <c r="I1011">
        <f t="shared" si="42"/>
        <v>0</v>
      </c>
      <c r="J1011">
        <f t="shared" si="43"/>
        <v>0</v>
      </c>
      <c r="L1011" t="s">
        <v>727</v>
      </c>
      <c r="M1011">
        <v>0</v>
      </c>
    </row>
    <row r="1012" spans="9:13">
      <c r="I1012">
        <f t="shared" si="42"/>
        <v>0</v>
      </c>
      <c r="J1012">
        <f t="shared" si="43"/>
        <v>0</v>
      </c>
      <c r="L1012" t="s">
        <v>727</v>
      </c>
      <c r="M1012">
        <v>0</v>
      </c>
    </row>
    <row r="1013" spans="9:13">
      <c r="I1013">
        <f t="shared" si="42"/>
        <v>0</v>
      </c>
      <c r="J1013">
        <f t="shared" si="43"/>
        <v>0</v>
      </c>
      <c r="L1013" t="s">
        <v>728</v>
      </c>
      <c r="M1013">
        <v>0</v>
      </c>
    </row>
    <row r="1014" spans="9:13">
      <c r="I1014">
        <f t="shared" si="42"/>
        <v>0</v>
      </c>
      <c r="J1014">
        <f t="shared" si="43"/>
        <v>0</v>
      </c>
      <c r="L1014" t="s">
        <v>728</v>
      </c>
      <c r="M1014">
        <v>0</v>
      </c>
    </row>
    <row r="1015" spans="9:13">
      <c r="I1015">
        <f t="shared" si="42"/>
        <v>0</v>
      </c>
      <c r="J1015">
        <f t="shared" si="43"/>
        <v>0</v>
      </c>
      <c r="L1015" t="s">
        <v>729</v>
      </c>
      <c r="M1015">
        <v>0</v>
      </c>
    </row>
    <row r="1016" spans="9:13">
      <c r="I1016">
        <f t="shared" si="42"/>
        <v>0</v>
      </c>
      <c r="J1016">
        <f t="shared" si="43"/>
        <v>0</v>
      </c>
      <c r="L1016" t="s">
        <v>729</v>
      </c>
      <c r="M1016">
        <v>0</v>
      </c>
    </row>
    <row r="1017" spans="9:13">
      <c r="I1017">
        <f t="shared" si="42"/>
        <v>0</v>
      </c>
      <c r="J1017">
        <f t="shared" si="43"/>
        <v>0</v>
      </c>
      <c r="L1017" t="s">
        <v>730</v>
      </c>
      <c r="M1017">
        <v>0</v>
      </c>
    </row>
    <row r="1018" spans="9:13">
      <c r="I1018">
        <f t="shared" si="42"/>
        <v>0</v>
      </c>
      <c r="J1018">
        <f t="shared" si="43"/>
        <v>0</v>
      </c>
      <c r="L1018" t="s">
        <v>730</v>
      </c>
      <c r="M1018">
        <v>0</v>
      </c>
    </row>
    <row r="1019" spans="9:13">
      <c r="I1019">
        <f t="shared" si="42"/>
        <v>0</v>
      </c>
      <c r="J1019">
        <f t="shared" si="43"/>
        <v>0</v>
      </c>
      <c r="L1019" t="s">
        <v>731</v>
      </c>
      <c r="M1019">
        <v>0</v>
      </c>
    </row>
    <row r="1020" spans="9:13">
      <c r="I1020">
        <f t="shared" si="42"/>
        <v>0</v>
      </c>
      <c r="J1020">
        <f t="shared" si="43"/>
        <v>0</v>
      </c>
      <c r="L1020" t="s">
        <v>731</v>
      </c>
      <c r="M1020">
        <v>0</v>
      </c>
    </row>
    <row r="1021" spans="9:13">
      <c r="I1021">
        <f t="shared" si="42"/>
        <v>0</v>
      </c>
      <c r="J1021">
        <f t="shared" si="43"/>
        <v>0</v>
      </c>
      <c r="L1021" t="s">
        <v>732</v>
      </c>
      <c r="M1021">
        <v>0</v>
      </c>
    </row>
    <row r="1022" spans="9:13">
      <c r="I1022">
        <f t="shared" si="42"/>
        <v>0</v>
      </c>
      <c r="J1022">
        <f t="shared" si="43"/>
        <v>0</v>
      </c>
      <c r="L1022" t="s">
        <v>732</v>
      </c>
      <c r="M1022">
        <v>0</v>
      </c>
    </row>
    <row r="1023" spans="9:13">
      <c r="I1023">
        <f t="shared" si="42"/>
        <v>0</v>
      </c>
      <c r="J1023">
        <f t="shared" si="43"/>
        <v>0</v>
      </c>
      <c r="L1023" t="s">
        <v>733</v>
      </c>
      <c r="M1023">
        <v>0</v>
      </c>
    </row>
    <row r="1024" spans="9:13">
      <c r="I1024">
        <f t="shared" si="42"/>
        <v>0</v>
      </c>
      <c r="J1024">
        <f t="shared" si="43"/>
        <v>0</v>
      </c>
      <c r="L1024" t="s">
        <v>733</v>
      </c>
      <c r="M1024">
        <v>0</v>
      </c>
    </row>
    <row r="1025" spans="9:13">
      <c r="I1025">
        <f t="shared" si="42"/>
        <v>0</v>
      </c>
      <c r="J1025">
        <f t="shared" si="43"/>
        <v>0</v>
      </c>
      <c r="L1025" t="s">
        <v>734</v>
      </c>
      <c r="M1025">
        <v>0</v>
      </c>
    </row>
    <row r="1026" spans="9:13">
      <c r="I1026">
        <f t="shared" si="42"/>
        <v>0</v>
      </c>
      <c r="J1026">
        <f t="shared" si="43"/>
        <v>0</v>
      </c>
      <c r="L1026" t="s">
        <v>734</v>
      </c>
      <c r="M1026">
        <v>0</v>
      </c>
    </row>
    <row r="1027" spans="9:13">
      <c r="I1027">
        <f t="shared" si="42"/>
        <v>0</v>
      </c>
      <c r="J1027">
        <f t="shared" si="43"/>
        <v>0</v>
      </c>
      <c r="L1027" t="s">
        <v>735</v>
      </c>
      <c r="M1027">
        <v>0</v>
      </c>
    </row>
    <row r="1028" spans="9:13">
      <c r="I1028">
        <f t="shared" si="42"/>
        <v>0</v>
      </c>
      <c r="J1028">
        <f t="shared" si="43"/>
        <v>0</v>
      </c>
      <c r="L1028" t="s">
        <v>735</v>
      </c>
      <c r="M1028">
        <v>0</v>
      </c>
    </row>
    <row r="1029" spans="9:13">
      <c r="I1029">
        <f t="shared" ref="I1029:I1092" si="44">+A1029</f>
        <v>0</v>
      </c>
      <c r="J1029">
        <f t="shared" ref="J1029:J1092" si="45">+E1029</f>
        <v>0</v>
      </c>
      <c r="L1029" t="s">
        <v>736</v>
      </c>
      <c r="M1029">
        <v>0</v>
      </c>
    </row>
    <row r="1030" spans="9:13">
      <c r="I1030">
        <f t="shared" si="44"/>
        <v>0</v>
      </c>
      <c r="J1030">
        <f t="shared" si="45"/>
        <v>0</v>
      </c>
      <c r="L1030" t="s">
        <v>736</v>
      </c>
      <c r="M1030">
        <v>0</v>
      </c>
    </row>
    <row r="1031" spans="9:13">
      <c r="I1031">
        <f t="shared" si="44"/>
        <v>0</v>
      </c>
      <c r="J1031">
        <f t="shared" si="45"/>
        <v>0</v>
      </c>
      <c r="L1031" t="s">
        <v>737</v>
      </c>
      <c r="M1031">
        <v>0</v>
      </c>
    </row>
    <row r="1032" spans="9:13">
      <c r="I1032">
        <f t="shared" si="44"/>
        <v>0</v>
      </c>
      <c r="J1032">
        <f t="shared" si="45"/>
        <v>0</v>
      </c>
      <c r="L1032" t="s">
        <v>737</v>
      </c>
      <c r="M1032">
        <v>0</v>
      </c>
    </row>
    <row r="1033" spans="9:13">
      <c r="I1033">
        <f t="shared" si="44"/>
        <v>0</v>
      </c>
      <c r="J1033">
        <f t="shared" si="45"/>
        <v>0</v>
      </c>
      <c r="L1033" t="s">
        <v>739</v>
      </c>
      <c r="M1033">
        <v>0</v>
      </c>
    </row>
    <row r="1034" spans="9:13">
      <c r="I1034">
        <f t="shared" si="44"/>
        <v>0</v>
      </c>
      <c r="J1034">
        <f t="shared" si="45"/>
        <v>0</v>
      </c>
      <c r="L1034" t="s">
        <v>739</v>
      </c>
      <c r="M1034">
        <v>0</v>
      </c>
    </row>
    <row r="1035" spans="9:13">
      <c r="I1035">
        <f t="shared" si="44"/>
        <v>0</v>
      </c>
      <c r="J1035">
        <f t="shared" si="45"/>
        <v>0</v>
      </c>
      <c r="L1035" t="s">
        <v>740</v>
      </c>
      <c r="M1035">
        <v>0</v>
      </c>
    </row>
    <row r="1036" spans="9:13">
      <c r="I1036">
        <f t="shared" si="44"/>
        <v>0</v>
      </c>
      <c r="J1036">
        <f t="shared" si="45"/>
        <v>0</v>
      </c>
      <c r="L1036" t="s">
        <v>740</v>
      </c>
      <c r="M1036">
        <v>0</v>
      </c>
    </row>
    <row r="1037" spans="9:13">
      <c r="I1037">
        <f t="shared" si="44"/>
        <v>0</v>
      </c>
      <c r="J1037">
        <f t="shared" si="45"/>
        <v>0</v>
      </c>
      <c r="L1037" t="s">
        <v>741</v>
      </c>
      <c r="M1037">
        <v>0</v>
      </c>
    </row>
    <row r="1038" spans="9:13">
      <c r="I1038">
        <f t="shared" si="44"/>
        <v>0</v>
      </c>
      <c r="J1038">
        <f t="shared" si="45"/>
        <v>0</v>
      </c>
      <c r="L1038" t="s">
        <v>741</v>
      </c>
      <c r="M1038">
        <v>0</v>
      </c>
    </row>
    <row r="1039" spans="9:13">
      <c r="I1039">
        <f t="shared" si="44"/>
        <v>0</v>
      </c>
      <c r="J1039">
        <f t="shared" si="45"/>
        <v>0</v>
      </c>
      <c r="L1039" t="s">
        <v>742</v>
      </c>
      <c r="M1039">
        <v>0</v>
      </c>
    </row>
    <row r="1040" spans="9:13">
      <c r="I1040">
        <f t="shared" si="44"/>
        <v>0</v>
      </c>
      <c r="J1040">
        <f t="shared" si="45"/>
        <v>0</v>
      </c>
      <c r="L1040" t="s">
        <v>742</v>
      </c>
      <c r="M1040">
        <v>0</v>
      </c>
    </row>
    <row r="1041" spans="9:13">
      <c r="I1041">
        <f t="shared" si="44"/>
        <v>0</v>
      </c>
      <c r="J1041">
        <f t="shared" si="45"/>
        <v>0</v>
      </c>
      <c r="L1041" t="s">
        <v>743</v>
      </c>
      <c r="M1041">
        <v>0</v>
      </c>
    </row>
    <row r="1042" spans="9:13">
      <c r="I1042">
        <f t="shared" si="44"/>
        <v>0</v>
      </c>
      <c r="J1042">
        <f t="shared" si="45"/>
        <v>0</v>
      </c>
      <c r="L1042" t="s">
        <v>743</v>
      </c>
      <c r="M1042">
        <v>0</v>
      </c>
    </row>
    <row r="1043" spans="9:13">
      <c r="I1043">
        <f t="shared" si="44"/>
        <v>0</v>
      </c>
      <c r="J1043">
        <f t="shared" si="45"/>
        <v>0</v>
      </c>
      <c r="L1043" t="s">
        <v>744</v>
      </c>
      <c r="M1043">
        <v>0</v>
      </c>
    </row>
    <row r="1044" spans="9:13">
      <c r="I1044">
        <f t="shared" si="44"/>
        <v>0</v>
      </c>
      <c r="J1044">
        <f t="shared" si="45"/>
        <v>0</v>
      </c>
      <c r="L1044" t="s">
        <v>744</v>
      </c>
      <c r="M1044">
        <v>0</v>
      </c>
    </row>
    <row r="1045" spans="9:13">
      <c r="I1045">
        <f t="shared" si="44"/>
        <v>0</v>
      </c>
      <c r="J1045">
        <f t="shared" si="45"/>
        <v>0</v>
      </c>
      <c r="L1045" t="s">
        <v>745</v>
      </c>
      <c r="M1045">
        <v>0</v>
      </c>
    </row>
    <row r="1046" spans="9:13">
      <c r="I1046">
        <f t="shared" si="44"/>
        <v>0</v>
      </c>
      <c r="J1046">
        <f t="shared" si="45"/>
        <v>0</v>
      </c>
      <c r="L1046" t="s">
        <v>745</v>
      </c>
      <c r="M1046">
        <v>0</v>
      </c>
    </row>
    <row r="1047" spans="9:13">
      <c r="I1047">
        <f t="shared" si="44"/>
        <v>0</v>
      </c>
      <c r="J1047">
        <f t="shared" si="45"/>
        <v>0</v>
      </c>
      <c r="L1047" t="s">
        <v>746</v>
      </c>
      <c r="M1047">
        <v>0</v>
      </c>
    </row>
    <row r="1048" spans="9:13">
      <c r="I1048">
        <f t="shared" si="44"/>
        <v>0</v>
      </c>
      <c r="J1048">
        <f t="shared" si="45"/>
        <v>0</v>
      </c>
      <c r="L1048" t="s">
        <v>746</v>
      </c>
      <c r="M1048">
        <v>0</v>
      </c>
    </row>
    <row r="1049" spans="9:13">
      <c r="I1049">
        <f t="shared" si="44"/>
        <v>0</v>
      </c>
      <c r="J1049">
        <f t="shared" si="45"/>
        <v>0</v>
      </c>
      <c r="L1049" t="s">
        <v>747</v>
      </c>
      <c r="M1049">
        <v>0</v>
      </c>
    </row>
    <row r="1050" spans="9:13">
      <c r="I1050">
        <f t="shared" si="44"/>
        <v>0</v>
      </c>
      <c r="J1050">
        <f t="shared" si="45"/>
        <v>0</v>
      </c>
      <c r="L1050" t="s">
        <v>747</v>
      </c>
      <c r="M1050">
        <v>0</v>
      </c>
    </row>
    <row r="1051" spans="9:13">
      <c r="I1051">
        <f t="shared" si="44"/>
        <v>0</v>
      </c>
      <c r="J1051">
        <f t="shared" si="45"/>
        <v>0</v>
      </c>
      <c r="L1051" t="s">
        <v>748</v>
      </c>
      <c r="M1051">
        <v>0</v>
      </c>
    </row>
    <row r="1052" spans="9:13">
      <c r="I1052">
        <f t="shared" si="44"/>
        <v>0</v>
      </c>
      <c r="J1052">
        <f t="shared" si="45"/>
        <v>0</v>
      </c>
      <c r="L1052" t="s">
        <v>748</v>
      </c>
      <c r="M1052">
        <v>0</v>
      </c>
    </row>
    <row r="1053" spans="9:13">
      <c r="I1053">
        <f t="shared" si="44"/>
        <v>0</v>
      </c>
      <c r="J1053">
        <f t="shared" si="45"/>
        <v>0</v>
      </c>
      <c r="L1053" t="s">
        <v>749</v>
      </c>
      <c r="M1053">
        <v>0</v>
      </c>
    </row>
    <row r="1054" spans="9:13">
      <c r="I1054">
        <f t="shared" si="44"/>
        <v>0</v>
      </c>
      <c r="J1054">
        <f t="shared" si="45"/>
        <v>0</v>
      </c>
      <c r="L1054" t="s">
        <v>749</v>
      </c>
      <c r="M1054">
        <v>0</v>
      </c>
    </row>
    <row r="1055" spans="9:13">
      <c r="I1055">
        <f t="shared" si="44"/>
        <v>0</v>
      </c>
      <c r="J1055">
        <f t="shared" si="45"/>
        <v>0</v>
      </c>
      <c r="L1055" t="s">
        <v>750</v>
      </c>
      <c r="M1055">
        <v>0</v>
      </c>
    </row>
    <row r="1056" spans="9:13">
      <c r="I1056">
        <f t="shared" si="44"/>
        <v>0</v>
      </c>
      <c r="J1056">
        <f t="shared" si="45"/>
        <v>0</v>
      </c>
      <c r="L1056" t="s">
        <v>750</v>
      </c>
      <c r="M1056">
        <v>0</v>
      </c>
    </row>
    <row r="1057" spans="9:13">
      <c r="I1057">
        <f t="shared" si="44"/>
        <v>0</v>
      </c>
      <c r="J1057">
        <f t="shared" si="45"/>
        <v>0</v>
      </c>
      <c r="L1057" t="s">
        <v>751</v>
      </c>
      <c r="M1057">
        <v>0</v>
      </c>
    </row>
    <row r="1058" spans="9:13">
      <c r="I1058">
        <f t="shared" si="44"/>
        <v>0</v>
      </c>
      <c r="J1058">
        <f t="shared" si="45"/>
        <v>0</v>
      </c>
      <c r="L1058" t="s">
        <v>751</v>
      </c>
      <c r="M1058">
        <v>0</v>
      </c>
    </row>
    <row r="1059" spans="9:13">
      <c r="I1059">
        <f t="shared" si="44"/>
        <v>0</v>
      </c>
      <c r="J1059">
        <f t="shared" si="45"/>
        <v>0</v>
      </c>
      <c r="L1059" t="s">
        <v>752</v>
      </c>
      <c r="M1059">
        <v>0</v>
      </c>
    </row>
    <row r="1060" spans="9:13">
      <c r="I1060">
        <f t="shared" si="44"/>
        <v>0</v>
      </c>
      <c r="J1060">
        <f t="shared" si="45"/>
        <v>0</v>
      </c>
      <c r="L1060" t="s">
        <v>752</v>
      </c>
      <c r="M1060">
        <v>0</v>
      </c>
    </row>
    <row r="1061" spans="9:13">
      <c r="I1061">
        <f t="shared" si="44"/>
        <v>0</v>
      </c>
      <c r="J1061">
        <f t="shared" si="45"/>
        <v>0</v>
      </c>
      <c r="L1061" t="s">
        <v>753</v>
      </c>
      <c r="M1061">
        <v>0</v>
      </c>
    </row>
    <row r="1062" spans="9:13">
      <c r="I1062">
        <f t="shared" si="44"/>
        <v>0</v>
      </c>
      <c r="J1062">
        <f t="shared" si="45"/>
        <v>0</v>
      </c>
      <c r="L1062" t="s">
        <v>753</v>
      </c>
      <c r="M1062">
        <v>0</v>
      </c>
    </row>
    <row r="1063" spans="9:13">
      <c r="I1063">
        <f t="shared" si="44"/>
        <v>0</v>
      </c>
      <c r="J1063">
        <f t="shared" si="45"/>
        <v>0</v>
      </c>
      <c r="L1063" t="s">
        <v>754</v>
      </c>
      <c r="M1063">
        <v>0</v>
      </c>
    </row>
    <row r="1064" spans="9:13">
      <c r="I1064">
        <f t="shared" si="44"/>
        <v>0</v>
      </c>
      <c r="J1064">
        <f t="shared" si="45"/>
        <v>0</v>
      </c>
      <c r="L1064" t="s">
        <v>754</v>
      </c>
      <c r="M1064">
        <v>0</v>
      </c>
    </row>
    <row r="1065" spans="9:13">
      <c r="I1065">
        <f t="shared" si="44"/>
        <v>0</v>
      </c>
      <c r="J1065">
        <f t="shared" si="45"/>
        <v>0</v>
      </c>
      <c r="L1065" t="s">
        <v>755</v>
      </c>
      <c r="M1065">
        <v>0</v>
      </c>
    </row>
    <row r="1066" spans="9:13">
      <c r="I1066">
        <f t="shared" si="44"/>
        <v>0</v>
      </c>
      <c r="J1066">
        <f t="shared" si="45"/>
        <v>0</v>
      </c>
      <c r="L1066" t="s">
        <v>755</v>
      </c>
      <c r="M1066">
        <v>0</v>
      </c>
    </row>
    <row r="1067" spans="9:13">
      <c r="I1067">
        <f t="shared" si="44"/>
        <v>0</v>
      </c>
      <c r="J1067">
        <f t="shared" si="45"/>
        <v>0</v>
      </c>
      <c r="L1067" t="s">
        <v>757</v>
      </c>
      <c r="M1067">
        <v>0</v>
      </c>
    </row>
    <row r="1068" spans="9:13">
      <c r="I1068">
        <f t="shared" si="44"/>
        <v>0</v>
      </c>
      <c r="J1068">
        <f t="shared" si="45"/>
        <v>0</v>
      </c>
      <c r="L1068" t="s">
        <v>757</v>
      </c>
      <c r="M1068">
        <v>0</v>
      </c>
    </row>
    <row r="1069" spans="9:13">
      <c r="I1069">
        <f t="shared" si="44"/>
        <v>0</v>
      </c>
      <c r="J1069">
        <f t="shared" si="45"/>
        <v>0</v>
      </c>
      <c r="L1069" t="s">
        <v>759</v>
      </c>
      <c r="M1069">
        <v>0</v>
      </c>
    </row>
    <row r="1070" spans="9:13">
      <c r="I1070">
        <f t="shared" si="44"/>
        <v>0</v>
      </c>
      <c r="J1070">
        <f t="shared" si="45"/>
        <v>0</v>
      </c>
      <c r="L1070" t="s">
        <v>759</v>
      </c>
      <c r="M1070">
        <v>0</v>
      </c>
    </row>
    <row r="1071" spans="9:13">
      <c r="I1071">
        <f t="shared" si="44"/>
        <v>0</v>
      </c>
      <c r="J1071">
        <f t="shared" si="45"/>
        <v>0</v>
      </c>
      <c r="L1071" t="s">
        <v>760</v>
      </c>
      <c r="M1071">
        <v>0</v>
      </c>
    </row>
    <row r="1072" spans="9:13">
      <c r="I1072">
        <f t="shared" si="44"/>
        <v>0</v>
      </c>
      <c r="J1072">
        <f t="shared" si="45"/>
        <v>0</v>
      </c>
      <c r="L1072" t="s">
        <v>760</v>
      </c>
      <c r="M1072">
        <v>0</v>
      </c>
    </row>
    <row r="1073" spans="9:13">
      <c r="I1073">
        <f t="shared" si="44"/>
        <v>0</v>
      </c>
      <c r="J1073">
        <f t="shared" si="45"/>
        <v>0</v>
      </c>
      <c r="L1073" t="s">
        <v>762</v>
      </c>
      <c r="M1073">
        <v>0</v>
      </c>
    </row>
    <row r="1074" spans="9:13">
      <c r="I1074">
        <f t="shared" si="44"/>
        <v>0</v>
      </c>
      <c r="J1074">
        <f t="shared" si="45"/>
        <v>0</v>
      </c>
      <c r="L1074" t="s">
        <v>762</v>
      </c>
      <c r="M1074">
        <v>0</v>
      </c>
    </row>
    <row r="1075" spans="9:13">
      <c r="I1075">
        <f t="shared" si="44"/>
        <v>0</v>
      </c>
      <c r="J1075">
        <f t="shared" si="45"/>
        <v>0</v>
      </c>
      <c r="L1075" t="s">
        <v>763</v>
      </c>
      <c r="M1075">
        <v>0</v>
      </c>
    </row>
    <row r="1076" spans="9:13">
      <c r="I1076">
        <f t="shared" si="44"/>
        <v>0</v>
      </c>
      <c r="J1076">
        <f t="shared" si="45"/>
        <v>0</v>
      </c>
      <c r="L1076" t="s">
        <v>763</v>
      </c>
      <c r="M1076">
        <v>0</v>
      </c>
    </row>
    <row r="1077" spans="9:13">
      <c r="I1077">
        <f t="shared" si="44"/>
        <v>0</v>
      </c>
      <c r="J1077">
        <f t="shared" si="45"/>
        <v>0</v>
      </c>
      <c r="L1077" t="s">
        <v>764</v>
      </c>
      <c r="M1077">
        <v>0</v>
      </c>
    </row>
    <row r="1078" spans="9:13">
      <c r="I1078">
        <f t="shared" si="44"/>
        <v>0</v>
      </c>
      <c r="J1078">
        <f t="shared" si="45"/>
        <v>0</v>
      </c>
      <c r="L1078" t="s">
        <v>764</v>
      </c>
      <c r="M1078">
        <v>0</v>
      </c>
    </row>
    <row r="1079" spans="9:13">
      <c r="I1079">
        <f t="shared" si="44"/>
        <v>0</v>
      </c>
      <c r="J1079">
        <f t="shared" si="45"/>
        <v>0</v>
      </c>
      <c r="L1079" t="s">
        <v>765</v>
      </c>
      <c r="M1079">
        <v>0</v>
      </c>
    </row>
    <row r="1080" spans="9:13">
      <c r="I1080">
        <f t="shared" si="44"/>
        <v>0</v>
      </c>
      <c r="J1080">
        <f t="shared" si="45"/>
        <v>0</v>
      </c>
      <c r="L1080" t="s">
        <v>765</v>
      </c>
      <c r="M1080">
        <v>0</v>
      </c>
    </row>
    <row r="1081" spans="9:13">
      <c r="I1081">
        <f t="shared" si="44"/>
        <v>0</v>
      </c>
      <c r="J1081">
        <f t="shared" si="45"/>
        <v>0</v>
      </c>
      <c r="L1081" t="s">
        <v>766</v>
      </c>
      <c r="M1081">
        <v>0</v>
      </c>
    </row>
    <row r="1082" spans="9:13">
      <c r="I1082">
        <f t="shared" si="44"/>
        <v>0</v>
      </c>
      <c r="J1082">
        <f t="shared" si="45"/>
        <v>0</v>
      </c>
      <c r="L1082" t="s">
        <v>766</v>
      </c>
      <c r="M1082">
        <v>0</v>
      </c>
    </row>
    <row r="1083" spans="9:13">
      <c r="I1083">
        <f t="shared" si="44"/>
        <v>0</v>
      </c>
      <c r="J1083">
        <f t="shared" si="45"/>
        <v>0</v>
      </c>
      <c r="L1083" t="s">
        <v>767</v>
      </c>
      <c r="M1083">
        <v>0</v>
      </c>
    </row>
    <row r="1084" spans="9:13">
      <c r="I1084">
        <f t="shared" si="44"/>
        <v>0</v>
      </c>
      <c r="J1084">
        <f t="shared" si="45"/>
        <v>0</v>
      </c>
      <c r="L1084" t="s">
        <v>767</v>
      </c>
      <c r="M1084">
        <v>0</v>
      </c>
    </row>
    <row r="1085" spans="9:13">
      <c r="I1085">
        <f t="shared" si="44"/>
        <v>0</v>
      </c>
      <c r="J1085">
        <f t="shared" si="45"/>
        <v>0</v>
      </c>
      <c r="L1085" t="s">
        <v>768</v>
      </c>
      <c r="M1085">
        <v>0</v>
      </c>
    </row>
    <row r="1086" spans="9:13">
      <c r="I1086">
        <f t="shared" si="44"/>
        <v>0</v>
      </c>
      <c r="J1086">
        <f t="shared" si="45"/>
        <v>0</v>
      </c>
      <c r="L1086" t="s">
        <v>768</v>
      </c>
      <c r="M1086">
        <v>0</v>
      </c>
    </row>
    <row r="1087" spans="9:13">
      <c r="I1087">
        <f t="shared" si="44"/>
        <v>0</v>
      </c>
      <c r="J1087">
        <f t="shared" si="45"/>
        <v>0</v>
      </c>
      <c r="L1087" t="s">
        <v>769</v>
      </c>
      <c r="M1087">
        <v>0</v>
      </c>
    </row>
    <row r="1088" spans="9:13">
      <c r="I1088">
        <f t="shared" si="44"/>
        <v>0</v>
      </c>
      <c r="J1088">
        <f t="shared" si="45"/>
        <v>0</v>
      </c>
      <c r="L1088" t="s">
        <v>769</v>
      </c>
      <c r="M1088">
        <v>0</v>
      </c>
    </row>
    <row r="1089" spans="9:13">
      <c r="I1089">
        <f t="shared" si="44"/>
        <v>0</v>
      </c>
      <c r="J1089">
        <f t="shared" si="45"/>
        <v>0</v>
      </c>
      <c r="L1089" t="s">
        <v>770</v>
      </c>
      <c r="M1089">
        <v>0</v>
      </c>
    </row>
    <row r="1090" spans="9:13">
      <c r="I1090">
        <f t="shared" si="44"/>
        <v>0</v>
      </c>
      <c r="J1090">
        <f t="shared" si="45"/>
        <v>0</v>
      </c>
      <c r="L1090" t="s">
        <v>770</v>
      </c>
      <c r="M1090">
        <v>0</v>
      </c>
    </row>
    <row r="1091" spans="9:13">
      <c r="I1091">
        <f t="shared" si="44"/>
        <v>0</v>
      </c>
      <c r="J1091">
        <f t="shared" si="45"/>
        <v>0</v>
      </c>
      <c r="L1091" t="s">
        <v>771</v>
      </c>
      <c r="M1091">
        <v>0</v>
      </c>
    </row>
    <row r="1092" spans="9:13">
      <c r="I1092">
        <f t="shared" si="44"/>
        <v>0</v>
      </c>
      <c r="J1092">
        <f t="shared" si="45"/>
        <v>0</v>
      </c>
      <c r="L1092" t="s">
        <v>771</v>
      </c>
      <c r="M1092">
        <v>0</v>
      </c>
    </row>
    <row r="1093" spans="9:13">
      <c r="I1093">
        <f t="shared" ref="I1093:I1156" si="46">+A1093</f>
        <v>0</v>
      </c>
      <c r="J1093">
        <f t="shared" ref="J1093:J1156" si="47">+E1093</f>
        <v>0</v>
      </c>
      <c r="L1093" t="s">
        <v>772</v>
      </c>
      <c r="M1093">
        <v>0</v>
      </c>
    </row>
    <row r="1094" spans="9:13">
      <c r="I1094">
        <f t="shared" si="46"/>
        <v>0</v>
      </c>
      <c r="J1094">
        <f t="shared" si="47"/>
        <v>0</v>
      </c>
      <c r="L1094" t="s">
        <v>772</v>
      </c>
      <c r="M1094">
        <v>0</v>
      </c>
    </row>
    <row r="1095" spans="9:13">
      <c r="I1095">
        <f t="shared" si="46"/>
        <v>0</v>
      </c>
      <c r="J1095">
        <f t="shared" si="47"/>
        <v>0</v>
      </c>
      <c r="L1095" t="s">
        <v>773</v>
      </c>
      <c r="M1095">
        <v>0</v>
      </c>
    </row>
    <row r="1096" spans="9:13">
      <c r="I1096">
        <f t="shared" si="46"/>
        <v>0</v>
      </c>
      <c r="J1096">
        <f t="shared" si="47"/>
        <v>0</v>
      </c>
      <c r="L1096" t="s">
        <v>773</v>
      </c>
      <c r="M1096">
        <v>0</v>
      </c>
    </row>
    <row r="1097" spans="9:13">
      <c r="I1097">
        <f t="shared" si="46"/>
        <v>0</v>
      </c>
      <c r="J1097">
        <f t="shared" si="47"/>
        <v>0</v>
      </c>
      <c r="L1097" t="s">
        <v>774</v>
      </c>
      <c r="M1097">
        <v>0</v>
      </c>
    </row>
    <row r="1098" spans="9:13">
      <c r="I1098">
        <f t="shared" si="46"/>
        <v>0</v>
      </c>
      <c r="J1098">
        <f t="shared" si="47"/>
        <v>0</v>
      </c>
      <c r="L1098" t="s">
        <v>774</v>
      </c>
      <c r="M1098">
        <v>0</v>
      </c>
    </row>
    <row r="1099" spans="9:13">
      <c r="I1099">
        <f t="shared" si="46"/>
        <v>0</v>
      </c>
      <c r="J1099">
        <f t="shared" si="47"/>
        <v>0</v>
      </c>
      <c r="L1099" t="s">
        <v>775</v>
      </c>
      <c r="M1099">
        <v>0</v>
      </c>
    </row>
    <row r="1100" spans="9:13">
      <c r="I1100">
        <f t="shared" si="46"/>
        <v>0</v>
      </c>
      <c r="J1100">
        <f t="shared" si="47"/>
        <v>0</v>
      </c>
      <c r="L1100" t="s">
        <v>775</v>
      </c>
      <c r="M1100">
        <v>0</v>
      </c>
    </row>
    <row r="1101" spans="9:13">
      <c r="I1101">
        <f t="shared" si="46"/>
        <v>0</v>
      </c>
      <c r="J1101">
        <f t="shared" si="47"/>
        <v>0</v>
      </c>
      <c r="L1101" t="s">
        <v>776</v>
      </c>
      <c r="M1101">
        <v>0</v>
      </c>
    </row>
    <row r="1102" spans="9:13">
      <c r="I1102">
        <f t="shared" si="46"/>
        <v>0</v>
      </c>
      <c r="J1102">
        <f t="shared" si="47"/>
        <v>0</v>
      </c>
      <c r="L1102" t="s">
        <v>776</v>
      </c>
      <c r="M1102">
        <v>0</v>
      </c>
    </row>
    <row r="1103" spans="9:13">
      <c r="I1103">
        <f t="shared" si="46"/>
        <v>0</v>
      </c>
      <c r="J1103">
        <f t="shared" si="47"/>
        <v>0</v>
      </c>
      <c r="L1103" t="s">
        <v>778</v>
      </c>
      <c r="M1103">
        <v>0</v>
      </c>
    </row>
    <row r="1104" spans="9:13">
      <c r="I1104">
        <f t="shared" si="46"/>
        <v>0</v>
      </c>
      <c r="J1104">
        <f t="shared" si="47"/>
        <v>0</v>
      </c>
      <c r="L1104" t="s">
        <v>778</v>
      </c>
      <c r="M1104">
        <v>0</v>
      </c>
    </row>
    <row r="1105" spans="9:13">
      <c r="I1105">
        <f t="shared" si="46"/>
        <v>0</v>
      </c>
      <c r="J1105">
        <f t="shared" si="47"/>
        <v>0</v>
      </c>
      <c r="L1105" t="s">
        <v>779</v>
      </c>
      <c r="M1105">
        <v>0</v>
      </c>
    </row>
    <row r="1106" spans="9:13">
      <c r="I1106">
        <f t="shared" si="46"/>
        <v>0</v>
      </c>
      <c r="J1106">
        <f t="shared" si="47"/>
        <v>0</v>
      </c>
      <c r="L1106" t="s">
        <v>779</v>
      </c>
      <c r="M1106">
        <v>0</v>
      </c>
    </row>
    <row r="1107" spans="9:13">
      <c r="I1107">
        <f t="shared" si="46"/>
        <v>0</v>
      </c>
      <c r="J1107">
        <f t="shared" si="47"/>
        <v>0</v>
      </c>
      <c r="L1107" t="s">
        <v>780</v>
      </c>
      <c r="M1107">
        <v>0</v>
      </c>
    </row>
    <row r="1108" spans="9:13">
      <c r="I1108">
        <f t="shared" si="46"/>
        <v>0</v>
      </c>
      <c r="J1108">
        <f t="shared" si="47"/>
        <v>0</v>
      </c>
      <c r="L1108" t="s">
        <v>780</v>
      </c>
      <c r="M1108">
        <v>0</v>
      </c>
    </row>
    <row r="1109" spans="9:13">
      <c r="I1109">
        <f t="shared" si="46"/>
        <v>0</v>
      </c>
      <c r="J1109">
        <f t="shared" si="47"/>
        <v>0</v>
      </c>
      <c r="L1109" t="s">
        <v>781</v>
      </c>
      <c r="M1109">
        <v>0</v>
      </c>
    </row>
    <row r="1110" spans="9:13">
      <c r="I1110">
        <f t="shared" si="46"/>
        <v>0</v>
      </c>
      <c r="J1110">
        <f t="shared" si="47"/>
        <v>0</v>
      </c>
      <c r="L1110" t="s">
        <v>781</v>
      </c>
      <c r="M1110">
        <v>0</v>
      </c>
    </row>
    <row r="1111" spans="9:13">
      <c r="I1111">
        <f t="shared" si="46"/>
        <v>0</v>
      </c>
      <c r="J1111">
        <f t="shared" si="47"/>
        <v>0</v>
      </c>
      <c r="L1111" t="s">
        <v>782</v>
      </c>
      <c r="M1111">
        <v>0</v>
      </c>
    </row>
    <row r="1112" spans="9:13">
      <c r="I1112">
        <f t="shared" si="46"/>
        <v>0</v>
      </c>
      <c r="J1112">
        <f t="shared" si="47"/>
        <v>0</v>
      </c>
      <c r="L1112" t="s">
        <v>782</v>
      </c>
      <c r="M1112">
        <v>0</v>
      </c>
    </row>
    <row r="1113" spans="9:13">
      <c r="I1113">
        <f t="shared" si="46"/>
        <v>0</v>
      </c>
      <c r="J1113">
        <f t="shared" si="47"/>
        <v>0</v>
      </c>
      <c r="L1113" t="s">
        <v>783</v>
      </c>
      <c r="M1113">
        <v>0</v>
      </c>
    </row>
    <row r="1114" spans="9:13">
      <c r="I1114">
        <f t="shared" si="46"/>
        <v>0</v>
      </c>
      <c r="J1114">
        <f t="shared" si="47"/>
        <v>0</v>
      </c>
      <c r="L1114" t="s">
        <v>783</v>
      </c>
      <c r="M1114">
        <v>0</v>
      </c>
    </row>
    <row r="1115" spans="9:13">
      <c r="I1115">
        <f t="shared" si="46"/>
        <v>0</v>
      </c>
      <c r="J1115">
        <f t="shared" si="47"/>
        <v>0</v>
      </c>
      <c r="L1115" t="s">
        <v>784</v>
      </c>
      <c r="M1115">
        <v>0</v>
      </c>
    </row>
    <row r="1116" spans="9:13">
      <c r="I1116">
        <f t="shared" si="46"/>
        <v>0</v>
      </c>
      <c r="J1116">
        <f t="shared" si="47"/>
        <v>0</v>
      </c>
      <c r="L1116" t="s">
        <v>784</v>
      </c>
      <c r="M1116">
        <v>0</v>
      </c>
    </row>
    <row r="1117" spans="9:13">
      <c r="I1117">
        <f t="shared" si="46"/>
        <v>0</v>
      </c>
      <c r="J1117">
        <f t="shared" si="47"/>
        <v>0</v>
      </c>
      <c r="L1117" t="s">
        <v>785</v>
      </c>
      <c r="M1117">
        <v>0</v>
      </c>
    </row>
    <row r="1118" spans="9:13">
      <c r="I1118">
        <f t="shared" si="46"/>
        <v>0</v>
      </c>
      <c r="J1118">
        <f t="shared" si="47"/>
        <v>0</v>
      </c>
      <c r="L1118" t="s">
        <v>785</v>
      </c>
      <c r="M1118">
        <v>0</v>
      </c>
    </row>
    <row r="1119" spans="9:13">
      <c r="I1119">
        <f t="shared" si="46"/>
        <v>0</v>
      </c>
      <c r="J1119">
        <f t="shared" si="47"/>
        <v>0</v>
      </c>
      <c r="L1119" t="s">
        <v>786</v>
      </c>
      <c r="M1119">
        <v>0</v>
      </c>
    </row>
    <row r="1120" spans="9:13">
      <c r="I1120">
        <f t="shared" si="46"/>
        <v>0</v>
      </c>
      <c r="J1120">
        <f t="shared" si="47"/>
        <v>0</v>
      </c>
      <c r="L1120" t="s">
        <v>786</v>
      </c>
      <c r="M1120">
        <v>0</v>
      </c>
    </row>
    <row r="1121" spans="9:13">
      <c r="I1121">
        <f t="shared" si="46"/>
        <v>0</v>
      </c>
      <c r="J1121">
        <f t="shared" si="47"/>
        <v>0</v>
      </c>
      <c r="L1121" t="s">
        <v>788</v>
      </c>
      <c r="M1121">
        <v>0</v>
      </c>
    </row>
    <row r="1122" spans="9:13">
      <c r="I1122">
        <f t="shared" si="46"/>
        <v>0</v>
      </c>
      <c r="J1122">
        <f t="shared" si="47"/>
        <v>0</v>
      </c>
      <c r="L1122" t="s">
        <v>788</v>
      </c>
      <c r="M1122">
        <v>0</v>
      </c>
    </row>
    <row r="1123" spans="9:13">
      <c r="I1123">
        <f t="shared" si="46"/>
        <v>0</v>
      </c>
      <c r="J1123">
        <f t="shared" si="47"/>
        <v>0</v>
      </c>
      <c r="L1123" t="s">
        <v>789</v>
      </c>
      <c r="M1123">
        <v>0</v>
      </c>
    </row>
    <row r="1124" spans="9:13">
      <c r="I1124">
        <f t="shared" si="46"/>
        <v>0</v>
      </c>
      <c r="J1124">
        <f t="shared" si="47"/>
        <v>0</v>
      </c>
      <c r="L1124" t="s">
        <v>789</v>
      </c>
      <c r="M1124">
        <v>0</v>
      </c>
    </row>
    <row r="1125" spans="9:13">
      <c r="I1125">
        <f t="shared" si="46"/>
        <v>0</v>
      </c>
      <c r="J1125">
        <f t="shared" si="47"/>
        <v>0</v>
      </c>
      <c r="L1125" t="s">
        <v>790</v>
      </c>
      <c r="M1125">
        <v>0</v>
      </c>
    </row>
    <row r="1126" spans="9:13">
      <c r="I1126">
        <f t="shared" si="46"/>
        <v>0</v>
      </c>
      <c r="J1126">
        <f t="shared" si="47"/>
        <v>0</v>
      </c>
      <c r="L1126" t="s">
        <v>790</v>
      </c>
      <c r="M1126">
        <v>0</v>
      </c>
    </row>
    <row r="1127" spans="9:13">
      <c r="I1127">
        <f t="shared" si="46"/>
        <v>0</v>
      </c>
      <c r="J1127">
        <f t="shared" si="47"/>
        <v>0</v>
      </c>
      <c r="L1127" t="s">
        <v>791</v>
      </c>
      <c r="M1127">
        <v>0</v>
      </c>
    </row>
    <row r="1128" spans="9:13">
      <c r="I1128">
        <f t="shared" si="46"/>
        <v>0</v>
      </c>
      <c r="J1128">
        <f t="shared" si="47"/>
        <v>0</v>
      </c>
      <c r="L1128" t="s">
        <v>791</v>
      </c>
      <c r="M1128">
        <v>0</v>
      </c>
    </row>
    <row r="1129" spans="9:13">
      <c r="I1129">
        <f t="shared" si="46"/>
        <v>0</v>
      </c>
      <c r="J1129">
        <f t="shared" si="47"/>
        <v>0</v>
      </c>
      <c r="L1129" t="s">
        <v>792</v>
      </c>
      <c r="M1129">
        <v>0</v>
      </c>
    </row>
    <row r="1130" spans="9:13">
      <c r="I1130">
        <f t="shared" si="46"/>
        <v>0</v>
      </c>
      <c r="J1130">
        <f t="shared" si="47"/>
        <v>0</v>
      </c>
      <c r="L1130" t="s">
        <v>792</v>
      </c>
      <c r="M1130">
        <v>0</v>
      </c>
    </row>
    <row r="1131" spans="9:13">
      <c r="I1131">
        <f t="shared" si="46"/>
        <v>0</v>
      </c>
      <c r="J1131">
        <f t="shared" si="47"/>
        <v>0</v>
      </c>
      <c r="L1131" t="s">
        <v>793</v>
      </c>
      <c r="M1131">
        <v>0</v>
      </c>
    </row>
    <row r="1132" spans="9:13">
      <c r="I1132">
        <f t="shared" si="46"/>
        <v>0</v>
      </c>
      <c r="J1132">
        <f t="shared" si="47"/>
        <v>0</v>
      </c>
      <c r="L1132" t="s">
        <v>793</v>
      </c>
      <c r="M1132">
        <v>0</v>
      </c>
    </row>
    <row r="1133" spans="9:13">
      <c r="I1133">
        <f t="shared" si="46"/>
        <v>0</v>
      </c>
      <c r="J1133">
        <f t="shared" si="47"/>
        <v>0</v>
      </c>
      <c r="L1133" t="s">
        <v>794</v>
      </c>
      <c r="M1133">
        <v>0</v>
      </c>
    </row>
    <row r="1134" spans="9:13">
      <c r="I1134">
        <f t="shared" si="46"/>
        <v>0</v>
      </c>
      <c r="J1134">
        <f t="shared" si="47"/>
        <v>0</v>
      </c>
      <c r="L1134" t="s">
        <v>794</v>
      </c>
      <c r="M1134">
        <v>0</v>
      </c>
    </row>
    <row r="1135" spans="9:13">
      <c r="I1135">
        <f t="shared" si="46"/>
        <v>0</v>
      </c>
      <c r="J1135">
        <f t="shared" si="47"/>
        <v>0</v>
      </c>
      <c r="L1135" t="s">
        <v>795</v>
      </c>
      <c r="M1135">
        <v>0</v>
      </c>
    </row>
    <row r="1136" spans="9:13">
      <c r="I1136">
        <f t="shared" si="46"/>
        <v>0</v>
      </c>
      <c r="J1136">
        <f t="shared" si="47"/>
        <v>0</v>
      </c>
      <c r="L1136" t="s">
        <v>795</v>
      </c>
      <c r="M1136">
        <v>0</v>
      </c>
    </row>
    <row r="1137" spans="9:13">
      <c r="I1137">
        <f t="shared" si="46"/>
        <v>0</v>
      </c>
      <c r="J1137">
        <f t="shared" si="47"/>
        <v>0</v>
      </c>
      <c r="L1137" t="s">
        <v>796</v>
      </c>
      <c r="M1137">
        <v>0</v>
      </c>
    </row>
    <row r="1138" spans="9:13">
      <c r="I1138">
        <f t="shared" si="46"/>
        <v>0</v>
      </c>
      <c r="J1138">
        <f t="shared" si="47"/>
        <v>0</v>
      </c>
      <c r="L1138" t="s">
        <v>796</v>
      </c>
      <c r="M1138">
        <v>0</v>
      </c>
    </row>
    <row r="1139" spans="9:13">
      <c r="I1139">
        <f t="shared" si="46"/>
        <v>0</v>
      </c>
      <c r="J1139">
        <f t="shared" si="47"/>
        <v>0</v>
      </c>
      <c r="L1139" t="s">
        <v>798</v>
      </c>
      <c r="M1139">
        <v>0</v>
      </c>
    </row>
    <row r="1140" spans="9:13">
      <c r="I1140">
        <f t="shared" si="46"/>
        <v>0</v>
      </c>
      <c r="J1140">
        <f t="shared" si="47"/>
        <v>0</v>
      </c>
      <c r="L1140" t="s">
        <v>798</v>
      </c>
      <c r="M1140">
        <v>0</v>
      </c>
    </row>
    <row r="1141" spans="9:13">
      <c r="I1141">
        <f t="shared" si="46"/>
        <v>0</v>
      </c>
      <c r="J1141">
        <f t="shared" si="47"/>
        <v>0</v>
      </c>
      <c r="L1141" t="s">
        <v>799</v>
      </c>
      <c r="M1141">
        <v>0</v>
      </c>
    </row>
    <row r="1142" spans="9:13">
      <c r="I1142">
        <f t="shared" si="46"/>
        <v>0</v>
      </c>
      <c r="J1142">
        <f t="shared" si="47"/>
        <v>0</v>
      </c>
      <c r="L1142" t="s">
        <v>799</v>
      </c>
      <c r="M1142">
        <v>0</v>
      </c>
    </row>
    <row r="1143" spans="9:13">
      <c r="I1143">
        <f t="shared" si="46"/>
        <v>0</v>
      </c>
      <c r="J1143">
        <f t="shared" si="47"/>
        <v>0</v>
      </c>
      <c r="L1143" t="s">
        <v>800</v>
      </c>
      <c r="M1143">
        <v>0</v>
      </c>
    </row>
    <row r="1144" spans="9:13">
      <c r="I1144">
        <f t="shared" si="46"/>
        <v>0</v>
      </c>
      <c r="J1144">
        <f t="shared" si="47"/>
        <v>0</v>
      </c>
      <c r="L1144" t="s">
        <v>800</v>
      </c>
      <c r="M1144">
        <v>0</v>
      </c>
    </row>
    <row r="1145" spans="9:13">
      <c r="I1145">
        <f t="shared" si="46"/>
        <v>0</v>
      </c>
      <c r="J1145">
        <f t="shared" si="47"/>
        <v>0</v>
      </c>
      <c r="L1145" t="s">
        <v>801</v>
      </c>
      <c r="M1145">
        <v>0</v>
      </c>
    </row>
    <row r="1146" spans="9:13">
      <c r="I1146">
        <f t="shared" si="46"/>
        <v>0</v>
      </c>
      <c r="J1146">
        <f t="shared" si="47"/>
        <v>0</v>
      </c>
      <c r="L1146" t="s">
        <v>801</v>
      </c>
      <c r="M1146">
        <v>0</v>
      </c>
    </row>
    <row r="1147" spans="9:13">
      <c r="I1147">
        <f t="shared" si="46"/>
        <v>0</v>
      </c>
      <c r="J1147">
        <f t="shared" si="47"/>
        <v>0</v>
      </c>
      <c r="L1147" t="s">
        <v>802</v>
      </c>
      <c r="M1147">
        <v>0</v>
      </c>
    </row>
    <row r="1148" spans="9:13">
      <c r="I1148">
        <f t="shared" si="46"/>
        <v>0</v>
      </c>
      <c r="J1148">
        <f t="shared" si="47"/>
        <v>0</v>
      </c>
      <c r="L1148" t="s">
        <v>802</v>
      </c>
      <c r="M1148">
        <v>0</v>
      </c>
    </row>
    <row r="1149" spans="9:13">
      <c r="I1149">
        <f t="shared" si="46"/>
        <v>0</v>
      </c>
      <c r="J1149">
        <f t="shared" si="47"/>
        <v>0</v>
      </c>
      <c r="L1149" t="s">
        <v>804</v>
      </c>
      <c r="M1149">
        <v>0</v>
      </c>
    </row>
    <row r="1150" spans="9:13">
      <c r="I1150">
        <f t="shared" si="46"/>
        <v>0</v>
      </c>
      <c r="J1150">
        <f t="shared" si="47"/>
        <v>0</v>
      </c>
      <c r="L1150" t="s">
        <v>804</v>
      </c>
      <c r="M1150">
        <v>0</v>
      </c>
    </row>
    <row r="1151" spans="9:13">
      <c r="I1151">
        <f t="shared" si="46"/>
        <v>0</v>
      </c>
      <c r="J1151">
        <f t="shared" si="47"/>
        <v>0</v>
      </c>
      <c r="L1151" t="s">
        <v>805</v>
      </c>
      <c r="M1151">
        <v>0</v>
      </c>
    </row>
    <row r="1152" spans="9:13">
      <c r="I1152">
        <f t="shared" si="46"/>
        <v>0</v>
      </c>
      <c r="J1152">
        <f t="shared" si="47"/>
        <v>0</v>
      </c>
      <c r="L1152" t="s">
        <v>805</v>
      </c>
      <c r="M1152">
        <v>0</v>
      </c>
    </row>
    <row r="1153" spans="9:13">
      <c r="I1153">
        <f t="shared" si="46"/>
        <v>0</v>
      </c>
      <c r="J1153">
        <f t="shared" si="47"/>
        <v>0</v>
      </c>
      <c r="L1153" t="s">
        <v>807</v>
      </c>
      <c r="M1153">
        <v>0</v>
      </c>
    </row>
    <row r="1154" spans="9:13">
      <c r="I1154">
        <f t="shared" si="46"/>
        <v>0</v>
      </c>
      <c r="J1154">
        <f t="shared" si="47"/>
        <v>0</v>
      </c>
      <c r="L1154" t="s">
        <v>807</v>
      </c>
      <c r="M1154">
        <v>0</v>
      </c>
    </row>
    <row r="1155" spans="9:13">
      <c r="I1155">
        <f t="shared" si="46"/>
        <v>0</v>
      </c>
      <c r="J1155">
        <f t="shared" si="47"/>
        <v>0</v>
      </c>
      <c r="L1155" t="s">
        <v>809</v>
      </c>
      <c r="M1155">
        <v>0</v>
      </c>
    </row>
    <row r="1156" spans="9:13">
      <c r="I1156">
        <f t="shared" si="46"/>
        <v>0</v>
      </c>
      <c r="J1156">
        <f t="shared" si="47"/>
        <v>0</v>
      </c>
      <c r="L1156" t="s">
        <v>809</v>
      </c>
      <c r="M1156">
        <v>0</v>
      </c>
    </row>
    <row r="1157" spans="9:13">
      <c r="I1157">
        <f t="shared" ref="I1157:I1220" si="48">+A1157</f>
        <v>0</v>
      </c>
      <c r="J1157">
        <f t="shared" ref="J1157:J1220" si="49">+E1157</f>
        <v>0</v>
      </c>
      <c r="L1157" t="s">
        <v>811</v>
      </c>
      <c r="M1157">
        <v>0</v>
      </c>
    </row>
    <row r="1158" spans="9:13">
      <c r="I1158">
        <f t="shared" si="48"/>
        <v>0</v>
      </c>
      <c r="J1158">
        <f t="shared" si="49"/>
        <v>0</v>
      </c>
      <c r="L1158" t="s">
        <v>811</v>
      </c>
      <c r="M1158">
        <v>0</v>
      </c>
    </row>
    <row r="1159" spans="9:13">
      <c r="I1159">
        <f t="shared" si="48"/>
        <v>0</v>
      </c>
      <c r="J1159">
        <f t="shared" si="49"/>
        <v>0</v>
      </c>
      <c r="L1159" t="s">
        <v>813</v>
      </c>
      <c r="M1159">
        <v>0</v>
      </c>
    </row>
    <row r="1160" spans="9:13">
      <c r="I1160">
        <f t="shared" si="48"/>
        <v>0</v>
      </c>
      <c r="J1160">
        <f t="shared" si="49"/>
        <v>0</v>
      </c>
      <c r="L1160" t="s">
        <v>813</v>
      </c>
      <c r="M1160">
        <v>0</v>
      </c>
    </row>
    <row r="1161" spans="9:13">
      <c r="I1161">
        <f t="shared" si="48"/>
        <v>0</v>
      </c>
      <c r="J1161">
        <f t="shared" si="49"/>
        <v>0</v>
      </c>
      <c r="L1161" t="s">
        <v>815</v>
      </c>
      <c r="M1161">
        <v>0</v>
      </c>
    </row>
    <row r="1162" spans="9:13">
      <c r="I1162">
        <f t="shared" si="48"/>
        <v>0</v>
      </c>
      <c r="J1162">
        <f t="shared" si="49"/>
        <v>0</v>
      </c>
      <c r="L1162" t="s">
        <v>815</v>
      </c>
      <c r="M1162">
        <v>0</v>
      </c>
    </row>
    <row r="1163" spans="9:13">
      <c r="I1163">
        <f t="shared" si="48"/>
        <v>0</v>
      </c>
      <c r="J1163">
        <f t="shared" si="49"/>
        <v>0</v>
      </c>
      <c r="L1163" t="s">
        <v>817</v>
      </c>
      <c r="M1163">
        <v>0</v>
      </c>
    </row>
    <row r="1164" spans="9:13">
      <c r="I1164">
        <f t="shared" si="48"/>
        <v>0</v>
      </c>
      <c r="J1164">
        <f t="shared" si="49"/>
        <v>0</v>
      </c>
      <c r="L1164" t="s">
        <v>817</v>
      </c>
      <c r="M1164">
        <v>0</v>
      </c>
    </row>
    <row r="1165" spans="9:13">
      <c r="I1165">
        <f t="shared" si="48"/>
        <v>0</v>
      </c>
      <c r="J1165">
        <f t="shared" si="49"/>
        <v>0</v>
      </c>
      <c r="L1165" t="s">
        <v>818</v>
      </c>
      <c r="M1165">
        <v>0</v>
      </c>
    </row>
    <row r="1166" spans="9:13">
      <c r="I1166">
        <f t="shared" si="48"/>
        <v>0</v>
      </c>
      <c r="J1166">
        <f t="shared" si="49"/>
        <v>0</v>
      </c>
      <c r="L1166" t="s">
        <v>818</v>
      </c>
      <c r="M1166">
        <v>0</v>
      </c>
    </row>
    <row r="1167" spans="9:13">
      <c r="I1167">
        <f t="shared" si="48"/>
        <v>0</v>
      </c>
      <c r="J1167">
        <f t="shared" si="49"/>
        <v>0</v>
      </c>
      <c r="L1167" t="s">
        <v>820</v>
      </c>
      <c r="M1167">
        <v>0</v>
      </c>
    </row>
    <row r="1168" spans="9:13">
      <c r="I1168">
        <f t="shared" si="48"/>
        <v>0</v>
      </c>
      <c r="J1168">
        <f t="shared" si="49"/>
        <v>0</v>
      </c>
      <c r="L1168" t="s">
        <v>820</v>
      </c>
      <c r="M1168">
        <v>0</v>
      </c>
    </row>
    <row r="1169" spans="9:13">
      <c r="I1169">
        <f t="shared" si="48"/>
        <v>0</v>
      </c>
      <c r="J1169">
        <f t="shared" si="49"/>
        <v>0</v>
      </c>
      <c r="L1169" t="s">
        <v>822</v>
      </c>
      <c r="M1169">
        <v>0</v>
      </c>
    </row>
    <row r="1170" spans="9:13">
      <c r="I1170">
        <f t="shared" si="48"/>
        <v>0</v>
      </c>
      <c r="J1170">
        <f t="shared" si="49"/>
        <v>0</v>
      </c>
      <c r="L1170" t="s">
        <v>822</v>
      </c>
      <c r="M1170">
        <v>0</v>
      </c>
    </row>
    <row r="1171" spans="9:13">
      <c r="I1171">
        <f t="shared" si="48"/>
        <v>0</v>
      </c>
      <c r="J1171">
        <f t="shared" si="49"/>
        <v>0</v>
      </c>
      <c r="L1171" t="s">
        <v>824</v>
      </c>
      <c r="M1171">
        <v>0</v>
      </c>
    </row>
    <row r="1172" spans="9:13">
      <c r="I1172">
        <f t="shared" si="48"/>
        <v>0</v>
      </c>
      <c r="J1172">
        <f t="shared" si="49"/>
        <v>0</v>
      </c>
      <c r="L1172" t="s">
        <v>824</v>
      </c>
      <c r="M1172">
        <v>0</v>
      </c>
    </row>
    <row r="1173" spans="9:13">
      <c r="I1173">
        <f t="shared" si="48"/>
        <v>0</v>
      </c>
      <c r="J1173">
        <f t="shared" si="49"/>
        <v>0</v>
      </c>
      <c r="L1173" t="s">
        <v>826</v>
      </c>
      <c r="M1173">
        <v>0</v>
      </c>
    </row>
    <row r="1174" spans="9:13">
      <c r="I1174">
        <f t="shared" si="48"/>
        <v>0</v>
      </c>
      <c r="J1174">
        <f t="shared" si="49"/>
        <v>0</v>
      </c>
      <c r="L1174" t="s">
        <v>826</v>
      </c>
      <c r="M1174">
        <v>0</v>
      </c>
    </row>
    <row r="1175" spans="9:13">
      <c r="I1175">
        <f t="shared" si="48"/>
        <v>0</v>
      </c>
      <c r="J1175">
        <f t="shared" si="49"/>
        <v>0</v>
      </c>
      <c r="L1175" t="s">
        <v>827</v>
      </c>
      <c r="M1175">
        <v>0</v>
      </c>
    </row>
    <row r="1176" spans="9:13">
      <c r="I1176">
        <f t="shared" si="48"/>
        <v>0</v>
      </c>
      <c r="J1176">
        <f t="shared" si="49"/>
        <v>0</v>
      </c>
      <c r="L1176" t="s">
        <v>827</v>
      </c>
      <c r="M1176">
        <v>0</v>
      </c>
    </row>
    <row r="1177" spans="9:13">
      <c r="I1177">
        <f t="shared" si="48"/>
        <v>0</v>
      </c>
      <c r="J1177">
        <f t="shared" si="49"/>
        <v>0</v>
      </c>
      <c r="L1177" t="s">
        <v>828</v>
      </c>
      <c r="M1177">
        <v>0</v>
      </c>
    </row>
    <row r="1178" spans="9:13">
      <c r="I1178">
        <f t="shared" si="48"/>
        <v>0</v>
      </c>
      <c r="J1178">
        <f t="shared" si="49"/>
        <v>0</v>
      </c>
      <c r="L1178" t="s">
        <v>828</v>
      </c>
      <c r="M1178">
        <v>0</v>
      </c>
    </row>
    <row r="1179" spans="9:13">
      <c r="I1179">
        <f t="shared" si="48"/>
        <v>0</v>
      </c>
      <c r="J1179">
        <f t="shared" si="49"/>
        <v>0</v>
      </c>
      <c r="L1179" t="s">
        <v>829</v>
      </c>
      <c r="M1179">
        <v>0</v>
      </c>
    </row>
    <row r="1180" spans="9:13">
      <c r="I1180">
        <f t="shared" si="48"/>
        <v>0</v>
      </c>
      <c r="J1180">
        <f t="shared" si="49"/>
        <v>0</v>
      </c>
      <c r="L1180" t="s">
        <v>829</v>
      </c>
      <c r="M1180">
        <v>0</v>
      </c>
    </row>
    <row r="1181" spans="9:13">
      <c r="I1181">
        <f t="shared" si="48"/>
        <v>0</v>
      </c>
      <c r="J1181">
        <f t="shared" si="49"/>
        <v>0</v>
      </c>
      <c r="L1181" t="s">
        <v>830</v>
      </c>
      <c r="M1181">
        <v>0</v>
      </c>
    </row>
    <row r="1182" spans="9:13">
      <c r="I1182">
        <f t="shared" si="48"/>
        <v>0</v>
      </c>
      <c r="J1182">
        <f t="shared" si="49"/>
        <v>0</v>
      </c>
      <c r="L1182" t="s">
        <v>830</v>
      </c>
      <c r="M1182">
        <v>0</v>
      </c>
    </row>
    <row r="1183" spans="9:13">
      <c r="I1183">
        <f t="shared" si="48"/>
        <v>0</v>
      </c>
      <c r="J1183">
        <f t="shared" si="49"/>
        <v>0</v>
      </c>
      <c r="L1183" t="s">
        <v>831</v>
      </c>
      <c r="M1183">
        <v>0</v>
      </c>
    </row>
    <row r="1184" spans="9:13">
      <c r="I1184">
        <f t="shared" si="48"/>
        <v>0</v>
      </c>
      <c r="J1184">
        <f t="shared" si="49"/>
        <v>0</v>
      </c>
      <c r="L1184" t="s">
        <v>831</v>
      </c>
      <c r="M1184">
        <v>0</v>
      </c>
    </row>
    <row r="1185" spans="9:13">
      <c r="I1185">
        <f t="shared" si="48"/>
        <v>0</v>
      </c>
      <c r="J1185">
        <f t="shared" si="49"/>
        <v>0</v>
      </c>
      <c r="L1185" t="s">
        <v>832</v>
      </c>
      <c r="M1185">
        <v>0</v>
      </c>
    </row>
    <row r="1186" spans="9:13">
      <c r="I1186">
        <f t="shared" si="48"/>
        <v>0</v>
      </c>
      <c r="J1186">
        <f t="shared" si="49"/>
        <v>0</v>
      </c>
      <c r="L1186" t="s">
        <v>832</v>
      </c>
      <c r="M1186">
        <v>0</v>
      </c>
    </row>
    <row r="1187" spans="9:13">
      <c r="I1187">
        <f t="shared" si="48"/>
        <v>0</v>
      </c>
      <c r="J1187">
        <f t="shared" si="49"/>
        <v>0</v>
      </c>
      <c r="L1187" t="s">
        <v>834</v>
      </c>
      <c r="M1187">
        <v>0</v>
      </c>
    </row>
    <row r="1188" spans="9:13">
      <c r="I1188">
        <f t="shared" si="48"/>
        <v>0</v>
      </c>
      <c r="J1188">
        <f t="shared" si="49"/>
        <v>0</v>
      </c>
      <c r="L1188" t="s">
        <v>834</v>
      </c>
      <c r="M1188">
        <v>0</v>
      </c>
    </row>
    <row r="1189" spans="9:13">
      <c r="I1189">
        <f t="shared" si="48"/>
        <v>0</v>
      </c>
      <c r="J1189">
        <f t="shared" si="49"/>
        <v>0</v>
      </c>
      <c r="L1189" t="s">
        <v>835</v>
      </c>
      <c r="M1189">
        <v>0</v>
      </c>
    </row>
    <row r="1190" spans="9:13">
      <c r="I1190">
        <f t="shared" si="48"/>
        <v>0</v>
      </c>
      <c r="J1190">
        <f t="shared" si="49"/>
        <v>0</v>
      </c>
      <c r="L1190" t="s">
        <v>835</v>
      </c>
      <c r="M1190">
        <v>0</v>
      </c>
    </row>
    <row r="1191" spans="9:13">
      <c r="I1191">
        <f t="shared" si="48"/>
        <v>0</v>
      </c>
      <c r="J1191">
        <f t="shared" si="49"/>
        <v>0</v>
      </c>
      <c r="L1191" t="s">
        <v>837</v>
      </c>
      <c r="M1191">
        <v>0</v>
      </c>
    </row>
    <row r="1192" spans="9:13">
      <c r="I1192">
        <f t="shared" si="48"/>
        <v>0</v>
      </c>
      <c r="J1192">
        <f t="shared" si="49"/>
        <v>0</v>
      </c>
      <c r="L1192" t="s">
        <v>837</v>
      </c>
      <c r="M1192">
        <v>0</v>
      </c>
    </row>
    <row r="1193" spans="9:13">
      <c r="I1193">
        <f t="shared" si="48"/>
        <v>0</v>
      </c>
      <c r="J1193">
        <f t="shared" si="49"/>
        <v>0</v>
      </c>
      <c r="L1193" t="s">
        <v>838</v>
      </c>
      <c r="M1193">
        <v>0</v>
      </c>
    </row>
    <row r="1194" spans="9:13">
      <c r="I1194">
        <f t="shared" si="48"/>
        <v>0</v>
      </c>
      <c r="J1194">
        <f t="shared" si="49"/>
        <v>0</v>
      </c>
      <c r="L1194" t="s">
        <v>838</v>
      </c>
      <c r="M1194">
        <v>0</v>
      </c>
    </row>
    <row r="1195" spans="9:13">
      <c r="I1195">
        <f t="shared" si="48"/>
        <v>0</v>
      </c>
      <c r="J1195">
        <f t="shared" si="49"/>
        <v>0</v>
      </c>
      <c r="L1195" t="s">
        <v>839</v>
      </c>
      <c r="M1195">
        <v>0</v>
      </c>
    </row>
    <row r="1196" spans="9:13">
      <c r="I1196">
        <f t="shared" si="48"/>
        <v>0</v>
      </c>
      <c r="J1196">
        <f t="shared" si="49"/>
        <v>0</v>
      </c>
      <c r="L1196" t="s">
        <v>839</v>
      </c>
      <c r="M1196">
        <v>0</v>
      </c>
    </row>
    <row r="1197" spans="9:13">
      <c r="I1197">
        <f t="shared" si="48"/>
        <v>0</v>
      </c>
      <c r="J1197">
        <f t="shared" si="49"/>
        <v>0</v>
      </c>
      <c r="L1197" t="s">
        <v>840</v>
      </c>
      <c r="M1197">
        <v>0</v>
      </c>
    </row>
    <row r="1198" spans="9:13">
      <c r="I1198">
        <f t="shared" si="48"/>
        <v>0</v>
      </c>
      <c r="J1198">
        <f t="shared" si="49"/>
        <v>0</v>
      </c>
      <c r="L1198" t="s">
        <v>840</v>
      </c>
      <c r="M1198">
        <v>0</v>
      </c>
    </row>
    <row r="1199" spans="9:13">
      <c r="I1199">
        <f t="shared" si="48"/>
        <v>0</v>
      </c>
      <c r="J1199">
        <f t="shared" si="49"/>
        <v>0</v>
      </c>
      <c r="L1199" t="s">
        <v>841</v>
      </c>
      <c r="M1199">
        <v>0</v>
      </c>
    </row>
    <row r="1200" spans="9:13">
      <c r="I1200">
        <f t="shared" si="48"/>
        <v>0</v>
      </c>
      <c r="J1200">
        <f t="shared" si="49"/>
        <v>0</v>
      </c>
      <c r="L1200" t="s">
        <v>841</v>
      </c>
      <c r="M1200">
        <v>0</v>
      </c>
    </row>
    <row r="1201" spans="9:13">
      <c r="I1201">
        <f t="shared" si="48"/>
        <v>0</v>
      </c>
      <c r="J1201">
        <f t="shared" si="49"/>
        <v>0</v>
      </c>
      <c r="L1201" t="s">
        <v>843</v>
      </c>
      <c r="M1201">
        <v>0</v>
      </c>
    </row>
    <row r="1202" spans="9:13">
      <c r="I1202">
        <f t="shared" si="48"/>
        <v>0</v>
      </c>
      <c r="J1202">
        <f t="shared" si="49"/>
        <v>0</v>
      </c>
      <c r="L1202" t="s">
        <v>843</v>
      </c>
      <c r="M1202">
        <v>0</v>
      </c>
    </row>
    <row r="1203" spans="9:13">
      <c r="I1203">
        <f t="shared" si="48"/>
        <v>0</v>
      </c>
      <c r="J1203">
        <f t="shared" si="49"/>
        <v>0</v>
      </c>
      <c r="L1203" t="s">
        <v>844</v>
      </c>
      <c r="M1203">
        <v>0</v>
      </c>
    </row>
    <row r="1204" spans="9:13">
      <c r="I1204">
        <f t="shared" si="48"/>
        <v>0</v>
      </c>
      <c r="J1204">
        <f t="shared" si="49"/>
        <v>0</v>
      </c>
      <c r="L1204" t="s">
        <v>844</v>
      </c>
      <c r="M1204">
        <v>0</v>
      </c>
    </row>
    <row r="1205" spans="9:13">
      <c r="I1205">
        <f t="shared" si="48"/>
        <v>0</v>
      </c>
      <c r="J1205">
        <f t="shared" si="49"/>
        <v>0</v>
      </c>
      <c r="L1205" t="s">
        <v>846</v>
      </c>
      <c r="M1205">
        <v>0</v>
      </c>
    </row>
    <row r="1206" spans="9:13">
      <c r="I1206">
        <f t="shared" si="48"/>
        <v>0</v>
      </c>
      <c r="J1206">
        <f t="shared" si="49"/>
        <v>0</v>
      </c>
      <c r="L1206" t="s">
        <v>846</v>
      </c>
      <c r="M1206">
        <v>0</v>
      </c>
    </row>
    <row r="1207" spans="9:13">
      <c r="I1207">
        <f t="shared" si="48"/>
        <v>0</v>
      </c>
      <c r="J1207">
        <f t="shared" si="49"/>
        <v>0</v>
      </c>
      <c r="L1207" t="s">
        <v>847</v>
      </c>
      <c r="M1207">
        <v>0</v>
      </c>
    </row>
    <row r="1208" spans="9:13">
      <c r="I1208">
        <f t="shared" si="48"/>
        <v>0</v>
      </c>
      <c r="J1208">
        <f t="shared" si="49"/>
        <v>0</v>
      </c>
      <c r="L1208" t="s">
        <v>847</v>
      </c>
      <c r="M1208">
        <v>0</v>
      </c>
    </row>
    <row r="1209" spans="9:13">
      <c r="I1209">
        <f t="shared" si="48"/>
        <v>0</v>
      </c>
      <c r="J1209">
        <f t="shared" si="49"/>
        <v>0</v>
      </c>
      <c r="L1209" t="s">
        <v>848</v>
      </c>
      <c r="M1209">
        <v>0</v>
      </c>
    </row>
    <row r="1210" spans="9:13">
      <c r="I1210">
        <f t="shared" si="48"/>
        <v>0</v>
      </c>
      <c r="J1210">
        <f t="shared" si="49"/>
        <v>0</v>
      </c>
      <c r="L1210" t="s">
        <v>848</v>
      </c>
      <c r="M1210">
        <v>0</v>
      </c>
    </row>
    <row r="1211" spans="9:13">
      <c r="I1211">
        <f t="shared" si="48"/>
        <v>0</v>
      </c>
      <c r="J1211">
        <f t="shared" si="49"/>
        <v>0</v>
      </c>
      <c r="L1211" t="s">
        <v>849</v>
      </c>
      <c r="M1211">
        <v>0</v>
      </c>
    </row>
    <row r="1212" spans="9:13">
      <c r="I1212">
        <f t="shared" si="48"/>
        <v>0</v>
      </c>
      <c r="J1212">
        <f t="shared" si="49"/>
        <v>0</v>
      </c>
      <c r="L1212" t="s">
        <v>849</v>
      </c>
      <c r="M1212">
        <v>0</v>
      </c>
    </row>
    <row r="1213" spans="9:13">
      <c r="I1213">
        <f t="shared" si="48"/>
        <v>0</v>
      </c>
      <c r="J1213">
        <f t="shared" si="49"/>
        <v>0</v>
      </c>
      <c r="L1213" t="s">
        <v>850</v>
      </c>
      <c r="M1213">
        <v>0</v>
      </c>
    </row>
    <row r="1214" spans="9:13">
      <c r="I1214">
        <f t="shared" si="48"/>
        <v>0</v>
      </c>
      <c r="J1214">
        <f t="shared" si="49"/>
        <v>0</v>
      </c>
      <c r="L1214" t="s">
        <v>850</v>
      </c>
      <c r="M1214">
        <v>0</v>
      </c>
    </row>
    <row r="1215" spans="9:13">
      <c r="I1215">
        <f t="shared" si="48"/>
        <v>0</v>
      </c>
      <c r="J1215">
        <f t="shared" si="49"/>
        <v>0</v>
      </c>
      <c r="L1215" t="s">
        <v>852</v>
      </c>
      <c r="M1215">
        <v>0</v>
      </c>
    </row>
    <row r="1216" spans="9:13">
      <c r="I1216">
        <f t="shared" si="48"/>
        <v>0</v>
      </c>
      <c r="J1216">
        <f t="shared" si="49"/>
        <v>0</v>
      </c>
      <c r="L1216" t="s">
        <v>852</v>
      </c>
      <c r="M1216">
        <v>0</v>
      </c>
    </row>
    <row r="1217" spans="9:13">
      <c r="I1217">
        <f t="shared" si="48"/>
        <v>0</v>
      </c>
      <c r="J1217">
        <f t="shared" si="49"/>
        <v>0</v>
      </c>
      <c r="L1217" t="s">
        <v>853</v>
      </c>
      <c r="M1217">
        <v>0</v>
      </c>
    </row>
    <row r="1218" spans="9:13">
      <c r="I1218">
        <f t="shared" si="48"/>
        <v>0</v>
      </c>
      <c r="J1218">
        <f t="shared" si="49"/>
        <v>0</v>
      </c>
      <c r="L1218" t="s">
        <v>853</v>
      </c>
      <c r="M1218">
        <v>0</v>
      </c>
    </row>
    <row r="1219" spans="9:13">
      <c r="I1219">
        <f t="shared" si="48"/>
        <v>0</v>
      </c>
      <c r="J1219">
        <f t="shared" si="49"/>
        <v>0</v>
      </c>
      <c r="L1219" t="s">
        <v>854</v>
      </c>
      <c r="M1219">
        <v>0</v>
      </c>
    </row>
    <row r="1220" spans="9:13">
      <c r="I1220">
        <f t="shared" si="48"/>
        <v>0</v>
      </c>
      <c r="J1220">
        <f t="shared" si="49"/>
        <v>0</v>
      </c>
      <c r="L1220" t="s">
        <v>854</v>
      </c>
      <c r="M1220">
        <v>0</v>
      </c>
    </row>
    <row r="1221" spans="9:13">
      <c r="I1221">
        <f t="shared" ref="I1221:I1284" si="50">+A1221</f>
        <v>0</v>
      </c>
      <c r="J1221">
        <f t="shared" ref="J1221:J1284" si="51">+E1221</f>
        <v>0</v>
      </c>
      <c r="L1221" t="s">
        <v>856</v>
      </c>
      <c r="M1221">
        <v>0</v>
      </c>
    </row>
    <row r="1222" spans="9:13">
      <c r="I1222">
        <f t="shared" si="50"/>
        <v>0</v>
      </c>
      <c r="J1222">
        <f t="shared" si="51"/>
        <v>0</v>
      </c>
      <c r="L1222" t="s">
        <v>857</v>
      </c>
      <c r="M1222">
        <v>0</v>
      </c>
    </row>
    <row r="1223" spans="9:13">
      <c r="I1223">
        <f t="shared" si="50"/>
        <v>0</v>
      </c>
      <c r="J1223">
        <f t="shared" si="51"/>
        <v>0</v>
      </c>
      <c r="L1223" t="s">
        <v>857</v>
      </c>
      <c r="M1223">
        <v>0</v>
      </c>
    </row>
    <row r="1224" spans="9:13">
      <c r="I1224">
        <f t="shared" si="50"/>
        <v>0</v>
      </c>
      <c r="J1224">
        <f t="shared" si="51"/>
        <v>0</v>
      </c>
      <c r="L1224" t="s">
        <v>858</v>
      </c>
      <c r="M1224">
        <v>0</v>
      </c>
    </row>
    <row r="1225" spans="9:13">
      <c r="I1225">
        <f t="shared" si="50"/>
        <v>0</v>
      </c>
      <c r="J1225">
        <f t="shared" si="51"/>
        <v>0</v>
      </c>
      <c r="L1225" t="s">
        <v>858</v>
      </c>
      <c r="M1225">
        <v>0</v>
      </c>
    </row>
    <row r="1226" spans="9:13">
      <c r="I1226">
        <f t="shared" si="50"/>
        <v>0</v>
      </c>
      <c r="J1226">
        <f t="shared" si="51"/>
        <v>0</v>
      </c>
      <c r="L1226" t="s">
        <v>859</v>
      </c>
      <c r="M1226">
        <v>0</v>
      </c>
    </row>
    <row r="1227" spans="9:13">
      <c r="I1227">
        <f t="shared" si="50"/>
        <v>0</v>
      </c>
      <c r="J1227">
        <f t="shared" si="51"/>
        <v>0</v>
      </c>
      <c r="L1227" t="s">
        <v>859</v>
      </c>
      <c r="M1227">
        <v>0</v>
      </c>
    </row>
    <row r="1228" spans="9:13">
      <c r="I1228">
        <f t="shared" si="50"/>
        <v>0</v>
      </c>
      <c r="J1228">
        <f t="shared" si="51"/>
        <v>0</v>
      </c>
      <c r="L1228" t="s">
        <v>860</v>
      </c>
      <c r="M1228">
        <v>0</v>
      </c>
    </row>
    <row r="1229" spans="9:13">
      <c r="I1229">
        <f t="shared" si="50"/>
        <v>0</v>
      </c>
      <c r="J1229">
        <f t="shared" si="51"/>
        <v>0</v>
      </c>
      <c r="L1229" t="s">
        <v>860</v>
      </c>
      <c r="M1229">
        <v>0</v>
      </c>
    </row>
    <row r="1230" spans="9:13">
      <c r="I1230">
        <f t="shared" si="50"/>
        <v>0</v>
      </c>
      <c r="J1230">
        <f t="shared" si="51"/>
        <v>0</v>
      </c>
      <c r="L1230" t="s">
        <v>862</v>
      </c>
      <c r="M1230">
        <v>0</v>
      </c>
    </row>
    <row r="1231" spans="9:13">
      <c r="I1231">
        <f t="shared" si="50"/>
        <v>0</v>
      </c>
      <c r="J1231">
        <f t="shared" si="51"/>
        <v>0</v>
      </c>
      <c r="L1231" t="s">
        <v>862</v>
      </c>
      <c r="M1231">
        <v>0</v>
      </c>
    </row>
    <row r="1232" spans="9:13">
      <c r="I1232">
        <f t="shared" si="50"/>
        <v>0</v>
      </c>
      <c r="J1232">
        <f t="shared" si="51"/>
        <v>0</v>
      </c>
      <c r="L1232" t="s">
        <v>863</v>
      </c>
      <c r="M1232">
        <v>0</v>
      </c>
    </row>
    <row r="1233" spans="9:13">
      <c r="I1233">
        <f t="shared" si="50"/>
        <v>0</v>
      </c>
      <c r="J1233">
        <f t="shared" si="51"/>
        <v>0</v>
      </c>
      <c r="L1233" t="s">
        <v>863</v>
      </c>
      <c r="M1233">
        <v>0</v>
      </c>
    </row>
    <row r="1234" spans="9:13">
      <c r="I1234">
        <f t="shared" si="50"/>
        <v>0</v>
      </c>
      <c r="J1234">
        <f t="shared" si="51"/>
        <v>0</v>
      </c>
      <c r="L1234" t="s">
        <v>864</v>
      </c>
      <c r="M1234">
        <v>0</v>
      </c>
    </row>
    <row r="1235" spans="9:13">
      <c r="I1235">
        <f t="shared" si="50"/>
        <v>0</v>
      </c>
      <c r="J1235">
        <f t="shared" si="51"/>
        <v>0</v>
      </c>
      <c r="L1235" t="s">
        <v>864</v>
      </c>
      <c r="M1235">
        <v>0</v>
      </c>
    </row>
    <row r="1236" spans="9:13">
      <c r="I1236">
        <f t="shared" si="50"/>
        <v>0</v>
      </c>
      <c r="J1236">
        <f t="shared" si="51"/>
        <v>0</v>
      </c>
      <c r="L1236" t="s">
        <v>866</v>
      </c>
      <c r="M1236">
        <v>0</v>
      </c>
    </row>
    <row r="1237" spans="9:13">
      <c r="I1237">
        <f t="shared" si="50"/>
        <v>0</v>
      </c>
      <c r="J1237">
        <f t="shared" si="51"/>
        <v>0</v>
      </c>
      <c r="L1237" t="s">
        <v>866</v>
      </c>
      <c r="M1237">
        <v>0</v>
      </c>
    </row>
    <row r="1238" spans="9:13">
      <c r="I1238">
        <f t="shared" si="50"/>
        <v>0</v>
      </c>
      <c r="J1238">
        <f t="shared" si="51"/>
        <v>0</v>
      </c>
      <c r="L1238" t="s">
        <v>867</v>
      </c>
      <c r="M1238">
        <v>0</v>
      </c>
    </row>
    <row r="1239" spans="9:13">
      <c r="I1239">
        <f t="shared" si="50"/>
        <v>0</v>
      </c>
      <c r="J1239">
        <f t="shared" si="51"/>
        <v>0</v>
      </c>
      <c r="L1239" t="s">
        <v>867</v>
      </c>
      <c r="M1239">
        <v>0</v>
      </c>
    </row>
    <row r="1240" spans="9:13">
      <c r="I1240">
        <f t="shared" si="50"/>
        <v>0</v>
      </c>
      <c r="J1240">
        <f t="shared" si="51"/>
        <v>0</v>
      </c>
      <c r="L1240" t="s">
        <v>869</v>
      </c>
      <c r="M1240">
        <v>0</v>
      </c>
    </row>
    <row r="1241" spans="9:13">
      <c r="I1241">
        <f t="shared" si="50"/>
        <v>0</v>
      </c>
      <c r="J1241">
        <f t="shared" si="51"/>
        <v>0</v>
      </c>
      <c r="L1241" t="s">
        <v>869</v>
      </c>
      <c r="M1241">
        <v>0</v>
      </c>
    </row>
    <row r="1242" spans="9:13">
      <c r="I1242">
        <f t="shared" si="50"/>
        <v>0</v>
      </c>
      <c r="J1242">
        <f t="shared" si="51"/>
        <v>0</v>
      </c>
      <c r="L1242" t="s">
        <v>870</v>
      </c>
      <c r="M1242">
        <v>0</v>
      </c>
    </row>
    <row r="1243" spans="9:13">
      <c r="I1243">
        <f t="shared" si="50"/>
        <v>0</v>
      </c>
      <c r="J1243">
        <f t="shared" si="51"/>
        <v>0</v>
      </c>
      <c r="L1243" t="s">
        <v>870</v>
      </c>
      <c r="M1243">
        <v>0</v>
      </c>
    </row>
    <row r="1244" spans="9:13">
      <c r="I1244">
        <f t="shared" si="50"/>
        <v>0</v>
      </c>
      <c r="J1244">
        <f t="shared" si="51"/>
        <v>0</v>
      </c>
      <c r="L1244" t="s">
        <v>871</v>
      </c>
      <c r="M1244">
        <v>0</v>
      </c>
    </row>
    <row r="1245" spans="9:13">
      <c r="I1245">
        <f t="shared" si="50"/>
        <v>0</v>
      </c>
      <c r="J1245">
        <f t="shared" si="51"/>
        <v>0</v>
      </c>
      <c r="L1245" t="s">
        <v>871</v>
      </c>
      <c r="M1245">
        <v>0</v>
      </c>
    </row>
    <row r="1246" spans="9:13">
      <c r="I1246">
        <f t="shared" si="50"/>
        <v>0</v>
      </c>
      <c r="J1246">
        <f t="shared" si="51"/>
        <v>0</v>
      </c>
      <c r="L1246" t="s">
        <v>872</v>
      </c>
      <c r="M1246">
        <v>0</v>
      </c>
    </row>
    <row r="1247" spans="9:13">
      <c r="I1247">
        <f t="shared" si="50"/>
        <v>0</v>
      </c>
      <c r="J1247">
        <f t="shared" si="51"/>
        <v>0</v>
      </c>
      <c r="L1247" t="s">
        <v>872</v>
      </c>
      <c r="M1247">
        <v>0</v>
      </c>
    </row>
    <row r="1248" spans="9:13">
      <c r="I1248">
        <f t="shared" si="50"/>
        <v>0</v>
      </c>
      <c r="J1248">
        <f t="shared" si="51"/>
        <v>0</v>
      </c>
      <c r="L1248" t="s">
        <v>873</v>
      </c>
      <c r="M1248">
        <v>0</v>
      </c>
    </row>
    <row r="1249" spans="9:13">
      <c r="I1249">
        <f t="shared" si="50"/>
        <v>0</v>
      </c>
      <c r="J1249">
        <f t="shared" si="51"/>
        <v>0</v>
      </c>
      <c r="L1249" t="s">
        <v>873</v>
      </c>
      <c r="M1249">
        <v>0</v>
      </c>
    </row>
    <row r="1250" spans="9:13">
      <c r="I1250">
        <f t="shared" si="50"/>
        <v>0</v>
      </c>
      <c r="J1250">
        <f t="shared" si="51"/>
        <v>0</v>
      </c>
      <c r="L1250" t="s">
        <v>874</v>
      </c>
      <c r="M1250">
        <v>0</v>
      </c>
    </row>
    <row r="1251" spans="9:13">
      <c r="I1251">
        <f t="shared" si="50"/>
        <v>0</v>
      </c>
      <c r="J1251">
        <f t="shared" si="51"/>
        <v>0</v>
      </c>
      <c r="L1251" t="s">
        <v>874</v>
      </c>
      <c r="M1251">
        <v>0</v>
      </c>
    </row>
    <row r="1252" spans="9:13">
      <c r="I1252">
        <f t="shared" si="50"/>
        <v>0</v>
      </c>
      <c r="J1252">
        <f t="shared" si="51"/>
        <v>0</v>
      </c>
      <c r="L1252" t="s">
        <v>875</v>
      </c>
      <c r="M1252">
        <v>0</v>
      </c>
    </row>
    <row r="1253" spans="9:13">
      <c r="I1253">
        <f t="shared" si="50"/>
        <v>0</v>
      </c>
      <c r="J1253">
        <f t="shared" si="51"/>
        <v>0</v>
      </c>
      <c r="L1253" t="s">
        <v>875</v>
      </c>
      <c r="M1253">
        <v>0</v>
      </c>
    </row>
    <row r="1254" spans="9:13">
      <c r="I1254">
        <f t="shared" si="50"/>
        <v>0</v>
      </c>
      <c r="J1254">
        <f t="shared" si="51"/>
        <v>0</v>
      </c>
      <c r="L1254" t="s">
        <v>876</v>
      </c>
      <c r="M1254">
        <v>0</v>
      </c>
    </row>
    <row r="1255" spans="9:13">
      <c r="I1255">
        <f t="shared" si="50"/>
        <v>0</v>
      </c>
      <c r="J1255">
        <f t="shared" si="51"/>
        <v>0</v>
      </c>
      <c r="L1255" t="s">
        <v>876</v>
      </c>
      <c r="M1255">
        <v>0</v>
      </c>
    </row>
    <row r="1256" spans="9:13">
      <c r="I1256">
        <f t="shared" si="50"/>
        <v>0</v>
      </c>
      <c r="J1256">
        <f t="shared" si="51"/>
        <v>0</v>
      </c>
      <c r="L1256" t="s">
        <v>877</v>
      </c>
      <c r="M1256">
        <v>0</v>
      </c>
    </row>
    <row r="1257" spans="9:13">
      <c r="I1257">
        <f t="shared" si="50"/>
        <v>0</v>
      </c>
      <c r="J1257">
        <f t="shared" si="51"/>
        <v>0</v>
      </c>
      <c r="L1257" t="s">
        <v>877</v>
      </c>
      <c r="M1257">
        <v>0</v>
      </c>
    </row>
    <row r="1258" spans="9:13">
      <c r="I1258">
        <f t="shared" si="50"/>
        <v>0</v>
      </c>
      <c r="J1258">
        <f t="shared" si="51"/>
        <v>0</v>
      </c>
      <c r="L1258" t="s">
        <v>878</v>
      </c>
      <c r="M1258">
        <v>0</v>
      </c>
    </row>
    <row r="1259" spans="9:13">
      <c r="I1259">
        <f t="shared" si="50"/>
        <v>0</v>
      </c>
      <c r="J1259">
        <f t="shared" si="51"/>
        <v>0</v>
      </c>
      <c r="L1259" t="s">
        <v>878</v>
      </c>
      <c r="M1259">
        <v>0</v>
      </c>
    </row>
    <row r="1260" spans="9:13">
      <c r="I1260">
        <f t="shared" si="50"/>
        <v>0</v>
      </c>
      <c r="J1260">
        <f t="shared" si="51"/>
        <v>0</v>
      </c>
      <c r="L1260" t="s">
        <v>879</v>
      </c>
      <c r="M1260">
        <v>0</v>
      </c>
    </row>
    <row r="1261" spans="9:13">
      <c r="I1261">
        <f t="shared" si="50"/>
        <v>0</v>
      </c>
      <c r="J1261">
        <f t="shared" si="51"/>
        <v>0</v>
      </c>
      <c r="L1261" t="s">
        <v>879</v>
      </c>
      <c r="M1261">
        <v>0</v>
      </c>
    </row>
    <row r="1262" spans="9:13">
      <c r="I1262">
        <f t="shared" si="50"/>
        <v>0</v>
      </c>
      <c r="J1262">
        <f t="shared" si="51"/>
        <v>0</v>
      </c>
      <c r="L1262" t="s">
        <v>880</v>
      </c>
      <c r="M1262">
        <v>0</v>
      </c>
    </row>
    <row r="1263" spans="9:13">
      <c r="I1263">
        <f t="shared" si="50"/>
        <v>0</v>
      </c>
      <c r="J1263">
        <f t="shared" si="51"/>
        <v>0</v>
      </c>
      <c r="L1263" t="s">
        <v>880</v>
      </c>
      <c r="M1263">
        <v>0</v>
      </c>
    </row>
    <row r="1264" spans="9:13">
      <c r="I1264">
        <f t="shared" si="50"/>
        <v>0</v>
      </c>
      <c r="J1264">
        <f t="shared" si="51"/>
        <v>0</v>
      </c>
      <c r="L1264" t="s">
        <v>881</v>
      </c>
      <c r="M1264">
        <v>0</v>
      </c>
    </row>
    <row r="1265" spans="9:13">
      <c r="I1265">
        <f t="shared" si="50"/>
        <v>0</v>
      </c>
      <c r="J1265">
        <f t="shared" si="51"/>
        <v>0</v>
      </c>
      <c r="L1265" t="s">
        <v>881</v>
      </c>
      <c r="M1265">
        <v>0</v>
      </c>
    </row>
    <row r="1266" spans="9:13">
      <c r="I1266">
        <f t="shared" si="50"/>
        <v>0</v>
      </c>
      <c r="J1266">
        <f t="shared" si="51"/>
        <v>0</v>
      </c>
      <c r="L1266" t="s">
        <v>882</v>
      </c>
      <c r="M1266">
        <v>0</v>
      </c>
    </row>
    <row r="1267" spans="9:13">
      <c r="I1267">
        <f t="shared" si="50"/>
        <v>0</v>
      </c>
      <c r="J1267">
        <f t="shared" si="51"/>
        <v>0</v>
      </c>
      <c r="L1267" t="s">
        <v>882</v>
      </c>
      <c r="M1267">
        <v>0</v>
      </c>
    </row>
    <row r="1268" spans="9:13">
      <c r="I1268">
        <f t="shared" si="50"/>
        <v>0</v>
      </c>
      <c r="J1268">
        <f t="shared" si="51"/>
        <v>0</v>
      </c>
      <c r="L1268" t="s">
        <v>883</v>
      </c>
      <c r="M1268">
        <v>0</v>
      </c>
    </row>
    <row r="1269" spans="9:13">
      <c r="I1269">
        <f t="shared" si="50"/>
        <v>0</v>
      </c>
      <c r="J1269">
        <f t="shared" si="51"/>
        <v>0</v>
      </c>
      <c r="L1269" t="s">
        <v>883</v>
      </c>
      <c r="M1269">
        <v>0</v>
      </c>
    </row>
    <row r="1270" spans="9:13">
      <c r="I1270">
        <f t="shared" si="50"/>
        <v>0</v>
      </c>
      <c r="J1270">
        <f t="shared" si="51"/>
        <v>0</v>
      </c>
      <c r="L1270" t="s">
        <v>884</v>
      </c>
      <c r="M1270">
        <v>0</v>
      </c>
    </row>
    <row r="1271" spans="9:13">
      <c r="I1271">
        <f t="shared" si="50"/>
        <v>0</v>
      </c>
      <c r="J1271">
        <f t="shared" si="51"/>
        <v>0</v>
      </c>
      <c r="L1271" t="s">
        <v>884</v>
      </c>
      <c r="M1271">
        <v>0</v>
      </c>
    </row>
    <row r="1272" spans="9:13">
      <c r="I1272">
        <f t="shared" si="50"/>
        <v>0</v>
      </c>
      <c r="J1272">
        <f t="shared" si="51"/>
        <v>0</v>
      </c>
      <c r="L1272" t="s">
        <v>885</v>
      </c>
      <c r="M1272">
        <v>0</v>
      </c>
    </row>
    <row r="1273" spans="9:13">
      <c r="I1273">
        <f t="shared" si="50"/>
        <v>0</v>
      </c>
      <c r="J1273">
        <f t="shared" si="51"/>
        <v>0</v>
      </c>
      <c r="L1273" t="s">
        <v>885</v>
      </c>
      <c r="M1273">
        <v>0</v>
      </c>
    </row>
    <row r="1274" spans="9:13">
      <c r="I1274">
        <f t="shared" si="50"/>
        <v>0</v>
      </c>
      <c r="J1274">
        <f t="shared" si="51"/>
        <v>0</v>
      </c>
      <c r="L1274" t="s">
        <v>886</v>
      </c>
      <c r="M1274">
        <v>0</v>
      </c>
    </row>
    <row r="1275" spans="9:13">
      <c r="I1275">
        <f t="shared" si="50"/>
        <v>0</v>
      </c>
      <c r="J1275">
        <f t="shared" si="51"/>
        <v>0</v>
      </c>
      <c r="L1275" t="s">
        <v>886</v>
      </c>
      <c r="M1275">
        <v>0</v>
      </c>
    </row>
    <row r="1276" spans="9:13">
      <c r="I1276">
        <f t="shared" si="50"/>
        <v>0</v>
      </c>
      <c r="J1276">
        <f t="shared" si="51"/>
        <v>0</v>
      </c>
      <c r="L1276" t="s">
        <v>887</v>
      </c>
      <c r="M1276">
        <v>0</v>
      </c>
    </row>
    <row r="1277" spans="9:13">
      <c r="I1277">
        <f t="shared" si="50"/>
        <v>0</v>
      </c>
      <c r="J1277">
        <f t="shared" si="51"/>
        <v>0</v>
      </c>
      <c r="L1277" t="s">
        <v>887</v>
      </c>
      <c r="M1277">
        <v>0</v>
      </c>
    </row>
    <row r="1278" spans="9:13">
      <c r="I1278">
        <f t="shared" si="50"/>
        <v>0</v>
      </c>
      <c r="J1278">
        <f t="shared" si="51"/>
        <v>0</v>
      </c>
      <c r="L1278" t="s">
        <v>888</v>
      </c>
      <c r="M1278">
        <v>0</v>
      </c>
    </row>
    <row r="1279" spans="9:13">
      <c r="I1279">
        <f t="shared" si="50"/>
        <v>0</v>
      </c>
      <c r="J1279">
        <f t="shared" si="51"/>
        <v>0</v>
      </c>
      <c r="L1279" t="s">
        <v>888</v>
      </c>
      <c r="M1279">
        <v>0</v>
      </c>
    </row>
    <row r="1280" spans="9:13">
      <c r="I1280">
        <f t="shared" si="50"/>
        <v>0</v>
      </c>
      <c r="J1280">
        <f t="shared" si="51"/>
        <v>0</v>
      </c>
      <c r="L1280" t="s">
        <v>889</v>
      </c>
      <c r="M1280">
        <v>0</v>
      </c>
    </row>
    <row r="1281" spans="9:13">
      <c r="I1281">
        <f t="shared" si="50"/>
        <v>0</v>
      </c>
      <c r="J1281">
        <f t="shared" si="51"/>
        <v>0</v>
      </c>
      <c r="L1281" t="s">
        <v>889</v>
      </c>
      <c r="M1281">
        <v>0</v>
      </c>
    </row>
    <row r="1282" spans="9:13">
      <c r="I1282">
        <f t="shared" si="50"/>
        <v>0</v>
      </c>
      <c r="J1282">
        <f t="shared" si="51"/>
        <v>0</v>
      </c>
      <c r="L1282" t="s">
        <v>890</v>
      </c>
      <c r="M1282">
        <v>0</v>
      </c>
    </row>
    <row r="1283" spans="9:13">
      <c r="I1283">
        <f t="shared" si="50"/>
        <v>0</v>
      </c>
      <c r="J1283">
        <f t="shared" si="51"/>
        <v>0</v>
      </c>
      <c r="L1283" t="s">
        <v>890</v>
      </c>
      <c r="M1283">
        <v>0</v>
      </c>
    </row>
    <row r="1284" spans="9:13">
      <c r="I1284">
        <f t="shared" si="50"/>
        <v>0</v>
      </c>
      <c r="J1284">
        <f t="shared" si="51"/>
        <v>0</v>
      </c>
      <c r="L1284" t="s">
        <v>892</v>
      </c>
      <c r="M1284">
        <v>0</v>
      </c>
    </row>
    <row r="1285" spans="9:13">
      <c r="I1285">
        <f t="shared" ref="I1285:I1348" si="52">+A1285</f>
        <v>0</v>
      </c>
      <c r="J1285">
        <f t="shared" ref="J1285:J1348" si="53">+E1285</f>
        <v>0</v>
      </c>
      <c r="L1285" t="s">
        <v>892</v>
      </c>
      <c r="M1285">
        <v>0</v>
      </c>
    </row>
    <row r="1286" spans="9:13">
      <c r="I1286">
        <f t="shared" si="52"/>
        <v>0</v>
      </c>
      <c r="J1286">
        <f t="shared" si="53"/>
        <v>0</v>
      </c>
      <c r="L1286" t="s">
        <v>893</v>
      </c>
      <c r="M1286">
        <v>0</v>
      </c>
    </row>
    <row r="1287" spans="9:13">
      <c r="I1287">
        <f t="shared" si="52"/>
        <v>0</v>
      </c>
      <c r="J1287">
        <f t="shared" si="53"/>
        <v>0</v>
      </c>
      <c r="L1287" t="s">
        <v>893</v>
      </c>
      <c r="M1287">
        <v>0</v>
      </c>
    </row>
    <row r="1288" spans="9:13">
      <c r="I1288">
        <f t="shared" si="52"/>
        <v>0</v>
      </c>
      <c r="J1288">
        <f t="shared" si="53"/>
        <v>0</v>
      </c>
      <c r="L1288" t="s">
        <v>894</v>
      </c>
      <c r="M1288">
        <v>0</v>
      </c>
    </row>
    <row r="1289" spans="9:13">
      <c r="I1289">
        <f t="shared" si="52"/>
        <v>0</v>
      </c>
      <c r="J1289">
        <f t="shared" si="53"/>
        <v>0</v>
      </c>
      <c r="L1289" t="s">
        <v>894</v>
      </c>
      <c r="M1289">
        <v>0</v>
      </c>
    </row>
    <row r="1290" spans="9:13">
      <c r="I1290">
        <f t="shared" si="52"/>
        <v>0</v>
      </c>
      <c r="J1290">
        <f t="shared" si="53"/>
        <v>0</v>
      </c>
      <c r="L1290" t="s">
        <v>895</v>
      </c>
      <c r="M1290">
        <v>0</v>
      </c>
    </row>
    <row r="1291" spans="9:13">
      <c r="I1291">
        <f t="shared" si="52"/>
        <v>0</v>
      </c>
      <c r="J1291">
        <f t="shared" si="53"/>
        <v>0</v>
      </c>
      <c r="L1291" t="s">
        <v>896</v>
      </c>
      <c r="M1291">
        <v>0</v>
      </c>
    </row>
    <row r="1292" spans="9:13">
      <c r="I1292">
        <f t="shared" si="52"/>
        <v>0</v>
      </c>
      <c r="J1292">
        <f t="shared" si="53"/>
        <v>0</v>
      </c>
      <c r="L1292" t="s">
        <v>896</v>
      </c>
      <c r="M1292">
        <v>0</v>
      </c>
    </row>
    <row r="1293" spans="9:13">
      <c r="I1293">
        <f t="shared" si="52"/>
        <v>0</v>
      </c>
      <c r="J1293">
        <f t="shared" si="53"/>
        <v>0</v>
      </c>
      <c r="L1293" t="s">
        <v>898</v>
      </c>
      <c r="M1293">
        <v>0</v>
      </c>
    </row>
    <row r="1294" spans="9:13">
      <c r="I1294">
        <f t="shared" si="52"/>
        <v>0</v>
      </c>
      <c r="J1294">
        <f t="shared" si="53"/>
        <v>0</v>
      </c>
      <c r="L1294" t="s">
        <v>898</v>
      </c>
      <c r="M1294">
        <v>0</v>
      </c>
    </row>
    <row r="1295" spans="9:13">
      <c r="I1295">
        <f t="shared" si="52"/>
        <v>0</v>
      </c>
      <c r="J1295">
        <f t="shared" si="53"/>
        <v>0</v>
      </c>
      <c r="L1295" t="s">
        <v>899</v>
      </c>
      <c r="M1295">
        <v>0</v>
      </c>
    </row>
    <row r="1296" spans="9:13">
      <c r="I1296">
        <f t="shared" si="52"/>
        <v>0</v>
      </c>
      <c r="J1296">
        <f t="shared" si="53"/>
        <v>0</v>
      </c>
      <c r="L1296" t="s">
        <v>899</v>
      </c>
      <c r="M1296">
        <v>0</v>
      </c>
    </row>
    <row r="1297" spans="9:13">
      <c r="I1297">
        <f t="shared" si="52"/>
        <v>0</v>
      </c>
      <c r="J1297">
        <f t="shared" si="53"/>
        <v>0</v>
      </c>
      <c r="L1297" t="s">
        <v>900</v>
      </c>
      <c r="M1297">
        <v>0</v>
      </c>
    </row>
    <row r="1298" spans="9:13">
      <c r="I1298">
        <f t="shared" si="52"/>
        <v>0</v>
      </c>
      <c r="J1298">
        <f t="shared" si="53"/>
        <v>0</v>
      </c>
      <c r="L1298" t="s">
        <v>900</v>
      </c>
      <c r="M1298">
        <v>0</v>
      </c>
    </row>
    <row r="1299" spans="9:13">
      <c r="I1299">
        <f t="shared" si="52"/>
        <v>0</v>
      </c>
      <c r="J1299">
        <f t="shared" si="53"/>
        <v>0</v>
      </c>
      <c r="L1299" t="s">
        <v>901</v>
      </c>
      <c r="M1299">
        <v>0</v>
      </c>
    </row>
    <row r="1300" spans="9:13">
      <c r="I1300">
        <f t="shared" si="52"/>
        <v>0</v>
      </c>
      <c r="J1300">
        <f t="shared" si="53"/>
        <v>0</v>
      </c>
      <c r="L1300" t="s">
        <v>901</v>
      </c>
      <c r="M1300">
        <v>0</v>
      </c>
    </row>
    <row r="1301" spans="9:13">
      <c r="I1301">
        <f t="shared" si="52"/>
        <v>0</v>
      </c>
      <c r="J1301">
        <f t="shared" si="53"/>
        <v>0</v>
      </c>
      <c r="L1301" t="s">
        <v>902</v>
      </c>
      <c r="M1301">
        <v>0</v>
      </c>
    </row>
    <row r="1302" spans="9:13">
      <c r="I1302">
        <f t="shared" si="52"/>
        <v>0</v>
      </c>
      <c r="J1302">
        <f t="shared" si="53"/>
        <v>0</v>
      </c>
      <c r="L1302" t="s">
        <v>903</v>
      </c>
      <c r="M1302">
        <v>0</v>
      </c>
    </row>
    <row r="1303" spans="9:13">
      <c r="I1303">
        <f t="shared" si="52"/>
        <v>0</v>
      </c>
      <c r="J1303">
        <f t="shared" si="53"/>
        <v>0</v>
      </c>
      <c r="L1303" t="s">
        <v>903</v>
      </c>
      <c r="M1303">
        <v>0</v>
      </c>
    </row>
    <row r="1304" spans="9:13">
      <c r="I1304">
        <f t="shared" si="52"/>
        <v>0</v>
      </c>
      <c r="J1304">
        <f t="shared" si="53"/>
        <v>0</v>
      </c>
      <c r="L1304" t="s">
        <v>904</v>
      </c>
      <c r="M1304">
        <v>0</v>
      </c>
    </row>
    <row r="1305" spans="9:13">
      <c r="I1305">
        <f t="shared" si="52"/>
        <v>0</v>
      </c>
      <c r="J1305">
        <f t="shared" si="53"/>
        <v>0</v>
      </c>
      <c r="L1305" t="s">
        <v>904</v>
      </c>
      <c r="M1305">
        <v>0</v>
      </c>
    </row>
    <row r="1306" spans="9:13">
      <c r="I1306">
        <f t="shared" si="52"/>
        <v>0</v>
      </c>
      <c r="J1306">
        <f t="shared" si="53"/>
        <v>0</v>
      </c>
      <c r="L1306" t="s">
        <v>905</v>
      </c>
      <c r="M1306">
        <v>0</v>
      </c>
    </row>
    <row r="1307" spans="9:13">
      <c r="I1307">
        <f t="shared" si="52"/>
        <v>0</v>
      </c>
      <c r="J1307">
        <f t="shared" si="53"/>
        <v>0</v>
      </c>
      <c r="L1307" t="s">
        <v>905</v>
      </c>
      <c r="M1307">
        <v>0</v>
      </c>
    </row>
    <row r="1308" spans="9:13">
      <c r="I1308">
        <f t="shared" si="52"/>
        <v>0</v>
      </c>
      <c r="J1308">
        <f t="shared" si="53"/>
        <v>0</v>
      </c>
      <c r="L1308" t="s">
        <v>906</v>
      </c>
      <c r="M1308">
        <v>0</v>
      </c>
    </row>
    <row r="1309" spans="9:13">
      <c r="I1309">
        <f t="shared" si="52"/>
        <v>0</v>
      </c>
      <c r="J1309">
        <f t="shared" si="53"/>
        <v>0</v>
      </c>
      <c r="L1309" t="s">
        <v>906</v>
      </c>
      <c r="M1309">
        <v>0</v>
      </c>
    </row>
    <row r="1310" spans="9:13">
      <c r="I1310">
        <f t="shared" si="52"/>
        <v>0</v>
      </c>
      <c r="J1310">
        <f t="shared" si="53"/>
        <v>0</v>
      </c>
      <c r="L1310" t="s">
        <v>907</v>
      </c>
      <c r="M1310">
        <v>0</v>
      </c>
    </row>
    <row r="1311" spans="9:13">
      <c r="I1311">
        <f t="shared" si="52"/>
        <v>0</v>
      </c>
      <c r="J1311">
        <f t="shared" si="53"/>
        <v>0</v>
      </c>
      <c r="L1311" t="s">
        <v>907</v>
      </c>
      <c r="M1311">
        <v>0</v>
      </c>
    </row>
    <row r="1312" spans="9:13">
      <c r="I1312">
        <f t="shared" si="52"/>
        <v>0</v>
      </c>
      <c r="J1312">
        <f t="shared" si="53"/>
        <v>0</v>
      </c>
      <c r="L1312" t="s">
        <v>909</v>
      </c>
      <c r="M1312">
        <v>0</v>
      </c>
    </row>
    <row r="1313" spans="9:13">
      <c r="I1313">
        <f t="shared" si="52"/>
        <v>0</v>
      </c>
      <c r="J1313">
        <f t="shared" si="53"/>
        <v>0</v>
      </c>
      <c r="L1313" t="s">
        <v>909</v>
      </c>
      <c r="M1313">
        <v>0</v>
      </c>
    </row>
    <row r="1314" spans="9:13">
      <c r="I1314">
        <f t="shared" si="52"/>
        <v>0</v>
      </c>
      <c r="J1314">
        <f t="shared" si="53"/>
        <v>0</v>
      </c>
      <c r="L1314" t="s">
        <v>911</v>
      </c>
      <c r="M1314">
        <v>0</v>
      </c>
    </row>
    <row r="1315" spans="9:13">
      <c r="I1315">
        <f t="shared" si="52"/>
        <v>0</v>
      </c>
      <c r="J1315">
        <f t="shared" si="53"/>
        <v>0</v>
      </c>
      <c r="L1315" t="s">
        <v>911</v>
      </c>
      <c r="M1315">
        <v>0</v>
      </c>
    </row>
    <row r="1316" spans="9:13">
      <c r="I1316">
        <f t="shared" si="52"/>
        <v>0</v>
      </c>
      <c r="J1316">
        <f t="shared" si="53"/>
        <v>0</v>
      </c>
      <c r="L1316" t="s">
        <v>912</v>
      </c>
      <c r="M1316">
        <v>0</v>
      </c>
    </row>
    <row r="1317" spans="9:13">
      <c r="I1317">
        <f t="shared" si="52"/>
        <v>0</v>
      </c>
      <c r="J1317">
        <f t="shared" si="53"/>
        <v>0</v>
      </c>
      <c r="L1317" t="s">
        <v>912</v>
      </c>
      <c r="M1317">
        <v>0</v>
      </c>
    </row>
    <row r="1318" spans="9:13">
      <c r="I1318">
        <f t="shared" si="52"/>
        <v>0</v>
      </c>
      <c r="J1318">
        <f t="shared" si="53"/>
        <v>0</v>
      </c>
      <c r="L1318" t="s">
        <v>913</v>
      </c>
      <c r="M1318">
        <v>0</v>
      </c>
    </row>
    <row r="1319" spans="9:13">
      <c r="I1319">
        <f t="shared" si="52"/>
        <v>0</v>
      </c>
      <c r="J1319">
        <f t="shared" si="53"/>
        <v>0</v>
      </c>
      <c r="L1319" t="s">
        <v>913</v>
      </c>
      <c r="M1319">
        <v>0</v>
      </c>
    </row>
    <row r="1320" spans="9:13">
      <c r="I1320">
        <f t="shared" si="52"/>
        <v>0</v>
      </c>
      <c r="J1320">
        <f t="shared" si="53"/>
        <v>0</v>
      </c>
      <c r="L1320" t="s">
        <v>914</v>
      </c>
      <c r="M1320">
        <v>0</v>
      </c>
    </row>
    <row r="1321" spans="9:13">
      <c r="I1321">
        <f t="shared" si="52"/>
        <v>0</v>
      </c>
      <c r="J1321">
        <f t="shared" si="53"/>
        <v>0</v>
      </c>
      <c r="L1321" t="s">
        <v>914</v>
      </c>
      <c r="M1321">
        <v>0</v>
      </c>
    </row>
    <row r="1322" spans="9:13">
      <c r="I1322">
        <f t="shared" si="52"/>
        <v>0</v>
      </c>
      <c r="J1322">
        <f t="shared" si="53"/>
        <v>0</v>
      </c>
      <c r="L1322" t="s">
        <v>916</v>
      </c>
      <c r="M1322">
        <v>0</v>
      </c>
    </row>
    <row r="1323" spans="9:13">
      <c r="I1323">
        <f t="shared" si="52"/>
        <v>0</v>
      </c>
      <c r="J1323">
        <f t="shared" si="53"/>
        <v>0</v>
      </c>
      <c r="L1323" t="s">
        <v>916</v>
      </c>
      <c r="M1323">
        <v>0</v>
      </c>
    </row>
    <row r="1324" spans="9:13">
      <c r="I1324">
        <f t="shared" si="52"/>
        <v>0</v>
      </c>
      <c r="J1324">
        <f t="shared" si="53"/>
        <v>0</v>
      </c>
      <c r="L1324" t="s">
        <v>917</v>
      </c>
      <c r="M1324">
        <v>0</v>
      </c>
    </row>
    <row r="1325" spans="9:13">
      <c r="I1325">
        <f t="shared" si="52"/>
        <v>0</v>
      </c>
      <c r="J1325">
        <f t="shared" si="53"/>
        <v>0</v>
      </c>
      <c r="L1325" t="s">
        <v>917</v>
      </c>
      <c r="M1325">
        <v>0</v>
      </c>
    </row>
    <row r="1326" spans="9:13">
      <c r="I1326">
        <f t="shared" si="52"/>
        <v>0</v>
      </c>
      <c r="J1326">
        <f t="shared" si="53"/>
        <v>0</v>
      </c>
      <c r="L1326" t="s">
        <v>919</v>
      </c>
      <c r="M1326">
        <v>0</v>
      </c>
    </row>
    <row r="1327" spans="9:13">
      <c r="I1327">
        <f t="shared" si="52"/>
        <v>0</v>
      </c>
      <c r="J1327">
        <f t="shared" si="53"/>
        <v>0</v>
      </c>
      <c r="L1327" t="s">
        <v>919</v>
      </c>
      <c r="M1327">
        <v>0</v>
      </c>
    </row>
    <row r="1328" spans="9:13">
      <c r="I1328">
        <f t="shared" si="52"/>
        <v>0</v>
      </c>
      <c r="J1328">
        <f t="shared" si="53"/>
        <v>0</v>
      </c>
      <c r="L1328" t="s">
        <v>921</v>
      </c>
      <c r="M1328">
        <v>0</v>
      </c>
    </row>
    <row r="1329" spans="9:13">
      <c r="I1329">
        <f t="shared" si="52"/>
        <v>0</v>
      </c>
      <c r="J1329">
        <f t="shared" si="53"/>
        <v>0</v>
      </c>
      <c r="L1329" t="s">
        <v>921</v>
      </c>
      <c r="M1329">
        <v>0</v>
      </c>
    </row>
    <row r="1330" spans="9:13">
      <c r="I1330">
        <f t="shared" si="52"/>
        <v>0</v>
      </c>
      <c r="J1330">
        <f t="shared" si="53"/>
        <v>0</v>
      </c>
      <c r="L1330" t="s">
        <v>922</v>
      </c>
      <c r="M1330">
        <v>0</v>
      </c>
    </row>
    <row r="1331" spans="9:13">
      <c r="I1331">
        <f t="shared" si="52"/>
        <v>0</v>
      </c>
      <c r="J1331">
        <f t="shared" si="53"/>
        <v>0</v>
      </c>
      <c r="L1331" t="s">
        <v>922</v>
      </c>
      <c r="M1331">
        <v>0</v>
      </c>
    </row>
    <row r="1332" spans="9:13">
      <c r="I1332">
        <f t="shared" si="52"/>
        <v>0</v>
      </c>
      <c r="J1332">
        <f t="shared" si="53"/>
        <v>0</v>
      </c>
      <c r="L1332" t="s">
        <v>924</v>
      </c>
      <c r="M1332">
        <v>0</v>
      </c>
    </row>
    <row r="1333" spans="9:13">
      <c r="I1333">
        <f t="shared" si="52"/>
        <v>0</v>
      </c>
      <c r="J1333">
        <f t="shared" si="53"/>
        <v>0</v>
      </c>
      <c r="L1333" t="s">
        <v>924</v>
      </c>
      <c r="M1333">
        <v>0</v>
      </c>
    </row>
    <row r="1334" spans="9:13">
      <c r="I1334">
        <f t="shared" si="52"/>
        <v>0</v>
      </c>
      <c r="J1334">
        <f t="shared" si="53"/>
        <v>0</v>
      </c>
      <c r="L1334" t="s">
        <v>926</v>
      </c>
      <c r="M1334">
        <v>0</v>
      </c>
    </row>
    <row r="1335" spans="9:13">
      <c r="I1335">
        <f t="shared" si="52"/>
        <v>0</v>
      </c>
      <c r="J1335">
        <f t="shared" si="53"/>
        <v>0</v>
      </c>
      <c r="L1335" t="s">
        <v>926</v>
      </c>
      <c r="M1335">
        <v>0</v>
      </c>
    </row>
    <row r="1336" spans="9:13">
      <c r="I1336">
        <f t="shared" si="52"/>
        <v>0</v>
      </c>
      <c r="J1336">
        <f t="shared" si="53"/>
        <v>0</v>
      </c>
      <c r="L1336" t="s">
        <v>927</v>
      </c>
      <c r="M1336">
        <v>0</v>
      </c>
    </row>
    <row r="1337" spans="9:13">
      <c r="I1337">
        <f t="shared" si="52"/>
        <v>0</v>
      </c>
      <c r="J1337">
        <f t="shared" si="53"/>
        <v>0</v>
      </c>
      <c r="L1337" t="s">
        <v>927</v>
      </c>
      <c r="M1337">
        <v>0</v>
      </c>
    </row>
    <row r="1338" spans="9:13">
      <c r="I1338">
        <f t="shared" si="52"/>
        <v>0</v>
      </c>
      <c r="J1338">
        <f t="shared" si="53"/>
        <v>0</v>
      </c>
      <c r="L1338" t="s">
        <v>928</v>
      </c>
      <c r="M1338">
        <v>0</v>
      </c>
    </row>
    <row r="1339" spans="9:13">
      <c r="I1339">
        <f t="shared" si="52"/>
        <v>0</v>
      </c>
      <c r="J1339">
        <f t="shared" si="53"/>
        <v>0</v>
      </c>
      <c r="L1339" t="s">
        <v>928</v>
      </c>
      <c r="M1339">
        <v>0</v>
      </c>
    </row>
    <row r="1340" spans="9:13">
      <c r="I1340">
        <f t="shared" si="52"/>
        <v>0</v>
      </c>
      <c r="J1340">
        <f t="shared" si="53"/>
        <v>0</v>
      </c>
      <c r="L1340" t="s">
        <v>929</v>
      </c>
      <c r="M1340">
        <v>0</v>
      </c>
    </row>
    <row r="1341" spans="9:13">
      <c r="I1341">
        <f t="shared" si="52"/>
        <v>0</v>
      </c>
      <c r="J1341">
        <f t="shared" si="53"/>
        <v>0</v>
      </c>
      <c r="L1341" t="s">
        <v>929</v>
      </c>
      <c r="M1341">
        <v>0</v>
      </c>
    </row>
    <row r="1342" spans="9:13">
      <c r="I1342">
        <f t="shared" si="52"/>
        <v>0</v>
      </c>
      <c r="J1342">
        <f t="shared" si="53"/>
        <v>0</v>
      </c>
      <c r="L1342" t="s">
        <v>930</v>
      </c>
      <c r="M1342">
        <v>0</v>
      </c>
    </row>
    <row r="1343" spans="9:13">
      <c r="I1343">
        <f t="shared" si="52"/>
        <v>0</v>
      </c>
      <c r="J1343">
        <f t="shared" si="53"/>
        <v>0</v>
      </c>
      <c r="L1343" t="s">
        <v>930</v>
      </c>
      <c r="M1343">
        <v>0</v>
      </c>
    </row>
    <row r="1344" spans="9:13">
      <c r="I1344">
        <f t="shared" si="52"/>
        <v>0</v>
      </c>
      <c r="J1344">
        <f t="shared" si="53"/>
        <v>0</v>
      </c>
      <c r="L1344" t="s">
        <v>931</v>
      </c>
      <c r="M1344">
        <v>0</v>
      </c>
    </row>
    <row r="1345" spans="9:13">
      <c r="I1345">
        <f t="shared" si="52"/>
        <v>0</v>
      </c>
      <c r="J1345">
        <f t="shared" si="53"/>
        <v>0</v>
      </c>
      <c r="L1345" t="s">
        <v>931</v>
      </c>
      <c r="M1345">
        <v>0</v>
      </c>
    </row>
    <row r="1346" spans="9:13">
      <c r="I1346">
        <f t="shared" si="52"/>
        <v>0</v>
      </c>
      <c r="J1346">
        <f t="shared" si="53"/>
        <v>0</v>
      </c>
      <c r="L1346" t="s">
        <v>932</v>
      </c>
      <c r="M1346">
        <v>0</v>
      </c>
    </row>
    <row r="1347" spans="9:13">
      <c r="I1347">
        <f t="shared" si="52"/>
        <v>0</v>
      </c>
      <c r="J1347">
        <f t="shared" si="53"/>
        <v>0</v>
      </c>
      <c r="L1347" t="s">
        <v>932</v>
      </c>
      <c r="M1347">
        <v>0</v>
      </c>
    </row>
    <row r="1348" spans="9:13">
      <c r="I1348">
        <f t="shared" si="52"/>
        <v>0</v>
      </c>
      <c r="J1348">
        <f t="shared" si="53"/>
        <v>0</v>
      </c>
      <c r="L1348" t="s">
        <v>934</v>
      </c>
      <c r="M1348">
        <v>0</v>
      </c>
    </row>
    <row r="1349" spans="9:13">
      <c r="I1349">
        <f t="shared" ref="I1349:I1412" si="54">+A1349</f>
        <v>0</v>
      </c>
      <c r="J1349">
        <f t="shared" ref="J1349:J1412" si="55">+E1349</f>
        <v>0</v>
      </c>
      <c r="L1349" t="s">
        <v>934</v>
      </c>
      <c r="M1349">
        <v>0</v>
      </c>
    </row>
    <row r="1350" spans="9:13">
      <c r="I1350">
        <f t="shared" si="54"/>
        <v>0</v>
      </c>
      <c r="J1350">
        <f t="shared" si="55"/>
        <v>0</v>
      </c>
      <c r="L1350" t="s">
        <v>936</v>
      </c>
      <c r="M1350">
        <v>0</v>
      </c>
    </row>
    <row r="1351" spans="9:13">
      <c r="I1351">
        <f t="shared" si="54"/>
        <v>0</v>
      </c>
      <c r="J1351">
        <f t="shared" si="55"/>
        <v>0</v>
      </c>
      <c r="L1351" t="s">
        <v>936</v>
      </c>
      <c r="M1351">
        <v>0</v>
      </c>
    </row>
    <row r="1352" spans="9:13">
      <c r="I1352">
        <f t="shared" si="54"/>
        <v>0</v>
      </c>
      <c r="J1352">
        <f t="shared" si="55"/>
        <v>0</v>
      </c>
      <c r="L1352" t="s">
        <v>937</v>
      </c>
      <c r="M1352">
        <v>0</v>
      </c>
    </row>
    <row r="1353" spans="9:13">
      <c r="I1353">
        <f t="shared" si="54"/>
        <v>0</v>
      </c>
      <c r="J1353">
        <f t="shared" si="55"/>
        <v>0</v>
      </c>
      <c r="L1353" t="s">
        <v>937</v>
      </c>
      <c r="M1353">
        <v>0</v>
      </c>
    </row>
    <row r="1354" spans="9:13">
      <c r="I1354">
        <f t="shared" si="54"/>
        <v>0</v>
      </c>
      <c r="J1354">
        <f t="shared" si="55"/>
        <v>0</v>
      </c>
      <c r="L1354" t="s">
        <v>938</v>
      </c>
      <c r="M1354">
        <v>0</v>
      </c>
    </row>
    <row r="1355" spans="9:13">
      <c r="I1355">
        <f t="shared" si="54"/>
        <v>0</v>
      </c>
      <c r="J1355">
        <f t="shared" si="55"/>
        <v>0</v>
      </c>
      <c r="L1355" t="s">
        <v>938</v>
      </c>
      <c r="M1355">
        <v>0</v>
      </c>
    </row>
    <row r="1356" spans="9:13">
      <c r="I1356">
        <f t="shared" si="54"/>
        <v>0</v>
      </c>
      <c r="J1356">
        <f t="shared" si="55"/>
        <v>0</v>
      </c>
      <c r="L1356" t="s">
        <v>939</v>
      </c>
      <c r="M1356">
        <v>0</v>
      </c>
    </row>
    <row r="1357" spans="9:13">
      <c r="I1357">
        <f t="shared" si="54"/>
        <v>0</v>
      </c>
      <c r="J1357">
        <f t="shared" si="55"/>
        <v>0</v>
      </c>
      <c r="L1357" t="s">
        <v>939</v>
      </c>
      <c r="M1357">
        <v>0</v>
      </c>
    </row>
    <row r="1358" spans="9:13">
      <c r="I1358">
        <f t="shared" si="54"/>
        <v>0</v>
      </c>
      <c r="J1358">
        <f t="shared" si="55"/>
        <v>0</v>
      </c>
      <c r="L1358" t="s">
        <v>940</v>
      </c>
      <c r="M1358">
        <v>0</v>
      </c>
    </row>
    <row r="1359" spans="9:13">
      <c r="I1359">
        <f t="shared" si="54"/>
        <v>0</v>
      </c>
      <c r="J1359">
        <f t="shared" si="55"/>
        <v>0</v>
      </c>
      <c r="L1359" t="s">
        <v>940</v>
      </c>
      <c r="M1359">
        <v>0</v>
      </c>
    </row>
    <row r="1360" spans="9:13">
      <c r="I1360">
        <f t="shared" si="54"/>
        <v>0</v>
      </c>
      <c r="J1360">
        <f t="shared" si="55"/>
        <v>0</v>
      </c>
      <c r="L1360" t="s">
        <v>941</v>
      </c>
      <c r="M1360">
        <v>0</v>
      </c>
    </row>
    <row r="1361" spans="9:13">
      <c r="I1361">
        <f t="shared" si="54"/>
        <v>0</v>
      </c>
      <c r="J1361">
        <f t="shared" si="55"/>
        <v>0</v>
      </c>
      <c r="L1361" t="s">
        <v>941</v>
      </c>
      <c r="M1361">
        <v>0</v>
      </c>
    </row>
    <row r="1362" spans="9:13">
      <c r="I1362">
        <f t="shared" si="54"/>
        <v>0</v>
      </c>
      <c r="J1362">
        <f t="shared" si="55"/>
        <v>0</v>
      </c>
      <c r="L1362" t="s">
        <v>943</v>
      </c>
      <c r="M1362">
        <v>0</v>
      </c>
    </row>
    <row r="1363" spans="9:13">
      <c r="I1363">
        <f t="shared" si="54"/>
        <v>0</v>
      </c>
      <c r="J1363">
        <f t="shared" si="55"/>
        <v>0</v>
      </c>
      <c r="L1363" t="s">
        <v>943</v>
      </c>
      <c r="M1363">
        <v>0</v>
      </c>
    </row>
    <row r="1364" spans="9:13">
      <c r="I1364">
        <f t="shared" si="54"/>
        <v>0</v>
      </c>
      <c r="J1364">
        <f t="shared" si="55"/>
        <v>0</v>
      </c>
      <c r="L1364" t="s">
        <v>944</v>
      </c>
      <c r="M1364">
        <v>0</v>
      </c>
    </row>
    <row r="1365" spans="9:13">
      <c r="I1365">
        <f t="shared" si="54"/>
        <v>0</v>
      </c>
      <c r="J1365">
        <f t="shared" si="55"/>
        <v>0</v>
      </c>
      <c r="L1365" t="s">
        <v>944</v>
      </c>
      <c r="M1365">
        <v>0</v>
      </c>
    </row>
    <row r="1366" spans="9:13">
      <c r="I1366">
        <f t="shared" si="54"/>
        <v>0</v>
      </c>
      <c r="J1366">
        <f t="shared" si="55"/>
        <v>0</v>
      </c>
      <c r="L1366" t="s">
        <v>945</v>
      </c>
      <c r="M1366">
        <v>0</v>
      </c>
    </row>
    <row r="1367" spans="9:13">
      <c r="I1367">
        <f t="shared" si="54"/>
        <v>0</v>
      </c>
      <c r="J1367">
        <f t="shared" si="55"/>
        <v>0</v>
      </c>
      <c r="L1367" t="s">
        <v>945</v>
      </c>
      <c r="M1367">
        <v>0</v>
      </c>
    </row>
    <row r="1368" spans="9:13">
      <c r="I1368">
        <f t="shared" si="54"/>
        <v>0</v>
      </c>
      <c r="J1368">
        <f t="shared" si="55"/>
        <v>0</v>
      </c>
      <c r="L1368" t="s">
        <v>946</v>
      </c>
      <c r="M1368">
        <v>0</v>
      </c>
    </row>
    <row r="1369" spans="9:13">
      <c r="I1369">
        <f t="shared" si="54"/>
        <v>0</v>
      </c>
      <c r="J1369">
        <f t="shared" si="55"/>
        <v>0</v>
      </c>
      <c r="L1369" t="s">
        <v>946</v>
      </c>
      <c r="M1369">
        <v>0</v>
      </c>
    </row>
    <row r="1370" spans="9:13">
      <c r="I1370">
        <f t="shared" si="54"/>
        <v>0</v>
      </c>
      <c r="J1370">
        <f t="shared" si="55"/>
        <v>0</v>
      </c>
      <c r="L1370" t="s">
        <v>947</v>
      </c>
      <c r="M1370">
        <v>0</v>
      </c>
    </row>
    <row r="1371" spans="9:13">
      <c r="I1371">
        <f t="shared" si="54"/>
        <v>0</v>
      </c>
      <c r="J1371">
        <f t="shared" si="55"/>
        <v>0</v>
      </c>
      <c r="L1371" t="s">
        <v>947</v>
      </c>
      <c r="M1371">
        <v>0</v>
      </c>
    </row>
    <row r="1372" spans="9:13">
      <c r="I1372">
        <f t="shared" si="54"/>
        <v>0</v>
      </c>
      <c r="J1372">
        <f t="shared" si="55"/>
        <v>0</v>
      </c>
      <c r="L1372" t="s">
        <v>948</v>
      </c>
      <c r="M1372">
        <v>0</v>
      </c>
    </row>
    <row r="1373" spans="9:13">
      <c r="I1373">
        <f t="shared" si="54"/>
        <v>0</v>
      </c>
      <c r="J1373">
        <f t="shared" si="55"/>
        <v>0</v>
      </c>
      <c r="L1373" t="s">
        <v>948</v>
      </c>
      <c r="M1373">
        <v>0</v>
      </c>
    </row>
    <row r="1374" spans="9:13">
      <c r="I1374">
        <f t="shared" si="54"/>
        <v>0</v>
      </c>
      <c r="J1374">
        <f t="shared" si="55"/>
        <v>0</v>
      </c>
      <c r="L1374" t="s">
        <v>949</v>
      </c>
      <c r="M1374">
        <v>0</v>
      </c>
    </row>
    <row r="1375" spans="9:13">
      <c r="I1375">
        <f t="shared" si="54"/>
        <v>0</v>
      </c>
      <c r="J1375">
        <f t="shared" si="55"/>
        <v>0</v>
      </c>
      <c r="L1375" t="s">
        <v>949</v>
      </c>
      <c r="M1375">
        <v>0</v>
      </c>
    </row>
    <row r="1376" spans="9:13">
      <c r="I1376">
        <f t="shared" si="54"/>
        <v>0</v>
      </c>
      <c r="J1376">
        <f t="shared" si="55"/>
        <v>0</v>
      </c>
      <c r="L1376" t="s">
        <v>950</v>
      </c>
      <c r="M1376">
        <v>0</v>
      </c>
    </row>
    <row r="1377" spans="9:13">
      <c r="I1377">
        <f t="shared" si="54"/>
        <v>0</v>
      </c>
      <c r="J1377">
        <f t="shared" si="55"/>
        <v>0</v>
      </c>
      <c r="L1377" t="s">
        <v>950</v>
      </c>
      <c r="M1377">
        <v>0</v>
      </c>
    </row>
    <row r="1378" spans="9:13">
      <c r="I1378">
        <f t="shared" si="54"/>
        <v>0</v>
      </c>
      <c r="J1378">
        <f t="shared" si="55"/>
        <v>0</v>
      </c>
      <c r="L1378" t="s">
        <v>951</v>
      </c>
      <c r="M1378">
        <v>0</v>
      </c>
    </row>
    <row r="1379" spans="9:13">
      <c r="I1379">
        <f t="shared" si="54"/>
        <v>0</v>
      </c>
      <c r="J1379">
        <f t="shared" si="55"/>
        <v>0</v>
      </c>
      <c r="L1379" t="s">
        <v>951</v>
      </c>
      <c r="M1379">
        <v>0</v>
      </c>
    </row>
    <row r="1380" spans="9:13">
      <c r="I1380">
        <f t="shared" si="54"/>
        <v>0</v>
      </c>
      <c r="J1380">
        <f t="shared" si="55"/>
        <v>0</v>
      </c>
      <c r="L1380" t="s">
        <v>952</v>
      </c>
      <c r="M1380">
        <v>0</v>
      </c>
    </row>
    <row r="1381" spans="9:13">
      <c r="I1381">
        <f t="shared" si="54"/>
        <v>0</v>
      </c>
      <c r="J1381">
        <f t="shared" si="55"/>
        <v>0</v>
      </c>
      <c r="L1381" t="s">
        <v>952</v>
      </c>
      <c r="M1381">
        <v>0</v>
      </c>
    </row>
    <row r="1382" spans="9:13">
      <c r="I1382">
        <f t="shared" si="54"/>
        <v>0</v>
      </c>
      <c r="J1382">
        <f t="shared" si="55"/>
        <v>0</v>
      </c>
      <c r="L1382" t="s">
        <v>954</v>
      </c>
      <c r="M1382">
        <v>0</v>
      </c>
    </row>
    <row r="1383" spans="9:13">
      <c r="I1383">
        <f t="shared" si="54"/>
        <v>0</v>
      </c>
      <c r="J1383">
        <f t="shared" si="55"/>
        <v>0</v>
      </c>
      <c r="L1383" t="s">
        <v>954</v>
      </c>
      <c r="M1383">
        <v>0</v>
      </c>
    </row>
    <row r="1384" spans="9:13">
      <c r="I1384">
        <f t="shared" si="54"/>
        <v>0</v>
      </c>
      <c r="J1384">
        <f t="shared" si="55"/>
        <v>0</v>
      </c>
      <c r="L1384" t="s">
        <v>955</v>
      </c>
      <c r="M1384">
        <v>0</v>
      </c>
    </row>
    <row r="1385" spans="9:13">
      <c r="I1385">
        <f t="shared" si="54"/>
        <v>0</v>
      </c>
      <c r="J1385">
        <f t="shared" si="55"/>
        <v>0</v>
      </c>
      <c r="L1385" t="s">
        <v>955</v>
      </c>
      <c r="M1385">
        <v>0</v>
      </c>
    </row>
    <row r="1386" spans="9:13">
      <c r="I1386">
        <f t="shared" si="54"/>
        <v>0</v>
      </c>
      <c r="J1386">
        <f t="shared" si="55"/>
        <v>0</v>
      </c>
      <c r="L1386" t="s">
        <v>956</v>
      </c>
      <c r="M1386">
        <v>0</v>
      </c>
    </row>
    <row r="1387" spans="9:13">
      <c r="I1387">
        <f t="shared" si="54"/>
        <v>0</v>
      </c>
      <c r="J1387">
        <f t="shared" si="55"/>
        <v>0</v>
      </c>
      <c r="L1387" t="s">
        <v>956</v>
      </c>
      <c r="M1387">
        <v>0</v>
      </c>
    </row>
    <row r="1388" spans="9:13">
      <c r="I1388">
        <f t="shared" si="54"/>
        <v>0</v>
      </c>
      <c r="J1388">
        <f t="shared" si="55"/>
        <v>0</v>
      </c>
      <c r="L1388" t="s">
        <v>957</v>
      </c>
      <c r="M1388">
        <v>0</v>
      </c>
    </row>
    <row r="1389" spans="9:13">
      <c r="I1389">
        <f t="shared" si="54"/>
        <v>0</v>
      </c>
      <c r="J1389">
        <f t="shared" si="55"/>
        <v>0</v>
      </c>
      <c r="L1389" t="s">
        <v>957</v>
      </c>
      <c r="M1389">
        <v>0</v>
      </c>
    </row>
    <row r="1390" spans="9:13">
      <c r="I1390">
        <f t="shared" si="54"/>
        <v>0</v>
      </c>
      <c r="J1390">
        <f t="shared" si="55"/>
        <v>0</v>
      </c>
      <c r="L1390" t="s">
        <v>958</v>
      </c>
      <c r="M1390">
        <v>0</v>
      </c>
    </row>
    <row r="1391" spans="9:13">
      <c r="I1391">
        <f t="shared" si="54"/>
        <v>0</v>
      </c>
      <c r="J1391">
        <f t="shared" si="55"/>
        <v>0</v>
      </c>
      <c r="L1391" t="s">
        <v>958</v>
      </c>
      <c r="M1391">
        <v>0</v>
      </c>
    </row>
    <row r="1392" spans="9:13">
      <c r="I1392">
        <f t="shared" si="54"/>
        <v>0</v>
      </c>
      <c r="J1392">
        <f t="shared" si="55"/>
        <v>0</v>
      </c>
      <c r="L1392" t="s">
        <v>959</v>
      </c>
      <c r="M1392">
        <v>0</v>
      </c>
    </row>
    <row r="1393" spans="9:13">
      <c r="I1393">
        <f t="shared" si="54"/>
        <v>0</v>
      </c>
      <c r="J1393">
        <f t="shared" si="55"/>
        <v>0</v>
      </c>
      <c r="L1393" t="s">
        <v>959</v>
      </c>
      <c r="M1393">
        <v>0</v>
      </c>
    </row>
    <row r="1394" spans="9:13">
      <c r="I1394">
        <f t="shared" si="54"/>
        <v>0</v>
      </c>
      <c r="J1394">
        <f t="shared" si="55"/>
        <v>0</v>
      </c>
      <c r="L1394" t="s">
        <v>960</v>
      </c>
      <c r="M1394">
        <v>0</v>
      </c>
    </row>
    <row r="1395" spans="9:13">
      <c r="I1395">
        <f t="shared" si="54"/>
        <v>0</v>
      </c>
      <c r="J1395">
        <f t="shared" si="55"/>
        <v>0</v>
      </c>
      <c r="L1395" t="s">
        <v>960</v>
      </c>
      <c r="M1395">
        <v>0</v>
      </c>
    </row>
    <row r="1396" spans="9:13">
      <c r="I1396">
        <f t="shared" si="54"/>
        <v>0</v>
      </c>
      <c r="J1396">
        <f t="shared" si="55"/>
        <v>0</v>
      </c>
      <c r="L1396" t="s">
        <v>961</v>
      </c>
      <c r="M1396">
        <v>0</v>
      </c>
    </row>
    <row r="1397" spans="9:13">
      <c r="I1397">
        <f t="shared" si="54"/>
        <v>0</v>
      </c>
      <c r="J1397">
        <f t="shared" si="55"/>
        <v>0</v>
      </c>
      <c r="L1397" t="s">
        <v>961</v>
      </c>
      <c r="M1397">
        <v>0</v>
      </c>
    </row>
    <row r="1398" spans="9:13">
      <c r="I1398">
        <f t="shared" si="54"/>
        <v>0</v>
      </c>
      <c r="J1398">
        <f t="shared" si="55"/>
        <v>0</v>
      </c>
      <c r="L1398" t="s">
        <v>962</v>
      </c>
      <c r="M1398">
        <v>0</v>
      </c>
    </row>
    <row r="1399" spans="9:13">
      <c r="I1399">
        <f t="shared" si="54"/>
        <v>0</v>
      </c>
      <c r="J1399">
        <f t="shared" si="55"/>
        <v>0</v>
      </c>
      <c r="L1399" t="s">
        <v>962</v>
      </c>
      <c r="M1399">
        <v>0</v>
      </c>
    </row>
    <row r="1400" spans="9:13">
      <c r="I1400">
        <f t="shared" si="54"/>
        <v>0</v>
      </c>
      <c r="J1400">
        <f t="shared" si="55"/>
        <v>0</v>
      </c>
      <c r="L1400" t="s">
        <v>963</v>
      </c>
      <c r="M1400">
        <v>0</v>
      </c>
    </row>
    <row r="1401" spans="9:13">
      <c r="I1401">
        <f t="shared" si="54"/>
        <v>0</v>
      </c>
      <c r="J1401">
        <f t="shared" si="55"/>
        <v>0</v>
      </c>
      <c r="L1401" t="s">
        <v>963</v>
      </c>
      <c r="M1401">
        <v>0</v>
      </c>
    </row>
    <row r="1402" spans="9:13">
      <c r="I1402">
        <f t="shared" si="54"/>
        <v>0</v>
      </c>
      <c r="J1402">
        <f t="shared" si="55"/>
        <v>0</v>
      </c>
      <c r="L1402" t="s">
        <v>964</v>
      </c>
      <c r="M1402">
        <v>0</v>
      </c>
    </row>
    <row r="1403" spans="9:13">
      <c r="I1403">
        <f t="shared" si="54"/>
        <v>0</v>
      </c>
      <c r="J1403">
        <f t="shared" si="55"/>
        <v>0</v>
      </c>
      <c r="L1403" t="s">
        <v>964</v>
      </c>
      <c r="M1403">
        <v>0</v>
      </c>
    </row>
    <row r="1404" spans="9:13">
      <c r="I1404">
        <f t="shared" si="54"/>
        <v>0</v>
      </c>
      <c r="J1404">
        <f t="shared" si="55"/>
        <v>0</v>
      </c>
      <c r="L1404" t="s">
        <v>965</v>
      </c>
      <c r="M1404">
        <v>0</v>
      </c>
    </row>
    <row r="1405" spans="9:13">
      <c r="I1405">
        <f t="shared" si="54"/>
        <v>0</v>
      </c>
      <c r="J1405">
        <f t="shared" si="55"/>
        <v>0</v>
      </c>
      <c r="L1405" t="s">
        <v>965</v>
      </c>
      <c r="M1405">
        <v>0</v>
      </c>
    </row>
    <row r="1406" spans="9:13">
      <c r="I1406">
        <f t="shared" si="54"/>
        <v>0</v>
      </c>
      <c r="J1406">
        <f t="shared" si="55"/>
        <v>0</v>
      </c>
      <c r="L1406" t="s">
        <v>966</v>
      </c>
      <c r="M1406">
        <v>0</v>
      </c>
    </row>
    <row r="1407" spans="9:13">
      <c r="I1407">
        <f t="shared" si="54"/>
        <v>0</v>
      </c>
      <c r="J1407">
        <f t="shared" si="55"/>
        <v>0</v>
      </c>
      <c r="L1407" t="s">
        <v>966</v>
      </c>
      <c r="M1407">
        <v>0</v>
      </c>
    </row>
    <row r="1408" spans="9:13">
      <c r="I1408">
        <f t="shared" si="54"/>
        <v>0</v>
      </c>
      <c r="J1408">
        <f t="shared" si="55"/>
        <v>0</v>
      </c>
      <c r="L1408" t="s">
        <v>968</v>
      </c>
      <c r="M1408">
        <v>0</v>
      </c>
    </row>
    <row r="1409" spans="9:13">
      <c r="I1409">
        <f t="shared" si="54"/>
        <v>0</v>
      </c>
      <c r="J1409">
        <f t="shared" si="55"/>
        <v>0</v>
      </c>
      <c r="L1409" t="s">
        <v>968</v>
      </c>
      <c r="M1409">
        <v>0</v>
      </c>
    </row>
    <row r="1410" spans="9:13">
      <c r="I1410">
        <f t="shared" si="54"/>
        <v>0</v>
      </c>
      <c r="J1410">
        <f t="shared" si="55"/>
        <v>0</v>
      </c>
      <c r="L1410" t="s">
        <v>969</v>
      </c>
      <c r="M1410">
        <v>0</v>
      </c>
    </row>
    <row r="1411" spans="9:13">
      <c r="I1411">
        <f t="shared" si="54"/>
        <v>0</v>
      </c>
      <c r="J1411">
        <f t="shared" si="55"/>
        <v>0</v>
      </c>
      <c r="L1411" t="s">
        <v>969</v>
      </c>
      <c r="M1411">
        <v>0</v>
      </c>
    </row>
    <row r="1412" spans="9:13">
      <c r="I1412">
        <f t="shared" si="54"/>
        <v>0</v>
      </c>
      <c r="J1412">
        <f t="shared" si="55"/>
        <v>0</v>
      </c>
      <c r="L1412" t="s">
        <v>970</v>
      </c>
      <c r="M1412">
        <v>0</v>
      </c>
    </row>
    <row r="1413" spans="9:13">
      <c r="I1413">
        <f t="shared" ref="I1413:I1476" si="56">+A1413</f>
        <v>0</v>
      </c>
      <c r="J1413">
        <f t="shared" ref="J1413:J1476" si="57">+E1413</f>
        <v>0</v>
      </c>
      <c r="L1413" t="s">
        <v>970</v>
      </c>
      <c r="M1413">
        <v>0</v>
      </c>
    </row>
    <row r="1414" spans="9:13">
      <c r="I1414">
        <f t="shared" si="56"/>
        <v>0</v>
      </c>
      <c r="J1414">
        <f t="shared" si="57"/>
        <v>0</v>
      </c>
      <c r="L1414" t="s">
        <v>971</v>
      </c>
      <c r="M1414">
        <v>0</v>
      </c>
    </row>
    <row r="1415" spans="9:13">
      <c r="I1415">
        <f t="shared" si="56"/>
        <v>0</v>
      </c>
      <c r="J1415">
        <f t="shared" si="57"/>
        <v>0</v>
      </c>
      <c r="L1415" t="s">
        <v>972</v>
      </c>
      <c r="M1415">
        <v>0</v>
      </c>
    </row>
    <row r="1416" spans="9:13">
      <c r="I1416">
        <f t="shared" si="56"/>
        <v>0</v>
      </c>
      <c r="J1416">
        <f t="shared" si="57"/>
        <v>0</v>
      </c>
      <c r="L1416" t="s">
        <v>973</v>
      </c>
      <c r="M1416">
        <v>0</v>
      </c>
    </row>
    <row r="1417" spans="9:13">
      <c r="I1417">
        <f t="shared" si="56"/>
        <v>0</v>
      </c>
      <c r="J1417">
        <f t="shared" si="57"/>
        <v>0</v>
      </c>
      <c r="L1417" t="s">
        <v>974</v>
      </c>
      <c r="M1417">
        <v>0</v>
      </c>
    </row>
    <row r="1418" spans="9:13">
      <c r="I1418">
        <f t="shared" si="56"/>
        <v>0</v>
      </c>
      <c r="J1418">
        <f t="shared" si="57"/>
        <v>0</v>
      </c>
      <c r="L1418" t="s">
        <v>974</v>
      </c>
      <c r="M1418">
        <v>0</v>
      </c>
    </row>
    <row r="1419" spans="9:13">
      <c r="I1419">
        <f t="shared" si="56"/>
        <v>0</v>
      </c>
      <c r="J1419">
        <f t="shared" si="57"/>
        <v>0</v>
      </c>
      <c r="L1419" t="s">
        <v>975</v>
      </c>
      <c r="M1419">
        <v>0</v>
      </c>
    </row>
    <row r="1420" spans="9:13">
      <c r="I1420">
        <f t="shared" si="56"/>
        <v>0</v>
      </c>
      <c r="J1420">
        <f t="shared" si="57"/>
        <v>0</v>
      </c>
      <c r="L1420" t="s">
        <v>976</v>
      </c>
      <c r="M1420">
        <v>0</v>
      </c>
    </row>
    <row r="1421" spans="9:13">
      <c r="I1421">
        <f t="shared" si="56"/>
        <v>0</v>
      </c>
      <c r="J1421">
        <f t="shared" si="57"/>
        <v>0</v>
      </c>
      <c r="L1421" t="s">
        <v>977</v>
      </c>
      <c r="M1421">
        <v>0</v>
      </c>
    </row>
    <row r="1422" spans="9:13">
      <c r="I1422">
        <f t="shared" si="56"/>
        <v>0</v>
      </c>
      <c r="J1422">
        <f t="shared" si="57"/>
        <v>0</v>
      </c>
      <c r="L1422" t="s">
        <v>978</v>
      </c>
      <c r="M1422">
        <v>0</v>
      </c>
    </row>
    <row r="1423" spans="9:13">
      <c r="I1423">
        <f t="shared" si="56"/>
        <v>0</v>
      </c>
      <c r="J1423">
        <f t="shared" si="57"/>
        <v>0</v>
      </c>
      <c r="L1423" t="s">
        <v>978</v>
      </c>
      <c r="M1423">
        <v>0</v>
      </c>
    </row>
    <row r="1424" spans="9:13">
      <c r="I1424">
        <f t="shared" si="56"/>
        <v>0</v>
      </c>
      <c r="J1424">
        <f t="shared" si="57"/>
        <v>0</v>
      </c>
      <c r="L1424" t="s">
        <v>979</v>
      </c>
      <c r="M1424">
        <v>0</v>
      </c>
    </row>
    <row r="1425" spans="9:13">
      <c r="I1425">
        <f t="shared" si="56"/>
        <v>0</v>
      </c>
      <c r="J1425">
        <f t="shared" si="57"/>
        <v>0</v>
      </c>
      <c r="L1425" t="s">
        <v>979</v>
      </c>
      <c r="M1425">
        <v>0</v>
      </c>
    </row>
    <row r="1426" spans="9:13">
      <c r="I1426">
        <f t="shared" si="56"/>
        <v>0</v>
      </c>
      <c r="J1426">
        <f t="shared" si="57"/>
        <v>0</v>
      </c>
      <c r="L1426" t="s">
        <v>981</v>
      </c>
      <c r="M1426">
        <v>0</v>
      </c>
    </row>
    <row r="1427" spans="9:13">
      <c r="I1427">
        <f t="shared" si="56"/>
        <v>0</v>
      </c>
      <c r="J1427">
        <f t="shared" si="57"/>
        <v>0</v>
      </c>
      <c r="L1427" t="s">
        <v>981</v>
      </c>
      <c r="M1427">
        <v>0</v>
      </c>
    </row>
    <row r="1428" spans="9:13">
      <c r="I1428">
        <f t="shared" si="56"/>
        <v>0</v>
      </c>
      <c r="J1428">
        <f t="shared" si="57"/>
        <v>0</v>
      </c>
      <c r="L1428" t="s">
        <v>982</v>
      </c>
      <c r="M1428">
        <v>0</v>
      </c>
    </row>
    <row r="1429" spans="9:13">
      <c r="I1429">
        <f t="shared" si="56"/>
        <v>0</v>
      </c>
      <c r="J1429">
        <f t="shared" si="57"/>
        <v>0</v>
      </c>
      <c r="L1429" t="s">
        <v>982</v>
      </c>
      <c r="M1429">
        <v>0</v>
      </c>
    </row>
    <row r="1430" spans="9:13">
      <c r="I1430">
        <f t="shared" si="56"/>
        <v>0</v>
      </c>
      <c r="J1430">
        <f t="shared" si="57"/>
        <v>0</v>
      </c>
      <c r="L1430" t="s">
        <v>983</v>
      </c>
      <c r="M1430">
        <v>0</v>
      </c>
    </row>
    <row r="1431" spans="9:13">
      <c r="I1431">
        <f t="shared" si="56"/>
        <v>0</v>
      </c>
      <c r="J1431">
        <f t="shared" si="57"/>
        <v>0</v>
      </c>
      <c r="L1431" t="s">
        <v>983</v>
      </c>
      <c r="M1431">
        <v>0</v>
      </c>
    </row>
    <row r="1432" spans="9:13">
      <c r="I1432">
        <f t="shared" si="56"/>
        <v>0</v>
      </c>
      <c r="J1432">
        <f t="shared" si="57"/>
        <v>0</v>
      </c>
      <c r="L1432" t="s">
        <v>984</v>
      </c>
      <c r="M1432">
        <v>0</v>
      </c>
    </row>
    <row r="1433" spans="9:13">
      <c r="I1433">
        <f t="shared" si="56"/>
        <v>0</v>
      </c>
      <c r="J1433">
        <f t="shared" si="57"/>
        <v>0</v>
      </c>
      <c r="L1433" t="s">
        <v>984</v>
      </c>
      <c r="M1433">
        <v>0</v>
      </c>
    </row>
    <row r="1434" spans="9:13">
      <c r="I1434">
        <f t="shared" si="56"/>
        <v>0</v>
      </c>
      <c r="J1434">
        <f t="shared" si="57"/>
        <v>0</v>
      </c>
      <c r="L1434" t="s">
        <v>985</v>
      </c>
      <c r="M1434">
        <v>0</v>
      </c>
    </row>
    <row r="1435" spans="9:13">
      <c r="I1435">
        <f t="shared" si="56"/>
        <v>0</v>
      </c>
      <c r="J1435">
        <f t="shared" si="57"/>
        <v>0</v>
      </c>
      <c r="L1435" t="s">
        <v>985</v>
      </c>
      <c r="M1435">
        <v>0</v>
      </c>
    </row>
    <row r="1436" spans="9:13">
      <c r="I1436">
        <f t="shared" si="56"/>
        <v>0</v>
      </c>
      <c r="J1436">
        <f t="shared" si="57"/>
        <v>0</v>
      </c>
      <c r="L1436" t="s">
        <v>986</v>
      </c>
      <c r="M1436">
        <v>0</v>
      </c>
    </row>
    <row r="1437" spans="9:13">
      <c r="I1437">
        <f t="shared" si="56"/>
        <v>0</v>
      </c>
      <c r="J1437">
        <f t="shared" si="57"/>
        <v>0</v>
      </c>
      <c r="L1437" t="s">
        <v>986</v>
      </c>
      <c r="M1437">
        <v>0</v>
      </c>
    </row>
    <row r="1438" spans="9:13">
      <c r="I1438">
        <f t="shared" si="56"/>
        <v>0</v>
      </c>
      <c r="J1438">
        <f t="shared" si="57"/>
        <v>0</v>
      </c>
      <c r="L1438" t="s">
        <v>987</v>
      </c>
      <c r="M1438">
        <v>0</v>
      </c>
    </row>
    <row r="1439" spans="9:13">
      <c r="I1439">
        <f t="shared" si="56"/>
        <v>0</v>
      </c>
      <c r="J1439">
        <f t="shared" si="57"/>
        <v>0</v>
      </c>
      <c r="L1439" t="s">
        <v>987</v>
      </c>
      <c r="M1439">
        <v>0</v>
      </c>
    </row>
    <row r="1440" spans="9:13">
      <c r="I1440">
        <f t="shared" si="56"/>
        <v>0</v>
      </c>
      <c r="J1440">
        <f t="shared" si="57"/>
        <v>0</v>
      </c>
      <c r="L1440" t="s">
        <v>988</v>
      </c>
      <c r="M1440">
        <v>0</v>
      </c>
    </row>
    <row r="1441" spans="9:13">
      <c r="I1441">
        <f t="shared" si="56"/>
        <v>0</v>
      </c>
      <c r="J1441">
        <f t="shared" si="57"/>
        <v>0</v>
      </c>
      <c r="L1441" t="s">
        <v>988</v>
      </c>
      <c r="M1441">
        <v>0</v>
      </c>
    </row>
    <row r="1442" spans="9:13">
      <c r="I1442">
        <f t="shared" si="56"/>
        <v>0</v>
      </c>
      <c r="J1442">
        <f t="shared" si="57"/>
        <v>0</v>
      </c>
      <c r="L1442" t="s">
        <v>989</v>
      </c>
      <c r="M1442">
        <v>0</v>
      </c>
    </row>
    <row r="1443" spans="9:13">
      <c r="I1443">
        <f t="shared" si="56"/>
        <v>0</v>
      </c>
      <c r="J1443">
        <f t="shared" si="57"/>
        <v>0</v>
      </c>
      <c r="L1443" t="s">
        <v>989</v>
      </c>
      <c r="M1443">
        <v>0</v>
      </c>
    </row>
    <row r="1444" spans="9:13">
      <c r="I1444">
        <f t="shared" si="56"/>
        <v>0</v>
      </c>
      <c r="J1444">
        <f t="shared" si="57"/>
        <v>0</v>
      </c>
      <c r="L1444" t="s">
        <v>990</v>
      </c>
      <c r="M1444">
        <v>0</v>
      </c>
    </row>
    <row r="1445" spans="9:13">
      <c r="I1445">
        <f t="shared" si="56"/>
        <v>0</v>
      </c>
      <c r="J1445">
        <f t="shared" si="57"/>
        <v>0</v>
      </c>
      <c r="L1445" t="s">
        <v>990</v>
      </c>
      <c r="M1445">
        <v>0</v>
      </c>
    </row>
    <row r="1446" spans="9:13">
      <c r="I1446">
        <f t="shared" si="56"/>
        <v>0</v>
      </c>
      <c r="J1446">
        <f t="shared" si="57"/>
        <v>0</v>
      </c>
      <c r="L1446" t="s">
        <v>991</v>
      </c>
      <c r="M1446">
        <v>0</v>
      </c>
    </row>
    <row r="1447" spans="9:13">
      <c r="I1447">
        <f t="shared" si="56"/>
        <v>0</v>
      </c>
      <c r="J1447">
        <f t="shared" si="57"/>
        <v>0</v>
      </c>
      <c r="L1447" t="s">
        <v>991</v>
      </c>
      <c r="M1447">
        <v>0</v>
      </c>
    </row>
    <row r="1448" spans="9:13">
      <c r="I1448">
        <f t="shared" si="56"/>
        <v>0</v>
      </c>
      <c r="J1448">
        <f t="shared" si="57"/>
        <v>0</v>
      </c>
      <c r="L1448" t="s">
        <v>992</v>
      </c>
      <c r="M1448">
        <v>0</v>
      </c>
    </row>
    <row r="1449" spans="9:13">
      <c r="I1449">
        <f t="shared" si="56"/>
        <v>0</v>
      </c>
      <c r="J1449">
        <f t="shared" si="57"/>
        <v>0</v>
      </c>
      <c r="L1449" t="s">
        <v>992</v>
      </c>
      <c r="M1449">
        <v>0</v>
      </c>
    </row>
    <row r="1450" spans="9:13">
      <c r="I1450">
        <f t="shared" si="56"/>
        <v>0</v>
      </c>
      <c r="J1450">
        <f t="shared" si="57"/>
        <v>0</v>
      </c>
      <c r="L1450" t="s">
        <v>993</v>
      </c>
      <c r="M1450">
        <v>0</v>
      </c>
    </row>
    <row r="1451" spans="9:13">
      <c r="I1451">
        <f t="shared" si="56"/>
        <v>0</v>
      </c>
      <c r="J1451">
        <f t="shared" si="57"/>
        <v>0</v>
      </c>
      <c r="L1451" t="s">
        <v>993</v>
      </c>
      <c r="M1451">
        <v>0</v>
      </c>
    </row>
    <row r="1452" spans="9:13">
      <c r="I1452">
        <f t="shared" si="56"/>
        <v>0</v>
      </c>
      <c r="J1452">
        <f t="shared" si="57"/>
        <v>0</v>
      </c>
      <c r="L1452" t="s">
        <v>994</v>
      </c>
      <c r="M1452">
        <v>0</v>
      </c>
    </row>
    <row r="1453" spans="9:13">
      <c r="I1453">
        <f t="shared" si="56"/>
        <v>0</v>
      </c>
      <c r="J1453">
        <f t="shared" si="57"/>
        <v>0</v>
      </c>
      <c r="L1453" t="s">
        <v>994</v>
      </c>
      <c r="M1453">
        <v>0</v>
      </c>
    </row>
    <row r="1454" spans="9:13">
      <c r="I1454">
        <f t="shared" si="56"/>
        <v>0</v>
      </c>
      <c r="J1454">
        <f t="shared" si="57"/>
        <v>0</v>
      </c>
      <c r="L1454" t="s">
        <v>995</v>
      </c>
      <c r="M1454">
        <v>0</v>
      </c>
    </row>
    <row r="1455" spans="9:13">
      <c r="I1455">
        <f t="shared" si="56"/>
        <v>0</v>
      </c>
      <c r="J1455">
        <f t="shared" si="57"/>
        <v>0</v>
      </c>
      <c r="L1455" t="s">
        <v>995</v>
      </c>
      <c r="M1455">
        <v>0</v>
      </c>
    </row>
    <row r="1456" spans="9:13">
      <c r="I1456">
        <f t="shared" si="56"/>
        <v>0</v>
      </c>
      <c r="J1456">
        <f t="shared" si="57"/>
        <v>0</v>
      </c>
      <c r="L1456" t="s">
        <v>996</v>
      </c>
      <c r="M1456">
        <v>0</v>
      </c>
    </row>
    <row r="1457" spans="9:13">
      <c r="I1457">
        <f t="shared" si="56"/>
        <v>0</v>
      </c>
      <c r="J1457">
        <f t="shared" si="57"/>
        <v>0</v>
      </c>
      <c r="L1457" t="s">
        <v>996</v>
      </c>
      <c r="M1457">
        <v>0</v>
      </c>
    </row>
    <row r="1458" spans="9:13">
      <c r="I1458">
        <f t="shared" si="56"/>
        <v>0</v>
      </c>
      <c r="J1458">
        <f t="shared" si="57"/>
        <v>0</v>
      </c>
      <c r="L1458" t="s">
        <v>997</v>
      </c>
      <c r="M1458">
        <v>0</v>
      </c>
    </row>
    <row r="1459" spans="9:13">
      <c r="I1459">
        <f t="shared" si="56"/>
        <v>0</v>
      </c>
      <c r="J1459">
        <f t="shared" si="57"/>
        <v>0</v>
      </c>
      <c r="L1459" t="s">
        <v>997</v>
      </c>
      <c r="M1459">
        <v>0</v>
      </c>
    </row>
    <row r="1460" spans="9:13">
      <c r="I1460">
        <f t="shared" si="56"/>
        <v>0</v>
      </c>
      <c r="J1460">
        <f t="shared" si="57"/>
        <v>0</v>
      </c>
      <c r="L1460" t="s">
        <v>998</v>
      </c>
      <c r="M1460">
        <v>0</v>
      </c>
    </row>
    <row r="1461" spans="9:13">
      <c r="I1461">
        <f t="shared" si="56"/>
        <v>0</v>
      </c>
      <c r="J1461">
        <f t="shared" si="57"/>
        <v>0</v>
      </c>
      <c r="L1461" t="s">
        <v>998</v>
      </c>
      <c r="M1461">
        <v>0</v>
      </c>
    </row>
    <row r="1462" spans="9:13">
      <c r="I1462">
        <f t="shared" si="56"/>
        <v>0</v>
      </c>
      <c r="J1462">
        <f t="shared" si="57"/>
        <v>0</v>
      </c>
      <c r="L1462" t="s">
        <v>999</v>
      </c>
      <c r="M1462">
        <v>0</v>
      </c>
    </row>
    <row r="1463" spans="9:13">
      <c r="I1463">
        <f t="shared" si="56"/>
        <v>0</v>
      </c>
      <c r="J1463">
        <f t="shared" si="57"/>
        <v>0</v>
      </c>
      <c r="L1463" t="s">
        <v>999</v>
      </c>
      <c r="M1463">
        <v>0</v>
      </c>
    </row>
    <row r="1464" spans="9:13">
      <c r="I1464">
        <f t="shared" si="56"/>
        <v>0</v>
      </c>
      <c r="J1464">
        <f t="shared" si="57"/>
        <v>0</v>
      </c>
      <c r="L1464" t="s">
        <v>1000</v>
      </c>
      <c r="M1464">
        <v>0</v>
      </c>
    </row>
    <row r="1465" spans="9:13">
      <c r="I1465">
        <f t="shared" si="56"/>
        <v>0</v>
      </c>
      <c r="J1465">
        <f t="shared" si="57"/>
        <v>0</v>
      </c>
      <c r="L1465" t="s">
        <v>1000</v>
      </c>
      <c r="M1465">
        <v>0</v>
      </c>
    </row>
    <row r="1466" spans="9:13">
      <c r="I1466">
        <f t="shared" si="56"/>
        <v>0</v>
      </c>
      <c r="J1466">
        <f t="shared" si="57"/>
        <v>0</v>
      </c>
      <c r="L1466" t="s">
        <v>1001</v>
      </c>
      <c r="M1466">
        <v>0</v>
      </c>
    </row>
    <row r="1467" spans="9:13">
      <c r="I1467">
        <f t="shared" si="56"/>
        <v>0</v>
      </c>
      <c r="J1467">
        <f t="shared" si="57"/>
        <v>0</v>
      </c>
      <c r="L1467" t="s">
        <v>1001</v>
      </c>
      <c r="M1467">
        <v>0</v>
      </c>
    </row>
    <row r="1468" spans="9:13">
      <c r="I1468">
        <f t="shared" si="56"/>
        <v>0</v>
      </c>
      <c r="J1468">
        <f t="shared" si="57"/>
        <v>0</v>
      </c>
      <c r="L1468" t="s">
        <v>1002</v>
      </c>
      <c r="M1468">
        <v>0</v>
      </c>
    </row>
    <row r="1469" spans="9:13">
      <c r="I1469">
        <f t="shared" si="56"/>
        <v>0</v>
      </c>
      <c r="J1469">
        <f t="shared" si="57"/>
        <v>0</v>
      </c>
      <c r="L1469" t="s">
        <v>1002</v>
      </c>
      <c r="M1469">
        <v>0</v>
      </c>
    </row>
    <row r="1470" spans="9:13">
      <c r="I1470">
        <f t="shared" si="56"/>
        <v>0</v>
      </c>
      <c r="J1470">
        <f t="shared" si="57"/>
        <v>0</v>
      </c>
      <c r="L1470" t="s">
        <v>1003</v>
      </c>
      <c r="M1470">
        <v>0</v>
      </c>
    </row>
    <row r="1471" spans="9:13">
      <c r="I1471">
        <f t="shared" si="56"/>
        <v>0</v>
      </c>
      <c r="J1471">
        <f t="shared" si="57"/>
        <v>0</v>
      </c>
      <c r="L1471" t="s">
        <v>1003</v>
      </c>
      <c r="M1471">
        <v>0</v>
      </c>
    </row>
    <row r="1472" spans="9:13">
      <c r="I1472">
        <f t="shared" si="56"/>
        <v>0</v>
      </c>
      <c r="J1472">
        <f t="shared" si="57"/>
        <v>0</v>
      </c>
      <c r="L1472" t="s">
        <v>1004</v>
      </c>
      <c r="M1472">
        <v>0</v>
      </c>
    </row>
    <row r="1473" spans="9:13">
      <c r="I1473">
        <f t="shared" si="56"/>
        <v>0</v>
      </c>
      <c r="J1473">
        <f t="shared" si="57"/>
        <v>0</v>
      </c>
      <c r="L1473" t="s">
        <v>1004</v>
      </c>
      <c r="M1473">
        <v>0</v>
      </c>
    </row>
    <row r="1474" spans="9:13">
      <c r="I1474">
        <f t="shared" si="56"/>
        <v>0</v>
      </c>
      <c r="J1474">
        <f t="shared" si="57"/>
        <v>0</v>
      </c>
      <c r="L1474" t="s">
        <v>1005</v>
      </c>
      <c r="M1474">
        <v>0</v>
      </c>
    </row>
    <row r="1475" spans="9:13">
      <c r="I1475">
        <f t="shared" si="56"/>
        <v>0</v>
      </c>
      <c r="J1475">
        <f t="shared" si="57"/>
        <v>0</v>
      </c>
      <c r="L1475" t="s">
        <v>1005</v>
      </c>
      <c r="M1475">
        <v>0</v>
      </c>
    </row>
    <row r="1476" spans="9:13">
      <c r="I1476">
        <f t="shared" si="56"/>
        <v>0</v>
      </c>
      <c r="J1476">
        <f t="shared" si="57"/>
        <v>0</v>
      </c>
      <c r="L1476" t="s">
        <v>1006</v>
      </c>
      <c r="M1476">
        <v>0</v>
      </c>
    </row>
    <row r="1477" spans="9:13">
      <c r="I1477">
        <f t="shared" ref="I1477:I1540" si="58">+A1477</f>
        <v>0</v>
      </c>
      <c r="J1477">
        <f t="shared" ref="J1477:J1540" si="59">+E1477</f>
        <v>0</v>
      </c>
      <c r="L1477" t="s">
        <v>1006</v>
      </c>
      <c r="M1477">
        <v>0</v>
      </c>
    </row>
    <row r="1478" spans="9:13">
      <c r="I1478">
        <f t="shared" si="58"/>
        <v>0</v>
      </c>
      <c r="J1478">
        <f t="shared" si="59"/>
        <v>0</v>
      </c>
      <c r="L1478" t="s">
        <v>1007</v>
      </c>
      <c r="M1478">
        <v>0</v>
      </c>
    </row>
    <row r="1479" spans="9:13">
      <c r="I1479">
        <f t="shared" si="58"/>
        <v>0</v>
      </c>
      <c r="J1479">
        <f t="shared" si="59"/>
        <v>0</v>
      </c>
      <c r="L1479" t="s">
        <v>1007</v>
      </c>
      <c r="M1479">
        <v>0</v>
      </c>
    </row>
    <row r="1480" spans="9:13">
      <c r="I1480">
        <f t="shared" si="58"/>
        <v>0</v>
      </c>
      <c r="J1480">
        <f t="shared" si="59"/>
        <v>0</v>
      </c>
      <c r="L1480" t="s">
        <v>1009</v>
      </c>
      <c r="M1480">
        <v>0</v>
      </c>
    </row>
    <row r="1481" spans="9:13">
      <c r="I1481">
        <f t="shared" si="58"/>
        <v>0</v>
      </c>
      <c r="J1481">
        <f t="shared" si="59"/>
        <v>0</v>
      </c>
      <c r="L1481" t="s">
        <v>1009</v>
      </c>
      <c r="M1481">
        <v>0</v>
      </c>
    </row>
    <row r="1482" spans="9:13">
      <c r="I1482">
        <f t="shared" si="58"/>
        <v>0</v>
      </c>
      <c r="J1482">
        <f t="shared" si="59"/>
        <v>0</v>
      </c>
      <c r="L1482" t="s">
        <v>1010</v>
      </c>
      <c r="M1482">
        <v>0</v>
      </c>
    </row>
    <row r="1483" spans="9:13">
      <c r="I1483">
        <f t="shared" si="58"/>
        <v>0</v>
      </c>
      <c r="J1483">
        <f t="shared" si="59"/>
        <v>0</v>
      </c>
      <c r="L1483" t="s">
        <v>1010</v>
      </c>
      <c r="M1483">
        <v>0</v>
      </c>
    </row>
    <row r="1484" spans="9:13">
      <c r="I1484">
        <f t="shared" si="58"/>
        <v>0</v>
      </c>
      <c r="J1484">
        <f t="shared" si="59"/>
        <v>0</v>
      </c>
      <c r="L1484" t="s">
        <v>1011</v>
      </c>
      <c r="M1484">
        <v>0</v>
      </c>
    </row>
    <row r="1485" spans="9:13">
      <c r="I1485">
        <f t="shared" si="58"/>
        <v>0</v>
      </c>
      <c r="J1485">
        <f t="shared" si="59"/>
        <v>0</v>
      </c>
      <c r="L1485" t="s">
        <v>1011</v>
      </c>
      <c r="M1485">
        <v>0</v>
      </c>
    </row>
    <row r="1486" spans="9:13">
      <c r="I1486">
        <f t="shared" si="58"/>
        <v>0</v>
      </c>
      <c r="J1486">
        <f t="shared" si="59"/>
        <v>0</v>
      </c>
      <c r="L1486" t="s">
        <v>1012</v>
      </c>
      <c r="M1486">
        <v>0</v>
      </c>
    </row>
    <row r="1487" spans="9:13">
      <c r="I1487">
        <f t="shared" si="58"/>
        <v>0</v>
      </c>
      <c r="J1487">
        <f t="shared" si="59"/>
        <v>0</v>
      </c>
      <c r="L1487" t="s">
        <v>1012</v>
      </c>
      <c r="M1487">
        <v>0</v>
      </c>
    </row>
    <row r="1488" spans="9:13">
      <c r="I1488">
        <f t="shared" si="58"/>
        <v>0</v>
      </c>
      <c r="J1488">
        <f t="shared" si="59"/>
        <v>0</v>
      </c>
      <c r="L1488" t="s">
        <v>1013</v>
      </c>
      <c r="M1488">
        <v>0</v>
      </c>
    </row>
    <row r="1489" spans="9:13">
      <c r="I1489">
        <f t="shared" si="58"/>
        <v>0</v>
      </c>
      <c r="J1489">
        <f t="shared" si="59"/>
        <v>0</v>
      </c>
      <c r="L1489" t="s">
        <v>1013</v>
      </c>
      <c r="M1489">
        <v>0</v>
      </c>
    </row>
    <row r="1490" spans="9:13">
      <c r="I1490">
        <f t="shared" si="58"/>
        <v>0</v>
      </c>
      <c r="J1490">
        <f t="shared" si="59"/>
        <v>0</v>
      </c>
      <c r="L1490" t="s">
        <v>1014</v>
      </c>
      <c r="M1490">
        <v>0</v>
      </c>
    </row>
    <row r="1491" spans="9:13">
      <c r="I1491">
        <f t="shared" si="58"/>
        <v>0</v>
      </c>
      <c r="J1491">
        <f t="shared" si="59"/>
        <v>0</v>
      </c>
      <c r="L1491" t="s">
        <v>1014</v>
      </c>
      <c r="M1491">
        <v>0</v>
      </c>
    </row>
    <row r="1492" spans="9:13">
      <c r="I1492">
        <f t="shared" si="58"/>
        <v>0</v>
      </c>
      <c r="J1492">
        <f t="shared" si="59"/>
        <v>0</v>
      </c>
      <c r="L1492" t="s">
        <v>1015</v>
      </c>
      <c r="M1492">
        <v>0</v>
      </c>
    </row>
    <row r="1493" spans="9:13">
      <c r="I1493">
        <f t="shared" si="58"/>
        <v>0</v>
      </c>
      <c r="J1493">
        <f t="shared" si="59"/>
        <v>0</v>
      </c>
      <c r="L1493" t="s">
        <v>1015</v>
      </c>
      <c r="M1493">
        <v>0</v>
      </c>
    </row>
    <row r="1494" spans="9:13">
      <c r="I1494">
        <f t="shared" si="58"/>
        <v>0</v>
      </c>
      <c r="J1494">
        <f t="shared" si="59"/>
        <v>0</v>
      </c>
      <c r="L1494" t="s">
        <v>1017</v>
      </c>
      <c r="M1494">
        <v>0</v>
      </c>
    </row>
    <row r="1495" spans="9:13">
      <c r="I1495">
        <f t="shared" si="58"/>
        <v>0</v>
      </c>
      <c r="J1495">
        <f t="shared" si="59"/>
        <v>0</v>
      </c>
      <c r="L1495" t="s">
        <v>1017</v>
      </c>
      <c r="M1495">
        <v>0</v>
      </c>
    </row>
    <row r="1496" spans="9:13">
      <c r="I1496">
        <f t="shared" si="58"/>
        <v>0</v>
      </c>
      <c r="J1496">
        <f t="shared" si="59"/>
        <v>0</v>
      </c>
      <c r="L1496" t="s">
        <v>1018</v>
      </c>
      <c r="M1496">
        <v>0</v>
      </c>
    </row>
    <row r="1497" spans="9:13">
      <c r="I1497">
        <f t="shared" si="58"/>
        <v>0</v>
      </c>
      <c r="J1497">
        <f t="shared" si="59"/>
        <v>0</v>
      </c>
      <c r="L1497" t="s">
        <v>1019</v>
      </c>
      <c r="M1497">
        <v>0</v>
      </c>
    </row>
    <row r="1498" spans="9:13">
      <c r="I1498">
        <f t="shared" si="58"/>
        <v>0</v>
      </c>
      <c r="J1498">
        <f t="shared" si="59"/>
        <v>0</v>
      </c>
      <c r="L1498" t="s">
        <v>1019</v>
      </c>
      <c r="M1498">
        <v>0</v>
      </c>
    </row>
    <row r="1499" spans="9:13">
      <c r="I1499">
        <f t="shared" si="58"/>
        <v>0</v>
      </c>
      <c r="J1499">
        <f t="shared" si="59"/>
        <v>0</v>
      </c>
      <c r="L1499" t="s">
        <v>1020</v>
      </c>
      <c r="M1499">
        <v>0</v>
      </c>
    </row>
    <row r="1500" spans="9:13">
      <c r="I1500">
        <f t="shared" si="58"/>
        <v>0</v>
      </c>
      <c r="J1500">
        <f t="shared" si="59"/>
        <v>0</v>
      </c>
      <c r="L1500" t="s">
        <v>1020</v>
      </c>
      <c r="M1500">
        <v>0</v>
      </c>
    </row>
    <row r="1501" spans="9:13">
      <c r="I1501">
        <f t="shared" si="58"/>
        <v>0</v>
      </c>
      <c r="J1501">
        <f t="shared" si="59"/>
        <v>0</v>
      </c>
      <c r="L1501" t="s">
        <v>1021</v>
      </c>
      <c r="M1501">
        <v>0</v>
      </c>
    </row>
    <row r="1502" spans="9:13">
      <c r="I1502">
        <f t="shared" si="58"/>
        <v>0</v>
      </c>
      <c r="J1502">
        <f t="shared" si="59"/>
        <v>0</v>
      </c>
      <c r="L1502" t="s">
        <v>1021</v>
      </c>
      <c r="M1502">
        <v>0</v>
      </c>
    </row>
    <row r="1503" spans="9:13">
      <c r="I1503">
        <f t="shared" si="58"/>
        <v>0</v>
      </c>
      <c r="J1503">
        <f t="shared" si="59"/>
        <v>0</v>
      </c>
      <c r="L1503" t="s">
        <v>1022</v>
      </c>
      <c r="M1503">
        <v>0</v>
      </c>
    </row>
    <row r="1504" spans="9:13">
      <c r="I1504">
        <f t="shared" si="58"/>
        <v>0</v>
      </c>
      <c r="J1504">
        <f t="shared" si="59"/>
        <v>0</v>
      </c>
      <c r="L1504" t="s">
        <v>1022</v>
      </c>
      <c r="M1504">
        <v>0</v>
      </c>
    </row>
    <row r="1505" spans="9:13">
      <c r="I1505">
        <f t="shared" si="58"/>
        <v>0</v>
      </c>
      <c r="J1505">
        <f t="shared" si="59"/>
        <v>0</v>
      </c>
      <c r="L1505" t="s">
        <v>1023</v>
      </c>
      <c r="M1505">
        <v>0</v>
      </c>
    </row>
    <row r="1506" spans="9:13">
      <c r="I1506">
        <f t="shared" si="58"/>
        <v>0</v>
      </c>
      <c r="J1506">
        <f t="shared" si="59"/>
        <v>0</v>
      </c>
      <c r="L1506" t="s">
        <v>1023</v>
      </c>
      <c r="M1506">
        <v>0</v>
      </c>
    </row>
    <row r="1507" spans="9:13">
      <c r="I1507">
        <f t="shared" si="58"/>
        <v>0</v>
      </c>
      <c r="J1507">
        <f t="shared" si="59"/>
        <v>0</v>
      </c>
      <c r="L1507" t="s">
        <v>1024</v>
      </c>
      <c r="M1507">
        <v>0</v>
      </c>
    </row>
    <row r="1508" spans="9:13">
      <c r="I1508">
        <f t="shared" si="58"/>
        <v>0</v>
      </c>
      <c r="J1508">
        <f t="shared" si="59"/>
        <v>0</v>
      </c>
      <c r="L1508" t="s">
        <v>1024</v>
      </c>
      <c r="M1508">
        <v>0</v>
      </c>
    </row>
    <row r="1509" spans="9:13">
      <c r="I1509">
        <f t="shared" si="58"/>
        <v>0</v>
      </c>
      <c r="J1509">
        <f t="shared" si="59"/>
        <v>0</v>
      </c>
      <c r="L1509" t="s">
        <v>1025</v>
      </c>
      <c r="M1509">
        <v>0</v>
      </c>
    </row>
    <row r="1510" spans="9:13">
      <c r="I1510">
        <f t="shared" si="58"/>
        <v>0</v>
      </c>
      <c r="J1510">
        <f t="shared" si="59"/>
        <v>0</v>
      </c>
      <c r="L1510" t="s">
        <v>1025</v>
      </c>
      <c r="M1510">
        <v>0</v>
      </c>
    </row>
    <row r="1511" spans="9:13">
      <c r="I1511">
        <f t="shared" si="58"/>
        <v>0</v>
      </c>
      <c r="J1511">
        <f t="shared" si="59"/>
        <v>0</v>
      </c>
      <c r="L1511" t="s">
        <v>1026</v>
      </c>
      <c r="M1511">
        <v>0</v>
      </c>
    </row>
    <row r="1512" spans="9:13">
      <c r="I1512">
        <f t="shared" si="58"/>
        <v>0</v>
      </c>
      <c r="J1512">
        <f t="shared" si="59"/>
        <v>0</v>
      </c>
      <c r="L1512" t="s">
        <v>1026</v>
      </c>
      <c r="M1512">
        <v>0</v>
      </c>
    </row>
    <row r="1513" spans="9:13">
      <c r="I1513">
        <f t="shared" si="58"/>
        <v>0</v>
      </c>
      <c r="J1513">
        <f t="shared" si="59"/>
        <v>0</v>
      </c>
      <c r="L1513" t="s">
        <v>1027</v>
      </c>
      <c r="M1513">
        <v>0</v>
      </c>
    </row>
    <row r="1514" spans="9:13">
      <c r="I1514">
        <f t="shared" si="58"/>
        <v>0</v>
      </c>
      <c r="J1514">
        <f t="shared" si="59"/>
        <v>0</v>
      </c>
      <c r="L1514" t="s">
        <v>1027</v>
      </c>
      <c r="M1514">
        <v>0</v>
      </c>
    </row>
    <row r="1515" spans="9:13">
      <c r="I1515">
        <f t="shared" si="58"/>
        <v>0</v>
      </c>
      <c r="J1515">
        <f t="shared" si="59"/>
        <v>0</v>
      </c>
      <c r="L1515" t="s">
        <v>1028</v>
      </c>
      <c r="M1515">
        <v>0</v>
      </c>
    </row>
    <row r="1516" spans="9:13">
      <c r="I1516">
        <f t="shared" si="58"/>
        <v>0</v>
      </c>
      <c r="J1516">
        <f t="shared" si="59"/>
        <v>0</v>
      </c>
      <c r="L1516" t="s">
        <v>1028</v>
      </c>
      <c r="M1516">
        <v>0</v>
      </c>
    </row>
    <row r="1517" spans="9:13">
      <c r="I1517">
        <f t="shared" si="58"/>
        <v>0</v>
      </c>
      <c r="J1517">
        <f t="shared" si="59"/>
        <v>0</v>
      </c>
      <c r="L1517" t="s">
        <v>1030</v>
      </c>
      <c r="M1517">
        <v>0</v>
      </c>
    </row>
    <row r="1518" spans="9:13">
      <c r="I1518">
        <f t="shared" si="58"/>
        <v>0</v>
      </c>
      <c r="J1518">
        <f t="shared" si="59"/>
        <v>0</v>
      </c>
      <c r="L1518" t="s">
        <v>1030</v>
      </c>
      <c r="M1518">
        <v>0</v>
      </c>
    </row>
    <row r="1519" spans="9:13">
      <c r="I1519">
        <f t="shared" si="58"/>
        <v>0</v>
      </c>
      <c r="J1519">
        <f t="shared" si="59"/>
        <v>0</v>
      </c>
      <c r="L1519" t="s">
        <v>1031</v>
      </c>
      <c r="M1519">
        <v>0</v>
      </c>
    </row>
    <row r="1520" spans="9:13">
      <c r="I1520">
        <f t="shared" si="58"/>
        <v>0</v>
      </c>
      <c r="J1520">
        <f t="shared" si="59"/>
        <v>0</v>
      </c>
      <c r="L1520" t="s">
        <v>1031</v>
      </c>
      <c r="M1520">
        <v>0</v>
      </c>
    </row>
    <row r="1521" spans="9:13">
      <c r="I1521">
        <f t="shared" si="58"/>
        <v>0</v>
      </c>
      <c r="J1521">
        <f t="shared" si="59"/>
        <v>0</v>
      </c>
      <c r="L1521" t="s">
        <v>1032</v>
      </c>
      <c r="M1521">
        <v>0</v>
      </c>
    </row>
    <row r="1522" spans="9:13">
      <c r="I1522">
        <f t="shared" si="58"/>
        <v>0</v>
      </c>
      <c r="J1522">
        <f t="shared" si="59"/>
        <v>0</v>
      </c>
      <c r="L1522" t="s">
        <v>1032</v>
      </c>
      <c r="M1522">
        <v>0</v>
      </c>
    </row>
    <row r="1523" spans="9:13">
      <c r="I1523">
        <f t="shared" si="58"/>
        <v>0</v>
      </c>
      <c r="J1523">
        <f t="shared" si="59"/>
        <v>0</v>
      </c>
      <c r="L1523" t="s">
        <v>1033</v>
      </c>
      <c r="M1523">
        <v>0</v>
      </c>
    </row>
    <row r="1524" spans="9:13">
      <c r="I1524">
        <f t="shared" si="58"/>
        <v>0</v>
      </c>
      <c r="J1524">
        <f t="shared" si="59"/>
        <v>0</v>
      </c>
      <c r="L1524" t="s">
        <v>1033</v>
      </c>
      <c r="M1524">
        <v>0</v>
      </c>
    </row>
    <row r="1525" spans="9:13">
      <c r="I1525">
        <f t="shared" si="58"/>
        <v>0</v>
      </c>
      <c r="J1525">
        <f t="shared" si="59"/>
        <v>0</v>
      </c>
      <c r="L1525" t="s">
        <v>1034</v>
      </c>
      <c r="M1525">
        <v>0</v>
      </c>
    </row>
    <row r="1526" spans="9:13">
      <c r="I1526">
        <f t="shared" si="58"/>
        <v>0</v>
      </c>
      <c r="J1526">
        <f t="shared" si="59"/>
        <v>0</v>
      </c>
      <c r="L1526" t="s">
        <v>1034</v>
      </c>
      <c r="M1526">
        <v>0</v>
      </c>
    </row>
    <row r="1527" spans="9:13">
      <c r="I1527">
        <f t="shared" si="58"/>
        <v>0</v>
      </c>
      <c r="J1527">
        <f t="shared" si="59"/>
        <v>0</v>
      </c>
      <c r="L1527" t="s">
        <v>1035</v>
      </c>
      <c r="M1527">
        <v>0</v>
      </c>
    </row>
    <row r="1528" spans="9:13">
      <c r="I1528">
        <f t="shared" si="58"/>
        <v>0</v>
      </c>
      <c r="J1528">
        <f t="shared" si="59"/>
        <v>0</v>
      </c>
      <c r="L1528" t="s">
        <v>1035</v>
      </c>
      <c r="M1528">
        <v>0</v>
      </c>
    </row>
    <row r="1529" spans="9:13">
      <c r="I1529">
        <f t="shared" si="58"/>
        <v>0</v>
      </c>
      <c r="J1529">
        <f t="shared" si="59"/>
        <v>0</v>
      </c>
      <c r="L1529" t="s">
        <v>1036</v>
      </c>
      <c r="M1529">
        <v>0</v>
      </c>
    </row>
    <row r="1530" spans="9:13">
      <c r="I1530">
        <f t="shared" si="58"/>
        <v>0</v>
      </c>
      <c r="J1530">
        <f t="shared" si="59"/>
        <v>0</v>
      </c>
      <c r="L1530" t="s">
        <v>1036</v>
      </c>
      <c r="M1530">
        <v>0</v>
      </c>
    </row>
    <row r="1531" spans="9:13">
      <c r="I1531">
        <f t="shared" si="58"/>
        <v>0</v>
      </c>
      <c r="J1531">
        <f t="shared" si="59"/>
        <v>0</v>
      </c>
      <c r="L1531" t="s">
        <v>1037</v>
      </c>
      <c r="M1531">
        <v>0</v>
      </c>
    </row>
    <row r="1532" spans="9:13">
      <c r="I1532">
        <f t="shared" si="58"/>
        <v>0</v>
      </c>
      <c r="J1532">
        <f t="shared" si="59"/>
        <v>0</v>
      </c>
      <c r="L1532" t="s">
        <v>1037</v>
      </c>
      <c r="M1532">
        <v>0</v>
      </c>
    </row>
    <row r="1533" spans="9:13">
      <c r="I1533">
        <f t="shared" si="58"/>
        <v>0</v>
      </c>
      <c r="J1533">
        <f t="shared" si="59"/>
        <v>0</v>
      </c>
      <c r="L1533" t="s">
        <v>1038</v>
      </c>
      <c r="M1533">
        <v>0</v>
      </c>
    </row>
    <row r="1534" spans="9:13">
      <c r="I1534">
        <f t="shared" si="58"/>
        <v>0</v>
      </c>
      <c r="J1534">
        <f t="shared" si="59"/>
        <v>0</v>
      </c>
      <c r="L1534" t="s">
        <v>1038</v>
      </c>
      <c r="M1534">
        <v>0</v>
      </c>
    </row>
    <row r="1535" spans="9:13">
      <c r="I1535">
        <f t="shared" si="58"/>
        <v>0</v>
      </c>
      <c r="J1535">
        <f t="shared" si="59"/>
        <v>0</v>
      </c>
      <c r="L1535" t="s">
        <v>1039</v>
      </c>
      <c r="M1535">
        <v>0</v>
      </c>
    </row>
    <row r="1536" spans="9:13">
      <c r="I1536">
        <f t="shared" si="58"/>
        <v>0</v>
      </c>
      <c r="J1536">
        <f t="shared" si="59"/>
        <v>0</v>
      </c>
      <c r="L1536" t="s">
        <v>1039</v>
      </c>
      <c r="M1536">
        <v>0</v>
      </c>
    </row>
    <row r="1537" spans="9:13">
      <c r="I1537">
        <f t="shared" si="58"/>
        <v>0</v>
      </c>
      <c r="J1537">
        <f t="shared" si="59"/>
        <v>0</v>
      </c>
      <c r="L1537" t="s">
        <v>1040</v>
      </c>
      <c r="M1537">
        <v>0</v>
      </c>
    </row>
    <row r="1538" spans="9:13">
      <c r="I1538">
        <f t="shared" si="58"/>
        <v>0</v>
      </c>
      <c r="J1538">
        <f t="shared" si="59"/>
        <v>0</v>
      </c>
      <c r="L1538" t="s">
        <v>1040</v>
      </c>
      <c r="M1538">
        <v>0</v>
      </c>
    </row>
    <row r="1539" spans="9:13">
      <c r="I1539">
        <f t="shared" si="58"/>
        <v>0</v>
      </c>
      <c r="J1539">
        <f t="shared" si="59"/>
        <v>0</v>
      </c>
      <c r="L1539" t="s">
        <v>1041</v>
      </c>
      <c r="M1539">
        <v>0</v>
      </c>
    </row>
    <row r="1540" spans="9:13">
      <c r="I1540">
        <f t="shared" si="58"/>
        <v>0</v>
      </c>
      <c r="J1540">
        <f t="shared" si="59"/>
        <v>0</v>
      </c>
      <c r="L1540" t="s">
        <v>1041</v>
      </c>
      <c r="M1540">
        <v>0</v>
      </c>
    </row>
    <row r="1541" spans="9:13">
      <c r="I1541">
        <f t="shared" ref="I1541:I1586" si="60">+A1541</f>
        <v>0</v>
      </c>
      <c r="J1541">
        <f t="shared" ref="J1541:J1586" si="61">+E1541</f>
        <v>0</v>
      </c>
      <c r="L1541" t="s">
        <v>1042</v>
      </c>
      <c r="M1541">
        <v>0</v>
      </c>
    </row>
    <row r="1542" spans="9:13">
      <c r="I1542">
        <f t="shared" si="60"/>
        <v>0</v>
      </c>
      <c r="J1542">
        <f t="shared" si="61"/>
        <v>0</v>
      </c>
      <c r="L1542" t="s">
        <v>1042</v>
      </c>
      <c r="M1542">
        <v>0</v>
      </c>
    </row>
    <row r="1543" spans="9:13">
      <c r="I1543">
        <f t="shared" si="60"/>
        <v>0</v>
      </c>
      <c r="J1543">
        <f t="shared" si="61"/>
        <v>0</v>
      </c>
      <c r="L1543" t="s">
        <v>1043</v>
      </c>
      <c r="M1543">
        <v>0</v>
      </c>
    </row>
    <row r="1544" spans="9:13">
      <c r="I1544">
        <f t="shared" si="60"/>
        <v>0</v>
      </c>
      <c r="J1544">
        <f t="shared" si="61"/>
        <v>0</v>
      </c>
      <c r="L1544" t="s">
        <v>1043</v>
      </c>
      <c r="M1544">
        <v>0</v>
      </c>
    </row>
    <row r="1545" spans="9:13">
      <c r="I1545">
        <f t="shared" si="60"/>
        <v>0</v>
      </c>
      <c r="J1545">
        <f t="shared" si="61"/>
        <v>0</v>
      </c>
      <c r="L1545" t="s">
        <v>1044</v>
      </c>
      <c r="M1545">
        <v>0</v>
      </c>
    </row>
    <row r="1546" spans="9:13">
      <c r="I1546">
        <f t="shared" si="60"/>
        <v>0</v>
      </c>
      <c r="J1546">
        <f t="shared" si="61"/>
        <v>0</v>
      </c>
      <c r="L1546" t="s">
        <v>1044</v>
      </c>
      <c r="M1546">
        <v>0</v>
      </c>
    </row>
    <row r="1547" spans="9:13">
      <c r="I1547">
        <f t="shared" si="60"/>
        <v>0</v>
      </c>
      <c r="J1547">
        <f t="shared" si="61"/>
        <v>0</v>
      </c>
      <c r="L1547" t="s">
        <v>1045</v>
      </c>
      <c r="M1547">
        <v>0</v>
      </c>
    </row>
    <row r="1548" spans="9:13">
      <c r="I1548">
        <f t="shared" si="60"/>
        <v>0</v>
      </c>
      <c r="J1548">
        <f t="shared" si="61"/>
        <v>0</v>
      </c>
      <c r="L1548" t="s">
        <v>1045</v>
      </c>
      <c r="M1548">
        <v>0</v>
      </c>
    </row>
    <row r="1549" spans="9:13">
      <c r="I1549">
        <f t="shared" si="60"/>
        <v>0</v>
      </c>
      <c r="J1549">
        <f t="shared" si="61"/>
        <v>0</v>
      </c>
      <c r="L1549" t="s">
        <v>1046</v>
      </c>
      <c r="M1549">
        <v>0</v>
      </c>
    </row>
    <row r="1550" spans="9:13">
      <c r="I1550">
        <f t="shared" si="60"/>
        <v>0</v>
      </c>
      <c r="J1550">
        <f t="shared" si="61"/>
        <v>0</v>
      </c>
      <c r="L1550" t="s">
        <v>1046</v>
      </c>
      <c r="M1550">
        <v>0</v>
      </c>
    </row>
    <row r="1551" spans="9:13">
      <c r="I1551">
        <f t="shared" si="60"/>
        <v>0</v>
      </c>
      <c r="J1551">
        <f t="shared" si="61"/>
        <v>0</v>
      </c>
      <c r="L1551" t="s">
        <v>1047</v>
      </c>
      <c r="M1551">
        <v>0</v>
      </c>
    </row>
    <row r="1552" spans="9:13">
      <c r="I1552">
        <f t="shared" si="60"/>
        <v>0</v>
      </c>
      <c r="J1552">
        <f t="shared" si="61"/>
        <v>0</v>
      </c>
      <c r="L1552" t="s">
        <v>1047</v>
      </c>
      <c r="M1552">
        <v>0</v>
      </c>
    </row>
    <row r="1553" spans="9:13">
      <c r="I1553">
        <f t="shared" si="60"/>
        <v>0</v>
      </c>
      <c r="J1553">
        <f t="shared" si="61"/>
        <v>0</v>
      </c>
      <c r="L1553" t="s">
        <v>1048</v>
      </c>
      <c r="M1553">
        <v>0</v>
      </c>
    </row>
    <row r="1554" spans="9:13">
      <c r="I1554">
        <f t="shared" si="60"/>
        <v>0</v>
      </c>
      <c r="J1554">
        <f t="shared" si="61"/>
        <v>0</v>
      </c>
      <c r="L1554" t="s">
        <v>1048</v>
      </c>
      <c r="M1554">
        <v>0</v>
      </c>
    </row>
    <row r="1555" spans="9:13">
      <c r="I1555">
        <f t="shared" si="60"/>
        <v>0</v>
      </c>
      <c r="J1555">
        <f t="shared" si="61"/>
        <v>0</v>
      </c>
      <c r="L1555" t="s">
        <v>1049</v>
      </c>
      <c r="M1555">
        <v>0</v>
      </c>
    </row>
    <row r="1556" spans="9:13">
      <c r="I1556">
        <f t="shared" si="60"/>
        <v>0</v>
      </c>
      <c r="J1556">
        <f t="shared" si="61"/>
        <v>0</v>
      </c>
      <c r="L1556" t="s">
        <v>1050</v>
      </c>
      <c r="M1556">
        <v>0</v>
      </c>
    </row>
    <row r="1557" spans="9:13">
      <c r="I1557">
        <f t="shared" si="60"/>
        <v>0</v>
      </c>
      <c r="J1557">
        <f t="shared" si="61"/>
        <v>0</v>
      </c>
      <c r="L1557" t="s">
        <v>1050</v>
      </c>
      <c r="M1557">
        <v>0</v>
      </c>
    </row>
    <row r="1558" spans="9:13">
      <c r="I1558">
        <f t="shared" si="60"/>
        <v>0</v>
      </c>
      <c r="J1558">
        <f t="shared" si="61"/>
        <v>0</v>
      </c>
      <c r="L1558" t="s">
        <v>1051</v>
      </c>
      <c r="M1558">
        <v>0</v>
      </c>
    </row>
    <row r="1559" spans="9:13">
      <c r="I1559">
        <f t="shared" si="60"/>
        <v>0</v>
      </c>
      <c r="J1559">
        <f t="shared" si="61"/>
        <v>0</v>
      </c>
      <c r="L1559" t="s">
        <v>1051</v>
      </c>
      <c r="M1559">
        <v>0</v>
      </c>
    </row>
    <row r="1560" spans="9:13">
      <c r="I1560">
        <f t="shared" si="60"/>
        <v>0</v>
      </c>
      <c r="J1560">
        <f t="shared" si="61"/>
        <v>0</v>
      </c>
      <c r="L1560" t="s">
        <v>1052</v>
      </c>
      <c r="M1560">
        <v>0</v>
      </c>
    </row>
    <row r="1561" spans="9:13">
      <c r="I1561">
        <f t="shared" si="60"/>
        <v>0</v>
      </c>
      <c r="J1561">
        <f t="shared" si="61"/>
        <v>0</v>
      </c>
      <c r="L1561" t="s">
        <v>1052</v>
      </c>
      <c r="M1561">
        <v>0</v>
      </c>
    </row>
    <row r="1562" spans="9:13">
      <c r="I1562">
        <f t="shared" si="60"/>
        <v>0</v>
      </c>
      <c r="J1562">
        <f t="shared" si="61"/>
        <v>0</v>
      </c>
      <c r="L1562" t="s">
        <v>1053</v>
      </c>
      <c r="M1562">
        <v>0</v>
      </c>
    </row>
    <row r="1563" spans="9:13">
      <c r="I1563">
        <f t="shared" si="60"/>
        <v>0</v>
      </c>
      <c r="J1563">
        <f t="shared" si="61"/>
        <v>0</v>
      </c>
      <c r="L1563" t="s">
        <v>1054</v>
      </c>
      <c r="M1563">
        <v>0</v>
      </c>
    </row>
    <row r="1564" spans="9:13">
      <c r="I1564">
        <f t="shared" si="60"/>
        <v>0</v>
      </c>
      <c r="J1564">
        <f t="shared" si="61"/>
        <v>0</v>
      </c>
      <c r="L1564" t="s">
        <v>1055</v>
      </c>
      <c r="M1564">
        <v>0</v>
      </c>
    </row>
    <row r="1565" spans="9:13">
      <c r="I1565">
        <f t="shared" si="60"/>
        <v>0</v>
      </c>
      <c r="J1565">
        <f t="shared" si="61"/>
        <v>0</v>
      </c>
      <c r="L1565" t="s">
        <v>1055</v>
      </c>
      <c r="M1565">
        <v>0</v>
      </c>
    </row>
    <row r="1566" spans="9:13">
      <c r="I1566">
        <f t="shared" si="60"/>
        <v>0</v>
      </c>
      <c r="J1566">
        <f t="shared" si="61"/>
        <v>0</v>
      </c>
      <c r="L1566" t="s">
        <v>1056</v>
      </c>
      <c r="M1566">
        <v>0</v>
      </c>
    </row>
    <row r="1567" spans="9:13">
      <c r="I1567">
        <f t="shared" si="60"/>
        <v>0</v>
      </c>
      <c r="J1567">
        <f t="shared" si="61"/>
        <v>0</v>
      </c>
      <c r="L1567" t="s">
        <v>1056</v>
      </c>
      <c r="M1567">
        <v>0</v>
      </c>
    </row>
    <row r="1568" spans="9:13">
      <c r="I1568">
        <f t="shared" si="60"/>
        <v>0</v>
      </c>
      <c r="J1568">
        <f t="shared" si="61"/>
        <v>0</v>
      </c>
      <c r="L1568" t="s">
        <v>1057</v>
      </c>
      <c r="M1568">
        <v>0</v>
      </c>
    </row>
    <row r="1569" spans="9:13">
      <c r="I1569">
        <f t="shared" si="60"/>
        <v>0</v>
      </c>
      <c r="J1569">
        <f t="shared" si="61"/>
        <v>0</v>
      </c>
      <c r="L1569" t="s">
        <v>1058</v>
      </c>
      <c r="M1569">
        <v>0</v>
      </c>
    </row>
    <row r="1570" spans="9:13">
      <c r="I1570">
        <f t="shared" si="60"/>
        <v>0</v>
      </c>
      <c r="J1570">
        <f t="shared" si="61"/>
        <v>0</v>
      </c>
      <c r="L1570" t="s">
        <v>1058</v>
      </c>
      <c r="M1570">
        <v>0</v>
      </c>
    </row>
    <row r="1571" spans="9:13">
      <c r="I1571">
        <f t="shared" si="60"/>
        <v>0</v>
      </c>
      <c r="J1571">
        <f t="shared" si="61"/>
        <v>0</v>
      </c>
      <c r="L1571" t="s">
        <v>1059</v>
      </c>
      <c r="M1571">
        <v>0</v>
      </c>
    </row>
    <row r="1572" spans="9:13">
      <c r="I1572">
        <f t="shared" si="60"/>
        <v>0</v>
      </c>
      <c r="J1572">
        <f t="shared" si="61"/>
        <v>0</v>
      </c>
      <c r="L1572" t="s">
        <v>1059</v>
      </c>
      <c r="M1572">
        <v>0</v>
      </c>
    </row>
    <row r="1573" spans="9:13">
      <c r="I1573">
        <f t="shared" si="60"/>
        <v>0</v>
      </c>
      <c r="J1573">
        <f t="shared" si="61"/>
        <v>0</v>
      </c>
      <c r="L1573" t="s">
        <v>1060</v>
      </c>
      <c r="M1573">
        <v>0</v>
      </c>
    </row>
    <row r="1574" spans="9:13">
      <c r="I1574">
        <f t="shared" si="60"/>
        <v>0</v>
      </c>
      <c r="J1574">
        <f t="shared" si="61"/>
        <v>0</v>
      </c>
      <c r="L1574" t="s">
        <v>1060</v>
      </c>
      <c r="M1574">
        <v>0</v>
      </c>
    </row>
    <row r="1575" spans="9:13">
      <c r="I1575">
        <f t="shared" si="60"/>
        <v>0</v>
      </c>
      <c r="J1575">
        <f t="shared" si="61"/>
        <v>0</v>
      </c>
      <c r="L1575" t="s">
        <v>1061</v>
      </c>
      <c r="M1575">
        <v>0</v>
      </c>
    </row>
    <row r="1576" spans="9:13">
      <c r="I1576">
        <f t="shared" si="60"/>
        <v>0</v>
      </c>
      <c r="J1576">
        <f t="shared" si="61"/>
        <v>0</v>
      </c>
      <c r="L1576" t="s">
        <v>1062</v>
      </c>
      <c r="M1576">
        <v>0</v>
      </c>
    </row>
    <row r="1577" spans="9:13">
      <c r="I1577">
        <f t="shared" si="60"/>
        <v>0</v>
      </c>
      <c r="J1577">
        <f t="shared" si="61"/>
        <v>0</v>
      </c>
      <c r="L1577" t="s">
        <v>1062</v>
      </c>
      <c r="M1577">
        <v>0</v>
      </c>
    </row>
    <row r="1578" spans="9:13">
      <c r="I1578">
        <f t="shared" si="60"/>
        <v>0</v>
      </c>
      <c r="J1578">
        <f t="shared" si="61"/>
        <v>0</v>
      </c>
      <c r="L1578" t="s">
        <v>1063</v>
      </c>
      <c r="M1578">
        <v>0</v>
      </c>
    </row>
    <row r="1579" spans="9:13">
      <c r="I1579">
        <f t="shared" si="60"/>
        <v>0</v>
      </c>
      <c r="J1579">
        <f t="shared" si="61"/>
        <v>0</v>
      </c>
      <c r="L1579" t="s">
        <v>1063</v>
      </c>
      <c r="M1579">
        <v>0</v>
      </c>
    </row>
    <row r="1580" spans="9:13">
      <c r="I1580">
        <f t="shared" si="60"/>
        <v>0</v>
      </c>
      <c r="J1580">
        <f t="shared" si="61"/>
        <v>0</v>
      </c>
      <c r="L1580" t="s">
        <v>1064</v>
      </c>
      <c r="M1580">
        <v>0</v>
      </c>
    </row>
    <row r="1581" spans="9:13">
      <c r="I1581">
        <f t="shared" si="60"/>
        <v>0</v>
      </c>
      <c r="J1581">
        <f t="shared" si="61"/>
        <v>0</v>
      </c>
      <c r="L1581" t="s">
        <v>1064</v>
      </c>
      <c r="M1581">
        <v>0</v>
      </c>
    </row>
    <row r="1582" spans="9:13">
      <c r="I1582">
        <f t="shared" si="60"/>
        <v>0</v>
      </c>
      <c r="J1582">
        <f t="shared" si="61"/>
        <v>0</v>
      </c>
      <c r="L1582" t="s">
        <v>1065</v>
      </c>
      <c r="M1582">
        <v>0</v>
      </c>
    </row>
    <row r="1583" spans="9:13">
      <c r="I1583">
        <f t="shared" si="60"/>
        <v>0</v>
      </c>
      <c r="J1583">
        <f t="shared" si="61"/>
        <v>0</v>
      </c>
      <c r="L1583" t="s">
        <v>1065</v>
      </c>
      <c r="M1583">
        <v>0</v>
      </c>
    </row>
    <row r="1584" spans="9:13">
      <c r="I1584">
        <f t="shared" si="60"/>
        <v>0</v>
      </c>
      <c r="J1584">
        <f t="shared" si="61"/>
        <v>0</v>
      </c>
      <c r="L1584" t="s">
        <v>1064</v>
      </c>
      <c r="M1584" t="s">
        <v>1066</v>
      </c>
    </row>
    <row r="1585" spans="9:13">
      <c r="I1585">
        <f t="shared" si="60"/>
        <v>0</v>
      </c>
      <c r="J1585">
        <f t="shared" si="61"/>
        <v>0</v>
      </c>
      <c r="L1585" t="s">
        <v>1065</v>
      </c>
      <c r="M1585" t="s">
        <v>1066</v>
      </c>
    </row>
    <row r="1586" spans="9:13">
      <c r="I1586">
        <f t="shared" si="60"/>
        <v>0</v>
      </c>
      <c r="J1586">
        <f t="shared" si="61"/>
        <v>0</v>
      </c>
      <c r="L1586" t="s">
        <v>1065</v>
      </c>
      <c r="M1586" t="s">
        <v>1066</v>
      </c>
    </row>
  </sheetData>
  <autoFilter ref="L3:M1950"/>
  <conditionalFormatting sqref="E1:F64 E89:F1800 F65:F88 E1802:F1048576 F1801 E4:E1801">
    <cfRule type="containsText" dxfId="3" priority="5" operator="containsText" text="ERROR">
      <formula>NOT(ISERROR(SEARCH("ERROR",E1)))</formula>
    </cfRule>
  </conditionalFormatting>
  <conditionalFormatting sqref="E1801">
    <cfRule type="containsText" dxfId="2" priority="1" operator="containsText" text="ERROR">
      <formula>NOT(ISERROR(SEARCH("ERROR",E1801)))</formula>
    </cfRule>
  </conditionalFormatting>
  <conditionalFormatting sqref="E4:E1801">
    <cfRule type="containsText" dxfId="1" priority="3" operator="containsText" text="ERROR">
      <formula>NOT(ISERROR(SEARCH("ERROR",E4)))</formula>
    </cfRule>
  </conditionalFormatting>
  <conditionalFormatting sqref="E1801">
    <cfRule type="containsText" dxfId="0" priority="2" operator="containsText" text="ERROR">
      <formula>NOT(ISERROR(SEARCH("ERROR",E1801)))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62"/>
  <sheetViews>
    <sheetView zoomScale="70" zoomScaleNormal="70" zoomScalePageLayoutView="70" workbookViewId="0">
      <selection activeCell="I37" sqref="I37"/>
    </sheetView>
  </sheetViews>
  <sheetFormatPr baseColWidth="10" defaultColWidth="8.83203125" defaultRowHeight="14" x14ac:dyDescent="0"/>
  <cols>
    <col min="1" max="1" width="21.6640625" bestFit="1" customWidth="1"/>
    <col min="2" max="2" width="17.5" bestFit="1" customWidth="1"/>
    <col min="3" max="3" width="16" bestFit="1" customWidth="1"/>
    <col min="4" max="4" width="16.6640625" bestFit="1" customWidth="1"/>
    <col min="5" max="5" width="11.1640625" bestFit="1" customWidth="1"/>
    <col min="6" max="6" width="12.1640625" bestFit="1" customWidth="1"/>
    <col min="7" max="7" width="14.83203125" bestFit="1" customWidth="1"/>
    <col min="8" max="8" width="10" bestFit="1" customWidth="1"/>
    <col min="9" max="9" width="12.5" bestFit="1" customWidth="1"/>
    <col min="10" max="11" width="10.1640625" bestFit="1" customWidth="1"/>
    <col min="12" max="12" width="14.5" bestFit="1" customWidth="1"/>
    <col min="13" max="13" width="17.5" bestFit="1" customWidth="1"/>
    <col min="14" max="14" width="13.1640625" bestFit="1" customWidth="1"/>
    <col min="15" max="15" width="22" bestFit="1" customWidth="1"/>
    <col min="20" max="20" width="27.33203125" bestFit="1" customWidth="1"/>
    <col min="21" max="21" width="70.33203125" bestFit="1" customWidth="1"/>
  </cols>
  <sheetData>
    <row r="1" spans="1:21" ht="25">
      <c r="A1" s="243" t="s">
        <v>7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</row>
    <row r="2" spans="1:21" ht="21" customHeight="1">
      <c r="A2" s="89" t="s">
        <v>8</v>
      </c>
      <c r="B2" s="244"/>
      <c r="C2" s="244"/>
      <c r="D2" s="244"/>
      <c r="E2" s="244"/>
      <c r="F2" s="244"/>
      <c r="G2" s="244"/>
      <c r="H2" s="244"/>
      <c r="I2" s="195"/>
      <c r="J2" s="90"/>
      <c r="K2" s="90"/>
      <c r="L2" s="90"/>
      <c r="M2" s="91" t="s">
        <v>10</v>
      </c>
      <c r="N2" s="242"/>
      <c r="O2" s="242"/>
      <c r="T2" s="200" t="s">
        <v>86</v>
      </c>
      <c r="U2" s="200" t="s">
        <v>86</v>
      </c>
    </row>
    <row r="3" spans="1:21" ht="20">
      <c r="A3" s="92" t="s">
        <v>12</v>
      </c>
      <c r="B3" s="245"/>
      <c r="C3" s="245"/>
      <c r="D3" s="245"/>
      <c r="E3" s="245"/>
      <c r="F3" s="245"/>
      <c r="G3" s="245"/>
      <c r="H3" s="245"/>
      <c r="I3" s="195"/>
      <c r="J3" s="90"/>
      <c r="K3" s="90"/>
      <c r="L3" s="90"/>
      <c r="M3" s="91" t="s">
        <v>14</v>
      </c>
      <c r="N3" s="242"/>
      <c r="O3" s="242"/>
      <c r="T3" s="200" t="s">
        <v>81</v>
      </c>
      <c r="U3" s="200" t="s">
        <v>27</v>
      </c>
    </row>
    <row r="4" spans="1:21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1" t="s">
        <v>16</v>
      </c>
      <c r="N4" s="241"/>
      <c r="O4" s="242"/>
      <c r="T4" s="200" t="s">
        <v>87</v>
      </c>
      <c r="U4" s="201" t="s">
        <v>79</v>
      </c>
    </row>
    <row r="5" spans="1:21" ht="19" thickBot="1">
      <c r="A5" s="93"/>
      <c r="B5" s="94" t="s">
        <v>17</v>
      </c>
      <c r="C5" s="95" t="s">
        <v>11</v>
      </c>
      <c r="D5" s="6"/>
      <c r="F5" s="96"/>
      <c r="G5" s="96"/>
      <c r="H5" s="96"/>
      <c r="I5" s="96"/>
      <c r="J5" s="96"/>
      <c r="K5" s="96"/>
      <c r="L5" s="96"/>
      <c r="M5" s="96"/>
      <c r="N5" s="96"/>
      <c r="O5" s="96"/>
      <c r="T5" s="200" t="s">
        <v>88</v>
      </c>
      <c r="U5" s="201" t="s">
        <v>89</v>
      </c>
    </row>
    <row r="6" spans="1:21" ht="15" customHeight="1">
      <c r="A6" s="97" t="s">
        <v>18</v>
      </c>
      <c r="B6" s="98">
        <f>$N$34</f>
        <v>0</v>
      </c>
      <c r="C6" s="98">
        <v>0</v>
      </c>
      <c r="D6" s="96"/>
      <c r="E6" s="228"/>
      <c r="F6" s="229"/>
      <c r="G6" s="229"/>
      <c r="H6" s="229"/>
      <c r="I6" s="229"/>
      <c r="J6" s="229"/>
      <c r="K6" s="229"/>
      <c r="L6" s="229"/>
      <c r="M6" s="229"/>
      <c r="N6" s="229"/>
      <c r="O6" s="230"/>
      <c r="T6" s="200" t="s">
        <v>78</v>
      </c>
      <c r="U6" s="201" t="s">
        <v>90</v>
      </c>
    </row>
    <row r="7" spans="1:21">
      <c r="A7" s="99" t="s">
        <v>20</v>
      </c>
      <c r="B7" s="98">
        <f>+$N$48</f>
        <v>0</v>
      </c>
      <c r="C7" s="98">
        <v>0</v>
      </c>
      <c r="D7" s="96"/>
      <c r="E7" s="231"/>
      <c r="F7" s="232"/>
      <c r="G7" s="232"/>
      <c r="H7" s="232"/>
      <c r="I7" s="232"/>
      <c r="J7" s="232"/>
      <c r="K7" s="232"/>
      <c r="L7" s="232"/>
      <c r="M7" s="232"/>
      <c r="N7" s="232"/>
      <c r="O7" s="233"/>
      <c r="T7" s="200" t="s">
        <v>91</v>
      </c>
      <c r="U7" s="201" t="s">
        <v>92</v>
      </c>
    </row>
    <row r="8" spans="1:21">
      <c r="A8" s="99" t="s">
        <v>21</v>
      </c>
      <c r="B8" s="98">
        <f>$N$62</f>
        <v>0</v>
      </c>
      <c r="C8" s="98">
        <v>0</v>
      </c>
      <c r="D8" s="96"/>
      <c r="E8" s="231"/>
      <c r="F8" s="232"/>
      <c r="G8" s="232"/>
      <c r="H8" s="232"/>
      <c r="I8" s="232"/>
      <c r="J8" s="232"/>
      <c r="K8" s="232"/>
      <c r="L8" s="232"/>
      <c r="M8" s="232"/>
      <c r="N8" s="232"/>
      <c r="O8" s="233"/>
      <c r="T8" s="200" t="s">
        <v>93</v>
      </c>
      <c r="U8" s="201" t="s">
        <v>94</v>
      </c>
    </row>
    <row r="9" spans="1:21" ht="15" thickBot="1">
      <c r="A9" s="100" t="s">
        <v>22</v>
      </c>
      <c r="B9" s="101">
        <f>SUM(B6:B8)</f>
        <v>0</v>
      </c>
      <c r="C9" s="102">
        <f>SUM(C6:C8)</f>
        <v>0</v>
      </c>
      <c r="D9" s="96"/>
      <c r="E9" s="234"/>
      <c r="F9" s="235"/>
      <c r="G9" s="235"/>
      <c r="H9" s="235"/>
      <c r="I9" s="235"/>
      <c r="J9" s="235"/>
      <c r="K9" s="235"/>
      <c r="L9" s="235"/>
      <c r="M9" s="235"/>
      <c r="N9" s="235"/>
      <c r="O9" s="236"/>
      <c r="T9" s="200" t="s">
        <v>95</v>
      </c>
      <c r="U9" s="201" t="s">
        <v>96</v>
      </c>
    </row>
    <row r="10" spans="1:21">
      <c r="A10" s="103"/>
      <c r="B10" s="104"/>
      <c r="C10" s="105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T10" s="200" t="s">
        <v>25</v>
      </c>
      <c r="U10" s="201" t="s">
        <v>97</v>
      </c>
    </row>
    <row r="11" spans="1:21" ht="18">
      <c r="A11" s="106" t="s">
        <v>23</v>
      </c>
      <c r="B11" s="107">
        <f>B9-C9</f>
        <v>0</v>
      </c>
      <c r="C11" s="105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</row>
    <row r="12" spans="1:21" ht="18">
      <c r="A12" s="106" t="s">
        <v>24</v>
      </c>
      <c r="B12" s="237" t="s">
        <v>86</v>
      </c>
      <c r="C12" s="237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</row>
    <row r="13" spans="1:21" ht="18">
      <c r="A13" s="108" t="s">
        <v>26</v>
      </c>
      <c r="B13" s="238" t="s">
        <v>86</v>
      </c>
      <c r="C13" s="239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</row>
    <row r="14" spans="1:21" ht="15" customHeight="1">
      <c r="A14" s="109"/>
      <c r="B14" s="109"/>
      <c r="C14" s="240" t="s">
        <v>28</v>
      </c>
      <c r="D14" s="240"/>
      <c r="E14" s="240"/>
      <c r="F14" s="240"/>
      <c r="G14" s="240"/>
      <c r="H14" s="240"/>
      <c r="I14" s="240"/>
      <c r="J14" s="240"/>
      <c r="K14" s="240"/>
      <c r="L14" s="240"/>
      <c r="M14" s="240"/>
      <c r="N14" s="240"/>
      <c r="O14" s="240"/>
    </row>
    <row r="15" spans="1:21" ht="28">
      <c r="A15" s="110"/>
      <c r="B15" s="111" t="s">
        <v>29</v>
      </c>
      <c r="C15" s="111" t="s">
        <v>30</v>
      </c>
      <c r="D15" s="112" t="s">
        <v>31</v>
      </c>
      <c r="E15" s="113" t="s">
        <v>32</v>
      </c>
      <c r="F15" s="112" t="s">
        <v>33</v>
      </c>
      <c r="G15" s="113" t="s">
        <v>34</v>
      </c>
      <c r="H15" s="112" t="s">
        <v>35</v>
      </c>
      <c r="I15" s="111" t="s">
        <v>36</v>
      </c>
      <c r="J15" s="112" t="s">
        <v>37</v>
      </c>
      <c r="K15" s="112" t="s">
        <v>38</v>
      </c>
      <c r="L15" s="111" t="s">
        <v>39</v>
      </c>
      <c r="M15" s="111" t="s">
        <v>40</v>
      </c>
      <c r="N15" s="111" t="s">
        <v>41</v>
      </c>
      <c r="O15" s="111" t="s">
        <v>42</v>
      </c>
    </row>
    <row r="16" spans="1:21">
      <c r="A16" s="114" t="s">
        <v>43</v>
      </c>
      <c r="B16" s="115"/>
      <c r="C16" s="116"/>
      <c r="D16" s="117"/>
      <c r="E16" s="116"/>
      <c r="F16" s="117"/>
      <c r="G16" s="116"/>
      <c r="H16" s="117"/>
      <c r="I16" s="116"/>
      <c r="J16" s="117"/>
      <c r="K16" s="118"/>
      <c r="L16" s="118"/>
      <c r="M16" s="118"/>
      <c r="N16" s="117"/>
      <c r="O16" s="119"/>
    </row>
    <row r="17" spans="1:15">
      <c r="A17" s="114" t="s">
        <v>44</v>
      </c>
      <c r="B17" s="115"/>
      <c r="C17" s="116"/>
      <c r="D17" s="117"/>
      <c r="E17" s="116"/>
      <c r="F17" s="117"/>
      <c r="G17" s="116"/>
      <c r="H17" s="117"/>
      <c r="I17" s="116"/>
      <c r="J17" s="117"/>
      <c r="K17" s="118"/>
      <c r="L17" s="118"/>
      <c r="M17" s="118"/>
      <c r="N17" s="117"/>
      <c r="O17" s="119"/>
    </row>
    <row r="18" spans="1:15">
      <c r="A18" s="114" t="s">
        <v>45</v>
      </c>
      <c r="B18" s="115"/>
      <c r="C18" s="120"/>
      <c r="D18" s="121"/>
      <c r="E18" s="122"/>
      <c r="F18" s="122"/>
      <c r="G18" s="116"/>
      <c r="H18" s="117"/>
      <c r="I18" s="122"/>
      <c r="J18" s="122"/>
      <c r="K18" s="117"/>
      <c r="L18" s="122"/>
      <c r="M18" s="122"/>
      <c r="N18" s="122"/>
      <c r="O18" s="123"/>
    </row>
    <row r="19" spans="1:15">
      <c r="A19" s="114" t="s">
        <v>46</v>
      </c>
      <c r="B19" s="115"/>
      <c r="C19" s="124"/>
      <c r="D19" s="125"/>
      <c r="E19" s="125"/>
      <c r="F19" s="125"/>
      <c r="G19" s="125"/>
      <c r="H19" s="125"/>
      <c r="I19" s="125"/>
      <c r="J19" s="125"/>
      <c r="K19" s="125"/>
      <c r="L19" s="126"/>
      <c r="M19" s="126"/>
      <c r="N19" s="126"/>
      <c r="O19" s="127"/>
    </row>
    <row r="20" spans="1:15">
      <c r="A20" s="128" t="s">
        <v>47</v>
      </c>
      <c r="B20" s="129"/>
      <c r="C20" s="130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2"/>
    </row>
    <row r="21" spans="1:15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</row>
    <row r="22" spans="1:15" ht="15" thickBot="1">
      <c r="A22" s="223" t="s">
        <v>48</v>
      </c>
      <c r="B22" s="224"/>
      <c r="C22" s="224"/>
      <c r="D22" s="224"/>
      <c r="E22" s="224"/>
      <c r="F22" s="224"/>
      <c r="G22" s="224"/>
      <c r="H22" s="224"/>
      <c r="I22" s="224"/>
      <c r="J22" s="224"/>
      <c r="K22" s="224"/>
      <c r="L22" s="226"/>
      <c r="M22" s="226"/>
      <c r="N22" s="227"/>
      <c r="O22" s="90"/>
    </row>
    <row r="23" spans="1:15" ht="60" customHeight="1">
      <c r="A23" s="133" t="s">
        <v>49</v>
      </c>
      <c r="B23" s="134" t="s">
        <v>50</v>
      </c>
      <c r="C23" s="135" t="s">
        <v>51</v>
      </c>
      <c r="D23" s="136" t="s">
        <v>52</v>
      </c>
      <c r="E23" s="134" t="s">
        <v>53</v>
      </c>
      <c r="F23" s="135" t="s">
        <v>54</v>
      </c>
      <c r="G23" s="137" t="s">
        <v>55</v>
      </c>
      <c r="H23" s="138" t="s">
        <v>56</v>
      </c>
      <c r="I23" s="139" t="s">
        <v>57</v>
      </c>
      <c r="J23" s="134" t="s">
        <v>58</v>
      </c>
      <c r="K23" s="136" t="s">
        <v>59</v>
      </c>
      <c r="L23" s="140" t="s">
        <v>60</v>
      </c>
      <c r="M23" s="141" t="s">
        <v>61</v>
      </c>
      <c r="N23" s="142" t="s">
        <v>62</v>
      </c>
      <c r="O23" s="105"/>
    </row>
    <row r="24" spans="1:15">
      <c r="A24" s="99" t="s">
        <v>63</v>
      </c>
      <c r="B24" s="143"/>
      <c r="C24" s="144">
        <v>0</v>
      </c>
      <c r="D24" s="145">
        <f t="shared" ref="D24:D33" si="0">SUM(B24:C24)</f>
        <v>0</v>
      </c>
      <c r="E24" s="146"/>
      <c r="F24" s="147"/>
      <c r="G24" s="148">
        <f t="shared" ref="G24:G33" si="1">+SUM(E24:F24)</f>
        <v>0</v>
      </c>
      <c r="H24" s="149"/>
      <c r="I24" s="150"/>
      <c r="J24" s="149"/>
      <c r="K24" s="150"/>
      <c r="L24" s="151">
        <f t="shared" ref="L24:L30" si="2">+(B24*H24)+(C24*H24)+(E24*I24)+(F24*I24)</f>
        <v>0</v>
      </c>
      <c r="M24" s="98">
        <f>+(B24*H24)+(J24*C24)+(E24*I24)+(F24*K24)</f>
        <v>0</v>
      </c>
      <c r="N24" s="152">
        <f>M24-L24</f>
        <v>0</v>
      </c>
      <c r="O24" s="105"/>
    </row>
    <row r="25" spans="1:15">
      <c r="A25" s="99" t="s">
        <v>64</v>
      </c>
      <c r="B25" s="143"/>
      <c r="C25" s="144">
        <v>0</v>
      </c>
      <c r="D25" s="145">
        <f t="shared" si="0"/>
        <v>0</v>
      </c>
      <c r="E25" s="146"/>
      <c r="F25" s="147"/>
      <c r="G25" s="148">
        <f t="shared" si="1"/>
        <v>0</v>
      </c>
      <c r="H25" s="149"/>
      <c r="I25" s="150"/>
      <c r="J25" s="149"/>
      <c r="K25" s="150"/>
      <c r="L25" s="151">
        <f t="shared" si="2"/>
        <v>0</v>
      </c>
      <c r="M25" s="98">
        <f t="shared" ref="M25:M30" si="3">(B25*H25)+(C25*J25)+(E25*I25)+(F25*K25)</f>
        <v>0</v>
      </c>
      <c r="N25" s="152">
        <f t="shared" ref="N25:N32" si="4">M25-L25</f>
        <v>0</v>
      </c>
      <c r="O25" s="105"/>
    </row>
    <row r="26" spans="1:15">
      <c r="A26" s="99" t="s">
        <v>65</v>
      </c>
      <c r="B26" s="143"/>
      <c r="C26" s="144">
        <v>0</v>
      </c>
      <c r="D26" s="145">
        <f t="shared" si="0"/>
        <v>0</v>
      </c>
      <c r="E26" s="146"/>
      <c r="F26" s="147"/>
      <c r="G26" s="148">
        <f t="shared" si="1"/>
        <v>0</v>
      </c>
      <c r="H26" s="149"/>
      <c r="I26" s="150"/>
      <c r="J26" s="149"/>
      <c r="K26" s="150"/>
      <c r="L26" s="151">
        <f t="shared" si="2"/>
        <v>0</v>
      </c>
      <c r="M26" s="98">
        <f t="shared" si="3"/>
        <v>0</v>
      </c>
      <c r="N26" s="152">
        <f t="shared" si="4"/>
        <v>0</v>
      </c>
      <c r="O26" s="105"/>
    </row>
    <row r="27" spans="1:15">
      <c r="A27" s="99" t="s">
        <v>66</v>
      </c>
      <c r="B27" s="143"/>
      <c r="C27" s="153">
        <v>0</v>
      </c>
      <c r="D27" s="145">
        <f t="shared" si="0"/>
        <v>0</v>
      </c>
      <c r="E27" s="202"/>
      <c r="F27" s="147"/>
      <c r="G27" s="148">
        <f t="shared" si="1"/>
        <v>0</v>
      </c>
      <c r="H27" s="155"/>
      <c r="I27" s="156"/>
      <c r="J27" s="155"/>
      <c r="K27" s="156"/>
      <c r="L27" s="151">
        <f t="shared" si="2"/>
        <v>0</v>
      </c>
      <c r="M27" s="98">
        <f t="shared" si="3"/>
        <v>0</v>
      </c>
      <c r="N27" s="152">
        <f t="shared" si="4"/>
        <v>0</v>
      </c>
      <c r="O27" s="105"/>
    </row>
    <row r="28" spans="1:15">
      <c r="A28" s="99" t="s">
        <v>67</v>
      </c>
      <c r="B28" s="143"/>
      <c r="C28" s="144">
        <v>0</v>
      </c>
      <c r="D28" s="145">
        <f t="shared" si="0"/>
        <v>0</v>
      </c>
      <c r="E28" s="146"/>
      <c r="F28" s="147"/>
      <c r="G28" s="148">
        <f t="shared" si="1"/>
        <v>0</v>
      </c>
      <c r="H28" s="155"/>
      <c r="I28" s="157"/>
      <c r="J28" s="155"/>
      <c r="K28" s="157"/>
      <c r="L28" s="151">
        <f t="shared" si="2"/>
        <v>0</v>
      </c>
      <c r="M28" s="98">
        <f t="shared" si="3"/>
        <v>0</v>
      </c>
      <c r="N28" s="152">
        <f t="shared" si="4"/>
        <v>0</v>
      </c>
      <c r="O28" s="105"/>
    </row>
    <row r="29" spans="1:15">
      <c r="A29" s="99" t="s">
        <v>68</v>
      </c>
      <c r="B29" s="143"/>
      <c r="C29" s="153">
        <v>0</v>
      </c>
      <c r="D29" s="145">
        <f t="shared" si="0"/>
        <v>0</v>
      </c>
      <c r="E29" s="202"/>
      <c r="F29" s="147"/>
      <c r="G29" s="148">
        <f t="shared" si="1"/>
        <v>0</v>
      </c>
      <c r="H29" s="155"/>
      <c r="I29" s="156"/>
      <c r="J29" s="155"/>
      <c r="K29" s="156"/>
      <c r="L29" s="151">
        <f t="shared" si="2"/>
        <v>0</v>
      </c>
      <c r="M29" s="98">
        <f t="shared" si="3"/>
        <v>0</v>
      </c>
      <c r="N29" s="152">
        <f t="shared" si="4"/>
        <v>0</v>
      </c>
      <c r="O29" s="105"/>
    </row>
    <row r="30" spans="1:15">
      <c r="A30" s="99" t="s">
        <v>69</v>
      </c>
      <c r="B30" s="143"/>
      <c r="C30" s="144">
        <v>0</v>
      </c>
      <c r="D30" s="145">
        <f t="shared" si="0"/>
        <v>0</v>
      </c>
      <c r="E30" s="146"/>
      <c r="F30" s="147"/>
      <c r="G30" s="148">
        <f t="shared" si="1"/>
        <v>0</v>
      </c>
      <c r="H30" s="116"/>
      <c r="I30" s="156"/>
      <c r="J30" s="116"/>
      <c r="K30" s="156"/>
      <c r="L30" s="151">
        <f t="shared" si="2"/>
        <v>0</v>
      </c>
      <c r="M30" s="98">
        <f t="shared" si="3"/>
        <v>0</v>
      </c>
      <c r="N30" s="152">
        <f t="shared" si="4"/>
        <v>0</v>
      </c>
      <c r="O30" s="105"/>
    </row>
    <row r="31" spans="1:15">
      <c r="A31" s="99" t="s">
        <v>70</v>
      </c>
      <c r="B31" s="143"/>
      <c r="C31" s="153">
        <v>0</v>
      </c>
      <c r="D31" s="145">
        <f t="shared" si="0"/>
        <v>0</v>
      </c>
      <c r="E31" s="202"/>
      <c r="F31" s="147"/>
      <c r="G31" s="148">
        <f t="shared" si="1"/>
        <v>0</v>
      </c>
      <c r="H31" s="155"/>
      <c r="I31" s="156"/>
      <c r="J31" s="155"/>
      <c r="K31" s="156"/>
      <c r="L31" s="158">
        <v>0</v>
      </c>
      <c r="M31" s="159">
        <v>0</v>
      </c>
      <c r="N31" s="152">
        <f t="shared" si="4"/>
        <v>0</v>
      </c>
      <c r="O31" s="105"/>
    </row>
    <row r="32" spans="1:15">
      <c r="A32" s="99" t="s">
        <v>71</v>
      </c>
      <c r="B32" s="143"/>
      <c r="C32" s="153">
        <v>0</v>
      </c>
      <c r="D32" s="145">
        <f t="shared" si="0"/>
        <v>0</v>
      </c>
      <c r="E32" s="154"/>
      <c r="F32" s="147"/>
      <c r="G32" s="148">
        <f t="shared" si="1"/>
        <v>0</v>
      </c>
      <c r="H32" s="155"/>
      <c r="I32" s="160"/>
      <c r="J32" s="155"/>
      <c r="K32" s="160"/>
      <c r="L32" s="151">
        <f>+(B32*H32)+(C32*H32)+(E32*I32)+(F32*I32)</f>
        <v>0</v>
      </c>
      <c r="M32" s="98">
        <f>(B32*H32)+(C32*J32)+(E32*I32)+(F32*K32)</f>
        <v>0</v>
      </c>
      <c r="N32" s="152">
        <f t="shared" si="4"/>
        <v>0</v>
      </c>
      <c r="O32" s="105"/>
    </row>
    <row r="33" spans="1:15">
      <c r="A33" s="161" t="s">
        <v>80</v>
      </c>
      <c r="B33" s="162">
        <f t="shared" ref="B33:F33" si="5">SUM(B24:B31)</f>
        <v>0</v>
      </c>
      <c r="C33" s="163">
        <f t="shared" si="5"/>
        <v>0</v>
      </c>
      <c r="D33" s="164">
        <f t="shared" si="0"/>
        <v>0</v>
      </c>
      <c r="E33" s="165">
        <f t="shared" si="5"/>
        <v>0</v>
      </c>
      <c r="F33" s="166">
        <f t="shared" si="5"/>
        <v>0</v>
      </c>
      <c r="G33" s="167">
        <f t="shared" si="1"/>
        <v>0</v>
      </c>
      <c r="H33" s="168"/>
      <c r="I33" s="169"/>
      <c r="J33" s="168"/>
      <c r="K33" s="169"/>
      <c r="L33" s="170">
        <f>SUM(L24:L32)</f>
        <v>0</v>
      </c>
      <c r="M33" s="171">
        <f>SUM(M24:M32)</f>
        <v>0</v>
      </c>
      <c r="N33" s="172">
        <f>SUM(N24:N31)</f>
        <v>0</v>
      </c>
      <c r="O33" s="105"/>
    </row>
    <row r="34" spans="1:15" ht="45.75" customHeight="1" thickBot="1">
      <c r="A34" s="173" t="s">
        <v>73</v>
      </c>
      <c r="B34" s="174"/>
      <c r="C34" s="175"/>
      <c r="D34" s="176"/>
      <c r="E34" s="177"/>
      <c r="F34" s="178"/>
      <c r="G34" s="179"/>
      <c r="H34" s="177"/>
      <c r="I34" s="180"/>
      <c r="J34" s="177"/>
      <c r="K34" s="180"/>
      <c r="L34" s="181"/>
      <c r="M34" s="182"/>
      <c r="N34" s="183">
        <f>N33</f>
        <v>0</v>
      </c>
      <c r="O34" s="105"/>
    </row>
    <row r="35" spans="1:15">
      <c r="A35" s="105"/>
      <c r="B35" s="105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</row>
    <row r="36" spans="1:15" ht="15" thickBot="1">
      <c r="A36" s="223" t="s">
        <v>74</v>
      </c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6"/>
      <c r="M36" s="226"/>
      <c r="N36" s="227"/>
      <c r="O36" s="90"/>
    </row>
    <row r="37" spans="1:15" ht="60" customHeight="1">
      <c r="A37" s="133" t="s">
        <v>49</v>
      </c>
      <c r="B37" s="134" t="s">
        <v>50</v>
      </c>
      <c r="C37" s="135" t="s">
        <v>51</v>
      </c>
      <c r="D37" s="136" t="s">
        <v>52</v>
      </c>
      <c r="E37" s="134" t="s">
        <v>53</v>
      </c>
      <c r="F37" s="135" t="s">
        <v>54</v>
      </c>
      <c r="G37" s="136" t="s">
        <v>55</v>
      </c>
      <c r="H37" s="134" t="s">
        <v>56</v>
      </c>
      <c r="I37" s="137" t="s">
        <v>57</v>
      </c>
      <c r="J37" s="134" t="s">
        <v>58</v>
      </c>
      <c r="K37" s="136" t="s">
        <v>59</v>
      </c>
      <c r="L37" s="140" t="s">
        <v>60</v>
      </c>
      <c r="M37" s="141" t="s">
        <v>61</v>
      </c>
      <c r="N37" s="142" t="s">
        <v>75</v>
      </c>
      <c r="O37" s="105"/>
    </row>
    <row r="38" spans="1:15">
      <c r="A38" s="99" t="s">
        <v>63</v>
      </c>
      <c r="B38" s="143"/>
      <c r="C38" s="144">
        <v>0</v>
      </c>
      <c r="D38" s="145">
        <f t="shared" ref="D38:D47" si="6">SUM(B38:C38)</f>
        <v>0</v>
      </c>
      <c r="E38" s="146"/>
      <c r="F38" s="147"/>
      <c r="G38" s="185">
        <f t="shared" ref="G38:G47" si="7">+SUM(E38:F38)</f>
        <v>0</v>
      </c>
      <c r="H38" s="149"/>
      <c r="I38" s="186"/>
      <c r="J38" s="149"/>
      <c r="K38" s="160"/>
      <c r="L38" s="151">
        <f t="shared" ref="L38:L44" si="8">+(B38*H38)+(C38*H38)+(E38*I38)+(F38*I38)</f>
        <v>0</v>
      </c>
      <c r="M38" s="98">
        <f>+(B38*H38)+(J38*C38)+(E38*I38)+(F38*K38)</f>
        <v>0</v>
      </c>
      <c r="N38" s="152">
        <f>M38-L38</f>
        <v>0</v>
      </c>
      <c r="O38" s="105"/>
    </row>
    <row r="39" spans="1:15">
      <c r="A39" s="99" t="s">
        <v>64</v>
      </c>
      <c r="B39" s="143"/>
      <c r="C39" s="144">
        <v>0</v>
      </c>
      <c r="D39" s="145">
        <f t="shared" si="6"/>
        <v>0</v>
      </c>
      <c r="E39" s="146"/>
      <c r="F39" s="147"/>
      <c r="G39" s="185">
        <f t="shared" si="7"/>
        <v>0</v>
      </c>
      <c r="H39" s="149"/>
      <c r="I39" s="186"/>
      <c r="J39" s="149"/>
      <c r="K39" s="160"/>
      <c r="L39" s="151">
        <f t="shared" si="8"/>
        <v>0</v>
      </c>
      <c r="M39" s="98">
        <f t="shared" ref="M39:M44" si="9">(B39*H39)+(C39*J39)+(E39*I39)+(F39*K39)</f>
        <v>0</v>
      </c>
      <c r="N39" s="152">
        <f t="shared" ref="N39:N46" si="10">M39-L39</f>
        <v>0</v>
      </c>
      <c r="O39" s="105"/>
    </row>
    <row r="40" spans="1:15">
      <c r="A40" s="99" t="s">
        <v>65</v>
      </c>
      <c r="B40" s="143"/>
      <c r="C40" s="144">
        <v>0</v>
      </c>
      <c r="D40" s="145">
        <f t="shared" si="6"/>
        <v>0</v>
      </c>
      <c r="E40" s="203"/>
      <c r="F40" s="147"/>
      <c r="G40" s="185">
        <f t="shared" si="7"/>
        <v>0</v>
      </c>
      <c r="H40" s="149"/>
      <c r="I40" s="186"/>
      <c r="J40" s="149"/>
      <c r="K40" s="160"/>
      <c r="L40" s="151">
        <f t="shared" si="8"/>
        <v>0</v>
      </c>
      <c r="M40" s="98">
        <f t="shared" si="9"/>
        <v>0</v>
      </c>
      <c r="N40" s="152">
        <f t="shared" si="10"/>
        <v>0</v>
      </c>
      <c r="O40" s="105"/>
    </row>
    <row r="41" spans="1:15">
      <c r="A41" s="99" t="s">
        <v>66</v>
      </c>
      <c r="B41" s="143"/>
      <c r="C41" s="153">
        <v>0</v>
      </c>
      <c r="D41" s="145">
        <f t="shared" si="6"/>
        <v>0</v>
      </c>
      <c r="E41" s="203"/>
      <c r="F41" s="147"/>
      <c r="G41" s="185">
        <f t="shared" si="7"/>
        <v>0</v>
      </c>
      <c r="H41" s="155"/>
      <c r="I41" s="187"/>
      <c r="J41" s="155"/>
      <c r="K41" s="160"/>
      <c r="L41" s="151">
        <f t="shared" si="8"/>
        <v>0</v>
      </c>
      <c r="M41" s="98">
        <f t="shared" si="9"/>
        <v>0</v>
      </c>
      <c r="N41" s="152">
        <f t="shared" si="10"/>
        <v>0</v>
      </c>
      <c r="O41" s="105"/>
    </row>
    <row r="42" spans="1:15">
      <c r="A42" s="99" t="s">
        <v>67</v>
      </c>
      <c r="B42" s="143"/>
      <c r="C42" s="144">
        <v>0</v>
      </c>
      <c r="D42" s="145">
        <f t="shared" si="6"/>
        <v>0</v>
      </c>
      <c r="E42" s="203"/>
      <c r="F42" s="147"/>
      <c r="G42" s="185">
        <f t="shared" si="7"/>
        <v>0</v>
      </c>
      <c r="H42" s="155"/>
      <c r="I42" s="188"/>
      <c r="J42" s="155"/>
      <c r="K42" s="160"/>
      <c r="L42" s="151">
        <f t="shared" si="8"/>
        <v>0</v>
      </c>
      <c r="M42" s="98">
        <f t="shared" si="9"/>
        <v>0</v>
      </c>
      <c r="N42" s="152">
        <f t="shared" si="10"/>
        <v>0</v>
      </c>
      <c r="O42" s="105"/>
    </row>
    <row r="43" spans="1:15">
      <c r="A43" s="99" t="s">
        <v>68</v>
      </c>
      <c r="B43" s="143"/>
      <c r="C43" s="153">
        <v>0</v>
      </c>
      <c r="D43" s="145">
        <f t="shared" si="6"/>
        <v>0</v>
      </c>
      <c r="E43" s="203"/>
      <c r="F43" s="147"/>
      <c r="G43" s="185">
        <f t="shared" si="7"/>
        <v>0</v>
      </c>
      <c r="H43" s="155"/>
      <c r="I43" s="187"/>
      <c r="J43" s="155"/>
      <c r="K43" s="160"/>
      <c r="L43" s="151">
        <f t="shared" si="8"/>
        <v>0</v>
      </c>
      <c r="M43" s="98">
        <f t="shared" si="9"/>
        <v>0</v>
      </c>
      <c r="N43" s="152">
        <f t="shared" si="10"/>
        <v>0</v>
      </c>
      <c r="O43" s="105"/>
    </row>
    <row r="44" spans="1:15">
      <c r="A44" s="99" t="s">
        <v>69</v>
      </c>
      <c r="B44" s="143"/>
      <c r="C44" s="144">
        <v>0</v>
      </c>
      <c r="D44" s="145">
        <f t="shared" si="6"/>
        <v>0</v>
      </c>
      <c r="E44" s="146"/>
      <c r="F44" s="189"/>
      <c r="G44" s="185">
        <f t="shared" si="7"/>
        <v>0</v>
      </c>
      <c r="H44" s="116"/>
      <c r="I44" s="187"/>
      <c r="J44" s="116"/>
      <c r="K44" s="160"/>
      <c r="L44" s="151">
        <f t="shared" si="8"/>
        <v>0</v>
      </c>
      <c r="M44" s="98">
        <f t="shared" si="9"/>
        <v>0</v>
      </c>
      <c r="N44" s="152">
        <f t="shared" si="10"/>
        <v>0</v>
      </c>
      <c r="O44" s="105"/>
    </row>
    <row r="45" spans="1:15">
      <c r="A45" s="99" t="s">
        <v>70</v>
      </c>
      <c r="B45" s="143"/>
      <c r="C45" s="153">
        <v>0</v>
      </c>
      <c r="D45" s="145">
        <f t="shared" si="6"/>
        <v>0</v>
      </c>
      <c r="E45" s="203"/>
      <c r="F45" s="147"/>
      <c r="G45" s="185">
        <f t="shared" si="7"/>
        <v>0</v>
      </c>
      <c r="H45" s="155"/>
      <c r="I45" s="187"/>
      <c r="J45" s="155"/>
      <c r="K45" s="160"/>
      <c r="L45" s="158">
        <v>0</v>
      </c>
      <c r="M45" s="159">
        <f>L45</f>
        <v>0</v>
      </c>
      <c r="N45" s="152">
        <f t="shared" si="10"/>
        <v>0</v>
      </c>
      <c r="O45" s="105"/>
    </row>
    <row r="46" spans="1:15">
      <c r="A46" s="99" t="s">
        <v>71</v>
      </c>
      <c r="B46" s="143"/>
      <c r="C46" s="153">
        <v>0</v>
      </c>
      <c r="D46" s="145">
        <f t="shared" si="6"/>
        <v>0</v>
      </c>
      <c r="E46" s="184"/>
      <c r="F46" s="147"/>
      <c r="G46" s="185">
        <f t="shared" si="7"/>
        <v>0</v>
      </c>
      <c r="H46" s="155"/>
      <c r="I46" s="190"/>
      <c r="J46" s="155"/>
      <c r="K46" s="160"/>
      <c r="L46" s="151">
        <f>+(B46*H46)+(C46*H46)+(E46*I46)+(F46*I46)</f>
        <v>0</v>
      </c>
      <c r="M46" s="98">
        <f>(B46*H46)+(C46*J46)+(E46*I46)+(F46*K46)</f>
        <v>0</v>
      </c>
      <c r="N46" s="152">
        <f t="shared" si="10"/>
        <v>0</v>
      </c>
      <c r="O46" s="105"/>
    </row>
    <row r="47" spans="1:15">
      <c r="A47" s="161" t="s">
        <v>80</v>
      </c>
      <c r="B47" s="162">
        <f t="shared" ref="B47:C47" si="11">SUM(B38:B45)</f>
        <v>0</v>
      </c>
      <c r="C47" s="163">
        <f t="shared" si="11"/>
        <v>0</v>
      </c>
      <c r="D47" s="164">
        <f t="shared" si="6"/>
        <v>0</v>
      </c>
      <c r="E47" s="165">
        <f t="shared" ref="E47:F47" si="12">SUM(E38:E45)</f>
        <v>0</v>
      </c>
      <c r="F47" s="166">
        <f t="shared" si="12"/>
        <v>0</v>
      </c>
      <c r="G47" s="191">
        <f t="shared" si="7"/>
        <v>0</v>
      </c>
      <c r="H47" s="168"/>
      <c r="I47" s="192"/>
      <c r="J47" s="168"/>
      <c r="K47" s="169"/>
      <c r="L47" s="170">
        <f>SUM(L38:L46)</f>
        <v>0</v>
      </c>
      <c r="M47" s="171">
        <f>SUM(M38:M46)</f>
        <v>0</v>
      </c>
      <c r="N47" s="172">
        <f>SUM(N38:N45)</f>
        <v>0</v>
      </c>
      <c r="O47" s="105"/>
    </row>
    <row r="48" spans="1:15" ht="45.75" customHeight="1" thickBot="1">
      <c r="A48" s="173" t="s">
        <v>73</v>
      </c>
      <c r="B48" s="174"/>
      <c r="C48" s="175"/>
      <c r="D48" s="176"/>
      <c r="E48" s="177"/>
      <c r="F48" s="178"/>
      <c r="G48" s="180"/>
      <c r="H48" s="177"/>
      <c r="I48" s="179"/>
      <c r="J48" s="177"/>
      <c r="K48" s="180"/>
      <c r="L48" s="181"/>
      <c r="M48" s="182"/>
      <c r="N48" s="183">
        <f>N47</f>
        <v>0</v>
      </c>
      <c r="O48" s="105"/>
    </row>
    <row r="49" spans="1:15">
      <c r="A49" s="90"/>
      <c r="B49" s="90"/>
      <c r="C49" s="90"/>
      <c r="D49" s="90"/>
      <c r="E49" s="90"/>
      <c r="F49" s="90"/>
      <c r="G49" s="90"/>
      <c r="H49" s="90"/>
      <c r="I49" s="90"/>
      <c r="J49" s="193"/>
      <c r="K49" s="193"/>
      <c r="L49" s="90"/>
      <c r="M49" s="90"/>
      <c r="N49" s="90"/>
      <c r="O49" s="90"/>
    </row>
    <row r="50" spans="1:15" ht="15" thickBot="1">
      <c r="A50" s="223" t="s">
        <v>76</v>
      </c>
      <c r="B50" s="224"/>
      <c r="C50" s="224"/>
      <c r="D50" s="224"/>
      <c r="E50" s="224"/>
      <c r="F50" s="224"/>
      <c r="G50" s="224"/>
      <c r="H50" s="224"/>
      <c r="I50" s="224"/>
      <c r="J50" s="225"/>
      <c r="K50" s="225"/>
      <c r="L50" s="226"/>
      <c r="M50" s="226"/>
      <c r="N50" s="227"/>
      <c r="O50" s="90"/>
    </row>
    <row r="51" spans="1:15" ht="60" customHeight="1">
      <c r="A51" s="133" t="s">
        <v>49</v>
      </c>
      <c r="B51" s="134" t="s">
        <v>50</v>
      </c>
      <c r="C51" s="135" t="s">
        <v>51</v>
      </c>
      <c r="D51" s="136" t="s">
        <v>52</v>
      </c>
      <c r="E51" s="134" t="s">
        <v>53</v>
      </c>
      <c r="F51" s="135" t="s">
        <v>54</v>
      </c>
      <c r="G51" s="136" t="s">
        <v>55</v>
      </c>
      <c r="H51" s="134" t="s">
        <v>56</v>
      </c>
      <c r="I51" s="136" t="s">
        <v>57</v>
      </c>
      <c r="J51" s="134" t="s">
        <v>58</v>
      </c>
      <c r="K51" s="136" t="s">
        <v>59</v>
      </c>
      <c r="L51" s="140" t="s">
        <v>60</v>
      </c>
      <c r="M51" s="141" t="s">
        <v>61</v>
      </c>
      <c r="N51" s="142" t="s">
        <v>77</v>
      </c>
      <c r="O51" s="90"/>
    </row>
    <row r="52" spans="1:15">
      <c r="A52" s="99" t="s">
        <v>63</v>
      </c>
      <c r="B52" s="143"/>
      <c r="C52" s="153">
        <v>0</v>
      </c>
      <c r="D52" s="145">
        <f t="shared" ref="D52:D61" si="13">SUM(B52:C52)</f>
        <v>0</v>
      </c>
      <c r="E52" s="146"/>
      <c r="F52" s="147"/>
      <c r="G52" s="185">
        <f t="shared" ref="G52:G61" si="14">+SUM(E52:F52)</f>
        <v>0</v>
      </c>
      <c r="H52" s="149"/>
      <c r="I52" s="186"/>
      <c r="J52" s="149"/>
      <c r="K52" s="160"/>
      <c r="L52" s="151">
        <f t="shared" ref="L52:L58" si="15">+(B52*H52)+(C52*H52)+(E52*I52)+(F52*I52)</f>
        <v>0</v>
      </c>
      <c r="M52" s="98">
        <f>+(B52*H52)+(J52*C52)+(E52*I52)+(F52*K52)</f>
        <v>0</v>
      </c>
      <c r="N52" s="152">
        <f>M52-L52</f>
        <v>0</v>
      </c>
      <c r="O52" s="90"/>
    </row>
    <row r="53" spans="1:15">
      <c r="A53" s="99" t="s">
        <v>64</v>
      </c>
      <c r="B53" s="143"/>
      <c r="C53" s="153">
        <v>0</v>
      </c>
      <c r="D53" s="145">
        <f t="shared" si="13"/>
        <v>0</v>
      </c>
      <c r="E53" s="146"/>
      <c r="F53" s="147"/>
      <c r="G53" s="185">
        <f t="shared" si="14"/>
        <v>0</v>
      </c>
      <c r="H53" s="149"/>
      <c r="I53" s="186"/>
      <c r="J53" s="149"/>
      <c r="K53" s="160"/>
      <c r="L53" s="151">
        <f t="shared" si="15"/>
        <v>0</v>
      </c>
      <c r="M53" s="98">
        <f t="shared" ref="M53:M58" si="16">(B53*H53)+(C53*J53)+(E53*I53)+(F53*K53)</f>
        <v>0</v>
      </c>
      <c r="N53" s="152">
        <f t="shared" ref="N53:N60" si="17">M53-L53</f>
        <v>0</v>
      </c>
      <c r="O53" s="90"/>
    </row>
    <row r="54" spans="1:15">
      <c r="A54" s="99" t="s">
        <v>65</v>
      </c>
      <c r="B54" s="143"/>
      <c r="C54" s="153">
        <v>0</v>
      </c>
      <c r="D54" s="145">
        <f t="shared" si="13"/>
        <v>0</v>
      </c>
      <c r="E54" s="146"/>
      <c r="F54" s="147"/>
      <c r="G54" s="185">
        <f t="shared" si="14"/>
        <v>0</v>
      </c>
      <c r="H54" s="149"/>
      <c r="I54" s="186"/>
      <c r="J54" s="149"/>
      <c r="K54" s="160"/>
      <c r="L54" s="151">
        <f t="shared" si="15"/>
        <v>0</v>
      </c>
      <c r="M54" s="98">
        <f t="shared" si="16"/>
        <v>0</v>
      </c>
      <c r="N54" s="152">
        <f t="shared" si="17"/>
        <v>0</v>
      </c>
      <c r="O54" s="90"/>
    </row>
    <row r="55" spans="1:15">
      <c r="A55" s="99" t="s">
        <v>66</v>
      </c>
      <c r="B55" s="143"/>
      <c r="C55" s="153">
        <v>0</v>
      </c>
      <c r="D55" s="145">
        <f t="shared" si="13"/>
        <v>0</v>
      </c>
      <c r="E55" s="203"/>
      <c r="F55" s="147"/>
      <c r="G55" s="185">
        <f t="shared" si="14"/>
        <v>0</v>
      </c>
      <c r="H55" s="155"/>
      <c r="I55" s="187"/>
      <c r="J55" s="155"/>
      <c r="K55" s="160"/>
      <c r="L55" s="151">
        <f t="shared" si="15"/>
        <v>0</v>
      </c>
      <c r="M55" s="98">
        <f t="shared" si="16"/>
        <v>0</v>
      </c>
      <c r="N55" s="152">
        <f t="shared" si="17"/>
        <v>0</v>
      </c>
      <c r="O55" s="90"/>
    </row>
    <row r="56" spans="1:15">
      <c r="A56" s="99" t="s">
        <v>67</v>
      </c>
      <c r="B56" s="143"/>
      <c r="C56" s="153">
        <v>0</v>
      </c>
      <c r="D56" s="145">
        <f t="shared" si="13"/>
        <v>0</v>
      </c>
      <c r="E56" s="146"/>
      <c r="F56" s="147"/>
      <c r="G56" s="185">
        <f t="shared" si="14"/>
        <v>0</v>
      </c>
      <c r="H56" s="155"/>
      <c r="I56" s="188"/>
      <c r="J56" s="155"/>
      <c r="K56" s="160"/>
      <c r="L56" s="151">
        <f t="shared" si="15"/>
        <v>0</v>
      </c>
      <c r="M56" s="98">
        <f t="shared" si="16"/>
        <v>0</v>
      </c>
      <c r="N56" s="152">
        <f t="shared" si="17"/>
        <v>0</v>
      </c>
      <c r="O56" s="90"/>
    </row>
    <row r="57" spans="1:15">
      <c r="A57" s="99" t="s">
        <v>68</v>
      </c>
      <c r="B57" s="143"/>
      <c r="C57" s="153">
        <v>0</v>
      </c>
      <c r="D57" s="145">
        <f t="shared" si="13"/>
        <v>0</v>
      </c>
      <c r="E57" s="203"/>
      <c r="F57" s="147"/>
      <c r="G57" s="185">
        <f t="shared" si="14"/>
        <v>0</v>
      </c>
      <c r="H57" s="155"/>
      <c r="I57" s="187"/>
      <c r="J57" s="155"/>
      <c r="K57" s="160"/>
      <c r="L57" s="151">
        <f t="shared" si="15"/>
        <v>0</v>
      </c>
      <c r="M57" s="98">
        <f t="shared" si="16"/>
        <v>0</v>
      </c>
      <c r="N57" s="152">
        <f t="shared" si="17"/>
        <v>0</v>
      </c>
      <c r="O57" s="90"/>
    </row>
    <row r="58" spans="1:15">
      <c r="A58" s="99" t="s">
        <v>69</v>
      </c>
      <c r="B58" s="143"/>
      <c r="C58" s="153">
        <v>0</v>
      </c>
      <c r="D58" s="145">
        <f t="shared" si="13"/>
        <v>0</v>
      </c>
      <c r="E58" s="146"/>
      <c r="F58" s="194"/>
      <c r="G58" s="185">
        <f t="shared" si="14"/>
        <v>0</v>
      </c>
      <c r="H58" s="116"/>
      <c r="I58" s="187"/>
      <c r="J58" s="116"/>
      <c r="K58" s="160"/>
      <c r="L58" s="151">
        <f t="shared" si="15"/>
        <v>0</v>
      </c>
      <c r="M58" s="98">
        <f t="shared" si="16"/>
        <v>0</v>
      </c>
      <c r="N58" s="152">
        <f t="shared" si="17"/>
        <v>0</v>
      </c>
      <c r="O58" s="90"/>
    </row>
    <row r="59" spans="1:15">
      <c r="A59" s="99" t="s">
        <v>70</v>
      </c>
      <c r="B59" s="143"/>
      <c r="C59" s="153">
        <v>0</v>
      </c>
      <c r="D59" s="145">
        <f t="shared" si="13"/>
        <v>0</v>
      </c>
      <c r="E59" s="202"/>
      <c r="F59" s="147"/>
      <c r="G59" s="185">
        <f t="shared" si="14"/>
        <v>0</v>
      </c>
      <c r="H59" s="155"/>
      <c r="I59" s="156"/>
      <c r="J59" s="155"/>
      <c r="K59" s="156"/>
      <c r="L59" s="158">
        <v>0</v>
      </c>
      <c r="M59" s="159">
        <f>L59</f>
        <v>0</v>
      </c>
      <c r="N59" s="152">
        <f t="shared" si="17"/>
        <v>0</v>
      </c>
      <c r="O59" s="90"/>
    </row>
    <row r="60" spans="1:15">
      <c r="A60" s="99" t="s">
        <v>71</v>
      </c>
      <c r="B60" s="143"/>
      <c r="C60" s="153">
        <v>0</v>
      </c>
      <c r="D60" s="145">
        <f t="shared" si="13"/>
        <v>0</v>
      </c>
      <c r="E60" s="154"/>
      <c r="F60" s="147"/>
      <c r="G60" s="185">
        <f t="shared" si="14"/>
        <v>0</v>
      </c>
      <c r="H60" s="155"/>
      <c r="I60" s="160"/>
      <c r="J60" s="155"/>
      <c r="K60" s="160"/>
      <c r="L60" s="151">
        <f>+(B60*H60)+(C60*H60)+(E60*I60)+(F60*I60)</f>
        <v>0</v>
      </c>
      <c r="M60" s="98">
        <f>(B60*H60)+(C60*J60)+(E60*I60)+(F60*K60)</f>
        <v>0</v>
      </c>
      <c r="N60" s="152">
        <f t="shared" si="17"/>
        <v>0</v>
      </c>
      <c r="O60" s="90"/>
    </row>
    <row r="61" spans="1:15">
      <c r="A61" s="161" t="s">
        <v>80</v>
      </c>
      <c r="B61" s="162">
        <f>SUM(B52:B60)</f>
        <v>0</v>
      </c>
      <c r="C61" s="163">
        <f>SUM(C52:C60)</f>
        <v>0</v>
      </c>
      <c r="D61" s="164">
        <f t="shared" si="13"/>
        <v>0</v>
      </c>
      <c r="E61" s="165">
        <f t="shared" ref="E61:F61" si="18">SUM(E52:E59)</f>
        <v>0</v>
      </c>
      <c r="F61" s="166">
        <f t="shared" si="18"/>
        <v>0</v>
      </c>
      <c r="G61" s="191">
        <f t="shared" si="14"/>
        <v>0</v>
      </c>
      <c r="H61" s="168"/>
      <c r="I61" s="169"/>
      <c r="J61" s="168"/>
      <c r="K61" s="169"/>
      <c r="L61" s="170">
        <f>SUM(L52:L60)</f>
        <v>0</v>
      </c>
      <c r="M61" s="171">
        <f>SUM(M52:M60)</f>
        <v>0</v>
      </c>
      <c r="N61" s="172">
        <f>SUM(N52:N59)</f>
        <v>0</v>
      </c>
      <c r="O61" s="90"/>
    </row>
    <row r="62" spans="1:15" ht="45.75" customHeight="1" thickBot="1">
      <c r="A62" s="173" t="s">
        <v>73</v>
      </c>
      <c r="B62" s="174"/>
      <c r="C62" s="175"/>
      <c r="D62" s="176"/>
      <c r="E62" s="177"/>
      <c r="F62" s="178"/>
      <c r="G62" s="180"/>
      <c r="H62" s="177"/>
      <c r="I62" s="180"/>
      <c r="J62" s="177"/>
      <c r="K62" s="180"/>
      <c r="L62" s="181"/>
      <c r="M62" s="182"/>
      <c r="N62" s="183">
        <f>N61</f>
        <v>0</v>
      </c>
      <c r="O62" s="90"/>
    </row>
  </sheetData>
  <mergeCells count="13">
    <mergeCell ref="N4:O4"/>
    <mergeCell ref="A1:O1"/>
    <mergeCell ref="B2:H2"/>
    <mergeCell ref="N2:O2"/>
    <mergeCell ref="B3:H3"/>
    <mergeCell ref="N3:O3"/>
    <mergeCell ref="A50:N50"/>
    <mergeCell ref="E6:O9"/>
    <mergeCell ref="B12:C12"/>
    <mergeCell ref="B13:C13"/>
    <mergeCell ref="C14:O14"/>
    <mergeCell ref="A22:N22"/>
    <mergeCell ref="A36:N36"/>
  </mergeCells>
  <dataValidations count="2">
    <dataValidation type="list" allowBlank="1" showInputMessage="1" showErrorMessage="1" sqref="B13:C13">
      <formula1>$U$2:$U$10</formula1>
    </dataValidation>
    <dataValidation type="list" allowBlank="1" showInputMessage="1" showErrorMessage="1" sqref="B12:C12">
      <formula1>$T$2:$T$11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 Macro</vt:lpstr>
      <vt:lpstr>Query</vt:lpstr>
      <vt:lpstr>Helper</vt:lpstr>
      <vt:lpstr>Template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Skilbeck</dc:creator>
  <cp:lastModifiedBy>John Skilbeck</cp:lastModifiedBy>
  <dcterms:created xsi:type="dcterms:W3CDTF">2013-11-20T00:31:44Z</dcterms:created>
  <dcterms:modified xsi:type="dcterms:W3CDTF">2014-11-23T00:55:54Z</dcterms:modified>
</cp:coreProperties>
</file>